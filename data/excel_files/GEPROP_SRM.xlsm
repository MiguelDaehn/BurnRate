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trlProps/ctrlProp4.xml" ContentType="application/vnd.ms-excel.controlproperties+xml"/>
  <Override PartName="/xl/comments3.xml" ContentType="application/vnd.openxmlformats-officedocument.spreadsheetml.comments+xml"/>
  <Override PartName="/xl/charts/chart4.xml" ContentType="application/vnd.openxmlformats-officedocument.drawingml.chart+xml"/>
  <Override PartName="/xl/drawings/drawing6.xml" ContentType="application/vnd.openxmlformats-officedocument.drawingml.chartshapes+xml"/>
  <Override PartName="/xl/charts/chart5.xml" ContentType="application/vnd.openxmlformats-officedocument.drawingml.chart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charts/chart6.xml" ContentType="application/vnd.openxmlformats-officedocument.drawingml.chart+xml"/>
  <Override PartName="/xl/drawings/drawing9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omments5.xml" ContentType="application/vnd.openxmlformats-officedocument.spreadsheetml.comments+xml"/>
  <Override PartName="/xl/drawings/drawing10.xml" ContentType="application/vnd.openxmlformats-officedocument.drawing+xml"/>
  <Override PartName="/xl/comments6.xml" ContentType="application/vnd.openxmlformats-officedocument.spreadsheetml.comments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Z:\home\kanamori\PycharmProjects\BurnRate\data\"/>
    </mc:Choice>
  </mc:AlternateContent>
  <bookViews>
    <workbookView xWindow="0" yWindow="0" windowWidth="23040" windowHeight="9135" tabRatio="832" activeTab="1"/>
  </bookViews>
  <sheets>
    <sheet name="Intro" sheetId="1" r:id="rId1"/>
    <sheet name="Data and Kn" sheetId="2" r:id="rId2"/>
    <sheet name="Pressure" sheetId="3" r:id="rId3"/>
    <sheet name="Performance" sheetId="4" r:id="rId4"/>
    <sheet name="Nozzle Design" sheetId="11" r:id="rId5"/>
    <sheet name="Output" sheetId="5" r:id="rId6"/>
    <sheet name="Propellant data" sheetId="6" r:id="rId7"/>
    <sheet name="Burnrate" sheetId="7" r:id="rId8"/>
    <sheet name="Class" sheetId="9" r:id="rId9"/>
    <sheet name="UnitsConv" sheetId="8" r:id="rId10"/>
    <sheet name="Revisions" sheetId="10" r:id="rId11"/>
  </sheets>
  <externalReferences>
    <externalReference r:id="rId12"/>
  </externalReferences>
  <definedNames>
    <definedName name="abmax">'Data and Kn'!$K$96</definedName>
    <definedName name="abo">'Data and Kn'!$C$33</definedName>
    <definedName name="ae_1">Burnrate!$E$52</definedName>
    <definedName name="aexit">Performance!$C$8</definedName>
    <definedName name="alpha">'Nozzle Design'!$Y$9</definedName>
    <definedName name="am_0">Burnrate!$J$28</definedName>
    <definedName name="am_1">Burnrate!$J$52</definedName>
    <definedName name="am_3">Burnrate!$J$58</definedName>
    <definedName name="am_4">Burnrate!$J$64</definedName>
    <definedName name="an_0">Burnrate!$K$28</definedName>
    <definedName name="an_4">Burnrate!$K$64</definedName>
    <definedName name="astarf">Pressure!$I$862</definedName>
    <definedName name="at">'Data and Kn'!$C$36</definedName>
    <definedName name="atfinal">Performance!$E$862</definedName>
    <definedName name="beta">'Nozzle Design'!$Y$10</definedName>
    <definedName name="chpressures">'Data and Kn'!$AA$17:$AA$36</definedName>
    <definedName name="ci">'Data and Kn'!$Y$20</definedName>
    <definedName name="cstar">Pressure!$C$17</definedName>
    <definedName name="dc">'Data and Kn'!$C$10</definedName>
    <definedName name="dcplot">'Nozzle Design'!$C$9</definedName>
    <definedName name="deltap">Pressure!$AA$909</definedName>
    <definedName name="deltat">Pressure!$D$864</definedName>
    <definedName name="deltax">'Data and Kn'!$C$96</definedName>
    <definedName name="dio">'Data and Kn'!$C$17</definedName>
    <definedName name="do">'Data and Kn'!$C$16</definedName>
    <definedName name="dto">'Data and Kn'!$C$37</definedName>
    <definedName name="ei">'Data and Kn'!$Y$21</definedName>
    <definedName name="erate">'Data and Kn'!$C$39</definedName>
    <definedName name="etac">Pressure!$C$13</definedName>
    <definedName name="etanoz">Performance!$C$4</definedName>
    <definedName name="exprat">Performance!$C$5</definedName>
    <definedName name="expratfinal">Performance!$F$862</definedName>
    <definedName name="fmax">Performance!$C$16</definedName>
    <definedName name="fueltype">'Data and Kn'!$X$31</definedName>
    <definedName name="gstar">Pressure!$C$18</definedName>
    <definedName name="itot">Performance!$C$17</definedName>
    <definedName name="itsum">Performance!$L$911</definedName>
    <definedName name="k">Pressure!$C$12</definedName>
    <definedName name="k2ph">Performance!$C$3</definedName>
    <definedName name="kn">'Data and Kn'!$C$35</definedName>
    <definedName name="kndxbn_">Burnrate!$G$8:$K$12</definedName>
    <definedName name="knotherbn_">Burnrate!$G$52:$K$56</definedName>
    <definedName name="knrange">'Data and Kn'!$M$45:$M$95</definedName>
    <definedName name="knsbcobn_">Burnrate!$G$28:$K$28</definedName>
    <definedName name="knselecttab">'Data and Kn'!$AN$32:$AO$39</definedName>
    <definedName name="knsobn_">Burnrate!$G$19:$K$23</definedName>
    <definedName name="knsubn_">Burnrate!$G$33:$K$33</definedName>
    <definedName name="ks_dx">'Propellant data'!$F$10</definedName>
    <definedName name="ks_er">'Propellant data'!$I$10</definedName>
    <definedName name="ks_fr">'Propellant data'!$K$10</definedName>
    <definedName name="ks_mn">'Propellant data'!$J$10</definedName>
    <definedName name="ks_ot">'Propellant data'!$L$10</definedName>
    <definedName name="ks_so">'Propellant data'!$G$10</definedName>
    <definedName name="ks_su">'Propellant data'!$H$10</definedName>
    <definedName name="kv">Pressure!$C$19</definedName>
    <definedName name="lc">'Data and Kn'!$C$11</definedName>
    <definedName name="lgo">'Data and Kn'!$C$23</definedName>
    <definedName name="lo">'Data and Kn'!$C$18</definedName>
    <definedName name="m">Pressure!$C$10</definedName>
    <definedName name="m_dx">'Propellant data'!$F$11</definedName>
    <definedName name="m_er">'Propellant data'!$I$11</definedName>
    <definedName name="m_fr">'Propellant data'!$K$11</definedName>
    <definedName name="m_mn">'Propellant data'!$J$11</definedName>
    <definedName name="m_ot">'Propellant data'!$L$11</definedName>
    <definedName name="m_so">'Propellant data'!$G$11</definedName>
    <definedName name="m_su">'Propellant data'!$H$11</definedName>
    <definedName name="me">Performance!$C$9</definedName>
    <definedName name="mef">Performance!$C$10</definedName>
    <definedName name="mgrain">'Data and Kn'!$C$29</definedName>
    <definedName name="motorclass">Class!$B$6:$D$27</definedName>
    <definedName name="n">'Data and Kn'!$C$19</definedName>
    <definedName name="ne_1">Burnrate!$F$52</definedName>
    <definedName name="nm_1">Burnrate!$K$52</definedName>
    <definedName name="nm_3">Burnrate!$K$58</definedName>
    <definedName name="nm_4">Burnrate!$K$64</definedName>
    <definedName name="note1">'Data and Kn'!$C$98</definedName>
    <definedName name="osi">'Data and Kn'!$Y$19</definedName>
    <definedName name="otherbn_">Burnrate!$B$59:$F$63</definedName>
    <definedName name="patm">Pressure!$C$16</definedName>
    <definedName name="pbd">Pressure!$X$22</definedName>
    <definedName name="pbout">Pressure!$AB$862</definedName>
    <definedName name="pfinal">Pressure!$AB$909</definedName>
    <definedName name="pmax">Pressure!$AB$22</definedName>
    <definedName name="pmaxperc">Pressure!$AA$907</definedName>
    <definedName name="pmselect">'Data and Kn'!$AE$32</definedName>
    <definedName name="pressures">'Data and Kn'!$AA$17:$AA$57</definedName>
    <definedName name="_xlnm.Print_Area" localSheetId="1">'Data and Kn'!$A$4:$M$40</definedName>
    <definedName name="_xlnm.Print_Area" localSheetId="5">Output!$A$2:$J$49</definedName>
    <definedName name="_xlnm.Print_Area" localSheetId="3">Performance!$B$1:$M$23</definedName>
    <definedName name="_xlnm.Print_Area" localSheetId="2">Pressure!$B$1:$M$20</definedName>
    <definedName name="propellants">'Data and Kn'!$X$17:$X$24</definedName>
    <definedName name="pselect">'Data and Kn'!$C$34</definedName>
    <definedName name="rat">Pressure!$C$11</definedName>
    <definedName name="ravg">Pressure!$P$863</definedName>
    <definedName name="rhopdex">'Propellant data'!$F$9</definedName>
    <definedName name="rhoper">'Propellant data'!$I$9</definedName>
    <definedName name="rhopfr">'Propellant data'!$K$9</definedName>
    <definedName name="rhopgrain">'Data and Kn'!$C$28</definedName>
    <definedName name="rhopgraini">'Data and Kn'!$C$26</definedName>
    <definedName name="rhopmn">'Propellant data'!$J$9</definedName>
    <definedName name="rhopot">'Propellant data'!$L$9</definedName>
    <definedName name="rhopsorb">'Propellant data'!$G$9</definedName>
    <definedName name="rhopsu">'Propellant data'!$H$9</definedName>
    <definedName name="rhorat">'Data and Kn'!$C$27</definedName>
    <definedName name="runiv">Pressure!$C$9</definedName>
    <definedName name="s_su">'Propellant data'!#REF!</definedName>
    <definedName name="surfacecondition">'Data and Kn'!$Y$17:$Y$18</definedName>
    <definedName name="tbinc">Pressure!$J$23</definedName>
    <definedName name="tbout">Pressure!$Q$862</definedName>
    <definedName name="tincp">Pressure!$Q$12</definedName>
    <definedName name="to">Pressure!$C$15</definedName>
    <definedName name="to_dx">'Propellant data'!$F$12</definedName>
    <definedName name="to_er">'Propellant data'!$I$12</definedName>
    <definedName name="to_fr">'Propellant data'!$K$12</definedName>
    <definedName name="to_mn">'Propellant data'!$J$12</definedName>
    <definedName name="to_ot">'Propellant data'!$L$12</definedName>
    <definedName name="to_so">'Propellant data'!$G$12</definedName>
    <definedName name="to_su">'Propellant data'!$H$12</definedName>
    <definedName name="tothe">Pressure!$C$14</definedName>
    <definedName name="tthr">Pressure!$Q$909</definedName>
    <definedName name="tweb">[1]Calcs!$F$25</definedName>
    <definedName name="twebfinal">'Data and Kn'!$G$95</definedName>
    <definedName name="twebout">Pressure!$D$862</definedName>
    <definedName name="two">'Data and Kn'!$G$45</definedName>
    <definedName name="vc">'Data and Kn'!$C$12</definedName>
    <definedName name="vg">'Data and Kn'!$C$24</definedName>
    <definedName name="xfinal">'Data and Kn'!$C$95</definedName>
    <definedName name="xinc">'Data and Kn'!$C$42</definedName>
    <definedName name="xincp">Pressure!$C$24</definedName>
    <definedName name="Z_136183A0_5E83_4B15_A2A6_F3C23DCC406A_.wvu.Cols" localSheetId="8" hidden="1">Class!$A:$A</definedName>
    <definedName name="Z_136183A0_5E83_4B15_A2A6_F3C23DCC406A_.wvu.PrintArea" localSheetId="1" hidden="1">'Data and Kn'!$A$4:$M$40</definedName>
    <definedName name="Z_136183A0_5E83_4B15_A2A6_F3C23DCC406A_.wvu.PrintArea" localSheetId="5" hidden="1">Output!$A$2:$J$49</definedName>
    <definedName name="Z_136183A0_5E83_4B15_A2A6_F3C23DCC406A_.wvu.PrintArea" localSheetId="3" hidden="1">Performance!$B$1:$M$23</definedName>
    <definedName name="Z_136183A0_5E83_4B15_A2A6_F3C23DCC406A_.wvu.PrintArea" localSheetId="2" hidden="1">Pressure!$B$1:$M$20</definedName>
  </definedNames>
  <calcPr calcId="152511"/>
  <customWorkbookViews>
    <customWorkbookView name="vq591d - Personal View" guid="{136183A0-5E83-4B15-A2A6-F3C23DCC406A}" mergeInterval="0" changesSavedWin="1" personalView="1" maximized="1" xWindow="1" yWindow="1" windowWidth="1773" windowHeight="729" activeSheetId="5"/>
  </customWorkbookViews>
</workbook>
</file>

<file path=xl/calcChain.xml><?xml version="1.0" encoding="utf-8"?>
<calcChain xmlns="http://schemas.openxmlformats.org/spreadsheetml/2006/main">
  <c r="C18" i="2" l="1"/>
  <c r="AJ56" i="7"/>
  <c r="AJ20" i="7"/>
  <c r="AG35" i="7"/>
  <c r="AG19" i="7"/>
  <c r="AI83" i="7"/>
  <c r="AH83" i="7"/>
  <c r="AI82" i="7"/>
  <c r="AH82" i="7"/>
  <c r="AI81" i="7"/>
  <c r="AH81" i="7"/>
  <c r="AI80" i="7"/>
  <c r="AH80" i="7"/>
  <c r="AI79" i="7"/>
  <c r="AH79" i="7"/>
  <c r="AI78" i="7"/>
  <c r="AH78" i="7"/>
  <c r="AI77" i="7"/>
  <c r="AH77" i="7"/>
  <c r="AI76" i="7"/>
  <c r="AH76" i="7"/>
  <c r="AI75" i="7"/>
  <c r="AH75" i="7"/>
  <c r="AI74" i="7"/>
  <c r="AH74" i="7"/>
  <c r="AI73" i="7"/>
  <c r="AH73" i="7"/>
  <c r="AI72" i="7"/>
  <c r="AH72" i="7"/>
  <c r="AI71" i="7"/>
  <c r="AH71" i="7"/>
  <c r="AI70" i="7"/>
  <c r="AH70" i="7"/>
  <c r="AI69" i="7"/>
  <c r="AH69" i="7"/>
  <c r="AI68" i="7"/>
  <c r="AH68" i="7"/>
  <c r="AI67" i="7"/>
  <c r="AH67" i="7"/>
  <c r="AI66" i="7"/>
  <c r="AH66" i="7"/>
  <c r="AI65" i="7"/>
  <c r="AH65" i="7"/>
  <c r="AI64" i="7"/>
  <c r="AH64" i="7"/>
  <c r="AI63" i="7"/>
  <c r="AH63" i="7"/>
  <c r="AI62" i="7"/>
  <c r="AH62" i="7"/>
  <c r="AI61" i="7"/>
  <c r="AH61" i="7"/>
  <c r="AI60" i="7"/>
  <c r="AH60" i="7"/>
  <c r="AI59" i="7"/>
  <c r="AH59" i="7"/>
  <c r="AI58" i="7"/>
  <c r="AH58" i="7"/>
  <c r="AI57" i="7"/>
  <c r="AH57" i="7"/>
  <c r="AJ57" i="7" s="1"/>
  <c r="AI56" i="7"/>
  <c r="AH56" i="7"/>
  <c r="AI55" i="7"/>
  <c r="AH55" i="7"/>
  <c r="AI54" i="7"/>
  <c r="AH54" i="7"/>
  <c r="AI53" i="7"/>
  <c r="AH53" i="7"/>
  <c r="AI52" i="7"/>
  <c r="AH52" i="7"/>
  <c r="AI51" i="7"/>
  <c r="AH51" i="7"/>
  <c r="AI50" i="7"/>
  <c r="AH50" i="7"/>
  <c r="AI49" i="7"/>
  <c r="AH49" i="7"/>
  <c r="AI48" i="7"/>
  <c r="AH48" i="7"/>
  <c r="AI47" i="7"/>
  <c r="AH47" i="7"/>
  <c r="AI46" i="7"/>
  <c r="AH46" i="7"/>
  <c r="AI45" i="7"/>
  <c r="AH45" i="7"/>
  <c r="AI44" i="7"/>
  <c r="AH44" i="7"/>
  <c r="AI43" i="7"/>
  <c r="AH43" i="7"/>
  <c r="AI42" i="7"/>
  <c r="AH42" i="7"/>
  <c r="AI41" i="7"/>
  <c r="AH41" i="7"/>
  <c r="AI40" i="7"/>
  <c r="AH40" i="7"/>
  <c r="AI39" i="7"/>
  <c r="AH39" i="7"/>
  <c r="AI38" i="7"/>
  <c r="AH38" i="7"/>
  <c r="AI37" i="7"/>
  <c r="AH37" i="7"/>
  <c r="AI36" i="7"/>
  <c r="AH36" i="7"/>
  <c r="AI35" i="7"/>
  <c r="AH35" i="7"/>
  <c r="AJ35" i="7" s="1"/>
  <c r="AI34" i="7"/>
  <c r="AH34" i="7"/>
  <c r="AJ34" i="7" s="1"/>
  <c r="AI33" i="7"/>
  <c r="AH33" i="7"/>
  <c r="AI32" i="7"/>
  <c r="AH32" i="7"/>
  <c r="AI31" i="7"/>
  <c r="AH31" i="7"/>
  <c r="AI30" i="7"/>
  <c r="AH30" i="7"/>
  <c r="AI29" i="7"/>
  <c r="AH29" i="7"/>
  <c r="AI28" i="7"/>
  <c r="AH28" i="7"/>
  <c r="AI27" i="7"/>
  <c r="AH27" i="7"/>
  <c r="AI26" i="7"/>
  <c r="AH26" i="7"/>
  <c r="AI25" i="7"/>
  <c r="AH25" i="7"/>
  <c r="AI24" i="7"/>
  <c r="AH24" i="7"/>
  <c r="AI23" i="7"/>
  <c r="AH23" i="7"/>
  <c r="AI22" i="7"/>
  <c r="AH22" i="7"/>
  <c r="AJ22" i="7" s="1"/>
  <c r="AI21" i="7"/>
  <c r="AH21" i="7"/>
  <c r="AJ21" i="7" s="1"/>
  <c r="AI20" i="7"/>
  <c r="AH20" i="7"/>
  <c r="AI19" i="7"/>
  <c r="AH19" i="7"/>
  <c r="AJ19" i="7" s="1"/>
  <c r="AI18" i="7"/>
  <c r="AH18" i="7"/>
  <c r="AI17" i="7"/>
  <c r="AH17" i="7"/>
  <c r="AI16" i="7"/>
  <c r="AH16" i="7"/>
  <c r="AI15" i="7"/>
  <c r="AH15" i="7"/>
  <c r="AJ15" i="7" s="1"/>
  <c r="AI14" i="7"/>
  <c r="AH14" i="7"/>
  <c r="AJ14" i="7" s="1"/>
  <c r="AI13" i="7"/>
  <c r="AH13" i="7"/>
  <c r="AI12" i="7"/>
  <c r="AH12" i="7"/>
  <c r="AI11" i="7"/>
  <c r="AH11" i="7"/>
  <c r="AI9" i="7"/>
  <c r="AH9" i="7"/>
  <c r="AJ9" i="7" s="1"/>
  <c r="AI10" i="7"/>
  <c r="AH10" i="7"/>
  <c r="AJ10" i="7" s="1"/>
  <c r="X31" i="2"/>
  <c r="C26" i="2"/>
  <c r="C28" i="2" s="1"/>
  <c r="N28" i="3"/>
  <c r="O28" i="3"/>
  <c r="C14" i="3"/>
  <c r="C15" i="3" s="1"/>
  <c r="C12" i="3"/>
  <c r="C10" i="3"/>
  <c r="K12" i="6"/>
  <c r="K11" i="6"/>
  <c r="K10" i="6"/>
  <c r="AF83" i="7"/>
  <c r="AE83" i="7"/>
  <c r="AF82" i="7"/>
  <c r="AE82" i="7"/>
  <c r="AF81" i="7"/>
  <c r="AE81" i="7"/>
  <c r="AF80" i="7"/>
  <c r="AE80" i="7"/>
  <c r="AF79" i="7"/>
  <c r="AE79" i="7"/>
  <c r="AF78" i="7"/>
  <c r="AE78" i="7"/>
  <c r="AF77" i="7"/>
  <c r="AE77" i="7"/>
  <c r="AF76" i="7"/>
  <c r="AE76" i="7"/>
  <c r="AF75" i="7"/>
  <c r="AE75" i="7"/>
  <c r="AF74" i="7"/>
  <c r="AE74" i="7"/>
  <c r="AF73" i="7"/>
  <c r="AE73" i="7"/>
  <c r="AF72" i="7"/>
  <c r="AE72" i="7"/>
  <c r="AF71" i="7"/>
  <c r="AE71" i="7"/>
  <c r="AF70" i="7"/>
  <c r="AE70" i="7"/>
  <c r="AF69" i="7"/>
  <c r="AE69" i="7"/>
  <c r="AF68" i="7"/>
  <c r="AE68" i="7"/>
  <c r="AF67" i="7"/>
  <c r="AE67" i="7"/>
  <c r="AF66" i="7"/>
  <c r="AE66" i="7"/>
  <c r="AF65" i="7"/>
  <c r="AE65" i="7"/>
  <c r="AF64" i="7"/>
  <c r="AE64" i="7"/>
  <c r="AF63" i="7"/>
  <c r="AE63" i="7"/>
  <c r="AF62" i="7"/>
  <c r="AE62" i="7"/>
  <c r="AF61" i="7"/>
  <c r="AE61" i="7"/>
  <c r="AF60" i="7"/>
  <c r="AE60" i="7"/>
  <c r="AF59" i="7"/>
  <c r="AE59" i="7"/>
  <c r="AF58" i="7"/>
  <c r="AE58" i="7"/>
  <c r="AF57" i="7"/>
  <c r="AE57" i="7"/>
  <c r="AG57" i="7" s="1"/>
  <c r="AF56" i="7"/>
  <c r="AE56" i="7"/>
  <c r="AG56" i="7" s="1"/>
  <c r="AF55" i="7"/>
  <c r="AE55" i="7"/>
  <c r="AF54" i="7"/>
  <c r="AE54" i="7"/>
  <c r="AF53" i="7"/>
  <c r="AE53" i="7"/>
  <c r="AF52" i="7"/>
  <c r="AE52" i="7"/>
  <c r="AF51" i="7"/>
  <c r="AE51" i="7"/>
  <c r="AF50" i="7"/>
  <c r="AE50" i="7"/>
  <c r="AF49" i="7"/>
  <c r="AE49" i="7"/>
  <c r="AF48" i="7"/>
  <c r="AE48" i="7"/>
  <c r="AF47" i="7"/>
  <c r="AE47" i="7"/>
  <c r="AF46" i="7"/>
  <c r="AE46" i="7"/>
  <c r="AF45" i="7"/>
  <c r="AE45" i="7"/>
  <c r="AF44" i="7"/>
  <c r="AE44" i="7"/>
  <c r="AF43" i="7"/>
  <c r="AE43" i="7"/>
  <c r="AF42" i="7"/>
  <c r="AE42" i="7"/>
  <c r="AF41" i="7"/>
  <c r="AE41" i="7"/>
  <c r="AF40" i="7"/>
  <c r="AE40" i="7"/>
  <c r="AF39" i="7"/>
  <c r="AE39" i="7"/>
  <c r="AF38" i="7"/>
  <c r="AE38" i="7"/>
  <c r="AF37" i="7"/>
  <c r="AE37" i="7"/>
  <c r="AF36" i="7"/>
  <c r="AE36" i="7"/>
  <c r="AF35" i="7"/>
  <c r="AE35" i="7"/>
  <c r="AF34" i="7"/>
  <c r="AE34" i="7"/>
  <c r="AG34" i="7" s="1"/>
  <c r="AF33" i="7"/>
  <c r="AE33" i="7"/>
  <c r="AF32" i="7"/>
  <c r="AE32" i="7"/>
  <c r="AF31" i="7"/>
  <c r="AE31" i="7"/>
  <c r="AF30" i="7"/>
  <c r="AE30" i="7"/>
  <c r="AF29" i="7"/>
  <c r="AE29" i="7"/>
  <c r="AF28" i="7"/>
  <c r="AE28" i="7"/>
  <c r="AF27" i="7"/>
  <c r="AE27" i="7"/>
  <c r="AF26" i="7"/>
  <c r="AE26" i="7"/>
  <c r="AF25" i="7"/>
  <c r="AE25" i="7"/>
  <c r="AF24" i="7"/>
  <c r="AE24" i="7"/>
  <c r="AF23" i="7"/>
  <c r="AE23" i="7"/>
  <c r="AF22" i="7"/>
  <c r="AE22" i="7"/>
  <c r="AG22" i="7" s="1"/>
  <c r="AF21" i="7"/>
  <c r="AE21" i="7"/>
  <c r="AG21" i="7" s="1"/>
  <c r="AF20" i="7"/>
  <c r="AE20" i="7"/>
  <c r="AG20" i="7" s="1"/>
  <c r="AF19" i="7"/>
  <c r="AE19" i="7"/>
  <c r="AF18" i="7"/>
  <c r="AE18" i="7"/>
  <c r="AF17" i="7"/>
  <c r="AE17" i="7"/>
  <c r="AF16" i="7"/>
  <c r="AE16" i="7"/>
  <c r="AF15" i="7"/>
  <c r="AE15" i="7"/>
  <c r="AF14" i="7"/>
  <c r="AE14" i="7"/>
  <c r="AG14" i="7" s="1"/>
  <c r="AF13" i="7"/>
  <c r="AE13" i="7"/>
  <c r="AF12" i="7"/>
  <c r="AE12" i="7"/>
  <c r="AF11" i="7"/>
  <c r="AE11" i="7"/>
  <c r="AF10" i="7"/>
  <c r="AE10" i="7"/>
  <c r="AG10" i="7" s="1"/>
  <c r="AF9" i="7"/>
  <c r="AE9" i="7"/>
  <c r="AG9" i="7" s="1"/>
  <c r="N5" i="7"/>
  <c r="N9" i="7"/>
  <c r="P9" i="7" s="1"/>
  <c r="O9" i="7"/>
  <c r="S9" i="7"/>
  <c r="U9" i="7" s="1"/>
  <c r="T9" i="7"/>
  <c r="V9" i="7"/>
  <c r="W9" i="7"/>
  <c r="X9" i="7" s="1"/>
  <c r="Y9" i="7"/>
  <c r="Z9" i="7"/>
  <c r="AB9" i="7"/>
  <c r="AD9" i="7"/>
  <c r="AC9" i="7"/>
  <c r="M10" i="7"/>
  <c r="R10" i="7"/>
  <c r="T10" i="7" s="1"/>
  <c r="S10" i="7"/>
  <c r="V10" i="7"/>
  <c r="W10" i="7"/>
  <c r="X10" i="7"/>
  <c r="Y10" i="7"/>
  <c r="AA10" i="7" s="1"/>
  <c r="Z10" i="7"/>
  <c r="AB10" i="7"/>
  <c r="AC10" i="7"/>
  <c r="V11" i="7"/>
  <c r="W11" i="7"/>
  <c r="Y11" i="7"/>
  <c r="Z11" i="7"/>
  <c r="AB11" i="7"/>
  <c r="AC11" i="7"/>
  <c r="N12" i="7"/>
  <c r="P12" i="7" s="1"/>
  <c r="O12" i="7"/>
  <c r="V12" i="7"/>
  <c r="W12" i="7"/>
  <c r="Y12" i="7"/>
  <c r="Z12" i="7"/>
  <c r="AB12" i="7"/>
  <c r="AC12" i="7"/>
  <c r="M13" i="7"/>
  <c r="N13" i="7" s="1"/>
  <c r="M14" i="7"/>
  <c r="O13" i="7"/>
  <c r="V13" i="7"/>
  <c r="W13" i="7"/>
  <c r="Y13" i="7"/>
  <c r="Z13" i="7"/>
  <c r="AB13" i="7"/>
  <c r="AC13" i="7"/>
  <c r="S14" i="7"/>
  <c r="U14" i="7" s="1"/>
  <c r="T14" i="7"/>
  <c r="V14" i="7"/>
  <c r="W14" i="7"/>
  <c r="X14" i="7" s="1"/>
  <c r="Y14" i="7"/>
  <c r="Z14" i="7"/>
  <c r="AB14" i="7"/>
  <c r="AD14" i="7" s="1"/>
  <c r="AC14" i="7"/>
  <c r="R15" i="7"/>
  <c r="T15" i="7"/>
  <c r="V15" i="7"/>
  <c r="W15" i="7"/>
  <c r="X15" i="7"/>
  <c r="Y15" i="7"/>
  <c r="Z15" i="7"/>
  <c r="AB15" i="7"/>
  <c r="AC15" i="7"/>
  <c r="V16" i="7"/>
  <c r="W16" i="7"/>
  <c r="Y16" i="7"/>
  <c r="Z16" i="7"/>
  <c r="AB16" i="7"/>
  <c r="AC16" i="7"/>
  <c r="V17" i="7"/>
  <c r="W17" i="7"/>
  <c r="Y17" i="7"/>
  <c r="Z17" i="7"/>
  <c r="AB17" i="7"/>
  <c r="AC17" i="7"/>
  <c r="V18" i="7"/>
  <c r="W18" i="7"/>
  <c r="Y18" i="7"/>
  <c r="Z18" i="7"/>
  <c r="AB18" i="7"/>
  <c r="AC18" i="7"/>
  <c r="N19" i="7"/>
  <c r="O19" i="7"/>
  <c r="P19" i="7"/>
  <c r="S19" i="7"/>
  <c r="U19" i="7"/>
  <c r="T19" i="7"/>
  <c r="V19" i="7"/>
  <c r="X19" i="7" s="1"/>
  <c r="W19" i="7"/>
  <c r="Y19" i="7"/>
  <c r="Z19" i="7"/>
  <c r="AA19" i="7" s="1"/>
  <c r="AB19" i="7"/>
  <c r="AC19" i="7"/>
  <c r="AD19" i="7"/>
  <c r="M20" i="7"/>
  <c r="N20" i="7"/>
  <c r="R20" i="7"/>
  <c r="R21" i="7"/>
  <c r="T21" i="7" s="1"/>
  <c r="S20" i="7"/>
  <c r="U20" i="7" s="1"/>
  <c r="T20" i="7"/>
  <c r="V20" i="7"/>
  <c r="X20" i="7" s="1"/>
  <c r="W20" i="7"/>
  <c r="Y20" i="7"/>
  <c r="AA20" i="7"/>
  <c r="Z20" i="7"/>
  <c r="AB20" i="7"/>
  <c r="AC20" i="7"/>
  <c r="V21" i="7"/>
  <c r="W21" i="7"/>
  <c r="Y21" i="7"/>
  <c r="Z21" i="7"/>
  <c r="AB21" i="7"/>
  <c r="AD21" i="7" s="1"/>
  <c r="AC21" i="7"/>
  <c r="V22" i="7"/>
  <c r="W22" i="7"/>
  <c r="Y22" i="7"/>
  <c r="Z22" i="7"/>
  <c r="AB22" i="7"/>
  <c r="AC22" i="7"/>
  <c r="V23" i="7"/>
  <c r="W23" i="7"/>
  <c r="Y23" i="7"/>
  <c r="Z23" i="7"/>
  <c r="AB23" i="7"/>
  <c r="AC23" i="7"/>
  <c r="V24" i="7"/>
  <c r="W24" i="7"/>
  <c r="Y24" i="7"/>
  <c r="Z24" i="7"/>
  <c r="AB24" i="7"/>
  <c r="AC24" i="7"/>
  <c r="V25" i="7"/>
  <c r="W25" i="7"/>
  <c r="Y25" i="7"/>
  <c r="Z25" i="7"/>
  <c r="AB25" i="7"/>
  <c r="AC25" i="7"/>
  <c r="V26" i="7"/>
  <c r="W26" i="7"/>
  <c r="Y26" i="7"/>
  <c r="Z26" i="7"/>
  <c r="AB26" i="7"/>
  <c r="AC26" i="7"/>
  <c r="V27" i="7"/>
  <c r="W27" i="7"/>
  <c r="Y27" i="7"/>
  <c r="Z27" i="7"/>
  <c r="AB27" i="7"/>
  <c r="AC27" i="7"/>
  <c r="V28" i="7"/>
  <c r="W28" i="7"/>
  <c r="Y28" i="7"/>
  <c r="Z28" i="7"/>
  <c r="AB28" i="7"/>
  <c r="AC28" i="7"/>
  <c r="V29" i="7"/>
  <c r="W29" i="7"/>
  <c r="Y29" i="7"/>
  <c r="Z29" i="7"/>
  <c r="AB29" i="7"/>
  <c r="AC29" i="7"/>
  <c r="V30" i="7"/>
  <c r="W30" i="7"/>
  <c r="Y30" i="7"/>
  <c r="Z30" i="7"/>
  <c r="AB30" i="7"/>
  <c r="AC30" i="7"/>
  <c r="V31" i="7"/>
  <c r="W31" i="7"/>
  <c r="Y31" i="7"/>
  <c r="Z31" i="7"/>
  <c r="AB31" i="7"/>
  <c r="AC31" i="7"/>
  <c r="N32" i="7"/>
  <c r="P32" i="7"/>
  <c r="O32" i="7"/>
  <c r="V32" i="7"/>
  <c r="W32" i="7"/>
  <c r="Y32" i="7"/>
  <c r="Z32" i="7"/>
  <c r="AB32" i="7"/>
  <c r="AC32" i="7"/>
  <c r="M33" i="7"/>
  <c r="N33" i="7" s="1"/>
  <c r="P33" i="7" s="1"/>
  <c r="O33" i="7"/>
  <c r="V33" i="7"/>
  <c r="W33" i="7"/>
  <c r="Y33" i="7"/>
  <c r="Z33" i="7"/>
  <c r="AB33" i="7"/>
  <c r="AC33" i="7"/>
  <c r="M34" i="7"/>
  <c r="S34" i="7"/>
  <c r="U34" i="7"/>
  <c r="T34" i="7"/>
  <c r="V34" i="7"/>
  <c r="W34" i="7"/>
  <c r="X34" i="7"/>
  <c r="Y34" i="7"/>
  <c r="Z34" i="7"/>
  <c r="AB34" i="7"/>
  <c r="AC34" i="7"/>
  <c r="AD34" i="7" s="1"/>
  <c r="R35" i="7"/>
  <c r="T35" i="7"/>
  <c r="V35" i="7"/>
  <c r="W35" i="7"/>
  <c r="X35" i="7"/>
  <c r="Y35" i="7"/>
  <c r="Z35" i="7"/>
  <c r="AB35" i="7"/>
  <c r="AC35" i="7"/>
  <c r="V36" i="7"/>
  <c r="W36" i="7"/>
  <c r="Y36" i="7"/>
  <c r="Z36" i="7"/>
  <c r="AB36" i="7"/>
  <c r="AC36" i="7"/>
  <c r="V37" i="7"/>
  <c r="W37" i="7"/>
  <c r="Y37" i="7"/>
  <c r="Z37" i="7"/>
  <c r="AB37" i="7"/>
  <c r="AC37" i="7"/>
  <c r="V38" i="7"/>
  <c r="W38" i="7"/>
  <c r="Y38" i="7"/>
  <c r="Z38" i="7"/>
  <c r="AB38" i="7"/>
  <c r="AC38" i="7"/>
  <c r="V39" i="7"/>
  <c r="W39" i="7"/>
  <c r="Y39" i="7"/>
  <c r="Z39" i="7"/>
  <c r="AB39" i="7"/>
  <c r="AC39" i="7"/>
  <c r="V40" i="7"/>
  <c r="W40" i="7"/>
  <c r="Y40" i="7"/>
  <c r="Z40" i="7"/>
  <c r="AB40" i="7"/>
  <c r="AC40" i="7"/>
  <c r="V41" i="7"/>
  <c r="W41" i="7"/>
  <c r="Y41" i="7"/>
  <c r="Z41" i="7"/>
  <c r="AB41" i="7"/>
  <c r="AC41" i="7"/>
  <c r="N42" i="7"/>
  <c r="P42" i="7" s="1"/>
  <c r="O42" i="7"/>
  <c r="V42" i="7"/>
  <c r="W42" i="7"/>
  <c r="Y42" i="7"/>
  <c r="Z42" i="7"/>
  <c r="AB42" i="7"/>
  <c r="AC42" i="7"/>
  <c r="M43" i="7"/>
  <c r="O43" i="7" s="1"/>
  <c r="P43" i="7" s="1"/>
  <c r="N43" i="7"/>
  <c r="V43" i="7"/>
  <c r="W43" i="7"/>
  <c r="Y43" i="7"/>
  <c r="Z43" i="7"/>
  <c r="AB43" i="7"/>
  <c r="AC43" i="7"/>
  <c r="V44" i="7"/>
  <c r="W44" i="7"/>
  <c r="Y44" i="7"/>
  <c r="Z44" i="7"/>
  <c r="AB44" i="7"/>
  <c r="AC44" i="7"/>
  <c r="V45" i="7"/>
  <c r="W45" i="7"/>
  <c r="Y45" i="7"/>
  <c r="Z45" i="7"/>
  <c r="AB45" i="7"/>
  <c r="AC45" i="7"/>
  <c r="V46" i="7"/>
  <c r="W46" i="7"/>
  <c r="Y46" i="7"/>
  <c r="Z46" i="7"/>
  <c r="AB46" i="7"/>
  <c r="AC46" i="7"/>
  <c r="V47" i="7"/>
  <c r="W47" i="7"/>
  <c r="Y47" i="7"/>
  <c r="Z47" i="7"/>
  <c r="AB47" i="7"/>
  <c r="AC47" i="7"/>
  <c r="V48" i="7"/>
  <c r="W48" i="7"/>
  <c r="Y48" i="7"/>
  <c r="Z48" i="7"/>
  <c r="AB48" i="7"/>
  <c r="AC48" i="7"/>
  <c r="V49" i="7"/>
  <c r="W49" i="7"/>
  <c r="Y49" i="7"/>
  <c r="Z49" i="7"/>
  <c r="AB49" i="7"/>
  <c r="AC49" i="7"/>
  <c r="V50" i="7"/>
  <c r="W50" i="7"/>
  <c r="Y50" i="7"/>
  <c r="Z50" i="7"/>
  <c r="AB50" i="7"/>
  <c r="AC50" i="7"/>
  <c r="V51" i="7"/>
  <c r="W51" i="7"/>
  <c r="Y51" i="7"/>
  <c r="Z51" i="7"/>
  <c r="AB51" i="7"/>
  <c r="AC51" i="7"/>
  <c r="V52" i="7"/>
  <c r="W52" i="7"/>
  <c r="Y52" i="7"/>
  <c r="Z52" i="7"/>
  <c r="AB52" i="7"/>
  <c r="AC52" i="7"/>
  <c r="V53" i="7"/>
  <c r="W53" i="7"/>
  <c r="Y53" i="7"/>
  <c r="Z53" i="7"/>
  <c r="AB53" i="7"/>
  <c r="AC53" i="7"/>
  <c r="V54" i="7"/>
  <c r="W54" i="7"/>
  <c r="Y54" i="7"/>
  <c r="Z54" i="7"/>
  <c r="AB54" i="7"/>
  <c r="AC54" i="7"/>
  <c r="V55" i="7"/>
  <c r="W55" i="7"/>
  <c r="Y55" i="7"/>
  <c r="Z55" i="7"/>
  <c r="AB55" i="7"/>
  <c r="AC55" i="7"/>
  <c r="S56" i="7"/>
  <c r="T56" i="7"/>
  <c r="U56" i="7"/>
  <c r="V56" i="7"/>
  <c r="X56" i="7"/>
  <c r="W56" i="7"/>
  <c r="Y56" i="7"/>
  <c r="AA56" i="7" s="1"/>
  <c r="Z56" i="7"/>
  <c r="AB56" i="7"/>
  <c r="AD56" i="7"/>
  <c r="AC56" i="7"/>
  <c r="R57" i="7"/>
  <c r="S57" i="7" s="1"/>
  <c r="T57" i="7"/>
  <c r="V57" i="7"/>
  <c r="W57" i="7"/>
  <c r="X57" i="7"/>
  <c r="Y57" i="7"/>
  <c r="AA57" i="7"/>
  <c r="Z57" i="7"/>
  <c r="AB57" i="7"/>
  <c r="AD57" i="7" s="1"/>
  <c r="AC57" i="7"/>
  <c r="V58" i="7"/>
  <c r="W58" i="7"/>
  <c r="Y58" i="7"/>
  <c r="Z58" i="7"/>
  <c r="AB58" i="7"/>
  <c r="AC58" i="7"/>
  <c r="V59" i="7"/>
  <c r="W59" i="7"/>
  <c r="Y59" i="7"/>
  <c r="Z59" i="7"/>
  <c r="AB59" i="7"/>
  <c r="AC59" i="7"/>
  <c r="V60" i="7"/>
  <c r="W60" i="7"/>
  <c r="Y60" i="7"/>
  <c r="Z60" i="7"/>
  <c r="AB60" i="7"/>
  <c r="AC60" i="7"/>
  <c r="V61" i="7"/>
  <c r="W61" i="7"/>
  <c r="Y61" i="7"/>
  <c r="Z61" i="7"/>
  <c r="AB61" i="7"/>
  <c r="AC61" i="7"/>
  <c r="V62" i="7"/>
  <c r="W62" i="7"/>
  <c r="Y62" i="7"/>
  <c r="Z62" i="7"/>
  <c r="AB62" i="7"/>
  <c r="AC62" i="7"/>
  <c r="V63" i="7"/>
  <c r="W63" i="7"/>
  <c r="Y63" i="7"/>
  <c r="Z63" i="7"/>
  <c r="AB63" i="7"/>
  <c r="AC63" i="7"/>
  <c r="V64" i="7"/>
  <c r="W64" i="7"/>
  <c r="Y64" i="7"/>
  <c r="Z64" i="7"/>
  <c r="AB64" i="7"/>
  <c r="AC64" i="7"/>
  <c r="V65" i="7"/>
  <c r="W65" i="7"/>
  <c r="Y65" i="7"/>
  <c r="Z65" i="7"/>
  <c r="AB65" i="7"/>
  <c r="AC65" i="7"/>
  <c r="V66" i="7"/>
  <c r="W66" i="7"/>
  <c r="Y66" i="7"/>
  <c r="Z66" i="7"/>
  <c r="AB66" i="7"/>
  <c r="AC66" i="7"/>
  <c r="V67" i="7"/>
  <c r="W67" i="7"/>
  <c r="Y67" i="7"/>
  <c r="Z67" i="7"/>
  <c r="AB67" i="7"/>
  <c r="AC67" i="7"/>
  <c r="V68" i="7"/>
  <c r="W68" i="7"/>
  <c r="Y68" i="7"/>
  <c r="Z68" i="7"/>
  <c r="AB68" i="7"/>
  <c r="AC68" i="7"/>
  <c r="V69" i="7"/>
  <c r="W69" i="7"/>
  <c r="Y69" i="7"/>
  <c r="Z69" i="7"/>
  <c r="AB69" i="7"/>
  <c r="AC69" i="7"/>
  <c r="V70" i="7"/>
  <c r="W70" i="7"/>
  <c r="Y70" i="7"/>
  <c r="Z70" i="7"/>
  <c r="AB70" i="7"/>
  <c r="AC70" i="7"/>
  <c r="V71" i="7"/>
  <c r="W71" i="7"/>
  <c r="Y71" i="7"/>
  <c r="Z71" i="7"/>
  <c r="AB71" i="7"/>
  <c r="AC71" i="7"/>
  <c r="V72" i="7"/>
  <c r="W72" i="7"/>
  <c r="Y72" i="7"/>
  <c r="Z72" i="7"/>
  <c r="AB72" i="7"/>
  <c r="AC72" i="7"/>
  <c r="V73" i="7"/>
  <c r="W73" i="7"/>
  <c r="Y73" i="7"/>
  <c r="Z73" i="7"/>
  <c r="AB73" i="7"/>
  <c r="AC73" i="7"/>
  <c r="V74" i="7"/>
  <c r="W74" i="7"/>
  <c r="Y74" i="7"/>
  <c r="Z74" i="7"/>
  <c r="AB74" i="7"/>
  <c r="AC74" i="7"/>
  <c r="V75" i="7"/>
  <c r="W75" i="7"/>
  <c r="Y75" i="7"/>
  <c r="Z75" i="7"/>
  <c r="AB75" i="7"/>
  <c r="AC75" i="7"/>
  <c r="V76" i="7"/>
  <c r="W76" i="7"/>
  <c r="Y76" i="7"/>
  <c r="Z76" i="7"/>
  <c r="AB76" i="7"/>
  <c r="AC76" i="7"/>
  <c r="V77" i="7"/>
  <c r="W77" i="7"/>
  <c r="Y77" i="7"/>
  <c r="Z77" i="7"/>
  <c r="AB77" i="7"/>
  <c r="AC77" i="7"/>
  <c r="V78" i="7"/>
  <c r="W78" i="7"/>
  <c r="Y78" i="7"/>
  <c r="Z78" i="7"/>
  <c r="AB78" i="7"/>
  <c r="AC78" i="7"/>
  <c r="V79" i="7"/>
  <c r="W79" i="7"/>
  <c r="Y79" i="7"/>
  <c r="Z79" i="7"/>
  <c r="AB79" i="7"/>
  <c r="AC79" i="7"/>
  <c r="V80" i="7"/>
  <c r="W80" i="7"/>
  <c r="Y80" i="7"/>
  <c r="Z80" i="7"/>
  <c r="AB80" i="7"/>
  <c r="AC80" i="7"/>
  <c r="V81" i="7"/>
  <c r="W81" i="7"/>
  <c r="Y81" i="7"/>
  <c r="Z81" i="7"/>
  <c r="AB81" i="7"/>
  <c r="AC81" i="7"/>
  <c r="V82" i="7"/>
  <c r="W82" i="7"/>
  <c r="Y82" i="7"/>
  <c r="Z82" i="7"/>
  <c r="AB82" i="7"/>
  <c r="AC82" i="7"/>
  <c r="V83" i="7"/>
  <c r="W83" i="7"/>
  <c r="Y83" i="7"/>
  <c r="Z83" i="7"/>
  <c r="AB83" i="7"/>
  <c r="AC83" i="7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D22" i="9"/>
  <c r="B22" i="9" s="1"/>
  <c r="F22" i="9"/>
  <c r="F23" i="9"/>
  <c r="D23" i="9"/>
  <c r="B23" i="9" s="1"/>
  <c r="C12" i="2"/>
  <c r="A16" i="2"/>
  <c r="Y19" i="2"/>
  <c r="Y20" i="2"/>
  <c r="D45" i="2" s="1"/>
  <c r="Y21" i="2"/>
  <c r="A24" i="2" s="1"/>
  <c r="A22" i="2"/>
  <c r="C30" i="2"/>
  <c r="AD32" i="2"/>
  <c r="AE32" i="2"/>
  <c r="AB34" i="2"/>
  <c r="AB35" i="2"/>
  <c r="AB36" i="2"/>
  <c r="AB37" i="2"/>
  <c r="AB38" i="2"/>
  <c r="AB39" i="2"/>
  <c r="AB40" i="2"/>
  <c r="AB41" i="2"/>
  <c r="AB42" i="2"/>
  <c r="AB43" i="2"/>
  <c r="AB44" i="2"/>
  <c r="E45" i="2"/>
  <c r="G45" i="2" s="1"/>
  <c r="D28" i="3" s="1"/>
  <c r="AB45" i="2"/>
  <c r="B46" i="2"/>
  <c r="B47" i="2"/>
  <c r="B48" i="2" s="1"/>
  <c r="B49" i="2" s="1"/>
  <c r="B50" i="2" s="1"/>
  <c r="B51" i="2" s="1"/>
  <c r="B52" i="2" s="1"/>
  <c r="B53" i="2" s="1"/>
  <c r="B54" i="2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C46" i="2"/>
  <c r="C47" i="2"/>
  <c r="AB46" i="2"/>
  <c r="AB47" i="2"/>
  <c r="AB48" i="2"/>
  <c r="AB49" i="2"/>
  <c r="AB50" i="2"/>
  <c r="AB51" i="2"/>
  <c r="AB52" i="2"/>
  <c r="AB53" i="2"/>
  <c r="AB54" i="2"/>
  <c r="AB55" i="2"/>
  <c r="AB56" i="2"/>
  <c r="AB57" i="2"/>
  <c r="B87" i="2"/>
  <c r="B88" i="2" s="1"/>
  <c r="B89" i="2" s="1"/>
  <c r="B90" i="2" s="1"/>
  <c r="B91" i="2" s="1"/>
  <c r="B92" i="2" s="1"/>
  <c r="B93" i="2" s="1"/>
  <c r="B94" i="2" s="1"/>
  <c r="B95" i="2" s="1"/>
  <c r="C9" i="11"/>
  <c r="Y20" i="11"/>
  <c r="Y9" i="11"/>
  <c r="Y10" i="11"/>
  <c r="B7" i="5"/>
  <c r="B8" i="5"/>
  <c r="D24" i="5"/>
  <c r="B25" i="5"/>
  <c r="B26" i="5"/>
  <c r="B27" i="5"/>
  <c r="B28" i="5" s="1"/>
  <c r="B29" i="5" s="1"/>
  <c r="B30" i="5" s="1"/>
  <c r="B31" i="5" s="1"/>
  <c r="B32" i="5" s="1"/>
  <c r="B33" i="5" s="1"/>
  <c r="B34" i="5" s="1"/>
  <c r="B35" i="5" s="1"/>
  <c r="B36" i="5" s="1"/>
  <c r="B37" i="5" s="1"/>
  <c r="B38" i="5" s="1"/>
  <c r="B39" i="5" s="1"/>
  <c r="B40" i="5" s="1"/>
  <c r="B41" i="5" s="1"/>
  <c r="B42" i="5" s="1"/>
  <c r="B43" i="5" s="1"/>
  <c r="B44" i="5" s="1"/>
  <c r="B45" i="5" s="1"/>
  <c r="D4" i="4"/>
  <c r="C6" i="4"/>
  <c r="C25" i="4"/>
  <c r="I28" i="4"/>
  <c r="K28" i="4"/>
  <c r="E24" i="5"/>
  <c r="L28" i="4"/>
  <c r="C24" i="5" s="1"/>
  <c r="N28" i="4"/>
  <c r="N29" i="4" s="1"/>
  <c r="N30" i="4"/>
  <c r="N31" i="4" s="1"/>
  <c r="N32" i="4" s="1"/>
  <c r="N33" i="4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N183" i="4" s="1"/>
  <c r="N184" i="4" s="1"/>
  <c r="N185" i="4" s="1"/>
  <c r="N186" i="4" s="1"/>
  <c r="N187" i="4" s="1"/>
  <c r="N188" i="4" s="1"/>
  <c r="N189" i="4" s="1"/>
  <c r="N190" i="4" s="1"/>
  <c r="N191" i="4" s="1"/>
  <c r="N192" i="4" s="1"/>
  <c r="N193" i="4" s="1"/>
  <c r="N194" i="4" s="1"/>
  <c r="N195" i="4" s="1"/>
  <c r="N196" i="4" s="1"/>
  <c r="N197" i="4" s="1"/>
  <c r="N198" i="4" s="1"/>
  <c r="N199" i="4" s="1"/>
  <c r="N200" i="4" s="1"/>
  <c r="N201" i="4" s="1"/>
  <c r="N202" i="4" s="1"/>
  <c r="N203" i="4" s="1"/>
  <c r="N204" i="4" s="1"/>
  <c r="N205" i="4" s="1"/>
  <c r="N206" i="4" s="1"/>
  <c r="N207" i="4" s="1"/>
  <c r="N208" i="4" s="1"/>
  <c r="N209" i="4" s="1"/>
  <c r="N210" i="4" s="1"/>
  <c r="N211" i="4" s="1"/>
  <c r="N212" i="4" s="1"/>
  <c r="N213" i="4" s="1"/>
  <c r="N214" i="4" s="1"/>
  <c r="N215" i="4" s="1"/>
  <c r="N216" i="4" s="1"/>
  <c r="N217" i="4" s="1"/>
  <c r="N218" i="4" s="1"/>
  <c r="N219" i="4" s="1"/>
  <c r="N220" i="4" s="1"/>
  <c r="N221" i="4" s="1"/>
  <c r="N222" i="4" s="1"/>
  <c r="N223" i="4" s="1"/>
  <c r="N224" i="4" s="1"/>
  <c r="N225" i="4" s="1"/>
  <c r="N226" i="4" s="1"/>
  <c r="N227" i="4" s="1"/>
  <c r="N228" i="4" s="1"/>
  <c r="N229" i="4" s="1"/>
  <c r="N230" i="4" s="1"/>
  <c r="N231" i="4" s="1"/>
  <c r="N232" i="4" s="1"/>
  <c r="N233" i="4" s="1"/>
  <c r="N234" i="4" s="1"/>
  <c r="N235" i="4" s="1"/>
  <c r="N236" i="4" s="1"/>
  <c r="N237" i="4" s="1"/>
  <c r="N238" i="4" s="1"/>
  <c r="N239" i="4" s="1"/>
  <c r="N240" i="4" s="1"/>
  <c r="N241" i="4" s="1"/>
  <c r="N242" i="4" s="1"/>
  <c r="N243" i="4" s="1"/>
  <c r="N244" i="4" s="1"/>
  <c r="N245" i="4" s="1"/>
  <c r="N246" i="4" s="1"/>
  <c r="N247" i="4" s="1"/>
  <c r="N248" i="4" s="1"/>
  <c r="N249" i="4" s="1"/>
  <c r="N250" i="4" s="1"/>
  <c r="N251" i="4" s="1"/>
  <c r="N252" i="4" s="1"/>
  <c r="N253" i="4" s="1"/>
  <c r="N254" i="4" s="1"/>
  <c r="N255" i="4" s="1"/>
  <c r="N256" i="4" s="1"/>
  <c r="N257" i="4" s="1"/>
  <c r="N258" i="4" s="1"/>
  <c r="N259" i="4" s="1"/>
  <c r="N260" i="4" s="1"/>
  <c r="N261" i="4" s="1"/>
  <c r="N262" i="4" s="1"/>
  <c r="N263" i="4" s="1"/>
  <c r="N264" i="4" s="1"/>
  <c r="N265" i="4" s="1"/>
  <c r="N266" i="4" s="1"/>
  <c r="N267" i="4" s="1"/>
  <c r="N268" i="4" s="1"/>
  <c r="N269" i="4" s="1"/>
  <c r="N270" i="4" s="1"/>
  <c r="N271" i="4" s="1"/>
  <c r="N272" i="4" s="1"/>
  <c r="N273" i="4" s="1"/>
  <c r="N274" i="4" s="1"/>
  <c r="N275" i="4" s="1"/>
  <c r="N276" i="4" s="1"/>
  <c r="N277" i="4" s="1"/>
  <c r="N278" i="4" s="1"/>
  <c r="N279" i="4" s="1"/>
  <c r="N280" i="4" s="1"/>
  <c r="N281" i="4" s="1"/>
  <c r="N282" i="4" s="1"/>
  <c r="N283" i="4" s="1"/>
  <c r="N284" i="4" s="1"/>
  <c r="N285" i="4" s="1"/>
  <c r="N286" i="4" s="1"/>
  <c r="N287" i="4" s="1"/>
  <c r="N288" i="4" s="1"/>
  <c r="N289" i="4" s="1"/>
  <c r="N290" i="4" s="1"/>
  <c r="N291" i="4" s="1"/>
  <c r="N292" i="4" s="1"/>
  <c r="N293" i="4" s="1"/>
  <c r="N294" i="4" s="1"/>
  <c r="N295" i="4" s="1"/>
  <c r="N296" i="4" s="1"/>
  <c r="N297" i="4" s="1"/>
  <c r="N298" i="4" s="1"/>
  <c r="N299" i="4" s="1"/>
  <c r="N300" i="4" s="1"/>
  <c r="N301" i="4" s="1"/>
  <c r="N302" i="4" s="1"/>
  <c r="N303" i="4" s="1"/>
  <c r="N304" i="4" s="1"/>
  <c r="N305" i="4" s="1"/>
  <c r="N306" i="4" s="1"/>
  <c r="N307" i="4" s="1"/>
  <c r="N308" i="4" s="1"/>
  <c r="N309" i="4" s="1"/>
  <c r="N310" i="4" s="1"/>
  <c r="N311" i="4" s="1"/>
  <c r="N312" i="4" s="1"/>
  <c r="N313" i="4" s="1"/>
  <c r="N314" i="4" s="1"/>
  <c r="N315" i="4" s="1"/>
  <c r="N316" i="4" s="1"/>
  <c r="N317" i="4" s="1"/>
  <c r="N318" i="4" s="1"/>
  <c r="N319" i="4" s="1"/>
  <c r="N320" i="4" s="1"/>
  <c r="N321" i="4" s="1"/>
  <c r="N322" i="4" s="1"/>
  <c r="N323" i="4" s="1"/>
  <c r="N324" i="4" s="1"/>
  <c r="N325" i="4" s="1"/>
  <c r="N326" i="4" s="1"/>
  <c r="N327" i="4" s="1"/>
  <c r="N328" i="4" s="1"/>
  <c r="N329" i="4" s="1"/>
  <c r="N330" i="4" s="1"/>
  <c r="N331" i="4" s="1"/>
  <c r="N332" i="4" s="1"/>
  <c r="N333" i="4" s="1"/>
  <c r="N334" i="4" s="1"/>
  <c r="N335" i="4" s="1"/>
  <c r="N336" i="4" s="1"/>
  <c r="N337" i="4" s="1"/>
  <c r="N338" i="4" s="1"/>
  <c r="N339" i="4" s="1"/>
  <c r="N340" i="4" s="1"/>
  <c r="N341" i="4" s="1"/>
  <c r="N342" i="4" s="1"/>
  <c r="N343" i="4" s="1"/>
  <c r="N344" i="4" s="1"/>
  <c r="N345" i="4" s="1"/>
  <c r="N346" i="4" s="1"/>
  <c r="N347" i="4" s="1"/>
  <c r="N348" i="4" s="1"/>
  <c r="N349" i="4" s="1"/>
  <c r="N350" i="4" s="1"/>
  <c r="N351" i="4" s="1"/>
  <c r="N352" i="4" s="1"/>
  <c r="N353" i="4" s="1"/>
  <c r="N354" i="4" s="1"/>
  <c r="N355" i="4" s="1"/>
  <c r="N356" i="4" s="1"/>
  <c r="N357" i="4" s="1"/>
  <c r="N358" i="4" s="1"/>
  <c r="N359" i="4" s="1"/>
  <c r="N360" i="4" s="1"/>
  <c r="N361" i="4" s="1"/>
  <c r="N362" i="4" s="1"/>
  <c r="N363" i="4" s="1"/>
  <c r="N364" i="4" s="1"/>
  <c r="N365" i="4" s="1"/>
  <c r="N366" i="4" s="1"/>
  <c r="N367" i="4" s="1"/>
  <c r="N368" i="4" s="1"/>
  <c r="N369" i="4" s="1"/>
  <c r="N370" i="4" s="1"/>
  <c r="N371" i="4" s="1"/>
  <c r="N372" i="4" s="1"/>
  <c r="N373" i="4" s="1"/>
  <c r="N374" i="4" s="1"/>
  <c r="N375" i="4" s="1"/>
  <c r="N376" i="4" s="1"/>
  <c r="N377" i="4" s="1"/>
  <c r="N378" i="4" s="1"/>
  <c r="N379" i="4" s="1"/>
  <c r="N380" i="4" s="1"/>
  <c r="N381" i="4" s="1"/>
  <c r="N382" i="4" s="1"/>
  <c r="N383" i="4" s="1"/>
  <c r="N384" i="4" s="1"/>
  <c r="N385" i="4" s="1"/>
  <c r="N386" i="4" s="1"/>
  <c r="N387" i="4" s="1"/>
  <c r="N388" i="4" s="1"/>
  <c r="N389" i="4" s="1"/>
  <c r="N390" i="4" s="1"/>
  <c r="N391" i="4" s="1"/>
  <c r="N392" i="4" s="1"/>
  <c r="N393" i="4" s="1"/>
  <c r="N394" i="4" s="1"/>
  <c r="N395" i="4" s="1"/>
  <c r="N396" i="4" s="1"/>
  <c r="N397" i="4" s="1"/>
  <c r="N398" i="4" s="1"/>
  <c r="N399" i="4" s="1"/>
  <c r="N400" i="4" s="1"/>
  <c r="N401" i="4" s="1"/>
  <c r="N402" i="4" s="1"/>
  <c r="N403" i="4" s="1"/>
  <c r="N404" i="4" s="1"/>
  <c r="N405" i="4" s="1"/>
  <c r="N406" i="4" s="1"/>
  <c r="N407" i="4" s="1"/>
  <c r="N408" i="4" s="1"/>
  <c r="N409" i="4" s="1"/>
  <c r="N410" i="4" s="1"/>
  <c r="N411" i="4" s="1"/>
  <c r="N412" i="4" s="1"/>
  <c r="N413" i="4" s="1"/>
  <c r="N414" i="4" s="1"/>
  <c r="N415" i="4" s="1"/>
  <c r="N416" i="4" s="1"/>
  <c r="N417" i="4" s="1"/>
  <c r="N418" i="4" s="1"/>
  <c r="N419" i="4" s="1"/>
  <c r="N420" i="4" s="1"/>
  <c r="N421" i="4" s="1"/>
  <c r="N422" i="4" s="1"/>
  <c r="N423" i="4" s="1"/>
  <c r="N424" i="4" s="1"/>
  <c r="N425" i="4" s="1"/>
  <c r="N426" i="4" s="1"/>
  <c r="N427" i="4"/>
  <c r="N428" i="4" s="1"/>
  <c r="N429" i="4" s="1"/>
  <c r="N430" i="4" s="1"/>
  <c r="N431" i="4" s="1"/>
  <c r="N432" i="4" s="1"/>
  <c r="N433" i="4" s="1"/>
  <c r="N434" i="4" s="1"/>
  <c r="N435" i="4" s="1"/>
  <c r="N436" i="4" s="1"/>
  <c r="N437" i="4" s="1"/>
  <c r="N438" i="4" s="1"/>
  <c r="N439" i="4" s="1"/>
  <c r="N440" i="4" s="1"/>
  <c r="N441" i="4" s="1"/>
  <c r="N442" i="4" s="1"/>
  <c r="N443" i="4" s="1"/>
  <c r="N444" i="4" s="1"/>
  <c r="N445" i="4" s="1"/>
  <c r="N446" i="4" s="1"/>
  <c r="N447" i="4" s="1"/>
  <c r="N448" i="4" s="1"/>
  <c r="N449" i="4" s="1"/>
  <c r="N450" i="4" s="1"/>
  <c r="N451" i="4" s="1"/>
  <c r="N452" i="4" s="1"/>
  <c r="N453" i="4" s="1"/>
  <c r="N454" i="4" s="1"/>
  <c r="N455" i="4" s="1"/>
  <c r="N456" i="4" s="1"/>
  <c r="N457" i="4" s="1"/>
  <c r="N458" i="4" s="1"/>
  <c r="N459" i="4" s="1"/>
  <c r="N460" i="4" s="1"/>
  <c r="N461" i="4" s="1"/>
  <c r="N462" i="4" s="1"/>
  <c r="N463" i="4" s="1"/>
  <c r="N464" i="4" s="1"/>
  <c r="N465" i="4" s="1"/>
  <c r="N466" i="4" s="1"/>
  <c r="N467" i="4" s="1"/>
  <c r="N468" i="4" s="1"/>
  <c r="N469" i="4" s="1"/>
  <c r="N470" i="4" s="1"/>
  <c r="N471" i="4" s="1"/>
  <c r="N472" i="4" s="1"/>
  <c r="N473" i="4" s="1"/>
  <c r="N474" i="4" s="1"/>
  <c r="N475" i="4" s="1"/>
  <c r="N476" i="4" s="1"/>
  <c r="N477" i="4" s="1"/>
  <c r="N478" i="4" s="1"/>
  <c r="N479" i="4" s="1"/>
  <c r="N480" i="4" s="1"/>
  <c r="N481" i="4" s="1"/>
  <c r="N482" i="4" s="1"/>
  <c r="N483" i="4" s="1"/>
  <c r="N484" i="4" s="1"/>
  <c r="N485" i="4" s="1"/>
  <c r="N486" i="4" s="1"/>
  <c r="N487" i="4" s="1"/>
  <c r="N488" i="4" s="1"/>
  <c r="N489" i="4" s="1"/>
  <c r="N490" i="4" s="1"/>
  <c r="N491" i="4" s="1"/>
  <c r="N492" i="4" s="1"/>
  <c r="N493" i="4" s="1"/>
  <c r="N494" i="4" s="1"/>
  <c r="N495" i="4" s="1"/>
  <c r="N496" i="4" s="1"/>
  <c r="N497" i="4" s="1"/>
  <c r="N498" i="4" s="1"/>
  <c r="N499" i="4" s="1"/>
  <c r="N500" i="4" s="1"/>
  <c r="N501" i="4" s="1"/>
  <c r="N502" i="4" s="1"/>
  <c r="N503" i="4" s="1"/>
  <c r="N504" i="4" s="1"/>
  <c r="N505" i="4" s="1"/>
  <c r="N506" i="4" s="1"/>
  <c r="N507" i="4" s="1"/>
  <c r="N508" i="4" s="1"/>
  <c r="N509" i="4" s="1"/>
  <c r="N510" i="4" s="1"/>
  <c r="N511" i="4" s="1"/>
  <c r="N512" i="4" s="1"/>
  <c r="N513" i="4" s="1"/>
  <c r="N514" i="4" s="1"/>
  <c r="N515" i="4" s="1"/>
  <c r="N516" i="4" s="1"/>
  <c r="N517" i="4" s="1"/>
  <c r="N518" i="4" s="1"/>
  <c r="N519" i="4" s="1"/>
  <c r="N520" i="4" s="1"/>
  <c r="N521" i="4" s="1"/>
  <c r="N522" i="4" s="1"/>
  <c r="N523" i="4" s="1"/>
  <c r="N524" i="4" s="1"/>
  <c r="N525" i="4" s="1"/>
  <c r="N526" i="4" s="1"/>
  <c r="N527" i="4" s="1"/>
  <c r="N528" i="4" s="1"/>
  <c r="N529" i="4" s="1"/>
  <c r="N530" i="4" s="1"/>
  <c r="N531" i="4" s="1"/>
  <c r="N532" i="4" s="1"/>
  <c r="N533" i="4" s="1"/>
  <c r="N534" i="4" s="1"/>
  <c r="N535" i="4" s="1"/>
  <c r="N536" i="4" s="1"/>
  <c r="N537" i="4" s="1"/>
  <c r="N538" i="4" s="1"/>
  <c r="N539" i="4" s="1"/>
  <c r="N540" i="4" s="1"/>
  <c r="N541" i="4" s="1"/>
  <c r="N542" i="4" s="1"/>
  <c r="N543" i="4" s="1"/>
  <c r="N544" i="4" s="1"/>
  <c r="N545" i="4" s="1"/>
  <c r="N546" i="4" s="1"/>
  <c r="N547" i="4" s="1"/>
  <c r="N548" i="4" s="1"/>
  <c r="N549" i="4" s="1"/>
  <c r="N550" i="4" s="1"/>
  <c r="N551" i="4" s="1"/>
  <c r="N552" i="4" s="1"/>
  <c r="N553" i="4" s="1"/>
  <c r="N554" i="4" s="1"/>
  <c r="N555" i="4" s="1"/>
  <c r="N556" i="4" s="1"/>
  <c r="N557" i="4" s="1"/>
  <c r="N558" i="4" s="1"/>
  <c r="N559" i="4" s="1"/>
  <c r="N560" i="4" s="1"/>
  <c r="N561" i="4" s="1"/>
  <c r="N562" i="4" s="1"/>
  <c r="N563" i="4" s="1"/>
  <c r="N564" i="4" s="1"/>
  <c r="N565" i="4" s="1"/>
  <c r="N566" i="4" s="1"/>
  <c r="N567" i="4" s="1"/>
  <c r="N568" i="4" s="1"/>
  <c r="N569" i="4" s="1"/>
  <c r="N570" i="4" s="1"/>
  <c r="N571" i="4" s="1"/>
  <c r="N572" i="4" s="1"/>
  <c r="N573" i="4" s="1"/>
  <c r="N574" i="4" s="1"/>
  <c r="N575" i="4" s="1"/>
  <c r="N576" i="4" s="1"/>
  <c r="N577" i="4" s="1"/>
  <c r="N578" i="4" s="1"/>
  <c r="N579" i="4" s="1"/>
  <c r="N580" i="4" s="1"/>
  <c r="N581" i="4" s="1"/>
  <c r="N582" i="4" s="1"/>
  <c r="N583" i="4" s="1"/>
  <c r="N584" i="4" s="1"/>
  <c r="N585" i="4" s="1"/>
  <c r="N586" i="4" s="1"/>
  <c r="N587" i="4" s="1"/>
  <c r="N588" i="4" s="1"/>
  <c r="N589" i="4" s="1"/>
  <c r="N590" i="4" s="1"/>
  <c r="N591" i="4" s="1"/>
  <c r="N592" i="4" s="1"/>
  <c r="N593" i="4" s="1"/>
  <c r="N594" i="4" s="1"/>
  <c r="N595" i="4" s="1"/>
  <c r="N596" i="4" s="1"/>
  <c r="N597" i="4" s="1"/>
  <c r="N598" i="4" s="1"/>
  <c r="N599" i="4" s="1"/>
  <c r="N600" i="4" s="1"/>
  <c r="N601" i="4" s="1"/>
  <c r="N602" i="4" s="1"/>
  <c r="N603" i="4" s="1"/>
  <c r="N604" i="4" s="1"/>
  <c r="N605" i="4" s="1"/>
  <c r="N606" i="4" s="1"/>
  <c r="N607" i="4" s="1"/>
  <c r="N608" i="4" s="1"/>
  <c r="N609" i="4" s="1"/>
  <c r="N610" i="4" s="1"/>
  <c r="N611" i="4" s="1"/>
  <c r="N612" i="4" s="1"/>
  <c r="N613" i="4" s="1"/>
  <c r="N614" i="4" s="1"/>
  <c r="N615" i="4" s="1"/>
  <c r="N616" i="4" s="1"/>
  <c r="N617" i="4" s="1"/>
  <c r="N618" i="4" s="1"/>
  <c r="N619" i="4" s="1"/>
  <c r="N620" i="4" s="1"/>
  <c r="N621" i="4" s="1"/>
  <c r="N622" i="4" s="1"/>
  <c r="N623" i="4" s="1"/>
  <c r="N624" i="4" s="1"/>
  <c r="N625" i="4" s="1"/>
  <c r="N626" i="4" s="1"/>
  <c r="N627" i="4" s="1"/>
  <c r="N628" i="4" s="1"/>
  <c r="N629" i="4" s="1"/>
  <c r="N630" i="4" s="1"/>
  <c r="N631" i="4" s="1"/>
  <c r="N632" i="4" s="1"/>
  <c r="N633" i="4" s="1"/>
  <c r="N634" i="4" s="1"/>
  <c r="N635" i="4" s="1"/>
  <c r="N636" i="4" s="1"/>
  <c r="N637" i="4" s="1"/>
  <c r="N638" i="4" s="1"/>
  <c r="N639" i="4" s="1"/>
  <c r="N640" i="4" s="1"/>
  <c r="N641" i="4" s="1"/>
  <c r="N642" i="4" s="1"/>
  <c r="N643" i="4" s="1"/>
  <c r="N644" i="4" s="1"/>
  <c r="N645" i="4" s="1"/>
  <c r="N646" i="4" s="1"/>
  <c r="N647" i="4" s="1"/>
  <c r="N648" i="4" s="1"/>
  <c r="N649" i="4" s="1"/>
  <c r="N650" i="4" s="1"/>
  <c r="N651" i="4" s="1"/>
  <c r="N652" i="4" s="1"/>
  <c r="N653" i="4" s="1"/>
  <c r="N654" i="4" s="1"/>
  <c r="N655" i="4" s="1"/>
  <c r="N656" i="4" s="1"/>
  <c r="N657" i="4" s="1"/>
  <c r="N658" i="4" s="1"/>
  <c r="N659" i="4" s="1"/>
  <c r="N660" i="4" s="1"/>
  <c r="N661" i="4" s="1"/>
  <c r="N662" i="4" s="1"/>
  <c r="N663" i="4" s="1"/>
  <c r="N664" i="4" s="1"/>
  <c r="N665" i="4" s="1"/>
  <c r="N666" i="4" s="1"/>
  <c r="N667" i="4" s="1"/>
  <c r="N668" i="4" s="1"/>
  <c r="N669" i="4" s="1"/>
  <c r="N670" i="4" s="1"/>
  <c r="N671" i="4" s="1"/>
  <c r="N672" i="4" s="1"/>
  <c r="N673" i="4" s="1"/>
  <c r="N674" i="4" s="1"/>
  <c r="N675" i="4" s="1"/>
  <c r="N676" i="4" s="1"/>
  <c r="N677" i="4" s="1"/>
  <c r="N678" i="4" s="1"/>
  <c r="N679" i="4" s="1"/>
  <c r="N680" i="4" s="1"/>
  <c r="N681" i="4" s="1"/>
  <c r="N682" i="4" s="1"/>
  <c r="N683" i="4" s="1"/>
  <c r="N684" i="4" s="1"/>
  <c r="N685" i="4" s="1"/>
  <c r="N686" i="4" s="1"/>
  <c r="N687" i="4" s="1"/>
  <c r="N688" i="4" s="1"/>
  <c r="N689" i="4" s="1"/>
  <c r="N690" i="4" s="1"/>
  <c r="N691" i="4" s="1"/>
  <c r="N692" i="4" s="1"/>
  <c r="N693" i="4" s="1"/>
  <c r="N694" i="4" s="1"/>
  <c r="N695" i="4" s="1"/>
  <c r="N696" i="4" s="1"/>
  <c r="N697" i="4" s="1"/>
  <c r="N698" i="4" s="1"/>
  <c r="N699" i="4" s="1"/>
  <c r="N700" i="4" s="1"/>
  <c r="N701" i="4" s="1"/>
  <c r="N702" i="4" s="1"/>
  <c r="N703" i="4" s="1"/>
  <c r="N704" i="4" s="1"/>
  <c r="N705" i="4" s="1"/>
  <c r="N706" i="4" s="1"/>
  <c r="N707" i="4" s="1"/>
  <c r="N708" i="4" s="1"/>
  <c r="N709" i="4" s="1"/>
  <c r="N710" i="4" s="1"/>
  <c r="N711" i="4" s="1"/>
  <c r="N712" i="4" s="1"/>
  <c r="N713" i="4" s="1"/>
  <c r="N714" i="4" s="1"/>
  <c r="N715" i="4" s="1"/>
  <c r="N716" i="4" s="1"/>
  <c r="N717" i="4" s="1"/>
  <c r="N718" i="4" s="1"/>
  <c r="N719" i="4" s="1"/>
  <c r="N720" i="4" s="1"/>
  <c r="N721" i="4" s="1"/>
  <c r="N722" i="4" s="1"/>
  <c r="N723" i="4" s="1"/>
  <c r="N724" i="4" s="1"/>
  <c r="N725" i="4" s="1"/>
  <c r="N726" i="4" s="1"/>
  <c r="N727" i="4" s="1"/>
  <c r="N728" i="4" s="1"/>
  <c r="N729" i="4" s="1"/>
  <c r="N730" i="4" s="1"/>
  <c r="N731" i="4" s="1"/>
  <c r="N732" i="4" s="1"/>
  <c r="N733" i="4" s="1"/>
  <c r="N734" i="4" s="1"/>
  <c r="N735" i="4" s="1"/>
  <c r="N736" i="4" s="1"/>
  <c r="N737" i="4" s="1"/>
  <c r="N738" i="4" s="1"/>
  <c r="N739" i="4" s="1"/>
  <c r="N740" i="4" s="1"/>
  <c r="N741" i="4" s="1"/>
  <c r="N742" i="4" s="1"/>
  <c r="N743" i="4" s="1"/>
  <c r="N744" i="4" s="1"/>
  <c r="N745" i="4" s="1"/>
  <c r="N746" i="4" s="1"/>
  <c r="N747" i="4" s="1"/>
  <c r="N748" i="4" s="1"/>
  <c r="N749" i="4" s="1"/>
  <c r="N750" i="4" s="1"/>
  <c r="N751" i="4" s="1"/>
  <c r="N752" i="4" s="1"/>
  <c r="N753" i="4" s="1"/>
  <c r="N754" i="4" s="1"/>
  <c r="N755" i="4" s="1"/>
  <c r="N756" i="4" s="1"/>
  <c r="N757" i="4" s="1"/>
  <c r="N758" i="4" s="1"/>
  <c r="N759" i="4" s="1"/>
  <c r="N760" i="4" s="1"/>
  <c r="N761" i="4" s="1"/>
  <c r="N762" i="4" s="1"/>
  <c r="N763" i="4" s="1"/>
  <c r="N764" i="4" s="1"/>
  <c r="N765" i="4" s="1"/>
  <c r="N766" i="4" s="1"/>
  <c r="N767" i="4" s="1"/>
  <c r="N768" i="4" s="1"/>
  <c r="N769" i="4" s="1"/>
  <c r="N770" i="4" s="1"/>
  <c r="N771" i="4" s="1"/>
  <c r="N772" i="4" s="1"/>
  <c r="N773" i="4" s="1"/>
  <c r="N774" i="4" s="1"/>
  <c r="N775" i="4" s="1"/>
  <c r="N776" i="4" s="1"/>
  <c r="N777" i="4" s="1"/>
  <c r="N778" i="4" s="1"/>
  <c r="N779" i="4" s="1"/>
  <c r="N780" i="4" s="1"/>
  <c r="N781" i="4" s="1"/>
  <c r="N782" i="4" s="1"/>
  <c r="N783" i="4" s="1"/>
  <c r="N784" i="4" s="1"/>
  <c r="N785" i="4" s="1"/>
  <c r="N786" i="4" s="1"/>
  <c r="N787" i="4" s="1"/>
  <c r="N788" i="4" s="1"/>
  <c r="N789" i="4" s="1"/>
  <c r="N790" i="4" s="1"/>
  <c r="N791" i="4" s="1"/>
  <c r="N792" i="4" s="1"/>
  <c r="N793" i="4" s="1"/>
  <c r="N794" i="4" s="1"/>
  <c r="N795" i="4" s="1"/>
  <c r="N796" i="4" s="1"/>
  <c r="N797" i="4" s="1"/>
  <c r="N798" i="4" s="1"/>
  <c r="N799" i="4" s="1"/>
  <c r="N800" i="4" s="1"/>
  <c r="N801" i="4" s="1"/>
  <c r="N802" i="4" s="1"/>
  <c r="N803" i="4" s="1"/>
  <c r="N804" i="4" s="1"/>
  <c r="N805" i="4" s="1"/>
  <c r="N806" i="4" s="1"/>
  <c r="N807" i="4" s="1"/>
  <c r="N808" i="4" s="1"/>
  <c r="N809" i="4" s="1"/>
  <c r="N810" i="4" s="1"/>
  <c r="N811" i="4" s="1"/>
  <c r="N812" i="4" s="1"/>
  <c r="N813" i="4" s="1"/>
  <c r="N814" i="4" s="1"/>
  <c r="N815" i="4" s="1"/>
  <c r="N816" i="4" s="1"/>
  <c r="N817" i="4" s="1"/>
  <c r="N818" i="4" s="1"/>
  <c r="N819" i="4" s="1"/>
  <c r="N820" i="4" s="1"/>
  <c r="N821" i="4" s="1"/>
  <c r="N822" i="4" s="1"/>
  <c r="N823" i="4" s="1"/>
  <c r="N824" i="4" s="1"/>
  <c r="N825" i="4" s="1"/>
  <c r="N826" i="4" s="1"/>
  <c r="N827" i="4" s="1"/>
  <c r="N828" i="4" s="1"/>
  <c r="N829" i="4" s="1"/>
  <c r="N830" i="4" s="1"/>
  <c r="N831" i="4" s="1"/>
  <c r="N832" i="4" s="1"/>
  <c r="N833" i="4" s="1"/>
  <c r="N834" i="4" s="1"/>
  <c r="N835" i="4" s="1"/>
  <c r="N836" i="4" s="1"/>
  <c r="N837" i="4" s="1"/>
  <c r="N838" i="4" s="1"/>
  <c r="N839" i="4" s="1"/>
  <c r="N840" i="4" s="1"/>
  <c r="N841" i="4" s="1"/>
  <c r="N842" i="4" s="1"/>
  <c r="N843" i="4" s="1"/>
  <c r="N844" i="4" s="1"/>
  <c r="N845" i="4" s="1"/>
  <c r="N846" i="4" s="1"/>
  <c r="N847" i="4" s="1"/>
  <c r="N848" i="4" s="1"/>
  <c r="N849" i="4" s="1"/>
  <c r="N850" i="4" s="1"/>
  <c r="N851" i="4" s="1"/>
  <c r="N852" i="4" s="1"/>
  <c r="N853" i="4" s="1"/>
  <c r="N854" i="4" s="1"/>
  <c r="N855" i="4" s="1"/>
  <c r="N856" i="4" s="1"/>
  <c r="N857" i="4" s="1"/>
  <c r="N858" i="4" s="1"/>
  <c r="N859" i="4" s="1"/>
  <c r="N860" i="4" s="1"/>
  <c r="N861" i="4" s="1"/>
  <c r="N862" i="4" s="1"/>
  <c r="C910" i="4"/>
  <c r="E28" i="3"/>
  <c r="F28" i="3"/>
  <c r="X28" i="3"/>
  <c r="B29" i="3"/>
  <c r="B30" i="3"/>
  <c r="B31" i="3" s="1"/>
  <c r="B32" i="3" s="1"/>
  <c r="B33" i="3" s="1"/>
  <c r="B34" i="3" s="1"/>
  <c r="C29" i="3"/>
  <c r="C30" i="3"/>
  <c r="C31" i="3" s="1"/>
  <c r="C32" i="3" s="1"/>
  <c r="C33" i="3" s="1"/>
  <c r="C34" i="3" s="1"/>
  <c r="C35" i="3" s="1"/>
  <c r="C36" i="3" s="1"/>
  <c r="C37" i="3" s="1"/>
  <c r="C38" i="3" s="1"/>
  <c r="C39" i="3" s="1"/>
  <c r="C40" i="3" s="1"/>
  <c r="C41" i="3" s="1"/>
  <c r="C42" i="3"/>
  <c r="C43" i="3" s="1"/>
  <c r="C44" i="3" s="1"/>
  <c r="C45" i="3" s="1"/>
  <c r="C46" i="3" s="1"/>
  <c r="C47" i="3" s="1"/>
  <c r="C48" i="3" s="1"/>
  <c r="C49" i="3" s="1"/>
  <c r="C50" i="3"/>
  <c r="C51" i="3" s="1"/>
  <c r="C52" i="3" s="1"/>
  <c r="C53" i="3" s="1"/>
  <c r="C54" i="3" s="1"/>
  <c r="C55" i="3" s="1"/>
  <c r="C56" i="3" s="1"/>
  <c r="C57" i="3" s="1"/>
  <c r="C58" i="3" s="1"/>
  <c r="C59" i="3" s="1"/>
  <c r="C60" i="3" s="1"/>
  <c r="C61" i="3" s="1"/>
  <c r="C62" i="3" s="1"/>
  <c r="C63" i="3" s="1"/>
  <c r="C64" i="3" s="1"/>
  <c r="C65" i="3" s="1"/>
  <c r="C66" i="3" s="1"/>
  <c r="C67" i="3" s="1"/>
  <c r="C68" i="3" s="1"/>
  <c r="C69" i="3" s="1"/>
  <c r="C70" i="3" s="1"/>
  <c r="C71" i="3" s="1"/>
  <c r="C72" i="3" s="1"/>
  <c r="C73" i="3" s="1"/>
  <c r="C74" i="3" s="1"/>
  <c r="C75" i="3" s="1"/>
  <c r="C76" i="3" s="1"/>
  <c r="C77" i="3" s="1"/>
  <c r="C78" i="3" s="1"/>
  <c r="C79" i="3" s="1"/>
  <c r="C80" i="3" s="1"/>
  <c r="C81" i="3" s="1"/>
  <c r="C82" i="3" s="1"/>
  <c r="C83" i="3" s="1"/>
  <c r="C84" i="3" s="1"/>
  <c r="C85" i="3" s="1"/>
  <c r="C86" i="3" s="1"/>
  <c r="C87" i="3" s="1"/>
  <c r="C88" i="3" s="1"/>
  <c r="C89" i="3" s="1"/>
  <c r="C90" i="3" s="1"/>
  <c r="C91" i="3" s="1"/>
  <c r="C92" i="3" s="1"/>
  <c r="C93" i="3" s="1"/>
  <c r="C94" i="3" s="1"/>
  <c r="C95" i="3" s="1"/>
  <c r="C96" i="3" s="1"/>
  <c r="C97" i="3" s="1"/>
  <c r="C98" i="3" s="1"/>
  <c r="C99" i="3"/>
  <c r="C100" i="3" s="1"/>
  <c r="C101" i="3" s="1"/>
  <c r="C102" i="3" s="1"/>
  <c r="C103" i="3" s="1"/>
  <c r="C104" i="3" s="1"/>
  <c r="C105" i="3" s="1"/>
  <c r="C106" i="3" s="1"/>
  <c r="C107" i="3" s="1"/>
  <c r="C108" i="3" s="1"/>
  <c r="C109" i="3" s="1"/>
  <c r="C110" i="3" s="1"/>
  <c r="C111" i="3" s="1"/>
  <c r="C112" i="3" s="1"/>
  <c r="C113" i="3" s="1"/>
  <c r="C114" i="3" s="1"/>
  <c r="C115" i="3" s="1"/>
  <c r="C116" i="3" s="1"/>
  <c r="C117" i="3" s="1"/>
  <c r="C118" i="3" s="1"/>
  <c r="C119" i="3" s="1"/>
  <c r="C120" i="3" s="1"/>
  <c r="C121" i="3" s="1"/>
  <c r="C122" i="3" s="1"/>
  <c r="C123" i="3" s="1"/>
  <c r="C124" i="3" s="1"/>
  <c r="C125" i="3" s="1"/>
  <c r="C126" i="3" s="1"/>
  <c r="C127" i="3" s="1"/>
  <c r="C128" i="3" s="1"/>
  <c r="C129" i="3" s="1"/>
  <c r="C130" i="3" s="1"/>
  <c r="C131" i="3" s="1"/>
  <c r="C132" i="3" s="1"/>
  <c r="C133" i="3" s="1"/>
  <c r="C134" i="3" s="1"/>
  <c r="C135" i="3" s="1"/>
  <c r="C136" i="3" s="1"/>
  <c r="C137" i="3" s="1"/>
  <c r="C138" i="3" s="1"/>
  <c r="C139" i="3" s="1"/>
  <c r="C140" i="3" s="1"/>
  <c r="C141" i="3" s="1"/>
  <c r="C142" i="3" s="1"/>
  <c r="C143" i="3" s="1"/>
  <c r="C144" i="3" s="1"/>
  <c r="C145" i="3" s="1"/>
  <c r="C146" i="3" s="1"/>
  <c r="C147" i="3" s="1"/>
  <c r="C148" i="3" s="1"/>
  <c r="C149" i="3" s="1"/>
  <c r="C150" i="3" s="1"/>
  <c r="C151" i="3" s="1"/>
  <c r="C152" i="3" s="1"/>
  <c r="C153" i="3" s="1"/>
  <c r="C154" i="3" s="1"/>
  <c r="C155" i="3" s="1"/>
  <c r="C156" i="3" s="1"/>
  <c r="C157" i="3" s="1"/>
  <c r="C158" i="3" s="1"/>
  <c r="C159" i="3" s="1"/>
  <c r="C160" i="3" s="1"/>
  <c r="C161" i="3" s="1"/>
  <c r="C162" i="3" s="1"/>
  <c r="C163" i="3"/>
  <c r="C164" i="3" s="1"/>
  <c r="C165" i="3" s="1"/>
  <c r="C166" i="3" s="1"/>
  <c r="C167" i="3" s="1"/>
  <c r="C168" i="3" s="1"/>
  <c r="C169" i="3" s="1"/>
  <c r="C170" i="3" s="1"/>
  <c r="C171" i="3" s="1"/>
  <c r="C172" i="3" s="1"/>
  <c r="C173" i="3" s="1"/>
  <c r="C174" i="3" s="1"/>
  <c r="C175" i="3" s="1"/>
  <c r="C176" i="3" s="1"/>
  <c r="C177" i="3" s="1"/>
  <c r="C178" i="3" s="1"/>
  <c r="C179" i="3" s="1"/>
  <c r="C180" i="3" s="1"/>
  <c r="C181" i="3" s="1"/>
  <c r="C182" i="3" s="1"/>
  <c r="C183" i="3" s="1"/>
  <c r="C184" i="3" s="1"/>
  <c r="C185" i="3" s="1"/>
  <c r="C186" i="3" s="1"/>
  <c r="C187" i="3" s="1"/>
  <c r="C188" i="3" s="1"/>
  <c r="C189" i="3" s="1"/>
  <c r="C190" i="3" s="1"/>
  <c r="C191" i="3" s="1"/>
  <c r="C192" i="3" s="1"/>
  <c r="C193" i="3" s="1"/>
  <c r="C194" i="3" s="1"/>
  <c r="C195" i="3" s="1"/>
  <c r="C196" i="3" s="1"/>
  <c r="C197" i="3" s="1"/>
  <c r="C198" i="3" s="1"/>
  <c r="C199" i="3" s="1"/>
  <c r="C200" i="3" s="1"/>
  <c r="C201" i="3" s="1"/>
  <c r="C202" i="3" s="1"/>
  <c r="C203" i="3" s="1"/>
  <c r="C204" i="3" s="1"/>
  <c r="C205" i="3" s="1"/>
  <c r="C206" i="3" s="1"/>
  <c r="C207" i="3" s="1"/>
  <c r="C208" i="3" s="1"/>
  <c r="C209" i="3" s="1"/>
  <c r="C210" i="3" s="1"/>
  <c r="C211" i="3" s="1"/>
  <c r="C212" i="3" s="1"/>
  <c r="C213" i="3" s="1"/>
  <c r="C214" i="3" s="1"/>
  <c r="C215" i="3" s="1"/>
  <c r="C216" i="3" s="1"/>
  <c r="C217" i="3" s="1"/>
  <c r="C218" i="3" s="1"/>
  <c r="C219" i="3" s="1"/>
  <c r="C220" i="3" s="1"/>
  <c r="C221" i="3" s="1"/>
  <c r="C222" i="3" s="1"/>
  <c r="C223" i="3" s="1"/>
  <c r="C224" i="3" s="1"/>
  <c r="C225" i="3" s="1"/>
  <c r="C226" i="3" s="1"/>
  <c r="C227" i="3" s="1"/>
  <c r="C228" i="3" s="1"/>
  <c r="C229" i="3" s="1"/>
  <c r="C230" i="3" s="1"/>
  <c r="C231" i="3" s="1"/>
  <c r="C232" i="3" s="1"/>
  <c r="C233" i="3" s="1"/>
  <c r="C234" i="3" s="1"/>
  <c r="C235" i="3" s="1"/>
  <c r="C236" i="3" s="1"/>
  <c r="C237" i="3" s="1"/>
  <c r="C238" i="3" s="1"/>
  <c r="C239" i="3" s="1"/>
  <c r="C240" i="3" s="1"/>
  <c r="C241" i="3" s="1"/>
  <c r="C242" i="3" s="1"/>
  <c r="C243" i="3" s="1"/>
  <c r="C244" i="3" s="1"/>
  <c r="C245" i="3" s="1"/>
  <c r="C246" i="3" s="1"/>
  <c r="C247" i="3" s="1"/>
  <c r="C248" i="3" s="1"/>
  <c r="C249" i="3" s="1"/>
  <c r="C250" i="3" s="1"/>
  <c r="C251" i="3" s="1"/>
  <c r="C252" i="3" s="1"/>
  <c r="C253" i="3" s="1"/>
  <c r="C254" i="3" s="1"/>
  <c r="C255" i="3" s="1"/>
  <c r="C256" i="3" s="1"/>
  <c r="C257" i="3" s="1"/>
  <c r="C258" i="3" s="1"/>
  <c r="C259" i="3" s="1"/>
  <c r="C260" i="3" s="1"/>
  <c r="C261" i="3" s="1"/>
  <c r="C262" i="3" s="1"/>
  <c r="C263" i="3" s="1"/>
  <c r="C264" i="3" s="1"/>
  <c r="C265" i="3" s="1"/>
  <c r="C266" i="3" s="1"/>
  <c r="C267" i="3" s="1"/>
  <c r="C268" i="3" s="1"/>
  <c r="C269" i="3" s="1"/>
  <c r="C270" i="3" s="1"/>
  <c r="C271" i="3" s="1"/>
  <c r="C272" i="3" s="1"/>
  <c r="C273" i="3" s="1"/>
  <c r="C274" i="3" s="1"/>
  <c r="C275" i="3" s="1"/>
  <c r="C276" i="3" s="1"/>
  <c r="C277" i="3" s="1"/>
  <c r="C278" i="3" s="1"/>
  <c r="C279" i="3" s="1"/>
  <c r="C280" i="3" s="1"/>
  <c r="C281" i="3" s="1"/>
  <c r="C282" i="3" s="1"/>
  <c r="C283" i="3" s="1"/>
  <c r="C284" i="3" s="1"/>
  <c r="C285" i="3" s="1"/>
  <c r="C286" i="3" s="1"/>
  <c r="C287" i="3" s="1"/>
  <c r="C288" i="3" s="1"/>
  <c r="C289" i="3" s="1"/>
  <c r="C290" i="3" s="1"/>
  <c r="C291" i="3" s="1"/>
  <c r="C292" i="3" s="1"/>
  <c r="C293" i="3" s="1"/>
  <c r="C294" i="3" s="1"/>
  <c r="C295" i="3" s="1"/>
  <c r="C296" i="3" s="1"/>
  <c r="C297" i="3" s="1"/>
  <c r="C298" i="3" s="1"/>
  <c r="C299" i="3" s="1"/>
  <c r="C300" i="3" s="1"/>
  <c r="C301" i="3" s="1"/>
  <c r="C302" i="3" s="1"/>
  <c r="C303" i="3" s="1"/>
  <c r="C304" i="3" s="1"/>
  <c r="C305" i="3" s="1"/>
  <c r="C306" i="3" s="1"/>
  <c r="C307" i="3" s="1"/>
  <c r="C308" i="3" s="1"/>
  <c r="C309" i="3" s="1"/>
  <c r="C310" i="3" s="1"/>
  <c r="C311" i="3" s="1"/>
  <c r="C312" i="3" s="1"/>
  <c r="C313" i="3" s="1"/>
  <c r="C314" i="3" s="1"/>
  <c r="C315" i="3" s="1"/>
  <c r="C316" i="3"/>
  <c r="C317" i="3" s="1"/>
  <c r="C318" i="3" s="1"/>
  <c r="C319" i="3" s="1"/>
  <c r="C320" i="3" s="1"/>
  <c r="C321" i="3" s="1"/>
  <c r="C322" i="3" s="1"/>
  <c r="C323" i="3" s="1"/>
  <c r="C324" i="3" s="1"/>
  <c r="C325" i="3" s="1"/>
  <c r="C326" i="3" s="1"/>
  <c r="C327" i="3" s="1"/>
  <c r="C328" i="3" s="1"/>
  <c r="C329" i="3" s="1"/>
  <c r="C330" i="3" s="1"/>
  <c r="C331" i="3" s="1"/>
  <c r="C332" i="3" s="1"/>
  <c r="C333" i="3" s="1"/>
  <c r="C334" i="3" s="1"/>
  <c r="C335" i="3" s="1"/>
  <c r="C336" i="3" s="1"/>
  <c r="C337" i="3" s="1"/>
  <c r="C338" i="3" s="1"/>
  <c r="C339" i="3" s="1"/>
  <c r="C340" i="3" s="1"/>
  <c r="C341" i="3" s="1"/>
  <c r="C342" i="3" s="1"/>
  <c r="C343" i="3" s="1"/>
  <c r="C344" i="3" s="1"/>
  <c r="C345" i="3" s="1"/>
  <c r="C346" i="3" s="1"/>
  <c r="C347" i="3" s="1"/>
  <c r="C348" i="3" s="1"/>
  <c r="C349" i="3" s="1"/>
  <c r="C350" i="3" s="1"/>
  <c r="C351" i="3" s="1"/>
  <c r="C352" i="3" s="1"/>
  <c r="C353" i="3" s="1"/>
  <c r="C354" i="3" s="1"/>
  <c r="C355" i="3" s="1"/>
  <c r="C356" i="3" s="1"/>
  <c r="C357" i="3" s="1"/>
  <c r="C358" i="3" s="1"/>
  <c r="C359" i="3" s="1"/>
  <c r="C360" i="3" s="1"/>
  <c r="C361" i="3" s="1"/>
  <c r="C362" i="3" s="1"/>
  <c r="C363" i="3" s="1"/>
  <c r="C364" i="3" s="1"/>
  <c r="C365" i="3" s="1"/>
  <c r="C366" i="3" s="1"/>
  <c r="C367" i="3" s="1"/>
  <c r="C368" i="3" s="1"/>
  <c r="C369" i="3" s="1"/>
  <c r="C370" i="3" s="1"/>
  <c r="C371" i="3" s="1"/>
  <c r="C372" i="3" s="1"/>
  <c r="C373" i="3" s="1"/>
  <c r="C374" i="3" s="1"/>
  <c r="C375" i="3" s="1"/>
  <c r="C376" i="3" s="1"/>
  <c r="C377" i="3" s="1"/>
  <c r="C378" i="3" s="1"/>
  <c r="C379" i="3" s="1"/>
  <c r="C380" i="3" s="1"/>
  <c r="C381" i="3" s="1"/>
  <c r="C382" i="3" s="1"/>
  <c r="C383" i="3" s="1"/>
  <c r="C384" i="3" s="1"/>
  <c r="C385" i="3" s="1"/>
  <c r="C386" i="3" s="1"/>
  <c r="C387" i="3" s="1"/>
  <c r="C388" i="3" s="1"/>
  <c r="C389" i="3" s="1"/>
  <c r="C390" i="3" s="1"/>
  <c r="C391" i="3" s="1"/>
  <c r="C392" i="3" s="1"/>
  <c r="C393" i="3" s="1"/>
  <c r="C394" i="3" s="1"/>
  <c r="C395" i="3" s="1"/>
  <c r="C396" i="3" s="1"/>
  <c r="C397" i="3" s="1"/>
  <c r="C398" i="3" s="1"/>
  <c r="C399" i="3" s="1"/>
  <c r="C400" i="3" s="1"/>
  <c r="C401" i="3" s="1"/>
  <c r="C402" i="3" s="1"/>
  <c r="C403" i="3" s="1"/>
  <c r="C404" i="3" s="1"/>
  <c r="C405" i="3" s="1"/>
  <c r="C406" i="3" s="1"/>
  <c r="C407" i="3" s="1"/>
  <c r="C408" i="3" s="1"/>
  <c r="C409" i="3" s="1"/>
  <c r="C410" i="3" s="1"/>
  <c r="C411" i="3" s="1"/>
  <c r="C412" i="3" s="1"/>
  <c r="C413" i="3" s="1"/>
  <c r="C414" i="3" s="1"/>
  <c r="C415" i="3" s="1"/>
  <c r="C416" i="3" s="1"/>
  <c r="C417" i="3" s="1"/>
  <c r="C418" i="3" s="1"/>
  <c r="C419" i="3" s="1"/>
  <c r="C420" i="3" s="1"/>
  <c r="C421" i="3" s="1"/>
  <c r="C422" i="3" s="1"/>
  <c r="C423" i="3" s="1"/>
  <c r="C424" i="3" s="1"/>
  <c r="C425" i="3" s="1"/>
  <c r="C426" i="3" s="1"/>
  <c r="C427" i="3" s="1"/>
  <c r="C428" i="3" s="1"/>
  <c r="C429" i="3" s="1"/>
  <c r="C430" i="3" s="1"/>
  <c r="C431" i="3" s="1"/>
  <c r="C432" i="3" s="1"/>
  <c r="C433" i="3" s="1"/>
  <c r="C434" i="3" s="1"/>
  <c r="C435" i="3" s="1"/>
  <c r="C436" i="3" s="1"/>
  <c r="C437" i="3" s="1"/>
  <c r="C438" i="3" s="1"/>
  <c r="C439" i="3" s="1"/>
  <c r="C440" i="3" s="1"/>
  <c r="C441" i="3" s="1"/>
  <c r="C442" i="3" s="1"/>
  <c r="C443" i="3" s="1"/>
  <c r="C444" i="3" s="1"/>
  <c r="C445" i="3" s="1"/>
  <c r="C446" i="3" s="1"/>
  <c r="C447" i="3" s="1"/>
  <c r="C448" i="3" s="1"/>
  <c r="C449" i="3" s="1"/>
  <c r="C450" i="3" s="1"/>
  <c r="C451" i="3" s="1"/>
  <c r="C452" i="3" s="1"/>
  <c r="C453" i="3" s="1"/>
  <c r="C454" i="3" s="1"/>
  <c r="C455" i="3" s="1"/>
  <c r="C456" i="3" s="1"/>
  <c r="C457" i="3" s="1"/>
  <c r="C458" i="3" s="1"/>
  <c r="C459" i="3" s="1"/>
  <c r="C460" i="3" s="1"/>
  <c r="C461" i="3" s="1"/>
  <c r="C462" i="3" s="1"/>
  <c r="C463" i="3" s="1"/>
  <c r="C464" i="3" s="1"/>
  <c r="C465" i="3" s="1"/>
  <c r="C466" i="3" s="1"/>
  <c r="C467" i="3" s="1"/>
  <c r="C468" i="3" s="1"/>
  <c r="C469" i="3" s="1"/>
  <c r="C470" i="3" s="1"/>
  <c r="C471" i="3" s="1"/>
  <c r="C472" i="3" s="1"/>
  <c r="C473" i="3" s="1"/>
  <c r="C474" i="3" s="1"/>
  <c r="C475" i="3" s="1"/>
  <c r="C476" i="3" s="1"/>
  <c r="C477" i="3" s="1"/>
  <c r="C478" i="3" s="1"/>
  <c r="C479" i="3" s="1"/>
  <c r="C480" i="3" s="1"/>
  <c r="C481" i="3" s="1"/>
  <c r="C482" i="3" s="1"/>
  <c r="C483" i="3" s="1"/>
  <c r="C484" i="3" s="1"/>
  <c r="C485" i="3" s="1"/>
  <c r="C486" i="3" s="1"/>
  <c r="C487" i="3" s="1"/>
  <c r="C488" i="3" s="1"/>
  <c r="C489" i="3" s="1"/>
  <c r="C490" i="3" s="1"/>
  <c r="C491" i="3" s="1"/>
  <c r="C492" i="3" s="1"/>
  <c r="C493" i="3" s="1"/>
  <c r="C494" i="3" s="1"/>
  <c r="C495" i="3" s="1"/>
  <c r="C496" i="3" s="1"/>
  <c r="C497" i="3" s="1"/>
  <c r="C498" i="3" s="1"/>
  <c r="C499" i="3" s="1"/>
  <c r="C500" i="3" s="1"/>
  <c r="C501" i="3" s="1"/>
  <c r="C502" i="3" s="1"/>
  <c r="C503" i="3" s="1"/>
  <c r="C504" i="3" s="1"/>
  <c r="C505" i="3" s="1"/>
  <c r="C506" i="3" s="1"/>
  <c r="C507" i="3" s="1"/>
  <c r="C508" i="3" s="1"/>
  <c r="C509" i="3" s="1"/>
  <c r="C510" i="3" s="1"/>
  <c r="C511" i="3" s="1"/>
  <c r="C512" i="3" s="1"/>
  <c r="C513" i="3" s="1"/>
  <c r="C514" i="3" s="1"/>
  <c r="C515" i="3" s="1"/>
  <c r="C516" i="3" s="1"/>
  <c r="C517" i="3" s="1"/>
  <c r="C518" i="3" s="1"/>
  <c r="C519" i="3" s="1"/>
  <c r="C520" i="3" s="1"/>
  <c r="C521" i="3" s="1"/>
  <c r="C522" i="3" s="1"/>
  <c r="C523" i="3" s="1"/>
  <c r="C524" i="3" s="1"/>
  <c r="C525" i="3" s="1"/>
  <c r="C526" i="3" s="1"/>
  <c r="C527" i="3" s="1"/>
  <c r="C528" i="3" s="1"/>
  <c r="C529" i="3" s="1"/>
  <c r="C530" i="3"/>
  <c r="C531" i="3" s="1"/>
  <c r="C532" i="3" s="1"/>
  <c r="C533" i="3" s="1"/>
  <c r="C534" i="3" s="1"/>
  <c r="C535" i="3" s="1"/>
  <c r="C536" i="3" s="1"/>
  <c r="C537" i="3" s="1"/>
  <c r="C538" i="3" s="1"/>
  <c r="C539" i="3" s="1"/>
  <c r="C540" i="3" s="1"/>
  <c r="C541" i="3" s="1"/>
  <c r="C542" i="3" s="1"/>
  <c r="C543" i="3" s="1"/>
  <c r="C544" i="3" s="1"/>
  <c r="C545" i="3" s="1"/>
  <c r="C546" i="3" s="1"/>
  <c r="C547" i="3" s="1"/>
  <c r="C548" i="3" s="1"/>
  <c r="C549" i="3" s="1"/>
  <c r="C550" i="3" s="1"/>
  <c r="C551" i="3" s="1"/>
  <c r="C552" i="3" s="1"/>
  <c r="C553" i="3" s="1"/>
  <c r="C554" i="3" s="1"/>
  <c r="C555" i="3" s="1"/>
  <c r="C556" i="3" s="1"/>
  <c r="C557" i="3" s="1"/>
  <c r="C558" i="3" s="1"/>
  <c r="C559" i="3" s="1"/>
  <c r="C560" i="3" s="1"/>
  <c r="C561" i="3" s="1"/>
  <c r="C562" i="3" s="1"/>
  <c r="C563" i="3" s="1"/>
  <c r="C564" i="3" s="1"/>
  <c r="C565" i="3" s="1"/>
  <c r="C566" i="3" s="1"/>
  <c r="C567" i="3" s="1"/>
  <c r="C568" i="3" s="1"/>
  <c r="C569" i="3" s="1"/>
  <c r="C570" i="3" s="1"/>
  <c r="C571" i="3" s="1"/>
  <c r="C572" i="3" s="1"/>
  <c r="C573" i="3" s="1"/>
  <c r="C574" i="3" s="1"/>
  <c r="C575" i="3" s="1"/>
  <c r="C576" i="3" s="1"/>
  <c r="C577" i="3" s="1"/>
  <c r="C578" i="3" s="1"/>
  <c r="C579" i="3" s="1"/>
  <c r="C580" i="3" s="1"/>
  <c r="C581" i="3" s="1"/>
  <c r="C582" i="3" s="1"/>
  <c r="C583" i="3" s="1"/>
  <c r="C584" i="3" s="1"/>
  <c r="C585" i="3" s="1"/>
  <c r="C586" i="3" s="1"/>
  <c r="C587" i="3" s="1"/>
  <c r="C588" i="3" s="1"/>
  <c r="C589" i="3" s="1"/>
  <c r="C590" i="3" s="1"/>
  <c r="C591" i="3" s="1"/>
  <c r="C592" i="3" s="1"/>
  <c r="C593" i="3" s="1"/>
  <c r="C594" i="3" s="1"/>
  <c r="C595" i="3" s="1"/>
  <c r="C596" i="3" s="1"/>
  <c r="C597" i="3" s="1"/>
  <c r="C598" i="3" s="1"/>
  <c r="C599" i="3" s="1"/>
  <c r="C600" i="3" s="1"/>
  <c r="C601" i="3" s="1"/>
  <c r="C602" i="3" s="1"/>
  <c r="C603" i="3" s="1"/>
  <c r="C604" i="3" s="1"/>
  <c r="C605" i="3" s="1"/>
  <c r="C606" i="3" s="1"/>
  <c r="C607" i="3" s="1"/>
  <c r="C608" i="3" s="1"/>
  <c r="C609" i="3" s="1"/>
  <c r="C610" i="3" s="1"/>
  <c r="C611" i="3" s="1"/>
  <c r="C612" i="3" s="1"/>
  <c r="C613" i="3" s="1"/>
  <c r="C614" i="3" s="1"/>
  <c r="C615" i="3" s="1"/>
  <c r="C616" i="3" s="1"/>
  <c r="C617" i="3" s="1"/>
  <c r="C618" i="3" s="1"/>
  <c r="C619" i="3" s="1"/>
  <c r="C620" i="3" s="1"/>
  <c r="C621" i="3" s="1"/>
  <c r="C622" i="3" s="1"/>
  <c r="C623" i="3" s="1"/>
  <c r="C624" i="3" s="1"/>
  <c r="C625" i="3" s="1"/>
  <c r="C626" i="3" s="1"/>
  <c r="C627" i="3" s="1"/>
  <c r="C628" i="3" s="1"/>
  <c r="C629" i="3" s="1"/>
  <c r="C630" i="3" s="1"/>
  <c r="C631" i="3" s="1"/>
  <c r="C632" i="3" s="1"/>
  <c r="C633" i="3" s="1"/>
  <c r="C634" i="3" s="1"/>
  <c r="C635" i="3" s="1"/>
  <c r="C636" i="3" s="1"/>
  <c r="C637" i="3" s="1"/>
  <c r="C638" i="3" s="1"/>
  <c r="C639" i="3" s="1"/>
  <c r="C640" i="3" s="1"/>
  <c r="C641" i="3" s="1"/>
  <c r="C642" i="3" s="1"/>
  <c r="C643" i="3" s="1"/>
  <c r="C644" i="3" s="1"/>
  <c r="C645" i="3" s="1"/>
  <c r="C646" i="3" s="1"/>
  <c r="C647" i="3" s="1"/>
  <c r="C648" i="3" s="1"/>
  <c r="C649" i="3" s="1"/>
  <c r="C650" i="3" s="1"/>
  <c r="C651" i="3" s="1"/>
  <c r="C652" i="3" s="1"/>
  <c r="C653" i="3" s="1"/>
  <c r="C654" i="3" s="1"/>
  <c r="C655" i="3" s="1"/>
  <c r="C656" i="3" s="1"/>
  <c r="C657" i="3" s="1"/>
  <c r="C658" i="3" s="1"/>
  <c r="C659" i="3" s="1"/>
  <c r="C660" i="3" s="1"/>
  <c r="C661" i="3" s="1"/>
  <c r="C662" i="3" s="1"/>
  <c r="C663" i="3" s="1"/>
  <c r="C664" i="3" s="1"/>
  <c r="C665" i="3" s="1"/>
  <c r="C666" i="3" s="1"/>
  <c r="C667" i="3" s="1"/>
  <c r="C668" i="3" s="1"/>
  <c r="C669" i="3" s="1"/>
  <c r="C670" i="3" s="1"/>
  <c r="C671" i="3" s="1"/>
  <c r="C672" i="3" s="1"/>
  <c r="C673" i="3" s="1"/>
  <c r="C674" i="3" s="1"/>
  <c r="C675" i="3" s="1"/>
  <c r="C676" i="3" s="1"/>
  <c r="C677" i="3" s="1"/>
  <c r="C678" i="3" s="1"/>
  <c r="C679" i="3" s="1"/>
  <c r="C680" i="3" s="1"/>
  <c r="C681" i="3" s="1"/>
  <c r="C682" i="3" s="1"/>
  <c r="C683" i="3" s="1"/>
  <c r="C684" i="3" s="1"/>
  <c r="C685" i="3" s="1"/>
  <c r="C686" i="3" s="1"/>
  <c r="C687" i="3" s="1"/>
  <c r="C688" i="3" s="1"/>
  <c r="C689" i="3" s="1"/>
  <c r="C690" i="3" s="1"/>
  <c r="C691" i="3" s="1"/>
  <c r="C692" i="3" s="1"/>
  <c r="C693" i="3" s="1"/>
  <c r="C694" i="3" s="1"/>
  <c r="C695" i="3" s="1"/>
  <c r="C696" i="3" s="1"/>
  <c r="C697" i="3" s="1"/>
  <c r="C698" i="3" s="1"/>
  <c r="C699" i="3" s="1"/>
  <c r="C700" i="3" s="1"/>
  <c r="C701" i="3" s="1"/>
  <c r="C702" i="3" s="1"/>
  <c r="C703" i="3" s="1"/>
  <c r="C704" i="3" s="1"/>
  <c r="C705" i="3" s="1"/>
  <c r="C706" i="3" s="1"/>
  <c r="C707" i="3" s="1"/>
  <c r="C708" i="3" s="1"/>
  <c r="C709" i="3" s="1"/>
  <c r="C710" i="3" s="1"/>
  <c r="C711" i="3" s="1"/>
  <c r="C712" i="3" s="1"/>
  <c r="C713" i="3" s="1"/>
  <c r="C714" i="3" s="1"/>
  <c r="C715" i="3" s="1"/>
  <c r="C716" i="3" s="1"/>
  <c r="C717" i="3" s="1"/>
  <c r="C718" i="3" s="1"/>
  <c r="C719" i="3" s="1"/>
  <c r="C720" i="3" s="1"/>
  <c r="C721" i="3" s="1"/>
  <c r="C722" i="3" s="1"/>
  <c r="C723" i="3" s="1"/>
  <c r="C724" i="3" s="1"/>
  <c r="C725" i="3" s="1"/>
  <c r="C726" i="3" s="1"/>
  <c r="C727" i="3" s="1"/>
  <c r="C728" i="3" s="1"/>
  <c r="C729" i="3" s="1"/>
  <c r="C730" i="3" s="1"/>
  <c r="C731" i="3" s="1"/>
  <c r="C732" i="3" s="1"/>
  <c r="C733" i="3" s="1"/>
  <c r="C734" i="3" s="1"/>
  <c r="C735" i="3" s="1"/>
  <c r="C736" i="3" s="1"/>
  <c r="C737" i="3" s="1"/>
  <c r="C738" i="3" s="1"/>
  <c r="C739" i="3" s="1"/>
  <c r="C740" i="3" s="1"/>
  <c r="C741" i="3" s="1"/>
  <c r="C742" i="3" s="1"/>
  <c r="C743" i="3" s="1"/>
  <c r="C744" i="3" s="1"/>
  <c r="C745" i="3" s="1"/>
  <c r="C746" i="3" s="1"/>
  <c r="C747" i="3" s="1"/>
  <c r="C748" i="3" s="1"/>
  <c r="C749" i="3" s="1"/>
  <c r="C750" i="3" s="1"/>
  <c r="C751" i="3" s="1"/>
  <c r="C752" i="3" s="1"/>
  <c r="C753" i="3" s="1"/>
  <c r="C754" i="3" s="1"/>
  <c r="C755" i="3" s="1"/>
  <c r="C756" i="3" s="1"/>
  <c r="C757" i="3" s="1"/>
  <c r="C758" i="3" s="1"/>
  <c r="C759" i="3" s="1"/>
  <c r="C760" i="3" s="1"/>
  <c r="C761" i="3" s="1"/>
  <c r="C762" i="3" s="1"/>
  <c r="C763" i="3" s="1"/>
  <c r="C764" i="3" s="1"/>
  <c r="C765" i="3" s="1"/>
  <c r="C766" i="3" s="1"/>
  <c r="C767" i="3" s="1"/>
  <c r="C768" i="3" s="1"/>
  <c r="C769" i="3" s="1"/>
  <c r="C770" i="3" s="1"/>
  <c r="C771" i="3" s="1"/>
  <c r="C772" i="3" s="1"/>
  <c r="C773" i="3" s="1"/>
  <c r="C774" i="3" s="1"/>
  <c r="C775" i="3" s="1"/>
  <c r="C776" i="3" s="1"/>
  <c r="C777" i="3" s="1"/>
  <c r="C778" i="3" s="1"/>
  <c r="C779" i="3" s="1"/>
  <c r="C780" i="3" s="1"/>
  <c r="C781" i="3" s="1"/>
  <c r="C782" i="3" s="1"/>
  <c r="C783" i="3" s="1"/>
  <c r="C784" i="3" s="1"/>
  <c r="C785" i="3" s="1"/>
  <c r="C786" i="3" s="1"/>
  <c r="C787" i="3" s="1"/>
  <c r="C788" i="3" s="1"/>
  <c r="C789" i="3" s="1"/>
  <c r="C790" i="3" s="1"/>
  <c r="C791" i="3" s="1"/>
  <c r="C792" i="3" s="1"/>
  <c r="C793" i="3" s="1"/>
  <c r="C794" i="3" s="1"/>
  <c r="C795" i="3" s="1"/>
  <c r="C796" i="3" s="1"/>
  <c r="C797" i="3" s="1"/>
  <c r="C798" i="3" s="1"/>
  <c r="C799" i="3" s="1"/>
  <c r="C800" i="3" s="1"/>
  <c r="C801" i="3" s="1"/>
  <c r="C802" i="3" s="1"/>
  <c r="C803" i="3" s="1"/>
  <c r="C804" i="3" s="1"/>
  <c r="C805" i="3" s="1"/>
  <c r="C806" i="3" s="1"/>
  <c r="C807" i="3" s="1"/>
  <c r="C808" i="3" s="1"/>
  <c r="C809" i="3" s="1"/>
  <c r="C810" i="3" s="1"/>
  <c r="C811" i="3" s="1"/>
  <c r="C812" i="3" s="1"/>
  <c r="C813" i="3" s="1"/>
  <c r="C814" i="3" s="1"/>
  <c r="C815" i="3" s="1"/>
  <c r="C816" i="3" s="1"/>
  <c r="C817" i="3" s="1"/>
  <c r="C818" i="3" s="1"/>
  <c r="C819" i="3" s="1"/>
  <c r="C820" i="3" s="1"/>
  <c r="C821" i="3" s="1"/>
  <c r="C822" i="3" s="1"/>
  <c r="C823" i="3" s="1"/>
  <c r="C824" i="3" s="1"/>
  <c r="C825" i="3" s="1"/>
  <c r="C826" i="3" s="1"/>
  <c r="C827" i="3" s="1"/>
  <c r="C828" i="3" s="1"/>
  <c r="C829" i="3" s="1"/>
  <c r="C830" i="3" s="1"/>
  <c r="C831" i="3" s="1"/>
  <c r="C832" i="3" s="1"/>
  <c r="C833" i="3" s="1"/>
  <c r="C834" i="3" s="1"/>
  <c r="C835" i="3" s="1"/>
  <c r="C836" i="3" s="1"/>
  <c r="C837" i="3" s="1"/>
  <c r="C838" i="3" s="1"/>
  <c r="C839" i="3" s="1"/>
  <c r="C840" i="3" s="1"/>
  <c r="C841" i="3" s="1"/>
  <c r="C842" i="3" s="1"/>
  <c r="C843" i="3" s="1"/>
  <c r="C844" i="3" s="1"/>
  <c r="C845" i="3" s="1"/>
  <c r="C846" i="3" s="1"/>
  <c r="C847" i="3" s="1"/>
  <c r="C848" i="3" s="1"/>
  <c r="C849" i="3" s="1"/>
  <c r="C850" i="3" s="1"/>
  <c r="C851" i="3" s="1"/>
  <c r="C852" i="3" s="1"/>
  <c r="C853" i="3" s="1"/>
  <c r="C854" i="3" s="1"/>
  <c r="C855" i="3" s="1"/>
  <c r="C856" i="3" s="1"/>
  <c r="C857" i="3" s="1"/>
  <c r="C858" i="3" s="1"/>
  <c r="C859" i="3" s="1"/>
  <c r="C860" i="3" s="1"/>
  <c r="C861" i="3" s="1"/>
  <c r="C862" i="3" s="1"/>
  <c r="E29" i="3"/>
  <c r="E30" i="3" s="1"/>
  <c r="E31" i="3" s="1"/>
  <c r="E32" i="3" s="1"/>
  <c r="E33" i="3" s="1"/>
  <c r="B35" i="3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71" i="3" s="1"/>
  <c r="B72" i="3" s="1"/>
  <c r="B73" i="3"/>
  <c r="B74" i="3" s="1"/>
  <c r="B75" i="3" s="1"/>
  <c r="B76" i="3" s="1"/>
  <c r="B77" i="3" s="1"/>
  <c r="B78" i="3" s="1"/>
  <c r="B79" i="3" s="1"/>
  <c r="B80" i="3" s="1"/>
  <c r="B81" i="3" s="1"/>
  <c r="B82" i="3" s="1"/>
  <c r="B83" i="3" s="1"/>
  <c r="B84" i="3" s="1"/>
  <c r="B85" i="3" s="1"/>
  <c r="B86" i="3" s="1"/>
  <c r="B87" i="3" s="1"/>
  <c r="B88" i="3" s="1"/>
  <c r="B89" i="3" s="1"/>
  <c r="B90" i="3" s="1"/>
  <c r="B91" i="3" s="1"/>
  <c r="B92" i="3" s="1"/>
  <c r="B93" i="3" s="1"/>
  <c r="B94" i="3" s="1"/>
  <c r="B95" i="3" s="1"/>
  <c r="B96" i="3" s="1"/>
  <c r="B97" i="3" s="1"/>
  <c r="B98" i="3" s="1"/>
  <c r="B99" i="3"/>
  <c r="B100" i="3" s="1"/>
  <c r="B101" i="3" s="1"/>
  <c r="B102" i="3" s="1"/>
  <c r="B103" i="3" s="1"/>
  <c r="B104" i="3" s="1"/>
  <c r="B105" i="3" s="1"/>
  <c r="B106" i="3" s="1"/>
  <c r="B107" i="3" s="1"/>
  <c r="B108" i="3" s="1"/>
  <c r="B109" i="3" s="1"/>
  <c r="B110" i="3" s="1"/>
  <c r="B111" i="3" s="1"/>
  <c r="B112" i="3" s="1"/>
  <c r="B113" i="3" s="1"/>
  <c r="B114" i="3" s="1"/>
  <c r="B115" i="3" s="1"/>
  <c r="B116" i="3" s="1"/>
  <c r="B117" i="3" s="1"/>
  <c r="B118" i="3" s="1"/>
  <c r="B119" i="3" s="1"/>
  <c r="B120" i="3" s="1"/>
  <c r="B121" i="3" s="1"/>
  <c r="B122" i="3" s="1"/>
  <c r="B123" i="3" s="1"/>
  <c r="B124" i="3" s="1"/>
  <c r="B125" i="3" s="1"/>
  <c r="B126" i="3" s="1"/>
  <c r="B127" i="3" s="1"/>
  <c r="B128" i="3" s="1"/>
  <c r="B129" i="3" s="1"/>
  <c r="B130" i="3" s="1"/>
  <c r="B131" i="3" s="1"/>
  <c r="B132" i="3" s="1"/>
  <c r="B133" i="3" s="1"/>
  <c r="B134" i="3" s="1"/>
  <c r="B135" i="3" s="1"/>
  <c r="B136" i="3" s="1"/>
  <c r="B137" i="3" s="1"/>
  <c r="B138" i="3" s="1"/>
  <c r="B139" i="3" s="1"/>
  <c r="B140" i="3" s="1"/>
  <c r="B141" i="3" s="1"/>
  <c r="B142" i="3" s="1"/>
  <c r="B143" i="3" s="1"/>
  <c r="B144" i="3" s="1"/>
  <c r="B145" i="3" s="1"/>
  <c r="B146" i="3" s="1"/>
  <c r="B147" i="3" s="1"/>
  <c r="B148" i="3" s="1"/>
  <c r="B149" i="3" s="1"/>
  <c r="B150" i="3" s="1"/>
  <c r="B151" i="3" s="1"/>
  <c r="B152" i="3" s="1"/>
  <c r="B153" i="3" s="1"/>
  <c r="B154" i="3" s="1"/>
  <c r="B155" i="3" s="1"/>
  <c r="B156" i="3" s="1"/>
  <c r="B157" i="3" s="1"/>
  <c r="B158" i="3" s="1"/>
  <c r="B159" i="3" s="1"/>
  <c r="B160" i="3" s="1"/>
  <c r="B161" i="3" s="1"/>
  <c r="B162" i="3" s="1"/>
  <c r="B163" i="3" s="1"/>
  <c r="B164" i="3" s="1"/>
  <c r="B165" i="3" s="1"/>
  <c r="B166" i="3" s="1"/>
  <c r="B167" i="3" s="1"/>
  <c r="B168" i="3" s="1"/>
  <c r="B169" i="3" s="1"/>
  <c r="B170" i="3" s="1"/>
  <c r="B171" i="3" s="1"/>
  <c r="B172" i="3" s="1"/>
  <c r="B173" i="3" s="1"/>
  <c r="B174" i="3" s="1"/>
  <c r="B175" i="3" s="1"/>
  <c r="B176" i="3" s="1"/>
  <c r="B177" i="3" s="1"/>
  <c r="B178" i="3" s="1"/>
  <c r="B179" i="3" s="1"/>
  <c r="B180" i="3" s="1"/>
  <c r="B181" i="3" s="1"/>
  <c r="B182" i="3" s="1"/>
  <c r="B183" i="3" s="1"/>
  <c r="B184" i="3" s="1"/>
  <c r="B185" i="3" s="1"/>
  <c r="B186" i="3" s="1"/>
  <c r="B187" i="3" s="1"/>
  <c r="B188" i="3" s="1"/>
  <c r="B189" i="3" s="1"/>
  <c r="B190" i="3" s="1"/>
  <c r="B191" i="3" s="1"/>
  <c r="B192" i="3" s="1"/>
  <c r="B193" i="3" s="1"/>
  <c r="B194" i="3" s="1"/>
  <c r="B195" i="3" s="1"/>
  <c r="B196" i="3" s="1"/>
  <c r="B197" i="3" s="1"/>
  <c r="B198" i="3" s="1"/>
  <c r="B199" i="3" s="1"/>
  <c r="B200" i="3" s="1"/>
  <c r="B201" i="3" s="1"/>
  <c r="B202" i="3" s="1"/>
  <c r="B203" i="3" s="1"/>
  <c r="B204" i="3" s="1"/>
  <c r="B205" i="3" s="1"/>
  <c r="B206" i="3" s="1"/>
  <c r="B207" i="3" s="1"/>
  <c r="B208" i="3" s="1"/>
  <c r="B209" i="3" s="1"/>
  <c r="B210" i="3" s="1"/>
  <c r="B211" i="3" s="1"/>
  <c r="B212" i="3" s="1"/>
  <c r="B213" i="3" s="1"/>
  <c r="B214" i="3" s="1"/>
  <c r="B215" i="3" s="1"/>
  <c r="B216" i="3" s="1"/>
  <c r="B217" i="3" s="1"/>
  <c r="B218" i="3" s="1"/>
  <c r="B219" i="3" s="1"/>
  <c r="B220" i="3" s="1"/>
  <c r="B221" i="3" s="1"/>
  <c r="B222" i="3" s="1"/>
  <c r="B223" i="3" s="1"/>
  <c r="B224" i="3" s="1"/>
  <c r="B225" i="3" s="1"/>
  <c r="B226" i="3" s="1"/>
  <c r="B227" i="3" s="1"/>
  <c r="B228" i="3" s="1"/>
  <c r="B229" i="3" s="1"/>
  <c r="B230" i="3" s="1"/>
  <c r="B231" i="3" s="1"/>
  <c r="B232" i="3" s="1"/>
  <c r="B233" i="3" s="1"/>
  <c r="B234" i="3" s="1"/>
  <c r="B235" i="3" s="1"/>
  <c r="B236" i="3" s="1"/>
  <c r="B237" i="3" s="1"/>
  <c r="B238" i="3" s="1"/>
  <c r="B239" i="3" s="1"/>
  <c r="B240" i="3" s="1"/>
  <c r="B241" i="3" s="1"/>
  <c r="B242" i="3" s="1"/>
  <c r="B243" i="3" s="1"/>
  <c r="B244" i="3" s="1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B255" i="3"/>
  <c r="B256" i="3" s="1"/>
  <c r="B257" i="3" s="1"/>
  <c r="B258" i="3" s="1"/>
  <c r="B259" i="3" s="1"/>
  <c r="B260" i="3" s="1"/>
  <c r="B261" i="3" s="1"/>
  <c r="B262" i="3" s="1"/>
  <c r="B263" i="3" s="1"/>
  <c r="B264" i="3" s="1"/>
  <c r="B265" i="3" s="1"/>
  <c r="B266" i="3" s="1"/>
  <c r="B267" i="3" s="1"/>
  <c r="B268" i="3" s="1"/>
  <c r="B269" i="3" s="1"/>
  <c r="B270" i="3" s="1"/>
  <c r="B271" i="3" s="1"/>
  <c r="B272" i="3" s="1"/>
  <c r="B273" i="3" s="1"/>
  <c r="B274" i="3" s="1"/>
  <c r="B275" i="3" s="1"/>
  <c r="B276" i="3" s="1"/>
  <c r="B277" i="3" s="1"/>
  <c r="B278" i="3" s="1"/>
  <c r="B279" i="3" s="1"/>
  <c r="B280" i="3" s="1"/>
  <c r="B281" i="3" s="1"/>
  <c r="B282" i="3" s="1"/>
  <c r="B283" i="3" s="1"/>
  <c r="B284" i="3" s="1"/>
  <c r="B285" i="3" s="1"/>
  <c r="B286" i="3" s="1"/>
  <c r="B287" i="3" s="1"/>
  <c r="B288" i="3" s="1"/>
  <c r="B289" i="3" s="1"/>
  <c r="B290" i="3" s="1"/>
  <c r="B291" i="3" s="1"/>
  <c r="B292" i="3" s="1"/>
  <c r="B293" i="3" s="1"/>
  <c r="B294" i="3" s="1"/>
  <c r="B295" i="3" s="1"/>
  <c r="B296" i="3" s="1"/>
  <c r="B297" i="3" s="1"/>
  <c r="B298" i="3" s="1"/>
  <c r="B299" i="3" s="1"/>
  <c r="B300" i="3" s="1"/>
  <c r="B301" i="3" s="1"/>
  <c r="B302" i="3" s="1"/>
  <c r="B303" i="3" s="1"/>
  <c r="B304" i="3" s="1"/>
  <c r="B305" i="3" s="1"/>
  <c r="B306" i="3" s="1"/>
  <c r="B307" i="3" s="1"/>
  <c r="B308" i="3" s="1"/>
  <c r="B309" i="3" s="1"/>
  <c r="B310" i="3" s="1"/>
  <c r="B311" i="3" s="1"/>
  <c r="B312" i="3" s="1"/>
  <c r="B313" i="3" s="1"/>
  <c r="B314" i="3" s="1"/>
  <c r="B315" i="3" s="1"/>
  <c r="B316" i="3" s="1"/>
  <c r="B317" i="3" s="1"/>
  <c r="B318" i="3" s="1"/>
  <c r="B319" i="3" s="1"/>
  <c r="B320" i="3" s="1"/>
  <c r="B321" i="3" s="1"/>
  <c r="B322" i="3" s="1"/>
  <c r="B323" i="3" s="1"/>
  <c r="B324" i="3" s="1"/>
  <c r="B325" i="3" s="1"/>
  <c r="B326" i="3" s="1"/>
  <c r="B327" i="3" s="1"/>
  <c r="B328" i="3" s="1"/>
  <c r="B329" i="3" s="1"/>
  <c r="B330" i="3" s="1"/>
  <c r="B331" i="3" s="1"/>
  <c r="B332" i="3" s="1"/>
  <c r="B333" i="3" s="1"/>
  <c r="B334" i="3" s="1"/>
  <c r="B335" i="3" s="1"/>
  <c r="B336" i="3" s="1"/>
  <c r="B337" i="3" s="1"/>
  <c r="B338" i="3" s="1"/>
  <c r="B339" i="3" s="1"/>
  <c r="B340" i="3" s="1"/>
  <c r="B341" i="3" s="1"/>
  <c r="B342" i="3" s="1"/>
  <c r="B343" i="3" s="1"/>
  <c r="B344" i="3" s="1"/>
  <c r="B345" i="3" s="1"/>
  <c r="B346" i="3" s="1"/>
  <c r="B347" i="3" s="1"/>
  <c r="B348" i="3" s="1"/>
  <c r="B349" i="3" s="1"/>
  <c r="B350" i="3" s="1"/>
  <c r="B351" i="3" s="1"/>
  <c r="B352" i="3" s="1"/>
  <c r="B353" i="3" s="1"/>
  <c r="B354" i="3" s="1"/>
  <c r="B355" i="3" s="1"/>
  <c r="B356" i="3" s="1"/>
  <c r="B357" i="3" s="1"/>
  <c r="B358" i="3" s="1"/>
  <c r="B359" i="3" s="1"/>
  <c r="B360" i="3" s="1"/>
  <c r="B361" i="3" s="1"/>
  <c r="B362" i="3" s="1"/>
  <c r="B363" i="3" s="1"/>
  <c r="B364" i="3" s="1"/>
  <c r="B365" i="3" s="1"/>
  <c r="B366" i="3" s="1"/>
  <c r="B367" i="3" s="1"/>
  <c r="B368" i="3" s="1"/>
  <c r="B369" i="3" s="1"/>
  <c r="B370" i="3" s="1"/>
  <c r="B371" i="3" s="1"/>
  <c r="B372" i="3" s="1"/>
  <c r="B373" i="3" s="1"/>
  <c r="B374" i="3" s="1"/>
  <c r="B375" i="3" s="1"/>
  <c r="B376" i="3" s="1"/>
  <c r="B377" i="3" s="1"/>
  <c r="B378" i="3" s="1"/>
  <c r="B379" i="3" s="1"/>
  <c r="B380" i="3" s="1"/>
  <c r="B381" i="3" s="1"/>
  <c r="B382" i="3" s="1"/>
  <c r="B383" i="3" s="1"/>
  <c r="B384" i="3" s="1"/>
  <c r="B385" i="3" s="1"/>
  <c r="B386" i="3" s="1"/>
  <c r="B387" i="3" s="1"/>
  <c r="B388" i="3" s="1"/>
  <c r="B389" i="3" s="1"/>
  <c r="B390" i="3" s="1"/>
  <c r="B391" i="3" s="1"/>
  <c r="B392" i="3" s="1"/>
  <c r="B393" i="3" s="1"/>
  <c r="B394" i="3" s="1"/>
  <c r="B395" i="3"/>
  <c r="B396" i="3" s="1"/>
  <c r="B397" i="3" s="1"/>
  <c r="B398" i="3" s="1"/>
  <c r="B399" i="3" s="1"/>
  <c r="B400" i="3" s="1"/>
  <c r="B401" i="3" s="1"/>
  <c r="B402" i="3" s="1"/>
  <c r="B403" i="3" s="1"/>
  <c r="B404" i="3" s="1"/>
  <c r="B405" i="3" s="1"/>
  <c r="B406" i="3" s="1"/>
  <c r="B407" i="3" s="1"/>
  <c r="B408" i="3" s="1"/>
  <c r="B409" i="3" s="1"/>
  <c r="B410" i="3" s="1"/>
  <c r="B411" i="3" s="1"/>
  <c r="B412" i="3" s="1"/>
  <c r="B413" i="3" s="1"/>
  <c r="B414" i="3" s="1"/>
  <c r="B415" i="3" s="1"/>
  <c r="B416" i="3" s="1"/>
  <c r="B417" i="3" s="1"/>
  <c r="B418" i="3" s="1"/>
  <c r="B419" i="3" s="1"/>
  <c r="B420" i="3" s="1"/>
  <c r="B421" i="3" s="1"/>
  <c r="B422" i="3" s="1"/>
  <c r="B423" i="3" s="1"/>
  <c r="B424" i="3" s="1"/>
  <c r="B425" i="3" s="1"/>
  <c r="B426" i="3" s="1"/>
  <c r="B427" i="3" s="1"/>
  <c r="B428" i="3" s="1"/>
  <c r="B429" i="3" s="1"/>
  <c r="B430" i="3" s="1"/>
  <c r="B431" i="3" s="1"/>
  <c r="B432" i="3" s="1"/>
  <c r="B433" i="3" s="1"/>
  <c r="B434" i="3" s="1"/>
  <c r="B435" i="3" s="1"/>
  <c r="B436" i="3" s="1"/>
  <c r="B437" i="3" s="1"/>
  <c r="B438" i="3" s="1"/>
  <c r="B439" i="3" s="1"/>
  <c r="B440" i="3" s="1"/>
  <c r="B441" i="3" s="1"/>
  <c r="B442" i="3" s="1"/>
  <c r="B443" i="3" s="1"/>
  <c r="B444" i="3" s="1"/>
  <c r="B445" i="3" s="1"/>
  <c r="B446" i="3" s="1"/>
  <c r="B447" i="3" s="1"/>
  <c r="B448" i="3" s="1"/>
  <c r="B449" i="3" s="1"/>
  <c r="B450" i="3" s="1"/>
  <c r="B451" i="3" s="1"/>
  <c r="B452" i="3" s="1"/>
  <c r="B453" i="3" s="1"/>
  <c r="B454" i="3" s="1"/>
  <c r="B455" i="3" s="1"/>
  <c r="B456" i="3" s="1"/>
  <c r="B457" i="3" s="1"/>
  <c r="B458" i="3" s="1"/>
  <c r="B459" i="3" s="1"/>
  <c r="B460" i="3" s="1"/>
  <c r="B461" i="3" s="1"/>
  <c r="B462" i="3" s="1"/>
  <c r="B463" i="3" s="1"/>
  <c r="B464" i="3" s="1"/>
  <c r="B465" i="3" s="1"/>
  <c r="B466" i="3" s="1"/>
  <c r="B467" i="3" s="1"/>
  <c r="B468" i="3" s="1"/>
  <c r="B469" i="3" s="1"/>
  <c r="B470" i="3" s="1"/>
  <c r="B471" i="3" s="1"/>
  <c r="B472" i="3" s="1"/>
  <c r="B473" i="3" s="1"/>
  <c r="B474" i="3" s="1"/>
  <c r="B475" i="3" s="1"/>
  <c r="B476" i="3" s="1"/>
  <c r="B477" i="3" s="1"/>
  <c r="B478" i="3" s="1"/>
  <c r="B479" i="3" s="1"/>
  <c r="B480" i="3" s="1"/>
  <c r="B481" i="3" s="1"/>
  <c r="B482" i="3" s="1"/>
  <c r="B483" i="3" s="1"/>
  <c r="B484" i="3" s="1"/>
  <c r="B485" i="3" s="1"/>
  <c r="B486" i="3" s="1"/>
  <c r="B487" i="3" s="1"/>
  <c r="B488" i="3" s="1"/>
  <c r="B489" i="3" s="1"/>
  <c r="B490" i="3" s="1"/>
  <c r="B491" i="3" s="1"/>
  <c r="B492" i="3" s="1"/>
  <c r="B493" i="3" s="1"/>
  <c r="B494" i="3" s="1"/>
  <c r="B495" i="3" s="1"/>
  <c r="B496" i="3" s="1"/>
  <c r="B497" i="3" s="1"/>
  <c r="B498" i="3" s="1"/>
  <c r="B499" i="3" s="1"/>
  <c r="B500" i="3" s="1"/>
  <c r="B501" i="3" s="1"/>
  <c r="B502" i="3" s="1"/>
  <c r="B503" i="3" s="1"/>
  <c r="B504" i="3" s="1"/>
  <c r="B505" i="3" s="1"/>
  <c r="B506" i="3" s="1"/>
  <c r="B507" i="3" s="1"/>
  <c r="B508" i="3" s="1"/>
  <c r="B509" i="3" s="1"/>
  <c r="B510" i="3" s="1"/>
  <c r="B511" i="3" s="1"/>
  <c r="B512" i="3" s="1"/>
  <c r="B513" i="3" s="1"/>
  <c r="B514" i="3" s="1"/>
  <c r="B515" i="3" s="1"/>
  <c r="B516" i="3" s="1"/>
  <c r="B517" i="3" s="1"/>
  <c r="B518" i="3" s="1"/>
  <c r="B519" i="3" s="1"/>
  <c r="B520" i="3" s="1"/>
  <c r="B521" i="3" s="1"/>
  <c r="B522" i="3" s="1"/>
  <c r="B523" i="3" s="1"/>
  <c r="B524" i="3" s="1"/>
  <c r="B525" i="3" s="1"/>
  <c r="B526" i="3" s="1"/>
  <c r="B527" i="3" s="1"/>
  <c r="B528" i="3" s="1"/>
  <c r="B529" i="3" s="1"/>
  <c r="B530" i="3" s="1"/>
  <c r="B531" i="3" s="1"/>
  <c r="B532" i="3" s="1"/>
  <c r="B533" i="3" s="1"/>
  <c r="B534" i="3" s="1"/>
  <c r="B535" i="3" s="1"/>
  <c r="B536" i="3" s="1"/>
  <c r="B537" i="3" s="1"/>
  <c r="B538" i="3" s="1"/>
  <c r="B539" i="3" s="1"/>
  <c r="B540" i="3" s="1"/>
  <c r="B541" i="3" s="1"/>
  <c r="B542" i="3" s="1"/>
  <c r="B543" i="3" s="1"/>
  <c r="B544" i="3" s="1"/>
  <c r="B545" i="3" s="1"/>
  <c r="B546" i="3" s="1"/>
  <c r="B547" i="3" s="1"/>
  <c r="B548" i="3" s="1"/>
  <c r="B549" i="3" s="1"/>
  <c r="B550" i="3" s="1"/>
  <c r="B551" i="3" s="1"/>
  <c r="B552" i="3" s="1"/>
  <c r="B553" i="3" s="1"/>
  <c r="B554" i="3" s="1"/>
  <c r="B555" i="3" s="1"/>
  <c r="B556" i="3" s="1"/>
  <c r="B557" i="3" s="1"/>
  <c r="B558" i="3" s="1"/>
  <c r="B559" i="3" s="1"/>
  <c r="B560" i="3" s="1"/>
  <c r="B561" i="3" s="1"/>
  <c r="B562" i="3" s="1"/>
  <c r="B563" i="3" s="1"/>
  <c r="B564" i="3" s="1"/>
  <c r="B565" i="3" s="1"/>
  <c r="B566" i="3" s="1"/>
  <c r="B567" i="3" s="1"/>
  <c r="B568" i="3" s="1"/>
  <c r="B569" i="3" s="1"/>
  <c r="B570" i="3" s="1"/>
  <c r="B571" i="3" s="1"/>
  <c r="B572" i="3" s="1"/>
  <c r="B573" i="3" s="1"/>
  <c r="B574" i="3" s="1"/>
  <c r="B575" i="3" s="1"/>
  <c r="B576" i="3" s="1"/>
  <c r="B577" i="3" s="1"/>
  <c r="B578" i="3" s="1"/>
  <c r="B579" i="3" s="1"/>
  <c r="B580" i="3" s="1"/>
  <c r="B581" i="3" s="1"/>
  <c r="B582" i="3" s="1"/>
  <c r="B583" i="3" s="1"/>
  <c r="B584" i="3" s="1"/>
  <c r="B585" i="3" s="1"/>
  <c r="B586" i="3" s="1"/>
  <c r="B587" i="3" s="1"/>
  <c r="B588" i="3" s="1"/>
  <c r="B589" i="3" s="1"/>
  <c r="B590" i="3" s="1"/>
  <c r="B591" i="3" s="1"/>
  <c r="B592" i="3" s="1"/>
  <c r="B593" i="3" s="1"/>
  <c r="B594" i="3" s="1"/>
  <c r="B595" i="3" s="1"/>
  <c r="B596" i="3" s="1"/>
  <c r="B597" i="3" s="1"/>
  <c r="B598" i="3" s="1"/>
  <c r="B599" i="3" s="1"/>
  <c r="B600" i="3" s="1"/>
  <c r="B601" i="3" s="1"/>
  <c r="B602" i="3" s="1"/>
  <c r="B603" i="3" s="1"/>
  <c r="B604" i="3" s="1"/>
  <c r="B605" i="3" s="1"/>
  <c r="B606" i="3" s="1"/>
  <c r="B607" i="3" s="1"/>
  <c r="B608" i="3" s="1"/>
  <c r="B609" i="3" s="1"/>
  <c r="B610" i="3" s="1"/>
  <c r="B611" i="3" s="1"/>
  <c r="B612" i="3" s="1"/>
  <c r="B613" i="3" s="1"/>
  <c r="B614" i="3" s="1"/>
  <c r="B615" i="3" s="1"/>
  <c r="B616" i="3" s="1"/>
  <c r="B617" i="3" s="1"/>
  <c r="B618" i="3" s="1"/>
  <c r="B619" i="3" s="1"/>
  <c r="B620" i="3" s="1"/>
  <c r="B621" i="3" s="1"/>
  <c r="B622" i="3" s="1"/>
  <c r="B623" i="3" s="1"/>
  <c r="B624" i="3" s="1"/>
  <c r="B625" i="3" s="1"/>
  <c r="B626" i="3" s="1"/>
  <c r="B627" i="3" s="1"/>
  <c r="B628" i="3" s="1"/>
  <c r="B629" i="3" s="1"/>
  <c r="B630" i="3" s="1"/>
  <c r="B631" i="3" s="1"/>
  <c r="B632" i="3" s="1"/>
  <c r="B633" i="3" s="1"/>
  <c r="B634" i="3" s="1"/>
  <c r="B635" i="3" s="1"/>
  <c r="B636" i="3" s="1"/>
  <c r="B637" i="3" s="1"/>
  <c r="B638" i="3" s="1"/>
  <c r="B639" i="3" s="1"/>
  <c r="B640" i="3" s="1"/>
  <c r="B641" i="3" s="1"/>
  <c r="B642" i="3" s="1"/>
  <c r="B643" i="3" s="1"/>
  <c r="B644" i="3" s="1"/>
  <c r="B645" i="3" s="1"/>
  <c r="B646" i="3" s="1"/>
  <c r="B647" i="3" s="1"/>
  <c r="B648" i="3" s="1"/>
  <c r="B649" i="3" s="1"/>
  <c r="B650" i="3" s="1"/>
  <c r="B651" i="3" s="1"/>
  <c r="B652" i="3" s="1"/>
  <c r="B653" i="3" s="1"/>
  <c r="B654" i="3" s="1"/>
  <c r="B655" i="3" s="1"/>
  <c r="B656" i="3" s="1"/>
  <c r="B657" i="3" s="1"/>
  <c r="B658" i="3" s="1"/>
  <c r="B659" i="3" s="1"/>
  <c r="B660" i="3" s="1"/>
  <c r="B661" i="3" s="1"/>
  <c r="B662" i="3" s="1"/>
  <c r="B663" i="3" s="1"/>
  <c r="B664" i="3" s="1"/>
  <c r="B665" i="3" s="1"/>
  <c r="B666" i="3" s="1"/>
  <c r="B667" i="3" s="1"/>
  <c r="B668" i="3" s="1"/>
  <c r="B669" i="3" s="1"/>
  <c r="B670" i="3" s="1"/>
  <c r="B671" i="3" s="1"/>
  <c r="B672" i="3" s="1"/>
  <c r="B673" i="3" s="1"/>
  <c r="B674" i="3" s="1"/>
  <c r="B675" i="3" s="1"/>
  <c r="B676" i="3" s="1"/>
  <c r="B677" i="3" s="1"/>
  <c r="B678" i="3" s="1"/>
  <c r="B679" i="3" s="1"/>
  <c r="B680" i="3" s="1"/>
  <c r="B681" i="3" s="1"/>
  <c r="B682" i="3" s="1"/>
  <c r="B683" i="3" s="1"/>
  <c r="B684" i="3" s="1"/>
  <c r="B685" i="3" s="1"/>
  <c r="B686" i="3" s="1"/>
  <c r="B687" i="3" s="1"/>
  <c r="B688" i="3" s="1"/>
  <c r="B689" i="3" s="1"/>
  <c r="B690" i="3" s="1"/>
  <c r="B691" i="3" s="1"/>
  <c r="B692" i="3" s="1"/>
  <c r="B693" i="3" s="1"/>
  <c r="B694" i="3" s="1"/>
  <c r="B695" i="3" s="1"/>
  <c r="B696" i="3" s="1"/>
  <c r="B697" i="3" s="1"/>
  <c r="B698" i="3" s="1"/>
  <c r="B699" i="3" s="1"/>
  <c r="B700" i="3" s="1"/>
  <c r="B701" i="3" s="1"/>
  <c r="B702" i="3" s="1"/>
  <c r="B703" i="3" s="1"/>
  <c r="B704" i="3" s="1"/>
  <c r="B705" i="3" s="1"/>
  <c r="B706" i="3" s="1"/>
  <c r="B707" i="3" s="1"/>
  <c r="B708" i="3" s="1"/>
  <c r="B709" i="3" s="1"/>
  <c r="B710" i="3" s="1"/>
  <c r="B711" i="3" s="1"/>
  <c r="B712" i="3" s="1"/>
  <c r="B713" i="3" s="1"/>
  <c r="B714" i="3" s="1"/>
  <c r="B715" i="3" s="1"/>
  <c r="B716" i="3" s="1"/>
  <c r="B717" i="3" s="1"/>
  <c r="B718" i="3" s="1"/>
  <c r="B719" i="3" s="1"/>
  <c r="B720" i="3" s="1"/>
  <c r="B721" i="3" s="1"/>
  <c r="B722" i="3" s="1"/>
  <c r="B723" i="3" s="1"/>
  <c r="B724" i="3" s="1"/>
  <c r="B725" i="3" s="1"/>
  <c r="B726" i="3" s="1"/>
  <c r="B727" i="3" s="1"/>
  <c r="B728" i="3" s="1"/>
  <c r="B729" i="3" s="1"/>
  <c r="B730" i="3" s="1"/>
  <c r="B731" i="3" s="1"/>
  <c r="B732" i="3" s="1"/>
  <c r="B733" i="3" s="1"/>
  <c r="B734" i="3" s="1"/>
  <c r="B735" i="3" s="1"/>
  <c r="B736" i="3" s="1"/>
  <c r="B737" i="3" s="1"/>
  <c r="B738" i="3" s="1"/>
  <c r="B739" i="3" s="1"/>
  <c r="B740" i="3" s="1"/>
  <c r="B741" i="3" s="1"/>
  <c r="B742" i="3" s="1"/>
  <c r="B743" i="3" s="1"/>
  <c r="B744" i="3" s="1"/>
  <c r="B745" i="3" s="1"/>
  <c r="B746" i="3" s="1"/>
  <c r="B747" i="3" s="1"/>
  <c r="B748" i="3" s="1"/>
  <c r="B749" i="3" s="1"/>
  <c r="B750" i="3" s="1"/>
  <c r="B751" i="3" s="1"/>
  <c r="B752" i="3" s="1"/>
  <c r="B753" i="3" s="1"/>
  <c r="B754" i="3" s="1"/>
  <c r="B755" i="3" s="1"/>
  <c r="B756" i="3" s="1"/>
  <c r="B757" i="3" s="1"/>
  <c r="B758" i="3" s="1"/>
  <c r="B759" i="3" s="1"/>
  <c r="B760" i="3" s="1"/>
  <c r="B761" i="3" s="1"/>
  <c r="B762" i="3" s="1"/>
  <c r="B763" i="3" s="1"/>
  <c r="B764" i="3" s="1"/>
  <c r="B765" i="3" s="1"/>
  <c r="B766" i="3" s="1"/>
  <c r="B767" i="3" s="1"/>
  <c r="B768" i="3" s="1"/>
  <c r="B769" i="3" s="1"/>
  <c r="B770" i="3" s="1"/>
  <c r="B771" i="3" s="1"/>
  <c r="B772" i="3" s="1"/>
  <c r="B773" i="3" s="1"/>
  <c r="B774" i="3" s="1"/>
  <c r="B775" i="3" s="1"/>
  <c r="B776" i="3" s="1"/>
  <c r="B777" i="3" s="1"/>
  <c r="B778" i="3" s="1"/>
  <c r="B779" i="3" s="1"/>
  <c r="B780" i="3" s="1"/>
  <c r="B781" i="3" s="1"/>
  <c r="B782" i="3" s="1"/>
  <c r="B783" i="3" s="1"/>
  <c r="B784" i="3" s="1"/>
  <c r="B785" i="3" s="1"/>
  <c r="B786" i="3" s="1"/>
  <c r="B787" i="3" s="1"/>
  <c r="B788" i="3" s="1"/>
  <c r="B789" i="3" s="1"/>
  <c r="B790" i="3" s="1"/>
  <c r="B791" i="3" s="1"/>
  <c r="B792" i="3" s="1"/>
  <c r="B793" i="3" s="1"/>
  <c r="B794" i="3" s="1"/>
  <c r="B795" i="3" s="1"/>
  <c r="B796" i="3" s="1"/>
  <c r="B797" i="3" s="1"/>
  <c r="B798" i="3" s="1"/>
  <c r="B799" i="3" s="1"/>
  <c r="B800" i="3" s="1"/>
  <c r="B801" i="3" s="1"/>
  <c r="B802" i="3" s="1"/>
  <c r="B803" i="3" s="1"/>
  <c r="B804" i="3" s="1"/>
  <c r="B805" i="3" s="1"/>
  <c r="B806" i="3" s="1"/>
  <c r="B807" i="3" s="1"/>
  <c r="B808" i="3" s="1"/>
  <c r="B809" i="3" s="1"/>
  <c r="B810" i="3" s="1"/>
  <c r="B811" i="3" s="1"/>
  <c r="B812" i="3" s="1"/>
  <c r="B813" i="3" s="1"/>
  <c r="B814" i="3" s="1"/>
  <c r="B815" i="3" s="1"/>
  <c r="B816" i="3" s="1"/>
  <c r="B817" i="3" s="1"/>
  <c r="B818" i="3" s="1"/>
  <c r="B819" i="3" s="1"/>
  <c r="B820" i="3" s="1"/>
  <c r="B821" i="3" s="1"/>
  <c r="B822" i="3" s="1"/>
  <c r="B823" i="3" s="1"/>
  <c r="B824" i="3" s="1"/>
  <c r="B825" i="3" s="1"/>
  <c r="B826" i="3" s="1"/>
  <c r="B827" i="3" s="1"/>
  <c r="B828" i="3" s="1"/>
  <c r="B829" i="3"/>
  <c r="B830" i="3" s="1"/>
  <c r="B831" i="3" s="1"/>
  <c r="B832" i="3" s="1"/>
  <c r="B833" i="3" s="1"/>
  <c r="B834" i="3" s="1"/>
  <c r="B835" i="3" s="1"/>
  <c r="B836" i="3" s="1"/>
  <c r="B837" i="3" s="1"/>
  <c r="B838" i="3" s="1"/>
  <c r="B839" i="3" s="1"/>
  <c r="B840" i="3" s="1"/>
  <c r="B841" i="3" s="1"/>
  <c r="B842" i="3" s="1"/>
  <c r="B843" i="3" s="1"/>
  <c r="B844" i="3" s="1"/>
  <c r="B845" i="3" s="1"/>
  <c r="B846" i="3" s="1"/>
  <c r="B847" i="3" s="1"/>
  <c r="B848" i="3" s="1"/>
  <c r="B849" i="3" s="1"/>
  <c r="B850" i="3" s="1"/>
  <c r="B851" i="3" s="1"/>
  <c r="B852" i="3" s="1"/>
  <c r="B853" i="3" s="1"/>
  <c r="B854" i="3" s="1"/>
  <c r="B855" i="3" s="1"/>
  <c r="B856" i="3" s="1"/>
  <c r="B857" i="3" s="1"/>
  <c r="B858" i="3" s="1"/>
  <c r="B859" i="3" s="1"/>
  <c r="B860" i="3" s="1"/>
  <c r="B861" i="3" s="1"/>
  <c r="B862" i="3" s="1"/>
  <c r="P909" i="3"/>
  <c r="E7" i="8"/>
  <c r="K7" i="8"/>
  <c r="E8" i="8"/>
  <c r="K8" i="8"/>
  <c r="E9" i="8"/>
  <c r="K9" i="8"/>
  <c r="E10" i="8"/>
  <c r="K10" i="8"/>
  <c r="E11" i="8"/>
  <c r="K11" i="8"/>
  <c r="E12" i="8"/>
  <c r="K12" i="8"/>
  <c r="E13" i="8"/>
  <c r="K13" i="8"/>
  <c r="E14" i="8"/>
  <c r="K14" i="8"/>
  <c r="E15" i="8"/>
  <c r="K15" i="8"/>
  <c r="E16" i="8"/>
  <c r="K16" i="8"/>
  <c r="S21" i="7"/>
  <c r="U21" i="7"/>
  <c r="R22" i="7"/>
  <c r="X21" i="7"/>
  <c r="AA21" i="7"/>
  <c r="N14" i="7"/>
  <c r="O14" i="7"/>
  <c r="M15" i="7"/>
  <c r="M16" i="7" s="1"/>
  <c r="D24" i="9"/>
  <c r="B24" i="9" s="1"/>
  <c r="F24" i="9"/>
  <c r="P20" i="7"/>
  <c r="U10" i="7"/>
  <c r="AA34" i="7"/>
  <c r="M21" i="7"/>
  <c r="O10" i="7"/>
  <c r="O20" i="7"/>
  <c r="H45" i="2"/>
  <c r="C31" i="2"/>
  <c r="A23" i="2"/>
  <c r="S22" i="7"/>
  <c r="T22" i="7"/>
  <c r="R23" i="7"/>
  <c r="X22" i="7"/>
  <c r="AA22" i="7"/>
  <c r="M22" i="7"/>
  <c r="N22" i="7" s="1"/>
  <c r="N21" i="7"/>
  <c r="P21" i="7" s="1"/>
  <c r="O21" i="7"/>
  <c r="AD22" i="7"/>
  <c r="D25" i="9"/>
  <c r="B25" i="9" s="1"/>
  <c r="F25" i="9"/>
  <c r="F26" i="9" s="1"/>
  <c r="N15" i="7"/>
  <c r="P15" i="7" s="1"/>
  <c r="O15" i="7"/>
  <c r="O22" i="7"/>
  <c r="M23" i="7"/>
  <c r="P22" i="7"/>
  <c r="O16" i="7"/>
  <c r="S23" i="7"/>
  <c r="D26" i="9"/>
  <c r="B26" i="9" s="1"/>
  <c r="U22" i="7"/>
  <c r="F27" i="9"/>
  <c r="D27" i="9"/>
  <c r="B27" i="9" s="1"/>
  <c r="D46" i="2"/>
  <c r="C11" i="3"/>
  <c r="G910" i="4"/>
  <c r="D865" i="3"/>
  <c r="Z14" i="11"/>
  <c r="AN22" i="2"/>
  <c r="E46" i="2"/>
  <c r="D47" i="2"/>
  <c r="E47" i="2"/>
  <c r="C48" i="2"/>
  <c r="AI872" i="3"/>
  <c r="AI863" i="3"/>
  <c r="AI868" i="3"/>
  <c r="AI887" i="3"/>
  <c r="AI882" i="3"/>
  <c r="D9" i="4"/>
  <c r="G22" i="4" s="1"/>
  <c r="C3" i="4"/>
  <c r="C49" i="2"/>
  <c r="D48" i="2"/>
  <c r="G48" i="2" s="1"/>
  <c r="E48" i="2"/>
  <c r="D49" i="2"/>
  <c r="H48" i="2"/>
  <c r="E34" i="3"/>
  <c r="E35" i="3" s="1"/>
  <c r="E36" i="3" s="1"/>
  <c r="E37" i="3" s="1"/>
  <c r="E38" i="3" s="1"/>
  <c r="E39" i="3" s="1"/>
  <c r="E40" i="3"/>
  <c r="E41" i="3" s="1"/>
  <c r="E42" i="3" s="1"/>
  <c r="E43" i="3" s="1"/>
  <c r="E44" i="3" s="1"/>
  <c r="E45" i="3" s="1"/>
  <c r="E46" i="3" s="1"/>
  <c r="E47" i="3" s="1"/>
  <c r="E48" i="3" s="1"/>
  <c r="E49" i="3" s="1"/>
  <c r="E50" i="3"/>
  <c r="E51" i="3" s="1"/>
  <c r="E52" i="3" s="1"/>
  <c r="E53" i="3" s="1"/>
  <c r="E54" i="3" s="1"/>
  <c r="E55" i="3" s="1"/>
  <c r="E56" i="3" s="1"/>
  <c r="E57" i="3" s="1"/>
  <c r="E58" i="3" s="1"/>
  <c r="E59" i="3" s="1"/>
  <c r="E60" i="3" s="1"/>
  <c r="E61" i="3" s="1"/>
  <c r="E62" i="3" s="1"/>
  <c r="E63" i="3" s="1"/>
  <c r="E64" i="3" s="1"/>
  <c r="E65" i="3" s="1"/>
  <c r="E66" i="3" s="1"/>
  <c r="E67" i="3" s="1"/>
  <c r="E68" i="3" s="1"/>
  <c r="E69" i="3" s="1"/>
  <c r="E70" i="3" s="1"/>
  <c r="E71" i="3" s="1"/>
  <c r="E72" i="3" s="1"/>
  <c r="E73" i="3" s="1"/>
  <c r="E74" i="3" s="1"/>
  <c r="E75" i="3" s="1"/>
  <c r="E76" i="3" s="1"/>
  <c r="E77" i="3" s="1"/>
  <c r="E78" i="3" s="1"/>
  <c r="E79" i="3" s="1"/>
  <c r="E80" i="3" s="1"/>
  <c r="E81" i="3" s="1"/>
  <c r="E82" i="3" s="1"/>
  <c r="E83" i="3" s="1"/>
  <c r="E84" i="3" s="1"/>
  <c r="E85" i="3" s="1"/>
  <c r="E86" i="3" s="1"/>
  <c r="E87" i="3" s="1"/>
  <c r="E88" i="3" s="1"/>
  <c r="E89" i="3" s="1"/>
  <c r="E90" i="3" s="1"/>
  <c r="E91" i="3" s="1"/>
  <c r="E92" i="3" s="1"/>
  <c r="E93" i="3" s="1"/>
  <c r="E94" i="3" s="1"/>
  <c r="E95" i="3" s="1"/>
  <c r="E96" i="3" s="1"/>
  <c r="E97" i="3" s="1"/>
  <c r="E98" i="3" s="1"/>
  <c r="E99" i="3" s="1"/>
  <c r="E100" i="3" s="1"/>
  <c r="E101" i="3" s="1"/>
  <c r="E102" i="3" s="1"/>
  <c r="E103" i="3" s="1"/>
  <c r="E104" i="3" s="1"/>
  <c r="E105" i="3" s="1"/>
  <c r="E106" i="3" s="1"/>
  <c r="E107" i="3" s="1"/>
  <c r="E108" i="3" s="1"/>
  <c r="E109" i="3" s="1"/>
  <c r="E110" i="3" s="1"/>
  <c r="E111" i="3" s="1"/>
  <c r="E112" i="3" s="1"/>
  <c r="E113" i="3" s="1"/>
  <c r="E114" i="3" s="1"/>
  <c r="E115" i="3" s="1"/>
  <c r="E116" i="3" s="1"/>
  <c r="E117" i="3" s="1"/>
  <c r="E118" i="3" s="1"/>
  <c r="E119" i="3" s="1"/>
  <c r="E120" i="3" s="1"/>
  <c r="E121" i="3" s="1"/>
  <c r="E122" i="3" s="1"/>
  <c r="E123" i="3" s="1"/>
  <c r="E124" i="3" s="1"/>
  <c r="E125" i="3" s="1"/>
  <c r="E126" i="3" s="1"/>
  <c r="E127" i="3" s="1"/>
  <c r="E128" i="3" s="1"/>
  <c r="E129" i="3" s="1"/>
  <c r="E130" i="3" s="1"/>
  <c r="E131" i="3" s="1"/>
  <c r="E132" i="3" s="1"/>
  <c r="E133" i="3" s="1"/>
  <c r="E134" i="3" s="1"/>
  <c r="E135" i="3" s="1"/>
  <c r="E136" i="3" s="1"/>
  <c r="E137" i="3" s="1"/>
  <c r="E138" i="3" s="1"/>
  <c r="E139" i="3" s="1"/>
  <c r="E140" i="3" s="1"/>
  <c r="E141" i="3" s="1"/>
  <c r="E142" i="3" s="1"/>
  <c r="E143" i="3" s="1"/>
  <c r="E144" i="3" s="1"/>
  <c r="E145" i="3" s="1"/>
  <c r="E146" i="3" s="1"/>
  <c r="E147" i="3" s="1"/>
  <c r="E148" i="3" s="1"/>
  <c r="E149" i="3" s="1"/>
  <c r="E150" i="3" s="1"/>
  <c r="E151" i="3" s="1"/>
  <c r="E152" i="3" s="1"/>
  <c r="E153" i="3" s="1"/>
  <c r="E154" i="3" s="1"/>
  <c r="E155" i="3" s="1"/>
  <c r="E156" i="3" s="1"/>
  <c r="E157" i="3" s="1"/>
  <c r="E158" i="3" s="1"/>
  <c r="E159" i="3" s="1"/>
  <c r="E160" i="3" s="1"/>
  <c r="E161" i="3" s="1"/>
  <c r="E162" i="3" s="1"/>
  <c r="E163" i="3" s="1"/>
  <c r="E164" i="3" s="1"/>
  <c r="E165" i="3" s="1"/>
  <c r="E166" i="3" s="1"/>
  <c r="E167" i="3" s="1"/>
  <c r="E168" i="3" s="1"/>
  <c r="E169" i="3" s="1"/>
  <c r="E170" i="3" s="1"/>
  <c r="E171" i="3" s="1"/>
  <c r="E172" i="3" s="1"/>
  <c r="E173" i="3" s="1"/>
  <c r="E174" i="3" s="1"/>
  <c r="E175" i="3" s="1"/>
  <c r="E176" i="3" s="1"/>
  <c r="E177" i="3" s="1"/>
  <c r="E178" i="3" s="1"/>
  <c r="E179" i="3" s="1"/>
  <c r="E180" i="3" s="1"/>
  <c r="E181" i="3" s="1"/>
  <c r="E182" i="3" s="1"/>
  <c r="E183" i="3" s="1"/>
  <c r="E184" i="3" s="1"/>
  <c r="E185" i="3" s="1"/>
  <c r="E186" i="3" s="1"/>
  <c r="E187" i="3" s="1"/>
  <c r="E188" i="3" s="1"/>
  <c r="E189" i="3" s="1"/>
  <c r="E190" i="3" s="1"/>
  <c r="E191" i="3" s="1"/>
  <c r="E192" i="3" s="1"/>
  <c r="E193" i="3" s="1"/>
  <c r="E194" i="3" s="1"/>
  <c r="E195" i="3" s="1"/>
  <c r="E196" i="3" s="1"/>
  <c r="E197" i="3" s="1"/>
  <c r="E198" i="3" s="1"/>
  <c r="E199" i="3" s="1"/>
  <c r="E200" i="3" s="1"/>
  <c r="E201" i="3" s="1"/>
  <c r="E202" i="3" s="1"/>
  <c r="E203" i="3" s="1"/>
  <c r="E204" i="3" s="1"/>
  <c r="E205" i="3" s="1"/>
  <c r="E206" i="3" s="1"/>
  <c r="E207" i="3" s="1"/>
  <c r="E208" i="3" s="1"/>
  <c r="E209" i="3" s="1"/>
  <c r="E210" i="3" s="1"/>
  <c r="E211" i="3" s="1"/>
  <c r="E212" i="3" s="1"/>
  <c r="E213" i="3" s="1"/>
  <c r="E214" i="3" s="1"/>
  <c r="E215" i="3" s="1"/>
  <c r="E216" i="3" s="1"/>
  <c r="E217" i="3" s="1"/>
  <c r="E218" i="3" s="1"/>
  <c r="E219" i="3" s="1"/>
  <c r="E220" i="3" s="1"/>
  <c r="E221" i="3" s="1"/>
  <c r="E222" i="3" s="1"/>
  <c r="E223" i="3" s="1"/>
  <c r="E224" i="3" s="1"/>
  <c r="E225" i="3" s="1"/>
  <c r="E226" i="3" s="1"/>
  <c r="E227" i="3" s="1"/>
  <c r="E228" i="3" s="1"/>
  <c r="E229" i="3" s="1"/>
  <c r="E230" i="3" s="1"/>
  <c r="E231" i="3" s="1"/>
  <c r="E232" i="3" s="1"/>
  <c r="E233" i="3" s="1"/>
  <c r="E234" i="3" s="1"/>
  <c r="E235" i="3" s="1"/>
  <c r="E236" i="3" s="1"/>
  <c r="E237" i="3" s="1"/>
  <c r="E238" i="3" s="1"/>
  <c r="E239" i="3" s="1"/>
  <c r="E240" i="3" s="1"/>
  <c r="E241" i="3" s="1"/>
  <c r="E242" i="3" s="1"/>
  <c r="E243" i="3" s="1"/>
  <c r="E244" i="3" s="1"/>
  <c r="E245" i="3" s="1"/>
  <c r="E246" i="3" s="1"/>
  <c r="E247" i="3" s="1"/>
  <c r="E248" i="3" s="1"/>
  <c r="E249" i="3" s="1"/>
  <c r="E250" i="3" s="1"/>
  <c r="E251" i="3" s="1"/>
  <c r="E252" i="3" s="1"/>
  <c r="E253" i="3" s="1"/>
  <c r="E254" i="3" s="1"/>
  <c r="E255" i="3" s="1"/>
  <c r="E256" i="3" s="1"/>
  <c r="E257" i="3" s="1"/>
  <c r="E258" i="3" s="1"/>
  <c r="E259" i="3" s="1"/>
  <c r="E260" i="3" s="1"/>
  <c r="E261" i="3" s="1"/>
  <c r="E262" i="3" s="1"/>
  <c r="E263" i="3" s="1"/>
  <c r="E264" i="3" s="1"/>
  <c r="E265" i="3" s="1"/>
  <c r="E266" i="3" s="1"/>
  <c r="E267" i="3" s="1"/>
  <c r="E268" i="3" s="1"/>
  <c r="E269" i="3" s="1"/>
  <c r="E270" i="3" s="1"/>
  <c r="E271" i="3" s="1"/>
  <c r="E272" i="3" s="1"/>
  <c r="E273" i="3" s="1"/>
  <c r="E274" i="3" s="1"/>
  <c r="E275" i="3" s="1"/>
  <c r="E276" i="3" s="1"/>
  <c r="E277" i="3" s="1"/>
  <c r="E278" i="3" s="1"/>
  <c r="E279" i="3" s="1"/>
  <c r="E280" i="3" s="1"/>
  <c r="E281" i="3" s="1"/>
  <c r="E282" i="3" s="1"/>
  <c r="E283" i="3" s="1"/>
  <c r="E284" i="3" s="1"/>
  <c r="E285" i="3" s="1"/>
  <c r="E286" i="3" s="1"/>
  <c r="E287" i="3" s="1"/>
  <c r="E288" i="3" s="1"/>
  <c r="E289" i="3" s="1"/>
  <c r="E290" i="3" s="1"/>
  <c r="E291" i="3" s="1"/>
  <c r="E292" i="3" s="1"/>
  <c r="E293" i="3" s="1"/>
  <c r="E294" i="3" s="1"/>
  <c r="E295" i="3" s="1"/>
  <c r="E296" i="3" s="1"/>
  <c r="E297" i="3" s="1"/>
  <c r="E298" i="3" s="1"/>
  <c r="E299" i="3" s="1"/>
  <c r="E300" i="3" s="1"/>
  <c r="E301" i="3" s="1"/>
  <c r="E302" i="3" s="1"/>
  <c r="E303" i="3" s="1"/>
  <c r="E304" i="3" s="1"/>
  <c r="E305" i="3" s="1"/>
  <c r="E306" i="3" s="1"/>
  <c r="E307" i="3" s="1"/>
  <c r="E308" i="3" s="1"/>
  <c r="E309" i="3" s="1"/>
  <c r="E310" i="3" s="1"/>
  <c r="E311" i="3" s="1"/>
  <c r="E312" i="3" s="1"/>
  <c r="E313" i="3" s="1"/>
  <c r="E314" i="3" s="1"/>
  <c r="E315" i="3" s="1"/>
  <c r="E316" i="3" s="1"/>
  <c r="E317" i="3" s="1"/>
  <c r="E318" i="3" s="1"/>
  <c r="E319" i="3" s="1"/>
  <c r="E320" i="3" s="1"/>
  <c r="E321" i="3" s="1"/>
  <c r="E322" i="3" s="1"/>
  <c r="E323" i="3" s="1"/>
  <c r="E324" i="3" s="1"/>
  <c r="E325" i="3" s="1"/>
  <c r="E326" i="3" s="1"/>
  <c r="E327" i="3" s="1"/>
  <c r="E328" i="3" s="1"/>
  <c r="E329" i="3" s="1"/>
  <c r="E330" i="3" s="1"/>
  <c r="E331" i="3" s="1"/>
  <c r="E332" i="3" s="1"/>
  <c r="E333" i="3" s="1"/>
  <c r="E334" i="3" s="1"/>
  <c r="E335" i="3" s="1"/>
  <c r="E336" i="3" s="1"/>
  <c r="E337" i="3" s="1"/>
  <c r="E338" i="3" s="1"/>
  <c r="E339" i="3" s="1"/>
  <c r="E340" i="3" s="1"/>
  <c r="E341" i="3" s="1"/>
  <c r="E342" i="3" s="1"/>
  <c r="E343" i="3" s="1"/>
  <c r="E344" i="3" s="1"/>
  <c r="E345" i="3" s="1"/>
  <c r="E346" i="3" s="1"/>
  <c r="E347" i="3" s="1"/>
  <c r="E348" i="3" s="1"/>
  <c r="E349" i="3" s="1"/>
  <c r="E350" i="3" s="1"/>
  <c r="E351" i="3" s="1"/>
  <c r="E352" i="3" s="1"/>
  <c r="E353" i="3" s="1"/>
  <c r="E354" i="3" s="1"/>
  <c r="E355" i="3" s="1"/>
  <c r="E356" i="3" s="1"/>
  <c r="E357" i="3" s="1"/>
  <c r="E358" i="3" s="1"/>
  <c r="E359" i="3" s="1"/>
  <c r="E360" i="3" s="1"/>
  <c r="E361" i="3" s="1"/>
  <c r="E362" i="3" s="1"/>
  <c r="E363" i="3" s="1"/>
  <c r="E364" i="3" s="1"/>
  <c r="E365" i="3" s="1"/>
  <c r="E366" i="3" s="1"/>
  <c r="E367" i="3" s="1"/>
  <c r="E368" i="3" s="1"/>
  <c r="E369" i="3" s="1"/>
  <c r="E370" i="3" s="1"/>
  <c r="E371" i="3" s="1"/>
  <c r="E372" i="3" s="1"/>
  <c r="E373" i="3" s="1"/>
  <c r="E374" i="3" s="1"/>
  <c r="E375" i="3" s="1"/>
  <c r="E376" i="3" s="1"/>
  <c r="E377" i="3" s="1"/>
  <c r="E378" i="3" s="1"/>
  <c r="E379" i="3" s="1"/>
  <c r="E380" i="3" s="1"/>
  <c r="E381" i="3" s="1"/>
  <c r="E382" i="3" s="1"/>
  <c r="E383" i="3" s="1"/>
  <c r="E384" i="3" s="1"/>
  <c r="E385" i="3" s="1"/>
  <c r="E386" i="3" s="1"/>
  <c r="E387" i="3" s="1"/>
  <c r="E388" i="3" s="1"/>
  <c r="E389" i="3" s="1"/>
  <c r="E390" i="3" s="1"/>
  <c r="E391" i="3" s="1"/>
  <c r="E392" i="3" s="1"/>
  <c r="E393" i="3" s="1"/>
  <c r="E394" i="3" s="1"/>
  <c r="E395" i="3" s="1"/>
  <c r="E396" i="3" s="1"/>
  <c r="E397" i="3" s="1"/>
  <c r="E398" i="3" s="1"/>
  <c r="E399" i="3" s="1"/>
  <c r="E400" i="3" s="1"/>
  <c r="E401" i="3" s="1"/>
  <c r="E402" i="3" s="1"/>
  <c r="E403" i="3" s="1"/>
  <c r="E404" i="3" s="1"/>
  <c r="E405" i="3" s="1"/>
  <c r="E406" i="3" s="1"/>
  <c r="E407" i="3" s="1"/>
  <c r="E408" i="3" s="1"/>
  <c r="E409" i="3" s="1"/>
  <c r="E410" i="3" s="1"/>
  <c r="E411" i="3" s="1"/>
  <c r="E412" i="3" s="1"/>
  <c r="E413" i="3" s="1"/>
  <c r="E414" i="3" s="1"/>
  <c r="E415" i="3" s="1"/>
  <c r="E416" i="3" s="1"/>
  <c r="E417" i="3" s="1"/>
  <c r="E418" i="3" s="1"/>
  <c r="E419" i="3" s="1"/>
  <c r="E420" i="3" s="1"/>
  <c r="E421" i="3" s="1"/>
  <c r="E422" i="3" s="1"/>
  <c r="E423" i="3" s="1"/>
  <c r="E424" i="3" s="1"/>
  <c r="E425" i="3" s="1"/>
  <c r="E426" i="3" s="1"/>
  <c r="E427" i="3" s="1"/>
  <c r="E428" i="3" s="1"/>
  <c r="E429" i="3" s="1"/>
  <c r="E430" i="3" s="1"/>
  <c r="E431" i="3" s="1"/>
  <c r="E432" i="3" s="1"/>
  <c r="E433" i="3" s="1"/>
  <c r="E434" i="3" s="1"/>
  <c r="E435" i="3" s="1"/>
  <c r="E436" i="3" s="1"/>
  <c r="E437" i="3" s="1"/>
  <c r="E438" i="3" s="1"/>
  <c r="E439" i="3" s="1"/>
  <c r="E440" i="3" s="1"/>
  <c r="E441" i="3" s="1"/>
  <c r="E442" i="3" s="1"/>
  <c r="E443" i="3" s="1"/>
  <c r="E444" i="3" s="1"/>
  <c r="E445" i="3" s="1"/>
  <c r="E446" i="3" s="1"/>
  <c r="E447" i="3" s="1"/>
  <c r="E448" i="3" s="1"/>
  <c r="E449" i="3" s="1"/>
  <c r="E450" i="3" s="1"/>
  <c r="E451" i="3" s="1"/>
  <c r="E452" i="3" s="1"/>
  <c r="E453" i="3" s="1"/>
  <c r="E454" i="3" s="1"/>
  <c r="E455" i="3" s="1"/>
  <c r="E456" i="3" s="1"/>
  <c r="E457" i="3" s="1"/>
  <c r="E458" i="3" s="1"/>
  <c r="E459" i="3" s="1"/>
  <c r="E460" i="3" s="1"/>
  <c r="E461" i="3" s="1"/>
  <c r="E462" i="3" s="1"/>
  <c r="E463" i="3" s="1"/>
  <c r="E464" i="3" s="1"/>
  <c r="E465" i="3" s="1"/>
  <c r="E466" i="3" s="1"/>
  <c r="E467" i="3" s="1"/>
  <c r="E468" i="3" s="1"/>
  <c r="E469" i="3" s="1"/>
  <c r="E470" i="3" s="1"/>
  <c r="E471" i="3" s="1"/>
  <c r="E472" i="3" s="1"/>
  <c r="E473" i="3" s="1"/>
  <c r="E474" i="3" s="1"/>
  <c r="E475" i="3" s="1"/>
  <c r="E476" i="3" s="1"/>
  <c r="E477" i="3" s="1"/>
  <c r="E478" i="3" s="1"/>
  <c r="E479" i="3" s="1"/>
  <c r="E480" i="3" s="1"/>
  <c r="E481" i="3" s="1"/>
  <c r="E482" i="3" s="1"/>
  <c r="E483" i="3" s="1"/>
  <c r="E484" i="3" s="1"/>
  <c r="E485" i="3" s="1"/>
  <c r="E486" i="3" s="1"/>
  <c r="E487" i="3" s="1"/>
  <c r="E488" i="3" s="1"/>
  <c r="E489" i="3" s="1"/>
  <c r="E490" i="3" s="1"/>
  <c r="E491" i="3" s="1"/>
  <c r="E492" i="3" s="1"/>
  <c r="E493" i="3" s="1"/>
  <c r="E494" i="3" s="1"/>
  <c r="E495" i="3" s="1"/>
  <c r="E496" i="3" s="1"/>
  <c r="E497" i="3" s="1"/>
  <c r="E498" i="3" s="1"/>
  <c r="E499" i="3" s="1"/>
  <c r="E500" i="3" s="1"/>
  <c r="E501" i="3" s="1"/>
  <c r="E502" i="3" s="1"/>
  <c r="E503" i="3" s="1"/>
  <c r="E504" i="3" s="1"/>
  <c r="E505" i="3" s="1"/>
  <c r="E506" i="3" s="1"/>
  <c r="E507" i="3" s="1"/>
  <c r="E508" i="3" s="1"/>
  <c r="E509" i="3" s="1"/>
  <c r="E510" i="3" s="1"/>
  <c r="E511" i="3" s="1"/>
  <c r="E512" i="3" s="1"/>
  <c r="E513" i="3" s="1"/>
  <c r="E514" i="3" s="1"/>
  <c r="E515" i="3" s="1"/>
  <c r="E516" i="3" s="1"/>
  <c r="E517" i="3" s="1"/>
  <c r="E518" i="3" s="1"/>
  <c r="E519" i="3" s="1"/>
  <c r="E520" i="3" s="1"/>
  <c r="E521" i="3" s="1"/>
  <c r="E522" i="3" s="1"/>
  <c r="E523" i="3" s="1"/>
  <c r="E524" i="3" s="1"/>
  <c r="E525" i="3" s="1"/>
  <c r="E526" i="3" s="1"/>
  <c r="E527" i="3" s="1"/>
  <c r="E528" i="3" s="1"/>
  <c r="E529" i="3" s="1"/>
  <c r="E530" i="3" s="1"/>
  <c r="E531" i="3" s="1"/>
  <c r="E532" i="3" s="1"/>
  <c r="E533" i="3" s="1"/>
  <c r="E534" i="3" s="1"/>
  <c r="E535" i="3" s="1"/>
  <c r="E536" i="3" s="1"/>
  <c r="E537" i="3" s="1"/>
  <c r="E538" i="3" s="1"/>
  <c r="E539" i="3" s="1"/>
  <c r="E540" i="3" s="1"/>
  <c r="E541" i="3" s="1"/>
  <c r="E542" i="3" s="1"/>
  <c r="E543" i="3" s="1"/>
  <c r="E544" i="3" s="1"/>
  <c r="E545" i="3" s="1"/>
  <c r="E546" i="3" s="1"/>
  <c r="E547" i="3" s="1"/>
  <c r="E548" i="3" s="1"/>
  <c r="E549" i="3" s="1"/>
  <c r="E550" i="3" s="1"/>
  <c r="E551" i="3" s="1"/>
  <c r="E552" i="3" s="1"/>
  <c r="E553" i="3" s="1"/>
  <c r="E554" i="3" s="1"/>
  <c r="E555" i="3" s="1"/>
  <c r="E556" i="3" s="1"/>
  <c r="E557" i="3" s="1"/>
  <c r="E558" i="3" s="1"/>
  <c r="E559" i="3" s="1"/>
  <c r="E560" i="3" s="1"/>
  <c r="E561" i="3" s="1"/>
  <c r="E562" i="3" s="1"/>
  <c r="E563" i="3" s="1"/>
  <c r="E564" i="3" s="1"/>
  <c r="E565" i="3" s="1"/>
  <c r="E566" i="3" s="1"/>
  <c r="E567" i="3" s="1"/>
  <c r="E568" i="3" s="1"/>
  <c r="E569" i="3" s="1"/>
  <c r="E570" i="3" s="1"/>
  <c r="E571" i="3" s="1"/>
  <c r="E572" i="3" s="1"/>
  <c r="E573" i="3" s="1"/>
  <c r="E574" i="3" s="1"/>
  <c r="E575" i="3" s="1"/>
  <c r="E576" i="3" s="1"/>
  <c r="E577" i="3" s="1"/>
  <c r="E578" i="3" s="1"/>
  <c r="E579" i="3" s="1"/>
  <c r="E580" i="3" s="1"/>
  <c r="E581" i="3" s="1"/>
  <c r="E582" i="3" s="1"/>
  <c r="E583" i="3" s="1"/>
  <c r="E584" i="3" s="1"/>
  <c r="E585" i="3" s="1"/>
  <c r="E586" i="3" s="1"/>
  <c r="E587" i="3" s="1"/>
  <c r="E588" i="3" s="1"/>
  <c r="E589" i="3" s="1"/>
  <c r="E590" i="3" s="1"/>
  <c r="E591" i="3" s="1"/>
  <c r="E592" i="3" s="1"/>
  <c r="E593" i="3" s="1"/>
  <c r="E594" i="3" s="1"/>
  <c r="E595" i="3" s="1"/>
  <c r="E596" i="3" s="1"/>
  <c r="E597" i="3" s="1"/>
  <c r="E598" i="3" s="1"/>
  <c r="E599" i="3" s="1"/>
  <c r="E600" i="3" s="1"/>
  <c r="E601" i="3" s="1"/>
  <c r="E602" i="3" s="1"/>
  <c r="E603" i="3" s="1"/>
  <c r="E604" i="3" s="1"/>
  <c r="E605" i="3" s="1"/>
  <c r="E606" i="3" s="1"/>
  <c r="E607" i="3" s="1"/>
  <c r="E608" i="3" s="1"/>
  <c r="E609" i="3" s="1"/>
  <c r="E610" i="3" s="1"/>
  <c r="E611" i="3" s="1"/>
  <c r="E612" i="3" s="1"/>
  <c r="E613" i="3" s="1"/>
  <c r="E614" i="3" s="1"/>
  <c r="E615" i="3" s="1"/>
  <c r="E616" i="3" s="1"/>
  <c r="E617" i="3" s="1"/>
  <c r="E618" i="3" s="1"/>
  <c r="E619" i="3" s="1"/>
  <c r="E620" i="3" s="1"/>
  <c r="E621" i="3" s="1"/>
  <c r="E622" i="3" s="1"/>
  <c r="E623" i="3" s="1"/>
  <c r="E624" i="3" s="1"/>
  <c r="E625" i="3" s="1"/>
  <c r="E626" i="3" s="1"/>
  <c r="E627" i="3" s="1"/>
  <c r="E628" i="3" s="1"/>
  <c r="E629" i="3" s="1"/>
  <c r="E630" i="3" s="1"/>
  <c r="E631" i="3" s="1"/>
  <c r="E632" i="3" s="1"/>
  <c r="E633" i="3" s="1"/>
  <c r="E634" i="3" s="1"/>
  <c r="E635" i="3" s="1"/>
  <c r="E636" i="3" s="1"/>
  <c r="E637" i="3" s="1"/>
  <c r="E638" i="3" s="1"/>
  <c r="E639" i="3" s="1"/>
  <c r="E640" i="3" s="1"/>
  <c r="E641" i="3" s="1"/>
  <c r="E642" i="3" s="1"/>
  <c r="E643" i="3" s="1"/>
  <c r="E644" i="3" s="1"/>
  <c r="E645" i="3" s="1"/>
  <c r="E646" i="3" s="1"/>
  <c r="E647" i="3" s="1"/>
  <c r="E648" i="3" s="1"/>
  <c r="E649" i="3" s="1"/>
  <c r="E650" i="3" s="1"/>
  <c r="E651" i="3" s="1"/>
  <c r="E652" i="3" s="1"/>
  <c r="E653" i="3" s="1"/>
  <c r="E654" i="3" s="1"/>
  <c r="E655" i="3" s="1"/>
  <c r="E656" i="3" s="1"/>
  <c r="E657" i="3" s="1"/>
  <c r="E658" i="3" s="1"/>
  <c r="E659" i="3" s="1"/>
  <c r="E660" i="3" s="1"/>
  <c r="E661" i="3" s="1"/>
  <c r="E662" i="3" s="1"/>
  <c r="E663" i="3" s="1"/>
  <c r="E664" i="3" s="1"/>
  <c r="E665" i="3" s="1"/>
  <c r="E666" i="3" s="1"/>
  <c r="E667" i="3" s="1"/>
  <c r="E668" i="3" s="1"/>
  <c r="E669" i="3" s="1"/>
  <c r="E670" i="3" s="1"/>
  <c r="E671" i="3" s="1"/>
  <c r="E672" i="3" s="1"/>
  <c r="E673" i="3" s="1"/>
  <c r="E674" i="3" s="1"/>
  <c r="E675" i="3" s="1"/>
  <c r="E676" i="3" s="1"/>
  <c r="E677" i="3" s="1"/>
  <c r="E678" i="3" s="1"/>
  <c r="E679" i="3" s="1"/>
  <c r="E680" i="3" s="1"/>
  <c r="E681" i="3" s="1"/>
  <c r="E682" i="3" s="1"/>
  <c r="E683" i="3" s="1"/>
  <c r="E684" i="3" s="1"/>
  <c r="E685" i="3" s="1"/>
  <c r="E686" i="3" s="1"/>
  <c r="E687" i="3" s="1"/>
  <c r="E688" i="3" s="1"/>
  <c r="E689" i="3" s="1"/>
  <c r="E690" i="3" s="1"/>
  <c r="E691" i="3" s="1"/>
  <c r="E692" i="3" s="1"/>
  <c r="E693" i="3" s="1"/>
  <c r="E694" i="3" s="1"/>
  <c r="E695" i="3" s="1"/>
  <c r="E696" i="3" s="1"/>
  <c r="E697" i="3" s="1"/>
  <c r="E698" i="3" s="1"/>
  <c r="E699" i="3" s="1"/>
  <c r="E700" i="3" s="1"/>
  <c r="E701" i="3" s="1"/>
  <c r="E702" i="3" s="1"/>
  <c r="E703" i="3" s="1"/>
  <c r="E704" i="3" s="1"/>
  <c r="E705" i="3" s="1"/>
  <c r="E706" i="3" s="1"/>
  <c r="E707" i="3" s="1"/>
  <c r="E708" i="3" s="1"/>
  <c r="E709" i="3" s="1"/>
  <c r="E710" i="3" s="1"/>
  <c r="E711" i="3" s="1"/>
  <c r="E712" i="3" s="1"/>
  <c r="E713" i="3" s="1"/>
  <c r="E714" i="3" s="1"/>
  <c r="E715" i="3" s="1"/>
  <c r="E716" i="3" s="1"/>
  <c r="E717" i="3" s="1"/>
  <c r="E718" i="3" s="1"/>
  <c r="E719" i="3" s="1"/>
  <c r="E720" i="3" s="1"/>
  <c r="E721" i="3" s="1"/>
  <c r="E722" i="3" s="1"/>
  <c r="E723" i="3" s="1"/>
  <c r="E724" i="3" s="1"/>
  <c r="E725" i="3" s="1"/>
  <c r="E726" i="3" s="1"/>
  <c r="E727" i="3" s="1"/>
  <c r="E728" i="3" s="1"/>
  <c r="E729" i="3" s="1"/>
  <c r="E730" i="3" s="1"/>
  <c r="E731" i="3" s="1"/>
  <c r="E732" i="3" s="1"/>
  <c r="E733" i="3" s="1"/>
  <c r="E734" i="3" s="1"/>
  <c r="E735" i="3" s="1"/>
  <c r="E736" i="3" s="1"/>
  <c r="E737" i="3" s="1"/>
  <c r="E738" i="3" s="1"/>
  <c r="E739" i="3" s="1"/>
  <c r="E740" i="3" s="1"/>
  <c r="E741" i="3" s="1"/>
  <c r="E742" i="3" s="1"/>
  <c r="E743" i="3" s="1"/>
  <c r="E744" i="3" s="1"/>
  <c r="E745" i="3" s="1"/>
  <c r="E746" i="3" s="1"/>
  <c r="E747" i="3" s="1"/>
  <c r="E748" i="3" s="1"/>
  <c r="E749" i="3" s="1"/>
  <c r="E750" i="3" s="1"/>
  <c r="E751" i="3" s="1"/>
  <c r="E752" i="3" s="1"/>
  <c r="E753" i="3" s="1"/>
  <c r="E754" i="3" s="1"/>
  <c r="E755" i="3" s="1"/>
  <c r="E756" i="3" s="1"/>
  <c r="E757" i="3" s="1"/>
  <c r="E758" i="3" s="1"/>
  <c r="E759" i="3" s="1"/>
  <c r="E760" i="3" s="1"/>
  <c r="E761" i="3" s="1"/>
  <c r="E762" i="3" s="1"/>
  <c r="E763" i="3" s="1"/>
  <c r="E764" i="3" s="1"/>
  <c r="E765" i="3" s="1"/>
  <c r="E766" i="3" s="1"/>
  <c r="E767" i="3" s="1"/>
  <c r="E768" i="3" s="1"/>
  <c r="E769" i="3" s="1"/>
  <c r="E770" i="3" s="1"/>
  <c r="E771" i="3" s="1"/>
  <c r="E772" i="3" s="1"/>
  <c r="E773" i="3" s="1"/>
  <c r="E774" i="3" s="1"/>
  <c r="E775" i="3" s="1"/>
  <c r="E776" i="3" s="1"/>
  <c r="E777" i="3" s="1"/>
  <c r="E778" i="3" s="1"/>
  <c r="E779" i="3" s="1"/>
  <c r="E780" i="3" s="1"/>
  <c r="E781" i="3" s="1"/>
  <c r="E782" i="3" s="1"/>
  <c r="E783" i="3" s="1"/>
  <c r="E784" i="3" s="1"/>
  <c r="E785" i="3" s="1"/>
  <c r="E786" i="3" s="1"/>
  <c r="E787" i="3" s="1"/>
  <c r="E788" i="3" s="1"/>
  <c r="E789" i="3" s="1"/>
  <c r="E790" i="3" s="1"/>
  <c r="E791" i="3" s="1"/>
  <c r="E792" i="3" s="1"/>
  <c r="E793" i="3" s="1"/>
  <c r="E794" i="3" s="1"/>
  <c r="E795" i="3" s="1"/>
  <c r="E796" i="3" s="1"/>
  <c r="E797" i="3" s="1"/>
  <c r="E798" i="3" s="1"/>
  <c r="E799" i="3" s="1"/>
  <c r="E800" i="3" s="1"/>
  <c r="E801" i="3" s="1"/>
  <c r="E802" i="3" s="1"/>
  <c r="E803" i="3" s="1"/>
  <c r="E804" i="3" s="1"/>
  <c r="E805" i="3" s="1"/>
  <c r="E806" i="3" s="1"/>
  <c r="E807" i="3" s="1"/>
  <c r="E808" i="3" s="1"/>
  <c r="E809" i="3" s="1"/>
  <c r="E810" i="3" s="1"/>
  <c r="E811" i="3" s="1"/>
  <c r="E812" i="3" s="1"/>
  <c r="E813" i="3" s="1"/>
  <c r="E814" i="3" s="1"/>
  <c r="E815" i="3" s="1"/>
  <c r="E816" i="3" s="1"/>
  <c r="E817" i="3" s="1"/>
  <c r="E818" i="3" s="1"/>
  <c r="E819" i="3" s="1"/>
  <c r="E820" i="3" s="1"/>
  <c r="E821" i="3" s="1"/>
  <c r="E822" i="3" s="1"/>
  <c r="E823" i="3" s="1"/>
  <c r="E824" i="3" s="1"/>
  <c r="E825" i="3" s="1"/>
  <c r="E826" i="3" s="1"/>
  <c r="E827" i="3" s="1"/>
  <c r="E828" i="3" s="1"/>
  <c r="E829" i="3" s="1"/>
  <c r="E830" i="3" s="1"/>
  <c r="E831" i="3" s="1"/>
  <c r="E832" i="3" s="1"/>
  <c r="E833" i="3" s="1"/>
  <c r="E834" i="3" s="1"/>
  <c r="E835" i="3" s="1"/>
  <c r="E836" i="3" s="1"/>
  <c r="E837" i="3" s="1"/>
  <c r="E838" i="3" s="1"/>
  <c r="E839" i="3" s="1"/>
  <c r="E840" i="3" s="1"/>
  <c r="E841" i="3" s="1"/>
  <c r="E842" i="3" s="1"/>
  <c r="E843" i="3" s="1"/>
  <c r="E844" i="3" s="1"/>
  <c r="E845" i="3" s="1"/>
  <c r="E846" i="3" s="1"/>
  <c r="E847" i="3" s="1"/>
  <c r="E848" i="3" s="1"/>
  <c r="E849" i="3" s="1"/>
  <c r="E850" i="3" s="1"/>
  <c r="E851" i="3" s="1"/>
  <c r="E852" i="3" s="1"/>
  <c r="E853" i="3" s="1"/>
  <c r="E854" i="3" s="1"/>
  <c r="E855" i="3" s="1"/>
  <c r="E856" i="3" s="1"/>
  <c r="E857" i="3" s="1"/>
  <c r="E858" i="3" s="1"/>
  <c r="E859" i="3" s="1"/>
  <c r="E860" i="3" s="1"/>
  <c r="E861" i="3" s="1"/>
  <c r="E862" i="3" s="1"/>
  <c r="U23" i="7" l="1"/>
  <c r="AI890" i="3"/>
  <c r="AI894" i="3"/>
  <c r="AI892" i="3"/>
  <c r="AI898" i="3"/>
  <c r="AI876" i="3"/>
  <c r="AI901" i="3"/>
  <c r="AI870" i="3"/>
  <c r="AI902" i="3"/>
  <c r="AI883" i="3"/>
  <c r="AI871" i="3"/>
  <c r="AI904" i="3"/>
  <c r="AI877" i="3"/>
  <c r="AI874" i="3"/>
  <c r="AI899" i="3"/>
  <c r="AI880" i="3"/>
  <c r="AI881" i="3"/>
  <c r="AI885" i="3"/>
  <c r="AI864" i="3"/>
  <c r="AI869" i="3"/>
  <c r="AI907" i="3"/>
  <c r="AI879" i="3"/>
  <c r="AI889" i="3"/>
  <c r="AI891" i="3"/>
  <c r="AI896" i="3"/>
  <c r="AI893" i="3"/>
  <c r="C17" i="3"/>
  <c r="AI905" i="3"/>
  <c r="AI884" i="3"/>
  <c r="AI867" i="3"/>
  <c r="AI865" i="3"/>
  <c r="AI886" i="3"/>
  <c r="AI900" i="3"/>
  <c r="AI895" i="3"/>
  <c r="AI888" i="3"/>
  <c r="AI866" i="3"/>
  <c r="AI908" i="3"/>
  <c r="AI875" i="3"/>
  <c r="AI906" i="3"/>
  <c r="AI878" i="3"/>
  <c r="AI897" i="3"/>
  <c r="AI873" i="3"/>
  <c r="AI909" i="3"/>
  <c r="AI903" i="3"/>
  <c r="J28" i="3"/>
  <c r="F29" i="3"/>
  <c r="Z20" i="11"/>
  <c r="AA14" i="11"/>
  <c r="AA20" i="11" s="1"/>
  <c r="G46" i="2"/>
  <c r="H46" i="2"/>
  <c r="C50" i="2"/>
  <c r="E49" i="2"/>
  <c r="H47" i="2"/>
  <c r="G47" i="2"/>
  <c r="AG23" i="7"/>
  <c r="AD23" i="7"/>
  <c r="AA23" i="7"/>
  <c r="T23" i="7"/>
  <c r="X23" i="7"/>
  <c r="R24" i="7"/>
  <c r="AN27" i="2"/>
  <c r="AO36" i="2" s="1"/>
  <c r="AN30" i="2"/>
  <c r="AO39" i="2" s="1"/>
  <c r="AN25" i="2"/>
  <c r="AO34" i="2" s="1"/>
  <c r="AN21" i="2"/>
  <c r="AO32" i="2" s="1"/>
  <c r="AN29" i="2"/>
  <c r="AO38" i="2" s="1"/>
  <c r="AN24" i="2"/>
  <c r="AO33" i="2" s="1"/>
  <c r="AN28" i="2"/>
  <c r="AO37" i="2" s="1"/>
  <c r="AN26" i="2"/>
  <c r="AO35" i="2" s="1"/>
  <c r="C35" i="2" s="1"/>
  <c r="AN23" i="2"/>
  <c r="O23" i="7"/>
  <c r="M24" i="7"/>
  <c r="N23" i="7"/>
  <c r="P23" i="7" s="1"/>
  <c r="P14" i="7"/>
  <c r="M17" i="7"/>
  <c r="N16" i="7"/>
  <c r="P16" i="7" s="1"/>
  <c r="N34" i="7"/>
  <c r="O34" i="7"/>
  <c r="M35" i="7"/>
  <c r="AG58" i="7"/>
  <c r="AJ23" i="7"/>
  <c r="X58" i="7"/>
  <c r="U57" i="7"/>
  <c r="R36" i="7"/>
  <c r="AA35" i="7"/>
  <c r="S35" i="7"/>
  <c r="U35" i="7" s="1"/>
  <c r="AD20" i="7"/>
  <c r="R16" i="7"/>
  <c r="AA15" i="7"/>
  <c r="S15" i="7"/>
  <c r="U15" i="7" s="1"/>
  <c r="AG15" i="7"/>
  <c r="AA14" i="7"/>
  <c r="N10" i="7"/>
  <c r="P10" i="7" s="1"/>
  <c r="M11" i="7"/>
  <c r="AD35" i="7"/>
  <c r="AD15" i="7"/>
  <c r="P13" i="7"/>
  <c r="AA9" i="7"/>
  <c r="C23" i="2"/>
  <c r="A19" i="2"/>
  <c r="C32" i="2"/>
  <c r="C33" i="2" s="1"/>
  <c r="R58" i="7"/>
  <c r="M44" i="7"/>
  <c r="R11" i="7"/>
  <c r="AD10" i="7"/>
  <c r="S11" i="7" l="1"/>
  <c r="X11" i="7"/>
  <c r="AA11" i="7"/>
  <c r="R12" i="7"/>
  <c r="T11" i="7"/>
  <c r="AG11" i="7"/>
  <c r="S16" i="7"/>
  <c r="U16" i="7" s="1"/>
  <c r="AD16" i="7"/>
  <c r="R17" i="7"/>
  <c r="T16" i="7"/>
  <c r="AA16" i="7"/>
  <c r="AJ16" i="7"/>
  <c r="X16" i="7"/>
  <c r="S36" i="7"/>
  <c r="AJ36" i="7"/>
  <c r="AA36" i="7"/>
  <c r="R37" i="7"/>
  <c r="AD36" i="7"/>
  <c r="T36" i="7"/>
  <c r="X36" i="7"/>
  <c r="AJ11" i="7"/>
  <c r="M18" i="7"/>
  <c r="O17" i="7"/>
  <c r="N17" i="7"/>
  <c r="P17" i="7" s="1"/>
  <c r="AJ24" i="7"/>
  <c r="T24" i="7"/>
  <c r="R25" i="7"/>
  <c r="S24" i="7"/>
  <c r="U24" i="7" s="1"/>
  <c r="AA24" i="7"/>
  <c r="AD24" i="7"/>
  <c r="X24" i="7"/>
  <c r="O44" i="7"/>
  <c r="N44" i="7"/>
  <c r="P44" i="7" s="1"/>
  <c r="M45" i="7"/>
  <c r="F45" i="2"/>
  <c r="F50" i="2"/>
  <c r="F47" i="2"/>
  <c r="F49" i="2"/>
  <c r="I49" i="2" s="1"/>
  <c r="F46" i="2"/>
  <c r="C24" i="2"/>
  <c r="F48" i="2"/>
  <c r="G28" i="3"/>
  <c r="AG16" i="7"/>
  <c r="P34" i="7"/>
  <c r="M25" i="7"/>
  <c r="N24" i="7"/>
  <c r="P24" i="7" s="1"/>
  <c r="O24" i="7"/>
  <c r="H49" i="2"/>
  <c r="G49" i="2"/>
  <c r="F30" i="3"/>
  <c r="D29" i="3"/>
  <c r="J29" i="3"/>
  <c r="T58" i="7"/>
  <c r="AD58" i="7"/>
  <c r="S58" i="7"/>
  <c r="U58" i="7" s="1"/>
  <c r="R59" i="7"/>
  <c r="O11" i="7"/>
  <c r="N11" i="7"/>
  <c r="P11" i="7" s="1"/>
  <c r="AA58" i="7"/>
  <c r="AG36" i="7"/>
  <c r="C51" i="2"/>
  <c r="E50" i="2"/>
  <c r="D50" i="2"/>
  <c r="I50" i="2" s="1"/>
  <c r="AJ58" i="7"/>
  <c r="AG24" i="7"/>
  <c r="N35" i="7"/>
  <c r="P35" i="7" s="1"/>
  <c r="M36" i="7"/>
  <c r="O35" i="7"/>
  <c r="AD11" i="7"/>
  <c r="M37" i="7" l="1"/>
  <c r="O36" i="7"/>
  <c r="N36" i="7"/>
  <c r="P36" i="7" s="1"/>
  <c r="J46" i="2"/>
  <c r="I46" i="2"/>
  <c r="I45" i="2"/>
  <c r="J45" i="2"/>
  <c r="AJ12" i="7"/>
  <c r="AD12" i="7"/>
  <c r="X12" i="7"/>
  <c r="R13" i="7"/>
  <c r="T12" i="7"/>
  <c r="AA12" i="7"/>
  <c r="S12" i="7"/>
  <c r="AG12" i="7"/>
  <c r="J50" i="2"/>
  <c r="G50" i="2"/>
  <c r="H50" i="2"/>
  <c r="M26" i="7"/>
  <c r="N25" i="7"/>
  <c r="O25" i="7"/>
  <c r="G29" i="3"/>
  <c r="R28" i="3"/>
  <c r="O45" i="7"/>
  <c r="M46" i="7"/>
  <c r="N45" i="7"/>
  <c r="P45" i="7" s="1"/>
  <c r="AD25" i="7"/>
  <c r="AA25" i="7"/>
  <c r="S25" i="7"/>
  <c r="X25" i="7"/>
  <c r="T25" i="7"/>
  <c r="R26" i="7"/>
  <c r="AG25" i="7"/>
  <c r="AJ25" i="7"/>
  <c r="C52" i="2"/>
  <c r="E51" i="2"/>
  <c r="D51" i="2"/>
  <c r="F31" i="3"/>
  <c r="D30" i="3"/>
  <c r="J30" i="3"/>
  <c r="J49" i="2"/>
  <c r="K49" i="2" s="1"/>
  <c r="J48" i="2"/>
  <c r="I48" i="2"/>
  <c r="I47" i="2"/>
  <c r="J47" i="2"/>
  <c r="N18" i="7"/>
  <c r="P18" i="7" s="1"/>
  <c r="O18" i="7"/>
  <c r="U36" i="7"/>
  <c r="T59" i="7"/>
  <c r="S59" i="7"/>
  <c r="U59" i="7" s="1"/>
  <c r="AD59" i="7"/>
  <c r="AG59" i="7"/>
  <c r="R60" i="7"/>
  <c r="X59" i="7"/>
  <c r="AA59" i="7"/>
  <c r="AJ59" i="7"/>
  <c r="C29" i="2"/>
  <c r="D9" i="5" s="1"/>
  <c r="D10" i="5" s="1"/>
  <c r="C25" i="2"/>
  <c r="F51" i="2"/>
  <c r="R38" i="7"/>
  <c r="X37" i="7"/>
  <c r="AA37" i="7"/>
  <c r="S37" i="7"/>
  <c r="T37" i="7"/>
  <c r="AD37" i="7"/>
  <c r="AG37" i="7"/>
  <c r="AJ37" i="7"/>
  <c r="AD17" i="7"/>
  <c r="T17" i="7"/>
  <c r="R18" i="7"/>
  <c r="AA17" i="7"/>
  <c r="S17" i="7"/>
  <c r="X17" i="7"/>
  <c r="AG17" i="7"/>
  <c r="AJ17" i="7"/>
  <c r="U11" i="7"/>
  <c r="C53" i="2" l="1"/>
  <c r="E52" i="2"/>
  <c r="D52" i="2"/>
  <c r="F52" i="2"/>
  <c r="S28" i="3"/>
  <c r="T28" i="3" s="1"/>
  <c r="Z28" i="3" s="1"/>
  <c r="AA28" i="3" s="1"/>
  <c r="AB28" i="3" s="1"/>
  <c r="U28" i="3"/>
  <c r="N26" i="7"/>
  <c r="O26" i="7"/>
  <c r="M27" i="7"/>
  <c r="U17" i="7"/>
  <c r="S38" i="7"/>
  <c r="U38" i="7" s="1"/>
  <c r="AD38" i="7"/>
  <c r="T38" i="7"/>
  <c r="X38" i="7"/>
  <c r="AA38" i="7"/>
  <c r="R39" i="7"/>
  <c r="AG38" i="7"/>
  <c r="AJ38" i="7"/>
  <c r="X60" i="7"/>
  <c r="AJ60" i="7"/>
  <c r="AD60" i="7"/>
  <c r="S60" i="7"/>
  <c r="T60" i="7"/>
  <c r="AA60" i="7"/>
  <c r="R61" i="7"/>
  <c r="AG60" i="7"/>
  <c r="F32" i="3"/>
  <c r="D31" i="3"/>
  <c r="J31" i="3"/>
  <c r="G30" i="3"/>
  <c r="R29" i="3"/>
  <c r="AD13" i="7"/>
  <c r="S13" i="7"/>
  <c r="T13" i="7"/>
  <c r="X13" i="7"/>
  <c r="AA13" i="7"/>
  <c r="AJ13" i="7"/>
  <c r="AG13" i="7"/>
  <c r="U37" i="7"/>
  <c r="K47" i="2"/>
  <c r="I51" i="2"/>
  <c r="U25" i="7"/>
  <c r="O46" i="7"/>
  <c r="N46" i="7"/>
  <c r="M47" i="7"/>
  <c r="K50" i="2"/>
  <c r="U12" i="7"/>
  <c r="K45" i="2"/>
  <c r="AD18" i="7"/>
  <c r="AA18" i="7"/>
  <c r="T18" i="7"/>
  <c r="S18" i="7"/>
  <c r="X18" i="7"/>
  <c r="AJ18" i="7"/>
  <c r="AG18" i="7"/>
  <c r="K48" i="2"/>
  <c r="H51" i="2"/>
  <c r="J51" i="2"/>
  <c r="G51" i="2"/>
  <c r="S26" i="7"/>
  <c r="U26" i="7" s="1"/>
  <c r="R27" i="7"/>
  <c r="AA26" i="7"/>
  <c r="T26" i="7"/>
  <c r="AD26" i="7"/>
  <c r="X26" i="7"/>
  <c r="AG26" i="7"/>
  <c r="AJ26" i="7"/>
  <c r="P25" i="7"/>
  <c r="K46" i="2"/>
  <c r="O37" i="7"/>
  <c r="N37" i="7"/>
  <c r="M38" i="7"/>
  <c r="U29" i="3" l="1"/>
  <c r="S29" i="3"/>
  <c r="T29" i="3" s="1"/>
  <c r="AG39" i="7"/>
  <c r="S39" i="7"/>
  <c r="U39" i="7" s="1"/>
  <c r="X39" i="7"/>
  <c r="T39" i="7"/>
  <c r="R40" i="7"/>
  <c r="AD39" i="7"/>
  <c r="AA39" i="7"/>
  <c r="AJ39" i="7"/>
  <c r="AG27" i="7"/>
  <c r="AA27" i="7"/>
  <c r="X27" i="7"/>
  <c r="T27" i="7"/>
  <c r="AD27" i="7"/>
  <c r="R28" i="7"/>
  <c r="S27" i="7"/>
  <c r="AJ27" i="7"/>
  <c r="K51" i="2"/>
  <c r="G31" i="3"/>
  <c r="R30" i="3"/>
  <c r="D32" i="3"/>
  <c r="J32" i="3"/>
  <c r="F33" i="3"/>
  <c r="P26" i="7"/>
  <c r="I52" i="2"/>
  <c r="N38" i="7"/>
  <c r="O38" i="7"/>
  <c r="M39" i="7"/>
  <c r="N47" i="7"/>
  <c r="P47" i="7" s="1"/>
  <c r="O47" i="7"/>
  <c r="M48" i="7"/>
  <c r="U13" i="7"/>
  <c r="U60" i="7"/>
  <c r="H52" i="2"/>
  <c r="J52" i="2"/>
  <c r="G52" i="2"/>
  <c r="P37" i="7"/>
  <c r="U18" i="7"/>
  <c r="P46" i="7"/>
  <c r="T61" i="7"/>
  <c r="S61" i="7"/>
  <c r="U61" i="7" s="1"/>
  <c r="R62" i="7"/>
  <c r="AA61" i="7"/>
  <c r="X61" i="7"/>
  <c r="AD61" i="7"/>
  <c r="AG61" i="7"/>
  <c r="AJ61" i="7"/>
  <c r="O27" i="7"/>
  <c r="M28" i="7"/>
  <c r="N27" i="7"/>
  <c r="P27" i="7" s="1"/>
  <c r="AC28" i="3"/>
  <c r="M29" i="3"/>
  <c r="C28" i="4"/>
  <c r="G28" i="4" s="1"/>
  <c r="E53" i="2"/>
  <c r="C54" i="2"/>
  <c r="D53" i="2"/>
  <c r="F53" i="2"/>
  <c r="C55" i="2" l="1"/>
  <c r="E54" i="2"/>
  <c r="D54" i="2"/>
  <c r="F54" i="2"/>
  <c r="AD28" i="3"/>
  <c r="R29" i="7"/>
  <c r="AD28" i="7"/>
  <c r="X28" i="7"/>
  <c r="AJ28" i="7"/>
  <c r="AA28" i="7"/>
  <c r="S28" i="7"/>
  <c r="T28" i="7"/>
  <c r="AG28" i="7"/>
  <c r="G53" i="2"/>
  <c r="H53" i="2"/>
  <c r="J53" i="2"/>
  <c r="S62" i="7"/>
  <c r="R63" i="7"/>
  <c r="AD62" i="7"/>
  <c r="AA62" i="7"/>
  <c r="T62" i="7"/>
  <c r="X62" i="7"/>
  <c r="AG62" i="7"/>
  <c r="AJ62" i="7"/>
  <c r="K52" i="2"/>
  <c r="O39" i="7"/>
  <c r="M40" i="7"/>
  <c r="N39" i="7"/>
  <c r="P39" i="7" s="1"/>
  <c r="O28" i="7"/>
  <c r="N28" i="7"/>
  <c r="P28" i="7" s="1"/>
  <c r="M29" i="7"/>
  <c r="N48" i="7"/>
  <c r="O48" i="7"/>
  <c r="M49" i="7"/>
  <c r="S30" i="3"/>
  <c r="T30" i="3" s="1"/>
  <c r="U30" i="3"/>
  <c r="T40" i="7"/>
  <c r="R41" i="7"/>
  <c r="AA40" i="7"/>
  <c r="S40" i="7"/>
  <c r="X40" i="7"/>
  <c r="AJ40" i="7"/>
  <c r="AD40" i="7"/>
  <c r="AG40" i="7"/>
  <c r="I53" i="2"/>
  <c r="O29" i="3"/>
  <c r="N29" i="3"/>
  <c r="P38" i="7"/>
  <c r="J33" i="3"/>
  <c r="F34" i="3"/>
  <c r="D33" i="3"/>
  <c r="G32" i="3"/>
  <c r="R31" i="3"/>
  <c r="U27" i="7"/>
  <c r="G33" i="3" l="1"/>
  <c r="R32" i="3"/>
  <c r="R42" i="7"/>
  <c r="AA41" i="7"/>
  <c r="X41" i="7"/>
  <c r="AD41" i="7"/>
  <c r="T41" i="7"/>
  <c r="S41" i="7"/>
  <c r="AG41" i="7"/>
  <c r="AJ41" i="7"/>
  <c r="O49" i="7"/>
  <c r="M50" i="7"/>
  <c r="N49" i="7"/>
  <c r="U62" i="7"/>
  <c r="R30" i="7"/>
  <c r="X29" i="7"/>
  <c r="AA29" i="7"/>
  <c r="AD29" i="7"/>
  <c r="T29" i="7"/>
  <c r="S29" i="7"/>
  <c r="U29" i="7" s="1"/>
  <c r="AJ29" i="7"/>
  <c r="AG29" i="7"/>
  <c r="M30" i="7"/>
  <c r="N29" i="7"/>
  <c r="O29" i="7"/>
  <c r="I54" i="2"/>
  <c r="D34" i="3"/>
  <c r="F35" i="3"/>
  <c r="J34" i="3"/>
  <c r="U40" i="7"/>
  <c r="P48" i="7"/>
  <c r="O40" i="7"/>
  <c r="N40" i="7"/>
  <c r="M41" i="7"/>
  <c r="K53" i="2"/>
  <c r="J54" i="2"/>
  <c r="H54" i="2"/>
  <c r="G54" i="2"/>
  <c r="U31" i="3"/>
  <c r="S31" i="3"/>
  <c r="T31" i="3" s="1"/>
  <c r="AG63" i="7"/>
  <c r="T63" i="7"/>
  <c r="S63" i="7"/>
  <c r="U63" i="7" s="1"/>
  <c r="AA63" i="7"/>
  <c r="R64" i="7"/>
  <c r="AD63" i="7"/>
  <c r="X63" i="7"/>
  <c r="AJ63" i="7"/>
  <c r="U28" i="7"/>
  <c r="C56" i="2"/>
  <c r="E55" i="2"/>
  <c r="D55" i="2"/>
  <c r="I55" i="2" s="1"/>
  <c r="F55" i="2"/>
  <c r="T42" i="7" l="1"/>
  <c r="R43" i="7"/>
  <c r="AD42" i="7"/>
  <c r="X42" i="7"/>
  <c r="S42" i="7"/>
  <c r="U42" i="7" s="1"/>
  <c r="AA42" i="7"/>
  <c r="AG42" i="7"/>
  <c r="AJ42" i="7"/>
  <c r="G55" i="2"/>
  <c r="J55" i="2"/>
  <c r="H55" i="2"/>
  <c r="K55" i="2" s="1"/>
  <c r="D35" i="3"/>
  <c r="F36" i="3"/>
  <c r="J35" i="3"/>
  <c r="C57" i="2"/>
  <c r="E56" i="2"/>
  <c r="D56" i="2"/>
  <c r="F56" i="2"/>
  <c r="N41" i="7"/>
  <c r="P41" i="7" s="1"/>
  <c r="O41" i="7"/>
  <c r="P29" i="7"/>
  <c r="P49" i="7"/>
  <c r="U32" i="3"/>
  <c r="S32" i="3"/>
  <c r="T32" i="3" s="1"/>
  <c r="AJ64" i="7"/>
  <c r="R65" i="7"/>
  <c r="S64" i="7"/>
  <c r="AA64" i="7"/>
  <c r="X64" i="7"/>
  <c r="T64" i="7"/>
  <c r="AD64" i="7"/>
  <c r="AG64" i="7"/>
  <c r="K54" i="2"/>
  <c r="P40" i="7"/>
  <c r="O30" i="7"/>
  <c r="N30" i="7"/>
  <c r="P30" i="7" s="1"/>
  <c r="M31" i="7"/>
  <c r="X30" i="7"/>
  <c r="T30" i="7"/>
  <c r="AD30" i="7"/>
  <c r="R31" i="7"/>
  <c r="AA30" i="7"/>
  <c r="S30" i="7"/>
  <c r="U30" i="7" s="1"/>
  <c r="AJ30" i="7"/>
  <c r="AG30" i="7"/>
  <c r="O50" i="7"/>
  <c r="M51" i="7"/>
  <c r="N50" i="7"/>
  <c r="U41" i="7"/>
  <c r="G34" i="3"/>
  <c r="R33" i="3"/>
  <c r="G35" i="3" l="1"/>
  <c r="R34" i="3"/>
  <c r="S65" i="7"/>
  <c r="AA65" i="7"/>
  <c r="X65" i="7"/>
  <c r="AD65" i="7"/>
  <c r="T65" i="7"/>
  <c r="R66" i="7"/>
  <c r="AJ65" i="7"/>
  <c r="AG65" i="7"/>
  <c r="D57" i="2"/>
  <c r="I57" i="2" s="1"/>
  <c r="E57" i="2"/>
  <c r="C58" i="2"/>
  <c r="F57" i="2"/>
  <c r="AG31" i="7"/>
  <c r="R32" i="7"/>
  <c r="X31" i="7"/>
  <c r="AD31" i="7"/>
  <c r="S31" i="7"/>
  <c r="U31" i="7" s="1"/>
  <c r="T31" i="7"/>
  <c r="AA31" i="7"/>
  <c r="AJ31" i="7"/>
  <c r="N31" i="7"/>
  <c r="P31" i="7" s="1"/>
  <c r="O31" i="7"/>
  <c r="S43" i="7"/>
  <c r="U43" i="7" s="1"/>
  <c r="AD43" i="7"/>
  <c r="X43" i="7"/>
  <c r="AG43" i="7"/>
  <c r="AA43" i="7"/>
  <c r="T43" i="7"/>
  <c r="R44" i="7"/>
  <c r="AJ43" i="7"/>
  <c r="P50" i="7"/>
  <c r="I56" i="2"/>
  <c r="S33" i="3"/>
  <c r="T33" i="3" s="1"/>
  <c r="U33" i="3"/>
  <c r="N51" i="7"/>
  <c r="M52" i="7"/>
  <c r="O51" i="7"/>
  <c r="U64" i="7"/>
  <c r="H56" i="2"/>
  <c r="G56" i="2"/>
  <c r="J56" i="2"/>
  <c r="D36" i="3"/>
  <c r="J36" i="3"/>
  <c r="F37" i="3"/>
  <c r="D37" i="3" l="1"/>
  <c r="J37" i="3"/>
  <c r="F38" i="3"/>
  <c r="J57" i="2"/>
  <c r="G57" i="2"/>
  <c r="H57" i="2"/>
  <c r="K57" i="2" s="1"/>
  <c r="T66" i="7"/>
  <c r="X66" i="7"/>
  <c r="AD66" i="7"/>
  <c r="R67" i="7"/>
  <c r="AA66" i="7"/>
  <c r="S66" i="7"/>
  <c r="AJ66" i="7"/>
  <c r="AG66" i="7"/>
  <c r="U65" i="7"/>
  <c r="K56" i="2"/>
  <c r="O52" i="7"/>
  <c r="N52" i="7"/>
  <c r="P52" i="7" s="1"/>
  <c r="M53" i="7"/>
  <c r="AJ44" i="7"/>
  <c r="S44" i="7"/>
  <c r="AD44" i="7"/>
  <c r="X44" i="7"/>
  <c r="AA44" i="7"/>
  <c r="T44" i="7"/>
  <c r="R45" i="7"/>
  <c r="AG44" i="7"/>
  <c r="U34" i="3"/>
  <c r="S34" i="3"/>
  <c r="T34" i="3" s="1"/>
  <c r="P51" i="7"/>
  <c r="AJ32" i="7"/>
  <c r="S32" i="7"/>
  <c r="U32" i="7" s="1"/>
  <c r="X32" i="7"/>
  <c r="AD32" i="7"/>
  <c r="T32" i="7"/>
  <c r="AA32" i="7"/>
  <c r="R33" i="7"/>
  <c r="AG32" i="7"/>
  <c r="D58" i="2"/>
  <c r="I58" i="2" s="1"/>
  <c r="E58" i="2"/>
  <c r="C59" i="2"/>
  <c r="F58" i="2"/>
  <c r="G36" i="3"/>
  <c r="R35" i="3"/>
  <c r="E59" i="2" l="1"/>
  <c r="D59" i="2"/>
  <c r="C60" i="2"/>
  <c r="F59" i="2"/>
  <c r="T33" i="7"/>
  <c r="AA33" i="7"/>
  <c r="X33" i="7"/>
  <c r="S33" i="7"/>
  <c r="U33" i="7" s="1"/>
  <c r="AD33" i="7"/>
  <c r="AG33" i="7"/>
  <c r="AJ33" i="7"/>
  <c r="X45" i="7"/>
  <c r="T45" i="7"/>
  <c r="R46" i="7"/>
  <c r="S45" i="7"/>
  <c r="U45" i="7" s="1"/>
  <c r="AA45" i="7"/>
  <c r="AD45" i="7"/>
  <c r="AJ45" i="7"/>
  <c r="AG45" i="7"/>
  <c r="S35" i="3"/>
  <c r="T35" i="3" s="1"/>
  <c r="U35" i="3"/>
  <c r="J58" i="2"/>
  <c r="G58" i="2"/>
  <c r="H58" i="2"/>
  <c r="K58" i="2" s="1"/>
  <c r="U44" i="7"/>
  <c r="AG67" i="7"/>
  <c r="T67" i="7"/>
  <c r="R68" i="7"/>
  <c r="X67" i="7"/>
  <c r="AD67" i="7"/>
  <c r="AA67" i="7"/>
  <c r="S67" i="7"/>
  <c r="U67" i="7" s="1"/>
  <c r="AJ67" i="7"/>
  <c r="F39" i="3"/>
  <c r="D38" i="3"/>
  <c r="J38" i="3"/>
  <c r="G37" i="3"/>
  <c r="R36" i="3"/>
  <c r="N53" i="7"/>
  <c r="M54" i="7"/>
  <c r="O53" i="7"/>
  <c r="U66" i="7"/>
  <c r="U36" i="3" l="1"/>
  <c r="S36" i="3"/>
  <c r="T36" i="3" s="1"/>
  <c r="AJ68" i="7"/>
  <c r="T68" i="7"/>
  <c r="AA68" i="7"/>
  <c r="AD68" i="7"/>
  <c r="X68" i="7"/>
  <c r="R69" i="7"/>
  <c r="S68" i="7"/>
  <c r="AG68" i="7"/>
  <c r="G38" i="3"/>
  <c r="R37" i="3"/>
  <c r="J39" i="3"/>
  <c r="F40" i="3"/>
  <c r="D39" i="3"/>
  <c r="E60" i="2"/>
  <c r="C61" i="2"/>
  <c r="D60" i="2"/>
  <c r="I60" i="2" s="1"/>
  <c r="F60" i="2"/>
  <c r="O54" i="7"/>
  <c r="N54" i="7"/>
  <c r="P54" i="7" s="1"/>
  <c r="T46" i="7"/>
  <c r="AD46" i="7"/>
  <c r="X46" i="7"/>
  <c r="R47" i="7"/>
  <c r="S46" i="7"/>
  <c r="U46" i="7" s="1"/>
  <c r="AA46" i="7"/>
  <c r="AJ46" i="7"/>
  <c r="AG46" i="7"/>
  <c r="I59" i="2"/>
  <c r="P53" i="7"/>
  <c r="H59" i="2"/>
  <c r="K59" i="2" s="1"/>
  <c r="G59" i="2"/>
  <c r="J59" i="2"/>
  <c r="AG47" i="7" l="1"/>
  <c r="R48" i="7"/>
  <c r="S47" i="7"/>
  <c r="U47" i="7" s="1"/>
  <c r="T47" i="7"/>
  <c r="AA47" i="7"/>
  <c r="X47" i="7"/>
  <c r="AJ47" i="7"/>
  <c r="AD47" i="7"/>
  <c r="G39" i="3"/>
  <c r="R38" i="3"/>
  <c r="AD69" i="7"/>
  <c r="T69" i="7"/>
  <c r="R70" i="7"/>
  <c r="X69" i="7"/>
  <c r="AA69" i="7"/>
  <c r="S5" i="7"/>
  <c r="S69" i="7"/>
  <c r="U69" i="7" s="1"/>
  <c r="AG69" i="7"/>
  <c r="AJ69" i="7"/>
  <c r="C62" i="2"/>
  <c r="D61" i="2"/>
  <c r="E61" i="2"/>
  <c r="F61" i="2"/>
  <c r="D40" i="3"/>
  <c r="F41" i="3"/>
  <c r="J40" i="3"/>
  <c r="J60" i="2"/>
  <c r="G60" i="2"/>
  <c r="H60" i="2"/>
  <c r="K60" i="2" s="1"/>
  <c r="U37" i="3"/>
  <c r="S37" i="3"/>
  <c r="T37" i="3" s="1"/>
  <c r="U68" i="7"/>
  <c r="F42" i="3" l="1"/>
  <c r="J41" i="3"/>
  <c r="D41" i="3"/>
  <c r="G61" i="2"/>
  <c r="H61" i="2"/>
  <c r="J61" i="2"/>
  <c r="U38" i="3"/>
  <c r="S38" i="3"/>
  <c r="T38" i="3" s="1"/>
  <c r="T48" i="7"/>
  <c r="X48" i="7"/>
  <c r="AJ48" i="7"/>
  <c r="R49" i="7"/>
  <c r="AD48" i="7"/>
  <c r="S48" i="7"/>
  <c r="AA48" i="7"/>
  <c r="AG48" i="7"/>
  <c r="I61" i="2"/>
  <c r="R71" i="7"/>
  <c r="X70" i="7"/>
  <c r="AA70" i="7"/>
  <c r="T70" i="7"/>
  <c r="AD70" i="7"/>
  <c r="S70" i="7"/>
  <c r="AG70" i="7"/>
  <c r="AJ70" i="7"/>
  <c r="G40" i="3"/>
  <c r="R39" i="3"/>
  <c r="E62" i="2"/>
  <c r="C63" i="2"/>
  <c r="D62" i="2"/>
  <c r="F62" i="2"/>
  <c r="J62" i="2" l="1"/>
  <c r="G62" i="2"/>
  <c r="H62" i="2"/>
  <c r="K62" i="2" s="1"/>
  <c r="K61" i="2"/>
  <c r="T49" i="7"/>
  <c r="AA49" i="7"/>
  <c r="R50" i="7"/>
  <c r="S49" i="7"/>
  <c r="X49" i="7"/>
  <c r="AD49" i="7"/>
  <c r="AJ49" i="7"/>
  <c r="AG49" i="7"/>
  <c r="D42" i="3"/>
  <c r="F43" i="3"/>
  <c r="J42" i="3"/>
  <c r="I62" i="2"/>
  <c r="U39" i="3"/>
  <c r="S39" i="3"/>
  <c r="T39" i="3" s="1"/>
  <c r="U70" i="7"/>
  <c r="E63" i="2"/>
  <c r="C64" i="2"/>
  <c r="D63" i="2"/>
  <c r="F63" i="2"/>
  <c r="G41" i="3"/>
  <c r="R40" i="3"/>
  <c r="T71" i="7"/>
  <c r="AD71" i="7"/>
  <c r="R72" i="7"/>
  <c r="X71" i="7"/>
  <c r="AA71" i="7"/>
  <c r="S71" i="7"/>
  <c r="U71" i="7" s="1"/>
  <c r="AG71" i="7"/>
  <c r="AJ71" i="7"/>
  <c r="U48" i="7"/>
  <c r="U40" i="3" l="1"/>
  <c r="S40" i="3"/>
  <c r="T40" i="3" s="1"/>
  <c r="D64" i="2"/>
  <c r="I64" i="2" s="1"/>
  <c r="E64" i="2"/>
  <c r="C65" i="2"/>
  <c r="F64" i="2"/>
  <c r="S50" i="7"/>
  <c r="R51" i="7"/>
  <c r="X50" i="7"/>
  <c r="AD50" i="7"/>
  <c r="T50" i="7"/>
  <c r="AA50" i="7"/>
  <c r="AG50" i="7"/>
  <c r="AJ50" i="7"/>
  <c r="T72" i="7"/>
  <c r="AD72" i="7"/>
  <c r="X72" i="7"/>
  <c r="S72" i="7"/>
  <c r="AJ72" i="7"/>
  <c r="R73" i="7"/>
  <c r="AA72" i="7"/>
  <c r="AG72" i="7"/>
  <c r="G42" i="3"/>
  <c r="R41" i="3"/>
  <c r="H63" i="2"/>
  <c r="J63" i="2"/>
  <c r="G63" i="2"/>
  <c r="J43" i="3"/>
  <c r="F44" i="3"/>
  <c r="D43" i="3"/>
  <c r="I63" i="2"/>
  <c r="U49" i="7"/>
  <c r="G43" i="3" l="1"/>
  <c r="R42" i="3"/>
  <c r="T51" i="7"/>
  <c r="AG51" i="7"/>
  <c r="S51" i="7"/>
  <c r="AA51" i="7"/>
  <c r="AD51" i="7"/>
  <c r="X51" i="7"/>
  <c r="R52" i="7"/>
  <c r="AJ51" i="7"/>
  <c r="H64" i="2"/>
  <c r="K64" i="2" s="1"/>
  <c r="G64" i="2"/>
  <c r="J64" i="2"/>
  <c r="D44" i="3"/>
  <c r="F45" i="3"/>
  <c r="J44" i="3"/>
  <c r="U72" i="7"/>
  <c r="U50" i="7"/>
  <c r="K63" i="2"/>
  <c r="S41" i="3"/>
  <c r="T41" i="3" s="1"/>
  <c r="U41" i="3"/>
  <c r="T73" i="7"/>
  <c r="AD73" i="7"/>
  <c r="S73" i="7"/>
  <c r="R74" i="7"/>
  <c r="AA73" i="7"/>
  <c r="X73" i="7"/>
  <c r="AG73" i="7"/>
  <c r="AJ73" i="7"/>
  <c r="C66" i="2"/>
  <c r="E65" i="2"/>
  <c r="D65" i="2"/>
  <c r="F65" i="2"/>
  <c r="D66" i="2" l="1"/>
  <c r="E66" i="2"/>
  <c r="C67" i="2"/>
  <c r="F66" i="2"/>
  <c r="J45" i="3"/>
  <c r="D45" i="3"/>
  <c r="F46" i="3"/>
  <c r="R75" i="7"/>
  <c r="X74" i="7"/>
  <c r="AD74" i="7"/>
  <c r="AA74" i="7"/>
  <c r="S74" i="7"/>
  <c r="T74" i="7"/>
  <c r="AJ74" i="7"/>
  <c r="AG74" i="7"/>
  <c r="I65" i="2"/>
  <c r="U73" i="7"/>
  <c r="U42" i="3"/>
  <c r="S42" i="3"/>
  <c r="T42" i="3" s="1"/>
  <c r="G65" i="2"/>
  <c r="J65" i="2"/>
  <c r="H65" i="2"/>
  <c r="AJ52" i="7"/>
  <c r="R53" i="7"/>
  <c r="X52" i="7"/>
  <c r="AD52" i="7"/>
  <c r="T52" i="7"/>
  <c r="S52" i="7"/>
  <c r="AA52" i="7"/>
  <c r="AG52" i="7"/>
  <c r="U51" i="7"/>
  <c r="G44" i="3"/>
  <c r="R43" i="3"/>
  <c r="D46" i="3" l="1"/>
  <c r="F47" i="3"/>
  <c r="J46" i="3"/>
  <c r="E67" i="2"/>
  <c r="D67" i="2"/>
  <c r="C68" i="2"/>
  <c r="F67" i="2"/>
  <c r="U43" i="3"/>
  <c r="S43" i="3"/>
  <c r="T43" i="3" s="1"/>
  <c r="J66" i="2"/>
  <c r="H66" i="2"/>
  <c r="K66" i="2" s="1"/>
  <c r="G66" i="2"/>
  <c r="G45" i="3"/>
  <c r="R44" i="3"/>
  <c r="U52" i="7"/>
  <c r="AA53" i="7"/>
  <c r="T53" i="7"/>
  <c r="R54" i="7"/>
  <c r="S53" i="7"/>
  <c r="U53" i="7" s="1"/>
  <c r="AG53" i="7"/>
  <c r="AJ53" i="7"/>
  <c r="AD53" i="7"/>
  <c r="X53" i="7"/>
  <c r="K65" i="2"/>
  <c r="U74" i="7"/>
  <c r="S75" i="7"/>
  <c r="AA75" i="7"/>
  <c r="T75" i="7"/>
  <c r="AD75" i="7"/>
  <c r="AG75" i="7"/>
  <c r="X75" i="7"/>
  <c r="R76" i="7"/>
  <c r="AJ75" i="7"/>
  <c r="I66" i="2"/>
  <c r="R77" i="7" l="1"/>
  <c r="AD76" i="7"/>
  <c r="AA76" i="7"/>
  <c r="S76" i="7"/>
  <c r="U76" i="7" s="1"/>
  <c r="AJ76" i="7"/>
  <c r="X76" i="7"/>
  <c r="T76" i="7"/>
  <c r="AG76" i="7"/>
  <c r="T54" i="7"/>
  <c r="AD54" i="7"/>
  <c r="AA54" i="7"/>
  <c r="R55" i="7"/>
  <c r="X54" i="7"/>
  <c r="S54" i="7"/>
  <c r="U54" i="7" s="1"/>
  <c r="AG54" i="7"/>
  <c r="AJ54" i="7"/>
  <c r="U44" i="3"/>
  <c r="S44" i="3"/>
  <c r="T44" i="3" s="1"/>
  <c r="E68" i="2"/>
  <c r="C69" i="2"/>
  <c r="D68" i="2"/>
  <c r="F68" i="2"/>
  <c r="D47" i="3"/>
  <c r="J47" i="3"/>
  <c r="F48" i="3"/>
  <c r="G46" i="3"/>
  <c r="R45" i="3"/>
  <c r="I67" i="2"/>
  <c r="U75" i="7"/>
  <c r="J67" i="2"/>
  <c r="G67" i="2"/>
  <c r="H67" i="2"/>
  <c r="F49" i="3" l="1"/>
  <c r="J48" i="3"/>
  <c r="D48" i="3"/>
  <c r="I68" i="2"/>
  <c r="T77" i="7"/>
  <c r="AD77" i="7"/>
  <c r="S77" i="7"/>
  <c r="X77" i="7"/>
  <c r="AA77" i="7"/>
  <c r="R78" i="7"/>
  <c r="AG77" i="7"/>
  <c r="AJ77" i="7"/>
  <c r="S45" i="3"/>
  <c r="T45" i="3" s="1"/>
  <c r="U45" i="3"/>
  <c r="C70" i="2"/>
  <c r="D69" i="2"/>
  <c r="I69" i="2" s="1"/>
  <c r="E69" i="2"/>
  <c r="F69" i="2"/>
  <c r="AG55" i="7"/>
  <c r="T55" i="7"/>
  <c r="S55" i="7"/>
  <c r="AA55" i="7"/>
  <c r="X55" i="7"/>
  <c r="AD55" i="7"/>
  <c r="AJ55" i="7"/>
  <c r="K67" i="2"/>
  <c r="G47" i="3"/>
  <c r="R46" i="3"/>
  <c r="J68" i="2"/>
  <c r="G68" i="2"/>
  <c r="H68" i="2"/>
  <c r="K68" i="2" s="1"/>
  <c r="S46" i="3" l="1"/>
  <c r="T46" i="3" s="1"/>
  <c r="U46" i="3"/>
  <c r="R79" i="7"/>
  <c r="AD78" i="7"/>
  <c r="X78" i="7"/>
  <c r="S78" i="7"/>
  <c r="T78" i="7"/>
  <c r="AA78" i="7"/>
  <c r="AG78" i="7"/>
  <c r="AJ78" i="7"/>
  <c r="G48" i="3"/>
  <c r="R47" i="3"/>
  <c r="C71" i="2"/>
  <c r="D70" i="2"/>
  <c r="I70" i="2" s="1"/>
  <c r="E70" i="2"/>
  <c r="F70" i="2"/>
  <c r="U55" i="7"/>
  <c r="G69" i="2"/>
  <c r="H69" i="2"/>
  <c r="J69" i="2"/>
  <c r="U77" i="7"/>
  <c r="J49" i="3"/>
  <c r="F50" i="3"/>
  <c r="D49" i="3"/>
  <c r="H70" i="2" l="1"/>
  <c r="J70" i="2"/>
  <c r="G70" i="2"/>
  <c r="G49" i="3"/>
  <c r="R48" i="3"/>
  <c r="F51" i="3"/>
  <c r="J50" i="3"/>
  <c r="D50" i="3"/>
  <c r="AG79" i="7"/>
  <c r="T79" i="7"/>
  <c r="AA79" i="7"/>
  <c r="X79" i="7"/>
  <c r="S79" i="7"/>
  <c r="R80" i="7"/>
  <c r="AD79" i="7"/>
  <c r="AJ79" i="7"/>
  <c r="K69" i="2"/>
  <c r="D71" i="2"/>
  <c r="I71" i="2" s="1"/>
  <c r="C72" i="2"/>
  <c r="E71" i="2"/>
  <c r="F71" i="2"/>
  <c r="U78" i="7"/>
  <c r="S47" i="3"/>
  <c r="T47" i="3" s="1"/>
  <c r="U47" i="3"/>
  <c r="G50" i="3" l="1"/>
  <c r="R49" i="3"/>
  <c r="R81" i="7"/>
  <c r="X80" i="7"/>
  <c r="AD80" i="7"/>
  <c r="AJ80" i="7"/>
  <c r="T80" i="7"/>
  <c r="AA80" i="7"/>
  <c r="S80" i="7"/>
  <c r="U80" i="7" s="1"/>
  <c r="AG80" i="7"/>
  <c r="J71" i="2"/>
  <c r="H71" i="2"/>
  <c r="K71" i="2" s="1"/>
  <c r="G71" i="2"/>
  <c r="U79" i="7"/>
  <c r="J51" i="3"/>
  <c r="F52" i="3"/>
  <c r="D51" i="3"/>
  <c r="E72" i="2"/>
  <c r="D72" i="2"/>
  <c r="I72" i="2" s="1"/>
  <c r="C73" i="2"/>
  <c r="F72" i="2"/>
  <c r="S48" i="3"/>
  <c r="T48" i="3" s="1"/>
  <c r="U48" i="3"/>
  <c r="K70" i="2"/>
  <c r="J72" i="2" l="1"/>
  <c r="H72" i="2"/>
  <c r="K72" i="2" s="1"/>
  <c r="G72" i="2"/>
  <c r="F53" i="3"/>
  <c r="J52" i="3"/>
  <c r="D52" i="3"/>
  <c r="S49" i="3"/>
  <c r="T49" i="3" s="1"/>
  <c r="U49" i="3"/>
  <c r="D73" i="2"/>
  <c r="I73" i="2" s="1"/>
  <c r="E73" i="2"/>
  <c r="C74" i="2"/>
  <c r="F73" i="2"/>
  <c r="R82" i="7"/>
  <c r="T81" i="7"/>
  <c r="S81" i="7"/>
  <c r="AA81" i="7"/>
  <c r="AD81" i="7"/>
  <c r="X81" i="7"/>
  <c r="AJ81" i="7"/>
  <c r="AG81" i="7"/>
  <c r="G51" i="3"/>
  <c r="R50" i="3"/>
  <c r="S50" i="3" l="1"/>
  <c r="T50" i="3" s="1"/>
  <c r="U50" i="3"/>
  <c r="H73" i="2"/>
  <c r="K73" i="2" s="1"/>
  <c r="G73" i="2"/>
  <c r="J73" i="2"/>
  <c r="G52" i="3"/>
  <c r="R51" i="3"/>
  <c r="AD82" i="7"/>
  <c r="AA82" i="7"/>
  <c r="S82" i="7"/>
  <c r="T82" i="7"/>
  <c r="R83" i="7"/>
  <c r="X82" i="7"/>
  <c r="AJ82" i="7"/>
  <c r="AG82" i="7"/>
  <c r="J53" i="3"/>
  <c r="D53" i="3"/>
  <c r="F54" i="3"/>
  <c r="U81" i="7"/>
  <c r="E74" i="2"/>
  <c r="D74" i="2"/>
  <c r="I74" i="2" s="1"/>
  <c r="C75" i="2"/>
  <c r="F74" i="2"/>
  <c r="F55" i="3" l="1"/>
  <c r="J54" i="3"/>
  <c r="D54" i="3"/>
  <c r="AG83" i="7"/>
  <c r="T83" i="7"/>
  <c r="X83" i="7"/>
  <c r="AA83" i="7"/>
  <c r="S83" i="7"/>
  <c r="AD83" i="7"/>
  <c r="AJ83" i="7"/>
  <c r="G74" i="2"/>
  <c r="H74" i="2"/>
  <c r="J74" i="2"/>
  <c r="S51" i="3"/>
  <c r="T51" i="3" s="1"/>
  <c r="U51" i="3"/>
  <c r="U82" i="7"/>
  <c r="G53" i="3"/>
  <c r="R52" i="3"/>
  <c r="C76" i="2"/>
  <c r="E75" i="2"/>
  <c r="D75" i="2"/>
  <c r="F75" i="2"/>
  <c r="H75" i="2" l="1"/>
  <c r="G75" i="2"/>
  <c r="J75" i="2"/>
  <c r="G54" i="3"/>
  <c r="R53" i="3"/>
  <c r="C77" i="2"/>
  <c r="D76" i="2"/>
  <c r="I76" i="2" s="1"/>
  <c r="E76" i="2"/>
  <c r="F76" i="2"/>
  <c r="D55" i="3"/>
  <c r="F56" i="3"/>
  <c r="J55" i="3"/>
  <c r="I75" i="2"/>
  <c r="U52" i="3"/>
  <c r="S52" i="3"/>
  <c r="T52" i="3" s="1"/>
  <c r="K74" i="2"/>
  <c r="U83" i="7"/>
  <c r="G55" i="3" l="1"/>
  <c r="R54" i="3"/>
  <c r="F57" i="3"/>
  <c r="J56" i="3"/>
  <c r="D56" i="3"/>
  <c r="E77" i="2"/>
  <c r="D77" i="2"/>
  <c r="C78" i="2"/>
  <c r="F77" i="2"/>
  <c r="G76" i="2"/>
  <c r="H76" i="2"/>
  <c r="K76" i="2" s="1"/>
  <c r="J76" i="2"/>
  <c r="S53" i="3"/>
  <c r="T53" i="3" s="1"/>
  <c r="U53" i="3"/>
  <c r="K75" i="2"/>
  <c r="S54" i="3" l="1"/>
  <c r="T54" i="3" s="1"/>
  <c r="U54" i="3"/>
  <c r="D78" i="2"/>
  <c r="I78" i="2" s="1"/>
  <c r="E78" i="2"/>
  <c r="C79" i="2"/>
  <c r="F78" i="2"/>
  <c r="G56" i="3"/>
  <c r="R55" i="3"/>
  <c r="I77" i="2"/>
  <c r="G77" i="2"/>
  <c r="H77" i="2"/>
  <c r="K77" i="2" s="1"/>
  <c r="J77" i="2"/>
  <c r="J57" i="3"/>
  <c r="F58" i="3"/>
  <c r="D57" i="3"/>
  <c r="C80" i="2" l="1"/>
  <c r="E79" i="2"/>
  <c r="D79" i="2"/>
  <c r="I79" i="2" s="1"/>
  <c r="F79" i="2"/>
  <c r="F59" i="3"/>
  <c r="D58" i="3"/>
  <c r="J58" i="3"/>
  <c r="S55" i="3"/>
  <c r="T55" i="3" s="1"/>
  <c r="U55" i="3"/>
  <c r="H78" i="2"/>
  <c r="J78" i="2"/>
  <c r="G78" i="2"/>
  <c r="G57" i="3"/>
  <c r="R56" i="3"/>
  <c r="J59" i="3" l="1"/>
  <c r="D59" i="3"/>
  <c r="F60" i="3"/>
  <c r="G79" i="2"/>
  <c r="J79" i="2"/>
  <c r="H79" i="2"/>
  <c r="K79" i="2" s="1"/>
  <c r="S56" i="3"/>
  <c r="T56" i="3" s="1"/>
  <c r="U56" i="3"/>
  <c r="E80" i="2"/>
  <c r="C81" i="2"/>
  <c r="D80" i="2"/>
  <c r="F80" i="2"/>
  <c r="G58" i="3"/>
  <c r="R57" i="3"/>
  <c r="K78" i="2"/>
  <c r="D60" i="3" l="1"/>
  <c r="F61" i="3"/>
  <c r="J60" i="3"/>
  <c r="I80" i="2"/>
  <c r="U57" i="3"/>
  <c r="S57" i="3"/>
  <c r="T57" i="3" s="1"/>
  <c r="E81" i="2"/>
  <c r="D81" i="2"/>
  <c r="I81" i="2" s="1"/>
  <c r="C82" i="2"/>
  <c r="F81" i="2"/>
  <c r="G59" i="3"/>
  <c r="R58" i="3"/>
  <c r="G80" i="2"/>
  <c r="J80" i="2"/>
  <c r="H80" i="2"/>
  <c r="K80" i="2" s="1"/>
  <c r="G60" i="3" l="1"/>
  <c r="R59" i="3"/>
  <c r="D82" i="2"/>
  <c r="I82" i="2" s="1"/>
  <c r="C83" i="2"/>
  <c r="E82" i="2"/>
  <c r="F82" i="2"/>
  <c r="D61" i="3"/>
  <c r="F62" i="3"/>
  <c r="J61" i="3"/>
  <c r="H81" i="2"/>
  <c r="J81" i="2"/>
  <c r="G81" i="2"/>
  <c r="S58" i="3"/>
  <c r="T58" i="3" s="1"/>
  <c r="U58" i="3"/>
  <c r="F63" i="3" l="1"/>
  <c r="D62" i="3"/>
  <c r="J62" i="3"/>
  <c r="U59" i="3"/>
  <c r="S59" i="3"/>
  <c r="T59" i="3" s="1"/>
  <c r="K81" i="2"/>
  <c r="J82" i="2"/>
  <c r="H82" i="2"/>
  <c r="K82" i="2" s="1"/>
  <c r="G82" i="2"/>
  <c r="G61" i="3"/>
  <c r="R60" i="3"/>
  <c r="C84" i="2"/>
  <c r="D83" i="2"/>
  <c r="I83" i="2" s="1"/>
  <c r="E83" i="2"/>
  <c r="F83" i="2"/>
  <c r="E84" i="2" l="1"/>
  <c r="C85" i="2"/>
  <c r="D84" i="2"/>
  <c r="F84" i="2"/>
  <c r="S60" i="3"/>
  <c r="T60" i="3" s="1"/>
  <c r="U60" i="3"/>
  <c r="D63" i="3"/>
  <c r="J63" i="3"/>
  <c r="F64" i="3"/>
  <c r="H83" i="2"/>
  <c r="G83" i="2"/>
  <c r="J83" i="2"/>
  <c r="G62" i="3"/>
  <c r="R61" i="3"/>
  <c r="G63" i="3" l="1"/>
  <c r="R62" i="3"/>
  <c r="F65" i="3"/>
  <c r="J64" i="3"/>
  <c r="D64" i="3"/>
  <c r="I84" i="2"/>
  <c r="D85" i="2"/>
  <c r="I85" i="2" s="1"/>
  <c r="C86" i="2"/>
  <c r="E85" i="2"/>
  <c r="F85" i="2"/>
  <c r="S61" i="3"/>
  <c r="T61" i="3" s="1"/>
  <c r="U61" i="3"/>
  <c r="K83" i="2"/>
  <c r="J84" i="2"/>
  <c r="H84" i="2"/>
  <c r="G84" i="2"/>
  <c r="G85" i="2" l="1"/>
  <c r="H85" i="2"/>
  <c r="J85" i="2"/>
  <c r="C87" i="2"/>
  <c r="E86" i="2"/>
  <c r="D86" i="2"/>
  <c r="F86" i="2"/>
  <c r="J65" i="3"/>
  <c r="F66" i="3"/>
  <c r="D65" i="3"/>
  <c r="K84" i="2"/>
  <c r="U62" i="3"/>
  <c r="S62" i="3"/>
  <c r="T62" i="3" s="1"/>
  <c r="G64" i="3"/>
  <c r="R63" i="3"/>
  <c r="S63" i="3" l="1"/>
  <c r="T63" i="3" s="1"/>
  <c r="U63" i="3"/>
  <c r="H86" i="2"/>
  <c r="J86" i="2"/>
  <c r="G86" i="2"/>
  <c r="G65" i="3"/>
  <c r="R64" i="3"/>
  <c r="C88" i="2"/>
  <c r="E87" i="2"/>
  <c r="D87" i="2"/>
  <c r="I87" i="2" s="1"/>
  <c r="F87" i="2"/>
  <c r="K85" i="2"/>
  <c r="D66" i="3"/>
  <c r="F67" i="3"/>
  <c r="J66" i="3"/>
  <c r="I86" i="2"/>
  <c r="J67" i="3" l="1"/>
  <c r="D67" i="3"/>
  <c r="F68" i="3"/>
  <c r="G66" i="3"/>
  <c r="R65" i="3"/>
  <c r="G87" i="2"/>
  <c r="J87" i="2"/>
  <c r="H87" i="2"/>
  <c r="D88" i="2"/>
  <c r="I88" i="2" s="1"/>
  <c r="C89" i="2"/>
  <c r="E88" i="2"/>
  <c r="F88" i="2"/>
  <c r="S64" i="3"/>
  <c r="T64" i="3" s="1"/>
  <c r="U64" i="3"/>
  <c r="K86" i="2"/>
  <c r="D89" i="2" l="1"/>
  <c r="C90" i="2"/>
  <c r="E89" i="2"/>
  <c r="F89" i="2"/>
  <c r="D68" i="3"/>
  <c r="F69" i="3"/>
  <c r="J68" i="3"/>
  <c r="S65" i="3"/>
  <c r="T65" i="3" s="1"/>
  <c r="U65" i="3"/>
  <c r="J88" i="2"/>
  <c r="G88" i="2"/>
  <c r="H88" i="2"/>
  <c r="K88" i="2" s="1"/>
  <c r="K87" i="2"/>
  <c r="G67" i="3"/>
  <c r="R66" i="3"/>
  <c r="D69" i="3" l="1"/>
  <c r="J69" i="3"/>
  <c r="F70" i="3"/>
  <c r="G89" i="2"/>
  <c r="J89" i="2"/>
  <c r="H89" i="2"/>
  <c r="K89" i="2" s="1"/>
  <c r="S66" i="3"/>
  <c r="T66" i="3" s="1"/>
  <c r="U66" i="3"/>
  <c r="D90" i="2"/>
  <c r="I90" i="2" s="1"/>
  <c r="C91" i="2"/>
  <c r="E90" i="2"/>
  <c r="F90" i="2"/>
  <c r="G68" i="3"/>
  <c r="R67" i="3"/>
  <c r="I89" i="2"/>
  <c r="S67" i="3" l="1"/>
  <c r="T67" i="3" s="1"/>
  <c r="U67" i="3"/>
  <c r="C92" i="2"/>
  <c r="E91" i="2"/>
  <c r="D91" i="2"/>
  <c r="F91" i="2"/>
  <c r="G69" i="3"/>
  <c r="R68" i="3"/>
  <c r="F71" i="3"/>
  <c r="D70" i="3"/>
  <c r="J70" i="3"/>
  <c r="G90" i="2"/>
  <c r="H90" i="2"/>
  <c r="K90" i="2" s="1"/>
  <c r="J90" i="2"/>
  <c r="U68" i="3" l="1"/>
  <c r="S68" i="3"/>
  <c r="T68" i="3" s="1"/>
  <c r="J91" i="2"/>
  <c r="H91" i="2"/>
  <c r="G91" i="2"/>
  <c r="J71" i="3"/>
  <c r="F72" i="3"/>
  <c r="D71" i="3"/>
  <c r="G70" i="3"/>
  <c r="R69" i="3"/>
  <c r="C93" i="2"/>
  <c r="D92" i="2"/>
  <c r="E92" i="2"/>
  <c r="F92" i="2"/>
  <c r="I91" i="2"/>
  <c r="U69" i="3" l="1"/>
  <c r="S69" i="3"/>
  <c r="T69" i="3" s="1"/>
  <c r="J92" i="2"/>
  <c r="H92" i="2"/>
  <c r="K92" i="2" s="1"/>
  <c r="G92" i="2"/>
  <c r="G71" i="3"/>
  <c r="R70" i="3"/>
  <c r="I92" i="2"/>
  <c r="C94" i="2"/>
  <c r="E93" i="2"/>
  <c r="D93" i="2"/>
  <c r="F93" i="2"/>
  <c r="D72" i="3"/>
  <c r="J72" i="3"/>
  <c r="F73" i="3"/>
  <c r="K91" i="2"/>
  <c r="D94" i="2" l="1"/>
  <c r="I94" i="2" s="1"/>
  <c r="C95" i="2"/>
  <c r="E94" i="2"/>
  <c r="F94" i="2"/>
  <c r="J73" i="3"/>
  <c r="F74" i="3"/>
  <c r="D73" i="3"/>
  <c r="S70" i="3"/>
  <c r="T70" i="3" s="1"/>
  <c r="U70" i="3"/>
  <c r="I93" i="2"/>
  <c r="G72" i="3"/>
  <c r="R71" i="3"/>
  <c r="J93" i="2"/>
  <c r="G93" i="2"/>
  <c r="H93" i="2"/>
  <c r="K93" i="2" s="1"/>
  <c r="U71" i="3" l="1"/>
  <c r="S71" i="3"/>
  <c r="T71" i="3" s="1"/>
  <c r="F75" i="3"/>
  <c r="D74" i="3"/>
  <c r="J74" i="3"/>
  <c r="J94" i="2"/>
  <c r="G94" i="2"/>
  <c r="H94" i="2"/>
  <c r="G73" i="3"/>
  <c r="R72" i="3"/>
  <c r="D95" i="2"/>
  <c r="I95" i="2" s="1"/>
  <c r="C96" i="2"/>
  <c r="K33" i="2" s="1"/>
  <c r="E95" i="2"/>
  <c r="F95" i="2"/>
  <c r="G74" i="3" l="1"/>
  <c r="R73" i="3"/>
  <c r="J75" i="3"/>
  <c r="D75" i="3"/>
  <c r="F76" i="3"/>
  <c r="K94" i="2"/>
  <c r="G95" i="2"/>
  <c r="G42" i="2" s="1"/>
  <c r="H95" i="2"/>
  <c r="J95" i="2"/>
  <c r="U72" i="3"/>
  <c r="S72" i="3"/>
  <c r="T72" i="3" s="1"/>
  <c r="K95" i="2" l="1"/>
  <c r="F77" i="3"/>
  <c r="D76" i="3"/>
  <c r="J76" i="3"/>
  <c r="U73" i="3"/>
  <c r="S73" i="3"/>
  <c r="T73" i="3" s="1"/>
  <c r="G75" i="3"/>
  <c r="R74" i="3"/>
  <c r="G76" i="3" l="1"/>
  <c r="R75" i="3"/>
  <c r="D77" i="3"/>
  <c r="F78" i="3"/>
  <c r="J77" i="3"/>
  <c r="U74" i="3"/>
  <c r="S74" i="3"/>
  <c r="T74" i="3" s="1"/>
  <c r="K96" i="2"/>
  <c r="C36" i="2" s="1"/>
  <c r="C8" i="4" l="1"/>
  <c r="C40" i="2"/>
  <c r="C7" i="4"/>
  <c r="C37" i="2"/>
  <c r="U75" i="3"/>
  <c r="S75" i="3"/>
  <c r="T75" i="3" s="1"/>
  <c r="D78" i="3"/>
  <c r="F79" i="3"/>
  <c r="J78" i="3"/>
  <c r="G77" i="3"/>
  <c r="R76" i="3"/>
  <c r="J79" i="3" l="1"/>
  <c r="D79" i="3"/>
  <c r="F80" i="3"/>
  <c r="L93" i="2"/>
  <c r="M93" i="2" s="1"/>
  <c r="L68" i="2"/>
  <c r="M68" i="2" s="1"/>
  <c r="L87" i="2"/>
  <c r="M87" i="2" s="1"/>
  <c r="L83" i="2"/>
  <c r="M83" i="2" s="1"/>
  <c r="L90" i="2"/>
  <c r="M90" i="2" s="1"/>
  <c r="L46" i="2"/>
  <c r="M46" i="2" s="1"/>
  <c r="L56" i="2"/>
  <c r="M56" i="2" s="1"/>
  <c r="L70" i="2"/>
  <c r="M70" i="2" s="1"/>
  <c r="L67" i="2"/>
  <c r="M67" i="2" s="1"/>
  <c r="L84" i="2"/>
  <c r="M84" i="2" s="1"/>
  <c r="L74" i="2"/>
  <c r="M74" i="2" s="1"/>
  <c r="L71" i="2"/>
  <c r="M71" i="2" s="1"/>
  <c r="L64" i="2"/>
  <c r="M64" i="2" s="1"/>
  <c r="H29" i="3"/>
  <c r="L94" i="2"/>
  <c r="M94" i="2" s="1"/>
  <c r="L48" i="2"/>
  <c r="M48" i="2" s="1"/>
  <c r="L65" i="2"/>
  <c r="M65" i="2" s="1"/>
  <c r="L89" i="2"/>
  <c r="M89" i="2" s="1"/>
  <c r="L88" i="2"/>
  <c r="M88" i="2" s="1"/>
  <c r="L72" i="2"/>
  <c r="M72" i="2" s="1"/>
  <c r="L59" i="2"/>
  <c r="M59" i="2" s="1"/>
  <c r="L75" i="2"/>
  <c r="M75" i="2" s="1"/>
  <c r="L53" i="2"/>
  <c r="M53" i="2" s="1"/>
  <c r="H34" i="3"/>
  <c r="H38" i="3"/>
  <c r="H42" i="3"/>
  <c r="H46" i="3"/>
  <c r="H50" i="3"/>
  <c r="H54" i="3"/>
  <c r="H58" i="3"/>
  <c r="H62" i="3"/>
  <c r="H66" i="3"/>
  <c r="H70" i="3"/>
  <c r="H74" i="3"/>
  <c r="H78" i="3"/>
  <c r="C10" i="11"/>
  <c r="H30" i="3"/>
  <c r="H28" i="3"/>
  <c r="L66" i="2"/>
  <c r="M66" i="2" s="1"/>
  <c r="L91" i="2"/>
  <c r="M91" i="2" s="1"/>
  <c r="L58" i="2"/>
  <c r="M58" i="2" s="1"/>
  <c r="L49" i="2"/>
  <c r="M49" i="2" s="1"/>
  <c r="L77" i="2"/>
  <c r="M77" i="2" s="1"/>
  <c r="L95" i="2"/>
  <c r="M95" i="2" s="1"/>
  <c r="H32" i="3"/>
  <c r="H37" i="3"/>
  <c r="H43" i="3"/>
  <c r="H48" i="3"/>
  <c r="H53" i="3"/>
  <c r="H59" i="3"/>
  <c r="H64" i="3"/>
  <c r="H69" i="3"/>
  <c r="H75" i="3"/>
  <c r="L63" i="2"/>
  <c r="M63" i="2" s="1"/>
  <c r="L73" i="2"/>
  <c r="M73" i="2" s="1"/>
  <c r="L76" i="2"/>
  <c r="M76" i="2" s="1"/>
  <c r="L50" i="2"/>
  <c r="M50" i="2" s="1"/>
  <c r="H31" i="3"/>
  <c r="L86" i="2"/>
  <c r="M86" i="2" s="1"/>
  <c r="L85" i="2"/>
  <c r="M85" i="2" s="1"/>
  <c r="H33" i="3"/>
  <c r="H40" i="3"/>
  <c r="H47" i="3"/>
  <c r="H55" i="3"/>
  <c r="H61" i="3"/>
  <c r="H68" i="3"/>
  <c r="H76" i="3"/>
  <c r="L51" i="2"/>
  <c r="M51" i="2" s="1"/>
  <c r="L61" i="2"/>
  <c r="M61" i="2" s="1"/>
  <c r="L57" i="2"/>
  <c r="M57" i="2" s="1"/>
  <c r="H35" i="3"/>
  <c r="H44" i="3"/>
  <c r="H52" i="3"/>
  <c r="H63" i="3"/>
  <c r="H72" i="3"/>
  <c r="L82" i="2"/>
  <c r="M82" i="2" s="1"/>
  <c r="L81" i="2"/>
  <c r="M81" i="2" s="1"/>
  <c r="L62" i="2"/>
  <c r="M62" i="2" s="1"/>
  <c r="H39" i="3"/>
  <c r="H51" i="3"/>
  <c r="H65" i="3"/>
  <c r="H77" i="3"/>
  <c r="L60" i="2"/>
  <c r="M60" i="2" s="1"/>
  <c r="L92" i="2"/>
  <c r="M92" i="2" s="1"/>
  <c r="L79" i="2"/>
  <c r="M79" i="2" s="1"/>
  <c r="L52" i="2"/>
  <c r="M52" i="2" s="1"/>
  <c r="L78" i="2"/>
  <c r="M78" i="2" s="1"/>
  <c r="H45" i="3"/>
  <c r="H60" i="3"/>
  <c r="H79" i="3"/>
  <c r="H36" i="3"/>
  <c r="H57" i="3"/>
  <c r="L47" i="2"/>
  <c r="M47" i="2" s="1"/>
  <c r="H67" i="3"/>
  <c r="L45" i="2"/>
  <c r="M45" i="2" s="1"/>
  <c r="H41" i="3"/>
  <c r="H73" i="3"/>
  <c r="L80" i="2"/>
  <c r="M80" i="2" s="1"/>
  <c r="L69" i="2"/>
  <c r="M69" i="2" s="1"/>
  <c r="H49" i="3"/>
  <c r="L54" i="2"/>
  <c r="M54" i="2" s="1"/>
  <c r="H56" i="3"/>
  <c r="L55" i="2"/>
  <c r="M55" i="2" s="1"/>
  <c r="H71" i="3"/>
  <c r="U76" i="3"/>
  <c r="S76" i="3"/>
  <c r="T76" i="3" s="1"/>
  <c r="G78" i="3"/>
  <c r="R77" i="3"/>
  <c r="C11" i="4"/>
  <c r="C11" i="11" s="1"/>
  <c r="S77" i="3" l="1"/>
  <c r="T77" i="3" s="1"/>
  <c r="U77" i="3"/>
  <c r="I49" i="3"/>
  <c r="D49" i="4" s="1"/>
  <c r="E49" i="4"/>
  <c r="F49" i="4" s="1"/>
  <c r="K49" i="3"/>
  <c r="L49" i="3" s="1"/>
  <c r="I73" i="3"/>
  <c r="D73" i="4" s="1"/>
  <c r="E73" i="4"/>
  <c r="F73" i="4" s="1"/>
  <c r="K73" i="3"/>
  <c r="L73" i="3" s="1"/>
  <c r="I67" i="3"/>
  <c r="D67" i="4" s="1"/>
  <c r="E67" i="4"/>
  <c r="F67" i="4" s="1"/>
  <c r="K67" i="3"/>
  <c r="L67" i="3" s="1"/>
  <c r="E79" i="4"/>
  <c r="F79" i="4" s="1"/>
  <c r="I79" i="3"/>
  <c r="D79" i="4" s="1"/>
  <c r="E39" i="4"/>
  <c r="F39" i="4" s="1"/>
  <c r="I39" i="3"/>
  <c r="D39" i="4" s="1"/>
  <c r="K39" i="3"/>
  <c r="L39" i="3" s="1"/>
  <c r="E52" i="4"/>
  <c r="F52" i="4" s="1"/>
  <c r="I52" i="3"/>
  <c r="D52" i="4" s="1"/>
  <c r="K52" i="3"/>
  <c r="L52" i="3" s="1"/>
  <c r="I61" i="3"/>
  <c r="D61" i="4" s="1"/>
  <c r="E61" i="4"/>
  <c r="F61" i="4" s="1"/>
  <c r="K61" i="3"/>
  <c r="L61" i="3" s="1"/>
  <c r="I33" i="3"/>
  <c r="D33" i="4" s="1"/>
  <c r="E33" i="4"/>
  <c r="F33" i="4" s="1"/>
  <c r="K33" i="3"/>
  <c r="L33" i="3" s="1"/>
  <c r="E69" i="4"/>
  <c r="F69" i="4" s="1"/>
  <c r="I69" i="3"/>
  <c r="D69" i="4" s="1"/>
  <c r="K69" i="3"/>
  <c r="L69" i="3" s="1"/>
  <c r="E48" i="4"/>
  <c r="F48" i="4" s="1"/>
  <c r="I48" i="3"/>
  <c r="D48" i="4" s="1"/>
  <c r="K48" i="3"/>
  <c r="L48" i="3" s="1"/>
  <c r="Y15" i="11"/>
  <c r="Y21" i="11" s="1"/>
  <c r="Z15" i="11"/>
  <c r="C14" i="11"/>
  <c r="E78" i="4"/>
  <c r="F78" i="4" s="1"/>
  <c r="I78" i="3"/>
  <c r="D78" i="4" s="1"/>
  <c r="I62" i="3"/>
  <c r="D62" i="4" s="1"/>
  <c r="E62" i="4"/>
  <c r="F62" i="4" s="1"/>
  <c r="K62" i="3"/>
  <c r="L62" i="3" s="1"/>
  <c r="I46" i="3"/>
  <c r="D46" i="4" s="1"/>
  <c r="E46" i="4"/>
  <c r="F46" i="4" s="1"/>
  <c r="K46" i="3"/>
  <c r="L46" i="3" s="1"/>
  <c r="J80" i="3"/>
  <c r="D80" i="3"/>
  <c r="H80" i="3" s="1"/>
  <c r="F81" i="3"/>
  <c r="C15" i="11"/>
  <c r="C16" i="11" s="1"/>
  <c r="Z16" i="11"/>
  <c r="G79" i="3"/>
  <c r="R78" i="3"/>
  <c r="E71" i="4"/>
  <c r="F71" i="4" s="1"/>
  <c r="I71" i="3"/>
  <c r="D71" i="4" s="1"/>
  <c r="K71" i="3"/>
  <c r="L71" i="3" s="1"/>
  <c r="I41" i="3"/>
  <c r="D41" i="4" s="1"/>
  <c r="E41" i="4"/>
  <c r="F41" i="4" s="1"/>
  <c r="K41" i="3"/>
  <c r="L41" i="3" s="1"/>
  <c r="I60" i="3"/>
  <c r="D60" i="4" s="1"/>
  <c r="E60" i="4"/>
  <c r="F60" i="4" s="1"/>
  <c r="K60" i="3"/>
  <c r="L60" i="3" s="1"/>
  <c r="E77" i="4"/>
  <c r="F77" i="4" s="1"/>
  <c r="I77" i="3"/>
  <c r="D77" i="4" s="1"/>
  <c r="K77" i="3"/>
  <c r="L77" i="3" s="1"/>
  <c r="I44" i="3"/>
  <c r="D44" i="4" s="1"/>
  <c r="E44" i="4"/>
  <c r="F44" i="4" s="1"/>
  <c r="K44" i="3"/>
  <c r="L44" i="3" s="1"/>
  <c r="E55" i="4"/>
  <c r="F55" i="4" s="1"/>
  <c r="I55" i="3"/>
  <c r="D55" i="4" s="1"/>
  <c r="K55" i="3"/>
  <c r="L55" i="3" s="1"/>
  <c r="I64" i="3"/>
  <c r="D64" i="4" s="1"/>
  <c r="E64" i="4"/>
  <c r="F64" i="4" s="1"/>
  <c r="K64" i="3"/>
  <c r="L64" i="3" s="1"/>
  <c r="E43" i="4"/>
  <c r="F43" i="4" s="1"/>
  <c r="I43" i="3"/>
  <c r="D43" i="4" s="1"/>
  <c r="K43" i="3"/>
  <c r="L43" i="3" s="1"/>
  <c r="E74" i="4"/>
  <c r="F74" i="4" s="1"/>
  <c r="I74" i="3"/>
  <c r="D74" i="4" s="1"/>
  <c r="K74" i="3"/>
  <c r="L74" i="3" s="1"/>
  <c r="I58" i="3"/>
  <c r="D58" i="4" s="1"/>
  <c r="E58" i="4"/>
  <c r="F58" i="4" s="1"/>
  <c r="K58" i="3"/>
  <c r="L58" i="3" s="1"/>
  <c r="I42" i="3"/>
  <c r="D42" i="4" s="1"/>
  <c r="E42" i="4"/>
  <c r="F42" i="4" s="1"/>
  <c r="K42" i="3"/>
  <c r="L42" i="3" s="1"/>
  <c r="E29" i="4"/>
  <c r="F29" i="4" s="1"/>
  <c r="I29" i="3"/>
  <c r="K29" i="3"/>
  <c r="L29" i="3" s="1"/>
  <c r="P29" i="3" s="1"/>
  <c r="Q29" i="3" s="1"/>
  <c r="J37" i="2"/>
  <c r="M96" i="2"/>
  <c r="J36" i="2"/>
  <c r="J35" i="2"/>
  <c r="I57" i="3"/>
  <c r="D57" i="4" s="1"/>
  <c r="E57" i="4"/>
  <c r="F57" i="4" s="1"/>
  <c r="K57" i="3"/>
  <c r="L57" i="3" s="1"/>
  <c r="E45" i="4"/>
  <c r="F45" i="4" s="1"/>
  <c r="I45" i="3"/>
  <c r="D45" i="4" s="1"/>
  <c r="K45" i="3"/>
  <c r="L45" i="3" s="1"/>
  <c r="I65" i="3"/>
  <c r="D65" i="4" s="1"/>
  <c r="E65" i="4"/>
  <c r="F65" i="4" s="1"/>
  <c r="K65" i="3"/>
  <c r="L65" i="3" s="1"/>
  <c r="I72" i="3"/>
  <c r="D72" i="4" s="1"/>
  <c r="E72" i="4"/>
  <c r="F72" i="4" s="1"/>
  <c r="K72" i="3"/>
  <c r="L72" i="3" s="1"/>
  <c r="E35" i="4"/>
  <c r="F35" i="4" s="1"/>
  <c r="I35" i="3"/>
  <c r="D35" i="4" s="1"/>
  <c r="K35" i="3"/>
  <c r="L35" i="3" s="1"/>
  <c r="I76" i="3"/>
  <c r="D76" i="4" s="1"/>
  <c r="E76" i="4"/>
  <c r="F76" i="4" s="1"/>
  <c r="K76" i="3"/>
  <c r="L76" i="3" s="1"/>
  <c r="I47" i="3"/>
  <c r="D47" i="4" s="1"/>
  <c r="E47" i="4"/>
  <c r="F47" i="4" s="1"/>
  <c r="K47" i="3"/>
  <c r="L47" i="3" s="1"/>
  <c r="I59" i="3"/>
  <c r="D59" i="4" s="1"/>
  <c r="E59" i="4"/>
  <c r="F59" i="4" s="1"/>
  <c r="K59" i="3"/>
  <c r="L59" i="3" s="1"/>
  <c r="E37" i="4"/>
  <c r="F37" i="4" s="1"/>
  <c r="I37" i="3"/>
  <c r="D37" i="4" s="1"/>
  <c r="K37" i="3"/>
  <c r="L37" i="3" s="1"/>
  <c r="I28" i="3"/>
  <c r="D28" i="4" s="1"/>
  <c r="E28" i="4"/>
  <c r="F28" i="4" s="1"/>
  <c r="K28" i="3"/>
  <c r="L28" i="3" s="1"/>
  <c r="P28" i="3" s="1"/>
  <c r="E70" i="4"/>
  <c r="F70" i="4" s="1"/>
  <c r="I70" i="3"/>
  <c r="D70" i="4" s="1"/>
  <c r="K70" i="3"/>
  <c r="L70" i="3" s="1"/>
  <c r="E54" i="4"/>
  <c r="F54" i="4" s="1"/>
  <c r="I54" i="3"/>
  <c r="D54" i="4" s="1"/>
  <c r="K54" i="3"/>
  <c r="L54" i="3" s="1"/>
  <c r="E38" i="4"/>
  <c r="F38" i="4" s="1"/>
  <c r="I38" i="3"/>
  <c r="D38" i="4" s="1"/>
  <c r="K38" i="3"/>
  <c r="L38" i="3" s="1"/>
  <c r="K78" i="3"/>
  <c r="L78" i="3" s="1"/>
  <c r="E56" i="4"/>
  <c r="F56" i="4" s="1"/>
  <c r="I56" i="3"/>
  <c r="D56" i="4" s="1"/>
  <c r="K56" i="3"/>
  <c r="L56" i="3" s="1"/>
  <c r="E36" i="4"/>
  <c r="F36" i="4" s="1"/>
  <c r="I36" i="3"/>
  <c r="D36" i="4" s="1"/>
  <c r="K36" i="3"/>
  <c r="L36" i="3" s="1"/>
  <c r="E51" i="4"/>
  <c r="F51" i="4" s="1"/>
  <c r="I51" i="3"/>
  <c r="D51" i="4" s="1"/>
  <c r="K51" i="3"/>
  <c r="L51" i="3" s="1"/>
  <c r="I63" i="3"/>
  <c r="D63" i="4" s="1"/>
  <c r="E63" i="4"/>
  <c r="F63" i="4" s="1"/>
  <c r="K63" i="3"/>
  <c r="L63" i="3" s="1"/>
  <c r="E68" i="4"/>
  <c r="F68" i="4" s="1"/>
  <c r="I68" i="3"/>
  <c r="D68" i="4" s="1"/>
  <c r="K68" i="3"/>
  <c r="L68" i="3" s="1"/>
  <c r="E40" i="4"/>
  <c r="F40" i="4" s="1"/>
  <c r="I40" i="3"/>
  <c r="D40" i="4" s="1"/>
  <c r="K40" i="3"/>
  <c r="L40" i="3" s="1"/>
  <c r="E31" i="4"/>
  <c r="F31" i="4" s="1"/>
  <c r="I31" i="3"/>
  <c r="D31" i="4" s="1"/>
  <c r="K31" i="3"/>
  <c r="L31" i="3" s="1"/>
  <c r="I75" i="3"/>
  <c r="D75" i="4" s="1"/>
  <c r="E75" i="4"/>
  <c r="F75" i="4" s="1"/>
  <c r="K75" i="3"/>
  <c r="L75" i="3" s="1"/>
  <c r="E53" i="4"/>
  <c r="F53" i="4" s="1"/>
  <c r="I53" i="3"/>
  <c r="D53" i="4" s="1"/>
  <c r="K53" i="3"/>
  <c r="L53" i="3" s="1"/>
  <c r="I32" i="3"/>
  <c r="D32" i="4" s="1"/>
  <c r="E32" i="4"/>
  <c r="F32" i="4" s="1"/>
  <c r="K32" i="3"/>
  <c r="L32" i="3" s="1"/>
  <c r="E30" i="4"/>
  <c r="F30" i="4" s="1"/>
  <c r="I30" i="3"/>
  <c r="D30" i="4" s="1"/>
  <c r="K30" i="3"/>
  <c r="L30" i="3" s="1"/>
  <c r="E66" i="4"/>
  <c r="F66" i="4" s="1"/>
  <c r="I66" i="3"/>
  <c r="D66" i="4" s="1"/>
  <c r="K66" i="3"/>
  <c r="L66" i="3" s="1"/>
  <c r="I50" i="3"/>
  <c r="D50" i="4" s="1"/>
  <c r="E50" i="4"/>
  <c r="F50" i="4" s="1"/>
  <c r="K50" i="3"/>
  <c r="L50" i="3" s="1"/>
  <c r="E34" i="4"/>
  <c r="F34" i="4" s="1"/>
  <c r="I34" i="3"/>
  <c r="D34" i="4" s="1"/>
  <c r="K34" i="3"/>
  <c r="L34" i="3" s="1"/>
  <c r="K79" i="3"/>
  <c r="L79" i="3" s="1"/>
  <c r="AA16" i="11" l="1"/>
  <c r="AA22" i="11" s="1"/>
  <c r="Z22" i="11"/>
  <c r="E80" i="4"/>
  <c r="F80" i="4" s="1"/>
  <c r="I80" i="3"/>
  <c r="D80" i="4" s="1"/>
  <c r="L29" i="4"/>
  <c r="V29" i="3"/>
  <c r="S78" i="3"/>
  <c r="T78" i="3" s="1"/>
  <c r="U78" i="3"/>
  <c r="K80" i="3"/>
  <c r="L80" i="3" s="1"/>
  <c r="D29" i="4"/>
  <c r="AI29" i="3"/>
  <c r="G80" i="3"/>
  <c r="R79" i="3"/>
  <c r="Y16" i="11"/>
  <c r="Y22" i="11" s="1"/>
  <c r="J81" i="3"/>
  <c r="D81" i="3"/>
  <c r="H81" i="3" s="1"/>
  <c r="F82" i="3"/>
  <c r="AA15" i="11"/>
  <c r="AA21" i="11" s="1"/>
  <c r="Z21" i="11"/>
  <c r="J82" i="3" l="1"/>
  <c r="K82" i="3" s="1"/>
  <c r="L82" i="3" s="1"/>
  <c r="D82" i="3"/>
  <c r="H82" i="3" s="1"/>
  <c r="F83" i="3"/>
  <c r="Y25" i="11"/>
  <c r="Y29" i="11" s="1"/>
  <c r="Y24" i="11"/>
  <c r="Y28" i="11" s="1"/>
  <c r="Z25" i="11"/>
  <c r="Z24" i="11"/>
  <c r="I81" i="3"/>
  <c r="D81" i="4" s="1"/>
  <c r="E81" i="4"/>
  <c r="F81" i="4" s="1"/>
  <c r="U79" i="3"/>
  <c r="S79" i="3"/>
  <c r="T79" i="3" s="1"/>
  <c r="W29" i="3"/>
  <c r="X29" i="3"/>
  <c r="Y29" i="3" s="1"/>
  <c r="Z29" i="3" s="1"/>
  <c r="AA29" i="3" s="1"/>
  <c r="AB29" i="3" s="1"/>
  <c r="G81" i="3"/>
  <c r="R80" i="3"/>
  <c r="K81" i="3"/>
  <c r="L81" i="3" s="1"/>
  <c r="AC29" i="3" l="1"/>
  <c r="C29" i="4"/>
  <c r="M30" i="3"/>
  <c r="D83" i="3"/>
  <c r="H83" i="3" s="1"/>
  <c r="J83" i="3"/>
  <c r="F84" i="3"/>
  <c r="S80" i="3"/>
  <c r="T80" i="3" s="1"/>
  <c r="U80" i="3"/>
  <c r="E82" i="4"/>
  <c r="F82" i="4" s="1"/>
  <c r="I82" i="3"/>
  <c r="D82" i="4" s="1"/>
  <c r="G82" i="3"/>
  <c r="R81" i="3"/>
  <c r="U81" i="3" l="1"/>
  <c r="S81" i="3"/>
  <c r="T81" i="3" s="1"/>
  <c r="H29" i="4"/>
  <c r="G29" i="4"/>
  <c r="I29" i="4" s="1"/>
  <c r="G83" i="3"/>
  <c r="R82" i="3"/>
  <c r="E83" i="4"/>
  <c r="F83" i="4" s="1"/>
  <c r="I83" i="3"/>
  <c r="D83" i="4" s="1"/>
  <c r="AD29" i="3"/>
  <c r="D84" i="3"/>
  <c r="H84" i="3" s="1"/>
  <c r="F85" i="3"/>
  <c r="J84" i="3"/>
  <c r="K83" i="3"/>
  <c r="L83" i="3" s="1"/>
  <c r="N30" i="3"/>
  <c r="AI30" i="3"/>
  <c r="O30" i="3"/>
  <c r="E84" i="4" l="1"/>
  <c r="F84" i="4" s="1"/>
  <c r="I84" i="3"/>
  <c r="D84" i="4" s="1"/>
  <c r="S82" i="3"/>
  <c r="T82" i="3" s="1"/>
  <c r="U82" i="3"/>
  <c r="P30" i="3"/>
  <c r="K84" i="3"/>
  <c r="L84" i="3" s="1"/>
  <c r="G84" i="3"/>
  <c r="R83" i="3"/>
  <c r="J85" i="3"/>
  <c r="K85" i="3" s="1"/>
  <c r="L85" i="3" s="1"/>
  <c r="D85" i="3"/>
  <c r="H85" i="3" s="1"/>
  <c r="F86" i="3"/>
  <c r="J29" i="4"/>
  <c r="M29" i="4" l="1"/>
  <c r="K29" i="4"/>
  <c r="Q30" i="3"/>
  <c r="D86" i="3"/>
  <c r="H86" i="3" s="1"/>
  <c r="F87" i="3"/>
  <c r="J86" i="3"/>
  <c r="U83" i="3"/>
  <c r="S83" i="3"/>
  <c r="T83" i="3" s="1"/>
  <c r="I85" i="3"/>
  <c r="D85" i="4" s="1"/>
  <c r="E85" i="4"/>
  <c r="F85" i="4" s="1"/>
  <c r="G85" i="3"/>
  <c r="R84" i="3"/>
  <c r="I86" i="3" l="1"/>
  <c r="D86" i="4" s="1"/>
  <c r="E86" i="4"/>
  <c r="F86" i="4" s="1"/>
  <c r="U84" i="3"/>
  <c r="S84" i="3"/>
  <c r="T84" i="3" s="1"/>
  <c r="K86" i="3"/>
  <c r="L86" i="3" s="1"/>
  <c r="L30" i="4"/>
  <c r="V30" i="3"/>
  <c r="G86" i="3"/>
  <c r="R85" i="3"/>
  <c r="D87" i="3"/>
  <c r="H87" i="3" s="1"/>
  <c r="J87" i="3"/>
  <c r="F88" i="3"/>
  <c r="I87" i="3" l="1"/>
  <c r="D87" i="4" s="1"/>
  <c r="E87" i="4"/>
  <c r="F87" i="4" s="1"/>
  <c r="F89" i="3"/>
  <c r="D88" i="3"/>
  <c r="H88" i="3" s="1"/>
  <c r="J88" i="3"/>
  <c r="K88" i="3" s="1"/>
  <c r="L88" i="3" s="1"/>
  <c r="U85" i="3"/>
  <c r="S85" i="3"/>
  <c r="T85" i="3" s="1"/>
  <c r="G87" i="3"/>
  <c r="R86" i="3"/>
  <c r="K87" i="3"/>
  <c r="L87" i="3" s="1"/>
  <c r="W30" i="3"/>
  <c r="X30" i="3"/>
  <c r="Y30" i="3" s="1"/>
  <c r="Z30" i="3" s="1"/>
  <c r="AA30" i="3" s="1"/>
  <c r="AB30" i="3" s="1"/>
  <c r="U86" i="3" l="1"/>
  <c r="S86" i="3"/>
  <c r="T86" i="3" s="1"/>
  <c r="M31" i="3"/>
  <c r="C30" i="4"/>
  <c r="AC30" i="3"/>
  <c r="G88" i="3"/>
  <c r="R87" i="3"/>
  <c r="I88" i="3"/>
  <c r="D88" i="4" s="1"/>
  <c r="E88" i="4"/>
  <c r="F88" i="4" s="1"/>
  <c r="F90" i="3"/>
  <c r="J89" i="3"/>
  <c r="K89" i="3" s="1"/>
  <c r="L89" i="3" s="1"/>
  <c r="D89" i="3"/>
  <c r="H89" i="3" s="1"/>
  <c r="S87" i="3" l="1"/>
  <c r="T87" i="3" s="1"/>
  <c r="U87" i="3"/>
  <c r="O31" i="3"/>
  <c r="AI31" i="3"/>
  <c r="N31" i="3"/>
  <c r="G89" i="3"/>
  <c r="R88" i="3"/>
  <c r="F91" i="3"/>
  <c r="D90" i="3"/>
  <c r="H90" i="3" s="1"/>
  <c r="J90" i="3"/>
  <c r="K90" i="3" s="1"/>
  <c r="L90" i="3" s="1"/>
  <c r="AD30" i="3"/>
  <c r="I89" i="3"/>
  <c r="D89" i="4" s="1"/>
  <c r="E89" i="4"/>
  <c r="F89" i="4" s="1"/>
  <c r="G30" i="4"/>
  <c r="I30" i="4" s="1"/>
  <c r="H30" i="4"/>
  <c r="S88" i="3" l="1"/>
  <c r="T88" i="3" s="1"/>
  <c r="U88" i="3"/>
  <c r="I90" i="3"/>
  <c r="D90" i="4" s="1"/>
  <c r="E90" i="4"/>
  <c r="F90" i="4" s="1"/>
  <c r="G90" i="3"/>
  <c r="R89" i="3"/>
  <c r="C12" i="4"/>
  <c r="C13" i="4"/>
  <c r="C12" i="11" s="1"/>
  <c r="J30" i="4"/>
  <c r="D91" i="3"/>
  <c r="H91" i="3" s="1"/>
  <c r="F92" i="3"/>
  <c r="J91" i="3"/>
  <c r="K91" i="3" s="1"/>
  <c r="L91" i="3" s="1"/>
  <c r="P31" i="3"/>
  <c r="M30" i="4" l="1"/>
  <c r="K30" i="4"/>
  <c r="S89" i="3"/>
  <c r="T89" i="3" s="1"/>
  <c r="U89" i="3"/>
  <c r="D92" i="3"/>
  <c r="H92" i="3" s="1"/>
  <c r="J92" i="3"/>
  <c r="F93" i="3"/>
  <c r="G91" i="3"/>
  <c r="R90" i="3"/>
  <c r="Q31" i="3"/>
  <c r="I91" i="3"/>
  <c r="D91" i="4" s="1"/>
  <c r="E91" i="4"/>
  <c r="F91" i="4" s="1"/>
  <c r="Y17" i="11"/>
  <c r="Y23" i="11" s="1"/>
  <c r="Z17" i="11"/>
  <c r="AA17" i="11" l="1"/>
  <c r="AA23" i="11" s="1"/>
  <c r="Z23" i="11"/>
  <c r="E92" i="4"/>
  <c r="F92" i="4" s="1"/>
  <c r="I92" i="3"/>
  <c r="D92" i="4" s="1"/>
  <c r="Y26" i="11"/>
  <c r="Y27" i="11"/>
  <c r="L31" i="4"/>
  <c r="V31" i="3"/>
  <c r="D93" i="3"/>
  <c r="H93" i="3" s="1"/>
  <c r="F94" i="3"/>
  <c r="J93" i="3"/>
  <c r="K93" i="3" s="1"/>
  <c r="L93" i="3" s="1"/>
  <c r="S90" i="3"/>
  <c r="T90" i="3" s="1"/>
  <c r="U90" i="3"/>
  <c r="K92" i="3"/>
  <c r="L92" i="3" s="1"/>
  <c r="G92" i="3"/>
  <c r="R91" i="3"/>
  <c r="W31" i="3" l="1"/>
  <c r="X31" i="3" s="1"/>
  <c r="Y31" i="3" s="1"/>
  <c r="Z31" i="3" s="1"/>
  <c r="AA31" i="3" s="1"/>
  <c r="AB31" i="3" s="1"/>
  <c r="U91" i="3"/>
  <c r="S91" i="3"/>
  <c r="T91" i="3" s="1"/>
  <c r="D94" i="3"/>
  <c r="H94" i="3" s="1"/>
  <c r="J94" i="3"/>
  <c r="K94" i="3" s="1"/>
  <c r="L94" i="3" s="1"/>
  <c r="F95" i="3"/>
  <c r="G93" i="3"/>
  <c r="R92" i="3"/>
  <c r="Z26" i="11"/>
  <c r="Z27" i="11"/>
  <c r="E93" i="4"/>
  <c r="F93" i="4" s="1"/>
  <c r="I93" i="3"/>
  <c r="D93" i="4" s="1"/>
  <c r="C31" i="4" l="1"/>
  <c r="AC31" i="3"/>
  <c r="M32" i="3"/>
  <c r="S92" i="3"/>
  <c r="T92" i="3" s="1"/>
  <c r="U92" i="3"/>
  <c r="G94" i="3"/>
  <c r="R93" i="3"/>
  <c r="E94" i="4"/>
  <c r="F94" i="4" s="1"/>
  <c r="I94" i="3"/>
  <c r="D94" i="4" s="1"/>
  <c r="J95" i="3"/>
  <c r="D95" i="3"/>
  <c r="H95" i="3" s="1"/>
  <c r="F96" i="3"/>
  <c r="G95" i="3" l="1"/>
  <c r="R94" i="3"/>
  <c r="D96" i="3"/>
  <c r="H96" i="3" s="1"/>
  <c r="J96" i="3"/>
  <c r="F97" i="3"/>
  <c r="N32" i="3"/>
  <c r="P32" i="3" s="1"/>
  <c r="AI32" i="3"/>
  <c r="O32" i="3"/>
  <c r="E95" i="4"/>
  <c r="F95" i="4" s="1"/>
  <c r="I95" i="3"/>
  <c r="D95" i="4" s="1"/>
  <c r="AD31" i="3"/>
  <c r="K95" i="3"/>
  <c r="L95" i="3" s="1"/>
  <c r="S93" i="3"/>
  <c r="T93" i="3" s="1"/>
  <c r="U93" i="3"/>
  <c r="G31" i="4"/>
  <c r="I31" i="4" s="1"/>
  <c r="H31" i="4"/>
  <c r="Q32" i="3" l="1"/>
  <c r="I96" i="3"/>
  <c r="D96" i="4" s="1"/>
  <c r="E96" i="4"/>
  <c r="F96" i="4" s="1"/>
  <c r="J31" i="4"/>
  <c r="J97" i="3"/>
  <c r="F98" i="3"/>
  <c r="D97" i="3"/>
  <c r="H97" i="3" s="1"/>
  <c r="U94" i="3"/>
  <c r="S94" i="3"/>
  <c r="T94" i="3" s="1"/>
  <c r="K96" i="3"/>
  <c r="L96" i="3" s="1"/>
  <c r="G96" i="3"/>
  <c r="R95" i="3"/>
  <c r="I97" i="3" l="1"/>
  <c r="D97" i="4" s="1"/>
  <c r="E97" i="4"/>
  <c r="F97" i="4" s="1"/>
  <c r="U95" i="3"/>
  <c r="S95" i="3"/>
  <c r="T95" i="3" s="1"/>
  <c r="J98" i="3"/>
  <c r="D98" i="3"/>
  <c r="H98" i="3" s="1"/>
  <c r="F99" i="3"/>
  <c r="K31" i="4"/>
  <c r="M31" i="4"/>
  <c r="L32" i="4"/>
  <c r="V32" i="3"/>
  <c r="G97" i="3"/>
  <c r="R96" i="3"/>
  <c r="K97" i="3"/>
  <c r="L97" i="3" s="1"/>
  <c r="U96" i="3" l="1"/>
  <c r="S96" i="3"/>
  <c r="T96" i="3" s="1"/>
  <c r="D99" i="3"/>
  <c r="H99" i="3" s="1"/>
  <c r="J99" i="3"/>
  <c r="F100" i="3"/>
  <c r="G98" i="3"/>
  <c r="R97" i="3"/>
  <c r="E98" i="4"/>
  <c r="F98" i="4" s="1"/>
  <c r="I98" i="3"/>
  <c r="D98" i="4" s="1"/>
  <c r="W32" i="3"/>
  <c r="X32" i="3"/>
  <c r="Y32" i="3" s="1"/>
  <c r="Z32" i="3" s="1"/>
  <c r="AA32" i="3" s="1"/>
  <c r="AB32" i="3" s="1"/>
  <c r="K98" i="3"/>
  <c r="L98" i="3" s="1"/>
  <c r="G99" i="3" l="1"/>
  <c r="R98" i="3"/>
  <c r="M33" i="3"/>
  <c r="C32" i="4"/>
  <c r="AC32" i="3"/>
  <c r="E99" i="4"/>
  <c r="F99" i="4" s="1"/>
  <c r="I99" i="3"/>
  <c r="D99" i="4" s="1"/>
  <c r="J100" i="3"/>
  <c r="D100" i="3"/>
  <c r="H100" i="3" s="1"/>
  <c r="F101" i="3"/>
  <c r="S97" i="3"/>
  <c r="T97" i="3" s="1"/>
  <c r="U97" i="3"/>
  <c r="K99" i="3"/>
  <c r="L99" i="3" s="1"/>
  <c r="F102" i="3" l="1"/>
  <c r="J101" i="3"/>
  <c r="D101" i="3"/>
  <c r="H101" i="3" s="1"/>
  <c r="O33" i="3"/>
  <c r="AI33" i="3"/>
  <c r="N33" i="3"/>
  <c r="P33" i="3" s="1"/>
  <c r="Q33" i="3" s="1"/>
  <c r="E100" i="4"/>
  <c r="F100" i="4" s="1"/>
  <c r="I100" i="3"/>
  <c r="D100" i="4" s="1"/>
  <c r="U98" i="3"/>
  <c r="S98" i="3"/>
  <c r="T98" i="3" s="1"/>
  <c r="K100" i="3"/>
  <c r="L100" i="3" s="1"/>
  <c r="AD32" i="3"/>
  <c r="G100" i="3"/>
  <c r="R99" i="3"/>
  <c r="H32" i="4"/>
  <c r="G32" i="4"/>
  <c r="I32" i="4" s="1"/>
  <c r="J32" i="4" l="1"/>
  <c r="E101" i="4"/>
  <c r="F101" i="4" s="1"/>
  <c r="I101" i="3"/>
  <c r="D101" i="4" s="1"/>
  <c r="L33" i="4"/>
  <c r="V33" i="3"/>
  <c r="K101" i="3"/>
  <c r="L101" i="3" s="1"/>
  <c r="U99" i="3"/>
  <c r="S99" i="3"/>
  <c r="T99" i="3" s="1"/>
  <c r="G101" i="3"/>
  <c r="R100" i="3"/>
  <c r="D102" i="3"/>
  <c r="H102" i="3" s="1"/>
  <c r="F103" i="3"/>
  <c r="J102" i="3"/>
  <c r="G102" i="3" l="1"/>
  <c r="R101" i="3"/>
  <c r="E102" i="4"/>
  <c r="F102" i="4" s="1"/>
  <c r="I102" i="3"/>
  <c r="D102" i="4" s="1"/>
  <c r="W33" i="3"/>
  <c r="X33" i="3"/>
  <c r="Y33" i="3" s="1"/>
  <c r="Z33" i="3" s="1"/>
  <c r="AA33" i="3" s="1"/>
  <c r="AB33" i="3" s="1"/>
  <c r="K102" i="3"/>
  <c r="L102" i="3" s="1"/>
  <c r="F104" i="3"/>
  <c r="D103" i="3"/>
  <c r="H103" i="3" s="1"/>
  <c r="J103" i="3"/>
  <c r="K103" i="3" s="1"/>
  <c r="L103" i="3" s="1"/>
  <c r="U100" i="3"/>
  <c r="S100" i="3"/>
  <c r="T100" i="3" s="1"/>
  <c r="M32" i="4"/>
  <c r="K32" i="4"/>
  <c r="AC33" i="3" l="1"/>
  <c r="AD33" i="3" s="1"/>
  <c r="M34" i="3"/>
  <c r="C33" i="4"/>
  <c r="E103" i="4"/>
  <c r="F103" i="4" s="1"/>
  <c r="I103" i="3"/>
  <c r="D103" i="4" s="1"/>
  <c r="U101" i="3"/>
  <c r="S101" i="3"/>
  <c r="T101" i="3" s="1"/>
  <c r="F105" i="3"/>
  <c r="J104" i="3"/>
  <c r="K104" i="3" s="1"/>
  <c r="L104" i="3" s="1"/>
  <c r="D104" i="3"/>
  <c r="H104" i="3" s="1"/>
  <c r="G103" i="3"/>
  <c r="R102" i="3"/>
  <c r="S102" i="3" l="1"/>
  <c r="T102" i="3" s="1"/>
  <c r="U102" i="3"/>
  <c r="O34" i="3"/>
  <c r="AI34" i="3"/>
  <c r="N34" i="3"/>
  <c r="P34" i="3" s="1"/>
  <c r="Q34" i="3" s="1"/>
  <c r="G104" i="3"/>
  <c r="R103" i="3"/>
  <c r="D105" i="3"/>
  <c r="H105" i="3" s="1"/>
  <c r="F106" i="3"/>
  <c r="J105" i="3"/>
  <c r="K105" i="3" s="1"/>
  <c r="L105" i="3" s="1"/>
  <c r="I104" i="3"/>
  <c r="D104" i="4" s="1"/>
  <c r="E104" i="4"/>
  <c r="F104" i="4" s="1"/>
  <c r="G33" i="4"/>
  <c r="I33" i="4" s="1"/>
  <c r="H33" i="4"/>
  <c r="G105" i="3" l="1"/>
  <c r="R104" i="3"/>
  <c r="D106" i="3"/>
  <c r="H106" i="3" s="1"/>
  <c r="F107" i="3"/>
  <c r="J106" i="3"/>
  <c r="L34" i="4"/>
  <c r="V34" i="3"/>
  <c r="I105" i="3"/>
  <c r="D105" i="4" s="1"/>
  <c r="E105" i="4"/>
  <c r="F105" i="4" s="1"/>
  <c r="J33" i="4"/>
  <c r="U103" i="3"/>
  <c r="S103" i="3"/>
  <c r="T103" i="3" s="1"/>
  <c r="E106" i="4" l="1"/>
  <c r="F106" i="4" s="1"/>
  <c r="I106" i="3"/>
  <c r="D106" i="4" s="1"/>
  <c r="K106" i="3"/>
  <c r="L106" i="3" s="1"/>
  <c r="S104" i="3"/>
  <c r="T104" i="3" s="1"/>
  <c r="U104" i="3"/>
  <c r="G106" i="3"/>
  <c r="R105" i="3"/>
  <c r="K33" i="4"/>
  <c r="M33" i="4"/>
  <c r="W34" i="3"/>
  <c r="X34" i="3" s="1"/>
  <c r="Y34" i="3" s="1"/>
  <c r="Z34" i="3" s="1"/>
  <c r="AA34" i="3" s="1"/>
  <c r="AB34" i="3" s="1"/>
  <c r="F108" i="3"/>
  <c r="J107" i="3"/>
  <c r="K107" i="3" s="1"/>
  <c r="L107" i="3" s="1"/>
  <c r="D107" i="3"/>
  <c r="H107" i="3" s="1"/>
  <c r="C34" i="4" l="1"/>
  <c r="AC34" i="3"/>
  <c r="AD34" i="3" s="1"/>
  <c r="M35" i="3"/>
  <c r="S105" i="3"/>
  <c r="T105" i="3" s="1"/>
  <c r="U105" i="3"/>
  <c r="G107" i="3"/>
  <c r="R106" i="3"/>
  <c r="F109" i="3"/>
  <c r="D108" i="3"/>
  <c r="H108" i="3" s="1"/>
  <c r="J108" i="3"/>
  <c r="I107" i="3"/>
  <c r="D107" i="4" s="1"/>
  <c r="E107" i="4"/>
  <c r="F107" i="4" s="1"/>
  <c r="I108" i="3" l="1"/>
  <c r="D108" i="4" s="1"/>
  <c r="E108" i="4"/>
  <c r="F108" i="4" s="1"/>
  <c r="G108" i="3"/>
  <c r="R107" i="3"/>
  <c r="F110" i="3"/>
  <c r="J109" i="3"/>
  <c r="D109" i="3"/>
  <c r="H109" i="3" s="1"/>
  <c r="O35" i="3"/>
  <c r="N35" i="3"/>
  <c r="P35" i="3" s="1"/>
  <c r="Q35" i="3" s="1"/>
  <c r="AI35" i="3"/>
  <c r="K108" i="3"/>
  <c r="L108" i="3" s="1"/>
  <c r="U106" i="3"/>
  <c r="S106" i="3"/>
  <c r="T106" i="3" s="1"/>
  <c r="G34" i="4"/>
  <c r="I34" i="4" s="1"/>
  <c r="J34" i="4" s="1"/>
  <c r="H34" i="4"/>
  <c r="M34" i="4" l="1"/>
  <c r="K34" i="4"/>
  <c r="E109" i="4"/>
  <c r="F109" i="4" s="1"/>
  <c r="I109" i="3"/>
  <c r="D109" i="4" s="1"/>
  <c r="U107" i="3"/>
  <c r="S107" i="3"/>
  <c r="T107" i="3" s="1"/>
  <c r="K109" i="3"/>
  <c r="L109" i="3" s="1"/>
  <c r="G109" i="3"/>
  <c r="R108" i="3"/>
  <c r="L35" i="4"/>
  <c r="V35" i="3"/>
  <c r="D110" i="3"/>
  <c r="H110" i="3" s="1"/>
  <c r="F111" i="3"/>
  <c r="J110" i="3"/>
  <c r="K110" i="3" s="1"/>
  <c r="L110" i="3" s="1"/>
  <c r="W35" i="3" l="1"/>
  <c r="X35" i="3"/>
  <c r="Y35" i="3" s="1"/>
  <c r="Z35" i="3" s="1"/>
  <c r="AA35" i="3" s="1"/>
  <c r="AB35" i="3" s="1"/>
  <c r="F112" i="3"/>
  <c r="J111" i="3"/>
  <c r="D111" i="3"/>
  <c r="H111" i="3" s="1"/>
  <c r="E110" i="4"/>
  <c r="F110" i="4" s="1"/>
  <c r="I110" i="3"/>
  <c r="D110" i="4" s="1"/>
  <c r="S108" i="3"/>
  <c r="T108" i="3" s="1"/>
  <c r="U108" i="3"/>
  <c r="G110" i="3"/>
  <c r="R109" i="3"/>
  <c r="U109" i="3" l="1"/>
  <c r="S109" i="3"/>
  <c r="T109" i="3" s="1"/>
  <c r="G111" i="3"/>
  <c r="R110" i="3"/>
  <c r="I111" i="3"/>
  <c r="D111" i="4" s="1"/>
  <c r="E111" i="4"/>
  <c r="F111" i="4" s="1"/>
  <c r="AC35" i="3"/>
  <c r="AD35" i="3" s="1"/>
  <c r="C35" i="4"/>
  <c r="M36" i="3"/>
  <c r="K111" i="3"/>
  <c r="L111" i="3" s="1"/>
  <c r="J112" i="3"/>
  <c r="D112" i="3"/>
  <c r="H112" i="3" s="1"/>
  <c r="F113" i="3"/>
  <c r="G112" i="3" l="1"/>
  <c r="R111" i="3"/>
  <c r="J113" i="3"/>
  <c r="K113" i="3" s="1"/>
  <c r="L113" i="3" s="1"/>
  <c r="F114" i="3"/>
  <c r="D113" i="3"/>
  <c r="H113" i="3" s="1"/>
  <c r="I112" i="3"/>
  <c r="D112" i="4" s="1"/>
  <c r="E112" i="4"/>
  <c r="F112" i="4" s="1"/>
  <c r="N36" i="3"/>
  <c r="O36" i="3"/>
  <c r="AI36" i="3"/>
  <c r="K112" i="3"/>
  <c r="L112" i="3" s="1"/>
  <c r="H35" i="4"/>
  <c r="G35" i="4"/>
  <c r="I35" i="4" s="1"/>
  <c r="J35" i="4" s="1"/>
  <c r="S110" i="3"/>
  <c r="T110" i="3" s="1"/>
  <c r="U110" i="3"/>
  <c r="J114" i="3" l="1"/>
  <c r="D114" i="3"/>
  <c r="H114" i="3" s="1"/>
  <c r="F115" i="3"/>
  <c r="K35" i="4"/>
  <c r="M35" i="4"/>
  <c r="P36" i="3"/>
  <c r="Q36" i="3" s="1"/>
  <c r="S111" i="3"/>
  <c r="T111" i="3" s="1"/>
  <c r="U111" i="3"/>
  <c r="I113" i="3"/>
  <c r="D113" i="4" s="1"/>
  <c r="E113" i="4"/>
  <c r="F113" i="4" s="1"/>
  <c r="G113" i="3"/>
  <c r="R112" i="3"/>
  <c r="S112" i="3" l="1"/>
  <c r="T112" i="3" s="1"/>
  <c r="U112" i="3"/>
  <c r="L36" i="4"/>
  <c r="V36" i="3"/>
  <c r="G114" i="3"/>
  <c r="R113" i="3"/>
  <c r="F116" i="3"/>
  <c r="J115" i="3"/>
  <c r="D115" i="3"/>
  <c r="H115" i="3" s="1"/>
  <c r="E114" i="4"/>
  <c r="F114" i="4" s="1"/>
  <c r="I114" i="3"/>
  <c r="D114" i="4" s="1"/>
  <c r="K114" i="3"/>
  <c r="L114" i="3" s="1"/>
  <c r="F117" i="3" l="1"/>
  <c r="J116" i="3"/>
  <c r="D116" i="3"/>
  <c r="H116" i="3" s="1"/>
  <c r="W36" i="3"/>
  <c r="X36" i="3"/>
  <c r="Y36" i="3" s="1"/>
  <c r="Z36" i="3" s="1"/>
  <c r="AA36" i="3" s="1"/>
  <c r="AB36" i="3" s="1"/>
  <c r="I115" i="3"/>
  <c r="D115" i="4" s="1"/>
  <c r="E115" i="4"/>
  <c r="F115" i="4" s="1"/>
  <c r="U113" i="3"/>
  <c r="S113" i="3"/>
  <c r="T113" i="3" s="1"/>
  <c r="K115" i="3"/>
  <c r="L115" i="3" s="1"/>
  <c r="G115" i="3"/>
  <c r="R114" i="3"/>
  <c r="E116" i="4" l="1"/>
  <c r="F116" i="4" s="1"/>
  <c r="I116" i="3"/>
  <c r="D116" i="4" s="1"/>
  <c r="S114" i="3"/>
  <c r="T114" i="3" s="1"/>
  <c r="U114" i="3"/>
  <c r="G116" i="3"/>
  <c r="R115" i="3"/>
  <c r="M37" i="3"/>
  <c r="AC36" i="3"/>
  <c r="AD36" i="3" s="1"/>
  <c r="C36" i="4"/>
  <c r="K116" i="3"/>
  <c r="L116" i="3" s="1"/>
  <c r="F118" i="3"/>
  <c r="D117" i="3"/>
  <c r="H117" i="3" s="1"/>
  <c r="J117" i="3"/>
  <c r="K117" i="3" s="1"/>
  <c r="L117" i="3" s="1"/>
  <c r="N37" i="3" l="1"/>
  <c r="O37" i="3"/>
  <c r="AI37" i="3"/>
  <c r="I117" i="3"/>
  <c r="D117" i="4" s="1"/>
  <c r="E117" i="4"/>
  <c r="F117" i="4" s="1"/>
  <c r="G36" i="4"/>
  <c r="I36" i="4" s="1"/>
  <c r="J36" i="4" s="1"/>
  <c r="H36" i="4"/>
  <c r="S115" i="3"/>
  <c r="T115" i="3" s="1"/>
  <c r="U115" i="3"/>
  <c r="D118" i="3"/>
  <c r="H118" i="3" s="1"/>
  <c r="J118" i="3"/>
  <c r="K118" i="3" s="1"/>
  <c r="L118" i="3" s="1"/>
  <c r="F119" i="3"/>
  <c r="G117" i="3"/>
  <c r="R116" i="3"/>
  <c r="S116" i="3" l="1"/>
  <c r="T116" i="3" s="1"/>
  <c r="U116" i="3"/>
  <c r="G118" i="3"/>
  <c r="R117" i="3"/>
  <c r="I118" i="3"/>
  <c r="D118" i="4" s="1"/>
  <c r="E118" i="4"/>
  <c r="F118" i="4" s="1"/>
  <c r="M36" i="4"/>
  <c r="K36" i="4"/>
  <c r="P37" i="3"/>
  <c r="Q37" i="3" s="1"/>
  <c r="J119" i="3"/>
  <c r="K119" i="3" s="1"/>
  <c r="L119" i="3" s="1"/>
  <c r="F120" i="3"/>
  <c r="D119" i="3"/>
  <c r="H119" i="3" s="1"/>
  <c r="D120" i="3" l="1"/>
  <c r="H120" i="3" s="1"/>
  <c r="F121" i="3"/>
  <c r="J120" i="3"/>
  <c r="K120" i="3" s="1"/>
  <c r="L120" i="3" s="1"/>
  <c r="G119" i="3"/>
  <c r="R118" i="3"/>
  <c r="L37" i="4"/>
  <c r="V37" i="3"/>
  <c r="I119" i="3"/>
  <c r="D119" i="4" s="1"/>
  <c r="E119" i="4"/>
  <c r="F119" i="4" s="1"/>
  <c r="S117" i="3"/>
  <c r="T117" i="3" s="1"/>
  <c r="U117" i="3"/>
  <c r="U118" i="3" l="1"/>
  <c r="S118" i="3"/>
  <c r="T118" i="3" s="1"/>
  <c r="D121" i="3"/>
  <c r="H121" i="3" s="1"/>
  <c r="F122" i="3"/>
  <c r="J121" i="3"/>
  <c r="W37" i="3"/>
  <c r="X37" i="3"/>
  <c r="Y37" i="3" s="1"/>
  <c r="Z37" i="3" s="1"/>
  <c r="AA37" i="3" s="1"/>
  <c r="AB37" i="3" s="1"/>
  <c r="G120" i="3"/>
  <c r="R119" i="3"/>
  <c r="E120" i="4"/>
  <c r="F120" i="4" s="1"/>
  <c r="I120" i="3"/>
  <c r="D120" i="4" s="1"/>
  <c r="G121" i="3" l="1"/>
  <c r="R120" i="3"/>
  <c r="F123" i="3"/>
  <c r="J122" i="3"/>
  <c r="D122" i="3"/>
  <c r="H122" i="3" s="1"/>
  <c r="AC37" i="3"/>
  <c r="AD37" i="3" s="1"/>
  <c r="M38" i="3"/>
  <c r="C37" i="4"/>
  <c r="I121" i="3"/>
  <c r="D121" i="4" s="1"/>
  <c r="E121" i="4"/>
  <c r="F121" i="4" s="1"/>
  <c r="S119" i="3"/>
  <c r="T119" i="3" s="1"/>
  <c r="U119" i="3"/>
  <c r="K121" i="3"/>
  <c r="L121" i="3" s="1"/>
  <c r="J123" i="3" l="1"/>
  <c r="D123" i="3"/>
  <c r="H123" i="3" s="1"/>
  <c r="F124" i="3"/>
  <c r="G37" i="4"/>
  <c r="I37" i="4" s="1"/>
  <c r="J37" i="4" s="1"/>
  <c r="H37" i="4"/>
  <c r="I122" i="3"/>
  <c r="D122" i="4" s="1"/>
  <c r="E122" i="4"/>
  <c r="F122" i="4" s="1"/>
  <c r="S120" i="3"/>
  <c r="T120" i="3" s="1"/>
  <c r="U120" i="3"/>
  <c r="N38" i="3"/>
  <c r="O38" i="3"/>
  <c r="AI38" i="3"/>
  <c r="K122" i="3"/>
  <c r="L122" i="3" s="1"/>
  <c r="G122" i="3"/>
  <c r="R121" i="3"/>
  <c r="K37" i="4" l="1"/>
  <c r="M37" i="4"/>
  <c r="S121" i="3"/>
  <c r="T121" i="3" s="1"/>
  <c r="U121" i="3"/>
  <c r="I123" i="3"/>
  <c r="D123" i="4" s="1"/>
  <c r="E123" i="4"/>
  <c r="F123" i="4" s="1"/>
  <c r="G123" i="3"/>
  <c r="R122" i="3"/>
  <c r="P38" i="3"/>
  <c r="Q38" i="3" s="1"/>
  <c r="K123" i="3"/>
  <c r="L123" i="3" s="1"/>
  <c r="F125" i="3"/>
  <c r="D124" i="3"/>
  <c r="H124" i="3" s="1"/>
  <c r="J124" i="3"/>
  <c r="K124" i="3" s="1"/>
  <c r="L124" i="3" s="1"/>
  <c r="S122" i="3" l="1"/>
  <c r="T122" i="3" s="1"/>
  <c r="U122" i="3"/>
  <c r="G124" i="3"/>
  <c r="R123" i="3"/>
  <c r="E124" i="4"/>
  <c r="F124" i="4" s="1"/>
  <c r="I124" i="3"/>
  <c r="D124" i="4" s="1"/>
  <c r="F126" i="3"/>
  <c r="J125" i="3"/>
  <c r="D125" i="3"/>
  <c r="H125" i="3" s="1"/>
  <c r="L38" i="4"/>
  <c r="V38" i="3"/>
  <c r="I125" i="3" l="1"/>
  <c r="D125" i="4" s="1"/>
  <c r="E125" i="4"/>
  <c r="F125" i="4" s="1"/>
  <c r="W38" i="3"/>
  <c r="X38" i="3"/>
  <c r="Y38" i="3" s="1"/>
  <c r="Z38" i="3" s="1"/>
  <c r="AA38" i="3" s="1"/>
  <c r="AB38" i="3" s="1"/>
  <c r="K125" i="3"/>
  <c r="L125" i="3" s="1"/>
  <c r="J126" i="3"/>
  <c r="K126" i="3" s="1"/>
  <c r="L126" i="3" s="1"/>
  <c r="D126" i="3"/>
  <c r="H126" i="3" s="1"/>
  <c r="F127" i="3"/>
  <c r="S123" i="3"/>
  <c r="T123" i="3" s="1"/>
  <c r="U123" i="3"/>
  <c r="G125" i="3"/>
  <c r="R124" i="3"/>
  <c r="M39" i="3" l="1"/>
  <c r="AC38" i="3"/>
  <c r="AD38" i="3" s="1"/>
  <c r="C38" i="4"/>
  <c r="S124" i="3"/>
  <c r="T124" i="3" s="1"/>
  <c r="U124" i="3"/>
  <c r="D127" i="3"/>
  <c r="H127" i="3" s="1"/>
  <c r="F128" i="3"/>
  <c r="J127" i="3"/>
  <c r="G126" i="3"/>
  <c r="R125" i="3"/>
  <c r="I126" i="3"/>
  <c r="D126" i="4" s="1"/>
  <c r="E126" i="4"/>
  <c r="F126" i="4" s="1"/>
  <c r="I127" i="3" l="1"/>
  <c r="D127" i="4" s="1"/>
  <c r="E127" i="4"/>
  <c r="F127" i="4" s="1"/>
  <c r="G38" i="4"/>
  <c r="I38" i="4" s="1"/>
  <c r="J38" i="4" s="1"/>
  <c r="H38" i="4"/>
  <c r="K127" i="3"/>
  <c r="L127" i="3" s="1"/>
  <c r="S125" i="3"/>
  <c r="T125" i="3" s="1"/>
  <c r="U125" i="3"/>
  <c r="AI39" i="3"/>
  <c r="O39" i="3"/>
  <c r="N39" i="3"/>
  <c r="P39" i="3" s="1"/>
  <c r="Q39" i="3" s="1"/>
  <c r="G127" i="3"/>
  <c r="R126" i="3"/>
  <c r="F129" i="3"/>
  <c r="D128" i="3"/>
  <c r="H128" i="3" s="1"/>
  <c r="J128" i="3"/>
  <c r="G128" i="3" l="1"/>
  <c r="R127" i="3"/>
  <c r="E128" i="4"/>
  <c r="F128" i="4" s="1"/>
  <c r="I128" i="3"/>
  <c r="D128" i="4" s="1"/>
  <c r="L39" i="4"/>
  <c r="V39" i="3"/>
  <c r="K38" i="4"/>
  <c r="M38" i="4"/>
  <c r="F130" i="3"/>
  <c r="J129" i="3"/>
  <c r="K129" i="3" s="1"/>
  <c r="L129" i="3" s="1"/>
  <c r="D129" i="3"/>
  <c r="H129" i="3" s="1"/>
  <c r="K128" i="3"/>
  <c r="L128" i="3" s="1"/>
  <c r="S126" i="3"/>
  <c r="T126" i="3" s="1"/>
  <c r="U126" i="3"/>
  <c r="W39" i="3" l="1"/>
  <c r="X39" i="3"/>
  <c r="Y39" i="3" s="1"/>
  <c r="Z39" i="3" s="1"/>
  <c r="AA39" i="3" s="1"/>
  <c r="AB39" i="3" s="1"/>
  <c r="F131" i="3"/>
  <c r="J130" i="3"/>
  <c r="D130" i="3"/>
  <c r="H130" i="3" s="1"/>
  <c r="S127" i="3"/>
  <c r="T127" i="3" s="1"/>
  <c r="U127" i="3"/>
  <c r="E129" i="4"/>
  <c r="F129" i="4" s="1"/>
  <c r="I129" i="3"/>
  <c r="D129" i="4" s="1"/>
  <c r="G129" i="3"/>
  <c r="R128" i="3"/>
  <c r="I130" i="3" l="1"/>
  <c r="D130" i="4" s="1"/>
  <c r="E130" i="4"/>
  <c r="F130" i="4" s="1"/>
  <c r="C39" i="4"/>
  <c r="M40" i="3"/>
  <c r="AC39" i="3"/>
  <c r="AD39" i="3" s="1"/>
  <c r="S128" i="3"/>
  <c r="T128" i="3" s="1"/>
  <c r="U128" i="3"/>
  <c r="G130" i="3"/>
  <c r="R129" i="3"/>
  <c r="K130" i="3"/>
  <c r="L130" i="3" s="1"/>
  <c r="F132" i="3"/>
  <c r="J131" i="3"/>
  <c r="K131" i="3" s="1"/>
  <c r="L131" i="3" s="1"/>
  <c r="D131" i="3"/>
  <c r="H131" i="3" s="1"/>
  <c r="U129" i="3" l="1"/>
  <c r="S129" i="3"/>
  <c r="T129" i="3" s="1"/>
  <c r="J132" i="3"/>
  <c r="K132" i="3" s="1"/>
  <c r="L132" i="3" s="1"/>
  <c r="D132" i="3"/>
  <c r="H132" i="3" s="1"/>
  <c r="F133" i="3"/>
  <c r="G131" i="3"/>
  <c r="R130" i="3"/>
  <c r="O40" i="3"/>
  <c r="AI40" i="3"/>
  <c r="N40" i="3"/>
  <c r="P40" i="3" s="1"/>
  <c r="Q40" i="3" s="1"/>
  <c r="E131" i="4"/>
  <c r="F131" i="4" s="1"/>
  <c r="I131" i="3"/>
  <c r="D131" i="4" s="1"/>
  <c r="H39" i="4"/>
  <c r="G39" i="4"/>
  <c r="I39" i="4" s="1"/>
  <c r="J39" i="4" s="1"/>
  <c r="L40" i="4" l="1"/>
  <c r="V40" i="3"/>
  <c r="G132" i="3"/>
  <c r="R131" i="3"/>
  <c r="J133" i="3"/>
  <c r="K133" i="3" s="1"/>
  <c r="L133" i="3" s="1"/>
  <c r="F134" i="3"/>
  <c r="D133" i="3"/>
  <c r="H133" i="3" s="1"/>
  <c r="K39" i="4"/>
  <c r="M39" i="4"/>
  <c r="U130" i="3"/>
  <c r="S130" i="3"/>
  <c r="T130" i="3" s="1"/>
  <c r="I132" i="3"/>
  <c r="D132" i="4" s="1"/>
  <c r="E132" i="4"/>
  <c r="F132" i="4" s="1"/>
  <c r="S131" i="3" l="1"/>
  <c r="T131" i="3" s="1"/>
  <c r="U131" i="3"/>
  <c r="J134" i="3"/>
  <c r="K134" i="3" s="1"/>
  <c r="L134" i="3" s="1"/>
  <c r="F135" i="3"/>
  <c r="D134" i="3"/>
  <c r="H134" i="3" s="1"/>
  <c r="G133" i="3"/>
  <c r="R132" i="3"/>
  <c r="W40" i="3"/>
  <c r="X40" i="3" s="1"/>
  <c r="Y40" i="3" s="1"/>
  <c r="Z40" i="3" s="1"/>
  <c r="AA40" i="3" s="1"/>
  <c r="AB40" i="3" s="1"/>
  <c r="E133" i="4"/>
  <c r="F133" i="4" s="1"/>
  <c r="I133" i="3"/>
  <c r="D133" i="4" s="1"/>
  <c r="M41" i="3" l="1"/>
  <c r="AC40" i="3"/>
  <c r="AD40" i="3" s="1"/>
  <c r="C40" i="4"/>
  <c r="S132" i="3"/>
  <c r="T132" i="3" s="1"/>
  <c r="U132" i="3"/>
  <c r="D135" i="3"/>
  <c r="H135" i="3" s="1"/>
  <c r="J135" i="3"/>
  <c r="K135" i="3" s="1"/>
  <c r="L135" i="3" s="1"/>
  <c r="F136" i="3"/>
  <c r="G134" i="3"/>
  <c r="R133" i="3"/>
  <c r="E134" i="4"/>
  <c r="F134" i="4" s="1"/>
  <c r="I134" i="3"/>
  <c r="D134" i="4" s="1"/>
  <c r="AI41" i="3" l="1"/>
  <c r="N41" i="3"/>
  <c r="O41" i="3"/>
  <c r="F137" i="3"/>
  <c r="D136" i="3"/>
  <c r="H136" i="3" s="1"/>
  <c r="J136" i="3"/>
  <c r="K136" i="3" s="1"/>
  <c r="L136" i="3" s="1"/>
  <c r="U133" i="3"/>
  <c r="S133" i="3"/>
  <c r="T133" i="3" s="1"/>
  <c r="H40" i="4"/>
  <c r="G40" i="4"/>
  <c r="I40" i="4" s="1"/>
  <c r="J40" i="4" s="1"/>
  <c r="G135" i="3"/>
  <c r="R134" i="3"/>
  <c r="E135" i="4"/>
  <c r="F135" i="4" s="1"/>
  <c r="I135" i="3"/>
  <c r="D135" i="4" s="1"/>
  <c r="S134" i="3" l="1"/>
  <c r="T134" i="3" s="1"/>
  <c r="U134" i="3"/>
  <c r="G136" i="3"/>
  <c r="R135" i="3"/>
  <c r="I136" i="3"/>
  <c r="D136" i="4" s="1"/>
  <c r="E136" i="4"/>
  <c r="F136" i="4" s="1"/>
  <c r="P41" i="3"/>
  <c r="Q41" i="3" s="1"/>
  <c r="M40" i="4"/>
  <c r="K40" i="4"/>
  <c r="J137" i="3"/>
  <c r="K137" i="3" s="1"/>
  <c r="L137" i="3" s="1"/>
  <c r="D137" i="3"/>
  <c r="H137" i="3" s="1"/>
  <c r="F138" i="3"/>
  <c r="L41" i="4" l="1"/>
  <c r="V41" i="3"/>
  <c r="G137" i="3"/>
  <c r="R136" i="3"/>
  <c r="D138" i="3"/>
  <c r="H138" i="3" s="1"/>
  <c r="F139" i="3"/>
  <c r="J138" i="3"/>
  <c r="I137" i="3"/>
  <c r="D137" i="4" s="1"/>
  <c r="E137" i="4"/>
  <c r="F137" i="4" s="1"/>
  <c r="U135" i="3"/>
  <c r="S135" i="3"/>
  <c r="T135" i="3" s="1"/>
  <c r="J139" i="3" l="1"/>
  <c r="F140" i="3"/>
  <c r="D139" i="3"/>
  <c r="H139" i="3" s="1"/>
  <c r="G138" i="3"/>
  <c r="R137" i="3"/>
  <c r="W41" i="3"/>
  <c r="X41" i="3"/>
  <c r="Y41" i="3" s="1"/>
  <c r="Z41" i="3" s="1"/>
  <c r="AA41" i="3" s="1"/>
  <c r="AB41" i="3" s="1"/>
  <c r="E138" i="4"/>
  <c r="F138" i="4" s="1"/>
  <c r="I138" i="3"/>
  <c r="D138" i="4" s="1"/>
  <c r="K138" i="3"/>
  <c r="L138" i="3" s="1"/>
  <c r="U136" i="3"/>
  <c r="S136" i="3"/>
  <c r="T136" i="3" s="1"/>
  <c r="AC41" i="3" l="1"/>
  <c r="AD41" i="3" s="1"/>
  <c r="M42" i="3"/>
  <c r="C41" i="4"/>
  <c r="I139" i="3"/>
  <c r="D139" i="4" s="1"/>
  <c r="E139" i="4"/>
  <c r="F139" i="4" s="1"/>
  <c r="S137" i="3"/>
  <c r="T137" i="3" s="1"/>
  <c r="U137" i="3"/>
  <c r="J140" i="3"/>
  <c r="F141" i="3"/>
  <c r="D140" i="3"/>
  <c r="H140" i="3" s="1"/>
  <c r="G139" i="3"/>
  <c r="R138" i="3"/>
  <c r="K139" i="3"/>
  <c r="L139" i="3" s="1"/>
  <c r="I140" i="3" l="1"/>
  <c r="D140" i="4" s="1"/>
  <c r="E140" i="4"/>
  <c r="F140" i="4" s="1"/>
  <c r="G41" i="4"/>
  <c r="I41" i="4" s="1"/>
  <c r="J41" i="4" s="1"/>
  <c r="H41" i="4"/>
  <c r="U138" i="3"/>
  <c r="S138" i="3"/>
  <c r="T138" i="3" s="1"/>
  <c r="N42" i="3"/>
  <c r="AI42" i="3"/>
  <c r="O42" i="3"/>
  <c r="G140" i="3"/>
  <c r="R139" i="3"/>
  <c r="F142" i="3"/>
  <c r="J141" i="3"/>
  <c r="K141" i="3" s="1"/>
  <c r="L141" i="3" s="1"/>
  <c r="D141" i="3"/>
  <c r="H141" i="3" s="1"/>
  <c r="K140" i="3"/>
  <c r="L140" i="3" s="1"/>
  <c r="G141" i="3" l="1"/>
  <c r="R140" i="3"/>
  <c r="D142" i="3"/>
  <c r="H142" i="3" s="1"/>
  <c r="F143" i="3"/>
  <c r="J142" i="3"/>
  <c r="E141" i="4"/>
  <c r="F141" i="4" s="1"/>
  <c r="I141" i="3"/>
  <c r="D141" i="4" s="1"/>
  <c r="S139" i="3"/>
  <c r="T139" i="3" s="1"/>
  <c r="U139" i="3"/>
  <c r="P42" i="3"/>
  <c r="Q42" i="3" s="1"/>
  <c r="M41" i="4"/>
  <c r="K41" i="4"/>
  <c r="D143" i="3" l="1"/>
  <c r="H143" i="3" s="1"/>
  <c r="F144" i="3"/>
  <c r="J143" i="3"/>
  <c r="K143" i="3" s="1"/>
  <c r="L143" i="3" s="1"/>
  <c r="E142" i="4"/>
  <c r="F142" i="4" s="1"/>
  <c r="I142" i="3"/>
  <c r="D142" i="4" s="1"/>
  <c r="L42" i="4"/>
  <c r="V42" i="3"/>
  <c r="U140" i="3"/>
  <c r="S140" i="3"/>
  <c r="T140" i="3" s="1"/>
  <c r="K142" i="3"/>
  <c r="L142" i="3" s="1"/>
  <c r="G142" i="3"/>
  <c r="R141" i="3"/>
  <c r="W42" i="3" l="1"/>
  <c r="X42" i="3"/>
  <c r="Y42" i="3" s="1"/>
  <c r="Z42" i="3" s="1"/>
  <c r="AA42" i="3" s="1"/>
  <c r="AB42" i="3" s="1"/>
  <c r="S141" i="3"/>
  <c r="T141" i="3" s="1"/>
  <c r="U141" i="3"/>
  <c r="F145" i="3"/>
  <c r="D144" i="3"/>
  <c r="H144" i="3" s="1"/>
  <c r="J144" i="3"/>
  <c r="K144" i="3" s="1"/>
  <c r="L144" i="3" s="1"/>
  <c r="G143" i="3"/>
  <c r="R142" i="3"/>
  <c r="E143" i="4"/>
  <c r="F143" i="4" s="1"/>
  <c r="I143" i="3"/>
  <c r="D143" i="4" s="1"/>
  <c r="S142" i="3" l="1"/>
  <c r="T142" i="3" s="1"/>
  <c r="U142" i="3"/>
  <c r="G144" i="3"/>
  <c r="R143" i="3"/>
  <c r="F146" i="3"/>
  <c r="J145" i="3"/>
  <c r="D145" i="3"/>
  <c r="H145" i="3" s="1"/>
  <c r="M43" i="3"/>
  <c r="AC42" i="3"/>
  <c r="AD42" i="3" s="1"/>
  <c r="C42" i="4"/>
  <c r="I144" i="3"/>
  <c r="D144" i="4" s="1"/>
  <c r="E144" i="4"/>
  <c r="F144" i="4" s="1"/>
  <c r="S143" i="3" l="1"/>
  <c r="T143" i="3" s="1"/>
  <c r="U143" i="3"/>
  <c r="H42" i="4"/>
  <c r="G42" i="4"/>
  <c r="I42" i="4" s="1"/>
  <c r="J42" i="4" s="1"/>
  <c r="I145" i="3"/>
  <c r="D145" i="4" s="1"/>
  <c r="E145" i="4"/>
  <c r="F145" i="4" s="1"/>
  <c r="G145" i="3"/>
  <c r="R144" i="3"/>
  <c r="K145" i="3"/>
  <c r="L145" i="3" s="1"/>
  <c r="AI43" i="3"/>
  <c r="O43" i="3"/>
  <c r="N43" i="3"/>
  <c r="P43" i="3" s="1"/>
  <c r="Q43" i="3" s="1"/>
  <c r="J146" i="3"/>
  <c r="K146" i="3" s="1"/>
  <c r="L146" i="3" s="1"/>
  <c r="F147" i="3"/>
  <c r="D146" i="3"/>
  <c r="H146" i="3" s="1"/>
  <c r="J147" i="3" l="1"/>
  <c r="D147" i="3"/>
  <c r="H147" i="3" s="1"/>
  <c r="F148" i="3"/>
  <c r="U144" i="3"/>
  <c r="S144" i="3"/>
  <c r="T144" i="3" s="1"/>
  <c r="M42" i="4"/>
  <c r="K42" i="4"/>
  <c r="G146" i="3"/>
  <c r="R145" i="3"/>
  <c r="I146" i="3"/>
  <c r="D146" i="4" s="1"/>
  <c r="E146" i="4"/>
  <c r="F146" i="4" s="1"/>
  <c r="L43" i="4"/>
  <c r="V43" i="3"/>
  <c r="W43" i="3" l="1"/>
  <c r="X43" i="3" s="1"/>
  <c r="Y43" i="3" s="1"/>
  <c r="Z43" i="3" s="1"/>
  <c r="AA43" i="3" s="1"/>
  <c r="AB43" i="3" s="1"/>
  <c r="S145" i="3"/>
  <c r="T145" i="3" s="1"/>
  <c r="U145" i="3"/>
  <c r="D148" i="3"/>
  <c r="H148" i="3" s="1"/>
  <c r="F149" i="3"/>
  <c r="J148" i="3"/>
  <c r="K148" i="3" s="1"/>
  <c r="L148" i="3" s="1"/>
  <c r="G147" i="3"/>
  <c r="R146" i="3"/>
  <c r="I147" i="3"/>
  <c r="D147" i="4" s="1"/>
  <c r="E147" i="4"/>
  <c r="F147" i="4" s="1"/>
  <c r="K147" i="3"/>
  <c r="L147" i="3" s="1"/>
  <c r="M44" i="3" l="1"/>
  <c r="AC43" i="3"/>
  <c r="AD43" i="3" s="1"/>
  <c r="C43" i="4"/>
  <c r="D149" i="3"/>
  <c r="H149" i="3" s="1"/>
  <c r="J149" i="3"/>
  <c r="K149" i="3" s="1"/>
  <c r="L149" i="3" s="1"/>
  <c r="F150" i="3"/>
  <c r="S146" i="3"/>
  <c r="T146" i="3" s="1"/>
  <c r="U146" i="3"/>
  <c r="G148" i="3"/>
  <c r="R147" i="3"/>
  <c r="E148" i="4"/>
  <c r="F148" i="4" s="1"/>
  <c r="I148" i="3"/>
  <c r="D148" i="4" s="1"/>
  <c r="F151" i="3" l="1"/>
  <c r="D150" i="3"/>
  <c r="H150" i="3" s="1"/>
  <c r="J150" i="3"/>
  <c r="S147" i="3"/>
  <c r="T147" i="3" s="1"/>
  <c r="U147" i="3"/>
  <c r="G43" i="4"/>
  <c r="I43" i="4" s="1"/>
  <c r="J43" i="4" s="1"/>
  <c r="H43" i="4"/>
  <c r="G149" i="3"/>
  <c r="R148" i="3"/>
  <c r="E149" i="4"/>
  <c r="F149" i="4" s="1"/>
  <c r="I149" i="3"/>
  <c r="D149" i="4" s="1"/>
  <c r="AI44" i="3"/>
  <c r="O44" i="3"/>
  <c r="N44" i="3"/>
  <c r="P44" i="3" s="1"/>
  <c r="Q44" i="3" s="1"/>
  <c r="S148" i="3" l="1"/>
  <c r="T148" i="3" s="1"/>
  <c r="U148" i="3"/>
  <c r="E150" i="4"/>
  <c r="F150" i="4" s="1"/>
  <c r="I150" i="3"/>
  <c r="D150" i="4" s="1"/>
  <c r="G150" i="3"/>
  <c r="R149" i="3"/>
  <c r="L44" i="4"/>
  <c r="V44" i="3"/>
  <c r="D151" i="3"/>
  <c r="H151" i="3" s="1"/>
  <c r="F152" i="3"/>
  <c r="J151" i="3"/>
  <c r="M43" i="4"/>
  <c r="K43" i="4"/>
  <c r="K150" i="3"/>
  <c r="L150" i="3" s="1"/>
  <c r="J152" i="3" l="1"/>
  <c r="K152" i="3" s="1"/>
  <c r="L152" i="3" s="1"/>
  <c r="F153" i="3"/>
  <c r="D152" i="3"/>
  <c r="H152" i="3" s="1"/>
  <c r="I151" i="3"/>
  <c r="D151" i="4" s="1"/>
  <c r="E151" i="4"/>
  <c r="F151" i="4" s="1"/>
  <c r="S149" i="3"/>
  <c r="T149" i="3" s="1"/>
  <c r="U149" i="3"/>
  <c r="K151" i="3"/>
  <c r="L151" i="3" s="1"/>
  <c r="W44" i="3"/>
  <c r="X44" i="3" s="1"/>
  <c r="Y44" i="3" s="1"/>
  <c r="Z44" i="3" s="1"/>
  <c r="AA44" i="3" s="1"/>
  <c r="AB44" i="3" s="1"/>
  <c r="G151" i="3"/>
  <c r="R150" i="3"/>
  <c r="AC44" i="3" l="1"/>
  <c r="AD44" i="3" s="1"/>
  <c r="C44" i="4"/>
  <c r="M45" i="3"/>
  <c r="J153" i="3"/>
  <c r="K153" i="3" s="1"/>
  <c r="L153" i="3" s="1"/>
  <c r="D153" i="3"/>
  <c r="H153" i="3" s="1"/>
  <c r="F154" i="3"/>
  <c r="U150" i="3"/>
  <c r="S150" i="3"/>
  <c r="T150" i="3" s="1"/>
  <c r="G152" i="3"/>
  <c r="R151" i="3"/>
  <c r="E152" i="4"/>
  <c r="F152" i="4" s="1"/>
  <c r="I152" i="3"/>
  <c r="D152" i="4" s="1"/>
  <c r="S151" i="3" l="1"/>
  <c r="T151" i="3" s="1"/>
  <c r="U151" i="3"/>
  <c r="G153" i="3"/>
  <c r="R152" i="3"/>
  <c r="AI45" i="3"/>
  <c r="N45" i="3"/>
  <c r="P45" i="3" s="1"/>
  <c r="Q45" i="3" s="1"/>
  <c r="O45" i="3"/>
  <c r="J154" i="3"/>
  <c r="K154" i="3" s="1"/>
  <c r="L154" i="3" s="1"/>
  <c r="D154" i="3"/>
  <c r="H154" i="3" s="1"/>
  <c r="F155" i="3"/>
  <c r="G44" i="4"/>
  <c r="I44" i="4" s="1"/>
  <c r="J44" i="4" s="1"/>
  <c r="H44" i="4"/>
  <c r="I153" i="3"/>
  <c r="D153" i="4" s="1"/>
  <c r="E153" i="4"/>
  <c r="F153" i="4" s="1"/>
  <c r="L45" i="4" l="1"/>
  <c r="V45" i="3"/>
  <c r="K44" i="4"/>
  <c r="M44" i="4"/>
  <c r="D155" i="3"/>
  <c r="H155" i="3" s="1"/>
  <c r="F156" i="3"/>
  <c r="J155" i="3"/>
  <c r="S152" i="3"/>
  <c r="T152" i="3" s="1"/>
  <c r="U152" i="3"/>
  <c r="I154" i="3"/>
  <c r="D154" i="4" s="1"/>
  <c r="E154" i="4"/>
  <c r="F154" i="4" s="1"/>
  <c r="G154" i="3"/>
  <c r="R153" i="3"/>
  <c r="S153" i="3" l="1"/>
  <c r="T153" i="3" s="1"/>
  <c r="U153" i="3"/>
  <c r="J156" i="3"/>
  <c r="K156" i="3" s="1"/>
  <c r="L156" i="3" s="1"/>
  <c r="F157" i="3"/>
  <c r="D156" i="3"/>
  <c r="H156" i="3" s="1"/>
  <c r="G155" i="3"/>
  <c r="R154" i="3"/>
  <c r="I155" i="3"/>
  <c r="D155" i="4" s="1"/>
  <c r="E155" i="4"/>
  <c r="F155" i="4" s="1"/>
  <c r="X45" i="3"/>
  <c r="Y45" i="3" s="1"/>
  <c r="Z45" i="3" s="1"/>
  <c r="AA45" i="3" s="1"/>
  <c r="AB45" i="3" s="1"/>
  <c r="W45" i="3"/>
  <c r="K155" i="3"/>
  <c r="L155" i="3" s="1"/>
  <c r="C45" i="4" l="1"/>
  <c r="AC45" i="3"/>
  <c r="AD45" i="3" s="1"/>
  <c r="M46" i="3"/>
  <c r="U154" i="3"/>
  <c r="S154" i="3"/>
  <c r="T154" i="3" s="1"/>
  <c r="G156" i="3"/>
  <c r="R155" i="3"/>
  <c r="E156" i="4"/>
  <c r="F156" i="4" s="1"/>
  <c r="I156" i="3"/>
  <c r="D156" i="4" s="1"/>
  <c r="F158" i="3"/>
  <c r="D157" i="3"/>
  <c r="H157" i="3" s="1"/>
  <c r="J157" i="3"/>
  <c r="I157" i="3" l="1"/>
  <c r="D157" i="4" s="1"/>
  <c r="E157" i="4"/>
  <c r="F157" i="4" s="1"/>
  <c r="S155" i="3"/>
  <c r="T155" i="3" s="1"/>
  <c r="U155" i="3"/>
  <c r="O46" i="3"/>
  <c r="N46" i="3"/>
  <c r="P46" i="3" s="1"/>
  <c r="Q46" i="3" s="1"/>
  <c r="AI46" i="3"/>
  <c r="F159" i="3"/>
  <c r="D158" i="3"/>
  <c r="H158" i="3" s="1"/>
  <c r="J158" i="3"/>
  <c r="K158" i="3" s="1"/>
  <c r="L158" i="3" s="1"/>
  <c r="G157" i="3"/>
  <c r="R156" i="3"/>
  <c r="K157" i="3"/>
  <c r="L157" i="3" s="1"/>
  <c r="G45" i="4"/>
  <c r="I45" i="4" s="1"/>
  <c r="J45" i="4" s="1"/>
  <c r="H45" i="4"/>
  <c r="M45" i="4" l="1"/>
  <c r="K45" i="4"/>
  <c r="L46" i="4"/>
  <c r="V46" i="3"/>
  <c r="S156" i="3"/>
  <c r="T156" i="3" s="1"/>
  <c r="U156" i="3"/>
  <c r="E158" i="4"/>
  <c r="F158" i="4" s="1"/>
  <c r="I158" i="3"/>
  <c r="D158" i="4" s="1"/>
  <c r="G158" i="3"/>
  <c r="R157" i="3"/>
  <c r="F160" i="3"/>
  <c r="D159" i="3"/>
  <c r="H159" i="3" s="1"/>
  <c r="J159" i="3"/>
  <c r="K159" i="3" s="1"/>
  <c r="L159" i="3" s="1"/>
  <c r="U157" i="3" l="1"/>
  <c r="S157" i="3"/>
  <c r="T157" i="3" s="1"/>
  <c r="G159" i="3"/>
  <c r="R158" i="3"/>
  <c r="I159" i="3"/>
  <c r="D159" i="4" s="1"/>
  <c r="E159" i="4"/>
  <c r="F159" i="4" s="1"/>
  <c r="W46" i="3"/>
  <c r="X46" i="3"/>
  <c r="Y46" i="3" s="1"/>
  <c r="Z46" i="3" s="1"/>
  <c r="AA46" i="3" s="1"/>
  <c r="AB46" i="3" s="1"/>
  <c r="F161" i="3"/>
  <c r="D160" i="3"/>
  <c r="H160" i="3" s="1"/>
  <c r="J160" i="3"/>
  <c r="K160" i="3" s="1"/>
  <c r="L160" i="3" s="1"/>
  <c r="D161" i="3" l="1"/>
  <c r="H161" i="3" s="1"/>
  <c r="F162" i="3"/>
  <c r="J161" i="3"/>
  <c r="K161" i="3" s="1"/>
  <c r="L161" i="3" s="1"/>
  <c r="AC46" i="3"/>
  <c r="AD46" i="3" s="1"/>
  <c r="C46" i="4"/>
  <c r="M47" i="3"/>
  <c r="U158" i="3"/>
  <c r="S158" i="3"/>
  <c r="T158" i="3" s="1"/>
  <c r="E160" i="4"/>
  <c r="F160" i="4" s="1"/>
  <c r="I160" i="3"/>
  <c r="D160" i="4" s="1"/>
  <c r="G160" i="3"/>
  <c r="R159" i="3"/>
  <c r="O47" i="3" l="1"/>
  <c r="AI47" i="3"/>
  <c r="N47" i="3"/>
  <c r="P47" i="3" s="1"/>
  <c r="Q47" i="3" s="1"/>
  <c r="H46" i="4"/>
  <c r="G46" i="4"/>
  <c r="I46" i="4" s="1"/>
  <c r="J46" i="4" s="1"/>
  <c r="S159" i="3"/>
  <c r="T159" i="3" s="1"/>
  <c r="U159" i="3"/>
  <c r="D162" i="3"/>
  <c r="H162" i="3" s="1"/>
  <c r="F163" i="3"/>
  <c r="J162" i="3"/>
  <c r="K162" i="3" s="1"/>
  <c r="L162" i="3" s="1"/>
  <c r="G161" i="3"/>
  <c r="R160" i="3"/>
  <c r="I161" i="3"/>
  <c r="D161" i="4" s="1"/>
  <c r="E161" i="4"/>
  <c r="F161" i="4" s="1"/>
  <c r="F164" i="3" l="1"/>
  <c r="D163" i="3"/>
  <c r="H163" i="3" s="1"/>
  <c r="J163" i="3"/>
  <c r="K163" i="3" s="1"/>
  <c r="L163" i="3" s="1"/>
  <c r="L47" i="4"/>
  <c r="V47" i="3"/>
  <c r="U160" i="3"/>
  <c r="S160" i="3"/>
  <c r="T160" i="3" s="1"/>
  <c r="M46" i="4"/>
  <c r="K46" i="4"/>
  <c r="G162" i="3"/>
  <c r="R161" i="3"/>
  <c r="E162" i="4"/>
  <c r="F162" i="4" s="1"/>
  <c r="I162" i="3"/>
  <c r="D162" i="4" s="1"/>
  <c r="J164" i="3" l="1"/>
  <c r="D164" i="3"/>
  <c r="H164" i="3" s="1"/>
  <c r="F165" i="3"/>
  <c r="U161" i="3"/>
  <c r="S161" i="3"/>
  <c r="T161" i="3" s="1"/>
  <c r="G163" i="3"/>
  <c r="R162" i="3"/>
  <c r="W47" i="3"/>
  <c r="X47" i="3" s="1"/>
  <c r="Y47" i="3" s="1"/>
  <c r="Z47" i="3" s="1"/>
  <c r="AA47" i="3" s="1"/>
  <c r="AB47" i="3" s="1"/>
  <c r="I163" i="3"/>
  <c r="D163" i="4" s="1"/>
  <c r="E163" i="4"/>
  <c r="F163" i="4" s="1"/>
  <c r="M48" i="3" l="1"/>
  <c r="C47" i="4"/>
  <c r="AC47" i="3"/>
  <c r="AD47" i="3" s="1"/>
  <c r="G164" i="3"/>
  <c r="R163" i="3"/>
  <c r="J165" i="3"/>
  <c r="D165" i="3"/>
  <c r="H165" i="3" s="1"/>
  <c r="F166" i="3"/>
  <c r="E164" i="4"/>
  <c r="F164" i="4" s="1"/>
  <c r="I164" i="3"/>
  <c r="D164" i="4" s="1"/>
  <c r="S162" i="3"/>
  <c r="T162" i="3" s="1"/>
  <c r="U162" i="3"/>
  <c r="K164" i="3"/>
  <c r="L164" i="3" s="1"/>
  <c r="I165" i="3" l="1"/>
  <c r="D165" i="4" s="1"/>
  <c r="E165" i="4"/>
  <c r="F165" i="4" s="1"/>
  <c r="G165" i="3"/>
  <c r="R164" i="3"/>
  <c r="K165" i="3"/>
  <c r="L165" i="3" s="1"/>
  <c r="H47" i="4"/>
  <c r="G47" i="4"/>
  <c r="I47" i="4" s="1"/>
  <c r="J47" i="4" s="1"/>
  <c r="F167" i="3"/>
  <c r="J166" i="3"/>
  <c r="K166" i="3" s="1"/>
  <c r="L166" i="3" s="1"/>
  <c r="D166" i="3"/>
  <c r="H166" i="3" s="1"/>
  <c r="U163" i="3"/>
  <c r="S163" i="3"/>
  <c r="T163" i="3" s="1"/>
  <c r="AI48" i="3"/>
  <c r="N48" i="3"/>
  <c r="O48" i="3"/>
  <c r="K47" i="4" l="1"/>
  <c r="M47" i="4"/>
  <c r="U164" i="3"/>
  <c r="S164" i="3"/>
  <c r="T164" i="3" s="1"/>
  <c r="G166" i="3"/>
  <c r="R165" i="3"/>
  <c r="F168" i="3"/>
  <c r="J167" i="3"/>
  <c r="D167" i="3"/>
  <c r="H167" i="3" s="1"/>
  <c r="P48" i="3"/>
  <c r="Q48" i="3" s="1"/>
  <c r="E166" i="4"/>
  <c r="F166" i="4" s="1"/>
  <c r="I166" i="3"/>
  <c r="D166" i="4" s="1"/>
  <c r="I167" i="3" l="1"/>
  <c r="D167" i="4" s="1"/>
  <c r="E167" i="4"/>
  <c r="F167" i="4" s="1"/>
  <c r="K167" i="3"/>
  <c r="L167" i="3" s="1"/>
  <c r="S165" i="3"/>
  <c r="T165" i="3" s="1"/>
  <c r="U165" i="3"/>
  <c r="L48" i="4"/>
  <c r="V48" i="3"/>
  <c r="J168" i="3"/>
  <c r="F169" i="3"/>
  <c r="D168" i="3"/>
  <c r="H168" i="3" s="1"/>
  <c r="G167" i="3"/>
  <c r="R166" i="3"/>
  <c r="I168" i="3" l="1"/>
  <c r="D168" i="4" s="1"/>
  <c r="E168" i="4"/>
  <c r="F168" i="4" s="1"/>
  <c r="W48" i="3"/>
  <c r="X48" i="3"/>
  <c r="Y48" i="3" s="1"/>
  <c r="Z48" i="3" s="1"/>
  <c r="AA48" i="3" s="1"/>
  <c r="AB48" i="3" s="1"/>
  <c r="D169" i="3"/>
  <c r="H169" i="3" s="1"/>
  <c r="J169" i="3"/>
  <c r="K169" i="3" s="1"/>
  <c r="L169" i="3" s="1"/>
  <c r="F170" i="3"/>
  <c r="U166" i="3"/>
  <c r="S166" i="3"/>
  <c r="T166" i="3" s="1"/>
  <c r="G168" i="3"/>
  <c r="R167" i="3"/>
  <c r="K168" i="3"/>
  <c r="L168" i="3" s="1"/>
  <c r="G169" i="3" l="1"/>
  <c r="R168" i="3"/>
  <c r="F171" i="3"/>
  <c r="D170" i="3"/>
  <c r="H170" i="3" s="1"/>
  <c r="J170" i="3"/>
  <c r="M49" i="3"/>
  <c r="C48" i="4"/>
  <c r="AC48" i="3"/>
  <c r="AD48" i="3" s="1"/>
  <c r="E169" i="4"/>
  <c r="F169" i="4" s="1"/>
  <c r="I169" i="3"/>
  <c r="D169" i="4" s="1"/>
  <c r="U167" i="3"/>
  <c r="S167" i="3"/>
  <c r="T167" i="3" s="1"/>
  <c r="G48" i="4" l="1"/>
  <c r="I48" i="4" s="1"/>
  <c r="J48" i="4" s="1"/>
  <c r="H48" i="4"/>
  <c r="I170" i="3"/>
  <c r="D170" i="4" s="1"/>
  <c r="E170" i="4"/>
  <c r="F170" i="4" s="1"/>
  <c r="AI49" i="3"/>
  <c r="O49" i="3"/>
  <c r="N49" i="3"/>
  <c r="P49" i="3" s="1"/>
  <c r="Q49" i="3" s="1"/>
  <c r="D171" i="3"/>
  <c r="H171" i="3" s="1"/>
  <c r="F172" i="3"/>
  <c r="J171" i="3"/>
  <c r="K171" i="3" s="1"/>
  <c r="L171" i="3" s="1"/>
  <c r="K170" i="3"/>
  <c r="L170" i="3" s="1"/>
  <c r="S168" i="3"/>
  <c r="T168" i="3" s="1"/>
  <c r="U168" i="3"/>
  <c r="G170" i="3"/>
  <c r="R169" i="3"/>
  <c r="G171" i="3" l="1"/>
  <c r="R170" i="3"/>
  <c r="L49" i="4"/>
  <c r="V49" i="3"/>
  <c r="J172" i="3"/>
  <c r="K172" i="3" s="1"/>
  <c r="L172" i="3" s="1"/>
  <c r="F173" i="3"/>
  <c r="D172" i="3"/>
  <c r="H172" i="3" s="1"/>
  <c r="U169" i="3"/>
  <c r="S169" i="3"/>
  <c r="T169" i="3" s="1"/>
  <c r="E171" i="4"/>
  <c r="F171" i="4" s="1"/>
  <c r="I171" i="3"/>
  <c r="D171" i="4" s="1"/>
  <c r="M48" i="4"/>
  <c r="K48" i="4"/>
  <c r="W49" i="3" l="1"/>
  <c r="X49" i="3" s="1"/>
  <c r="Y49" i="3" s="1"/>
  <c r="Z49" i="3" s="1"/>
  <c r="AA49" i="3" s="1"/>
  <c r="AB49" i="3" s="1"/>
  <c r="I172" i="3"/>
  <c r="D172" i="4" s="1"/>
  <c r="E172" i="4"/>
  <c r="F172" i="4" s="1"/>
  <c r="S170" i="3"/>
  <c r="T170" i="3" s="1"/>
  <c r="U170" i="3"/>
  <c r="D173" i="3"/>
  <c r="H173" i="3" s="1"/>
  <c r="J173" i="3"/>
  <c r="K173" i="3" s="1"/>
  <c r="L173" i="3" s="1"/>
  <c r="F174" i="3"/>
  <c r="G172" i="3"/>
  <c r="R171" i="3"/>
  <c r="C49" i="4" l="1"/>
  <c r="M50" i="3"/>
  <c r="AC49" i="3"/>
  <c r="AD49" i="3" s="1"/>
  <c r="F175" i="3"/>
  <c r="J174" i="3"/>
  <c r="D174" i="3"/>
  <c r="H174" i="3" s="1"/>
  <c r="U171" i="3"/>
  <c r="S171" i="3"/>
  <c r="T171" i="3" s="1"/>
  <c r="G173" i="3"/>
  <c r="R172" i="3"/>
  <c r="I173" i="3"/>
  <c r="D173" i="4" s="1"/>
  <c r="E173" i="4"/>
  <c r="F173" i="4" s="1"/>
  <c r="G174" i="3" l="1"/>
  <c r="R173" i="3"/>
  <c r="F176" i="3"/>
  <c r="J175" i="3"/>
  <c r="K175" i="3" s="1"/>
  <c r="L175" i="3" s="1"/>
  <c r="D175" i="3"/>
  <c r="H175" i="3" s="1"/>
  <c r="I174" i="3"/>
  <c r="D174" i="4" s="1"/>
  <c r="E174" i="4"/>
  <c r="F174" i="4" s="1"/>
  <c r="AI50" i="3"/>
  <c r="O50" i="3"/>
  <c r="N50" i="3"/>
  <c r="P50" i="3" s="1"/>
  <c r="Q50" i="3" s="1"/>
  <c r="S172" i="3"/>
  <c r="T172" i="3" s="1"/>
  <c r="U172" i="3"/>
  <c r="K174" i="3"/>
  <c r="L174" i="3" s="1"/>
  <c r="G49" i="4"/>
  <c r="I49" i="4" s="1"/>
  <c r="J49" i="4" s="1"/>
  <c r="H49" i="4"/>
  <c r="K49" i="4" l="1"/>
  <c r="M49" i="4"/>
  <c r="L50" i="4"/>
  <c r="V50" i="3"/>
  <c r="F177" i="3"/>
  <c r="D176" i="3"/>
  <c r="H176" i="3" s="1"/>
  <c r="J176" i="3"/>
  <c r="S173" i="3"/>
  <c r="T173" i="3" s="1"/>
  <c r="U173" i="3"/>
  <c r="E175" i="4"/>
  <c r="F175" i="4" s="1"/>
  <c r="I175" i="3"/>
  <c r="D175" i="4" s="1"/>
  <c r="G175" i="3"/>
  <c r="R174" i="3"/>
  <c r="E176" i="4" l="1"/>
  <c r="F176" i="4" s="1"/>
  <c r="I176" i="3"/>
  <c r="D176" i="4" s="1"/>
  <c r="W50" i="3"/>
  <c r="X50" i="3"/>
  <c r="Y50" i="3" s="1"/>
  <c r="Z50" i="3" s="1"/>
  <c r="AA50" i="3" s="1"/>
  <c r="AB50" i="3" s="1"/>
  <c r="J177" i="3"/>
  <c r="F178" i="3"/>
  <c r="D177" i="3"/>
  <c r="H177" i="3" s="1"/>
  <c r="U174" i="3"/>
  <c r="S174" i="3"/>
  <c r="T174" i="3" s="1"/>
  <c r="K176" i="3"/>
  <c r="L176" i="3" s="1"/>
  <c r="G176" i="3"/>
  <c r="R175" i="3"/>
  <c r="G177" i="3" l="1"/>
  <c r="R176" i="3"/>
  <c r="E177" i="4"/>
  <c r="F177" i="4" s="1"/>
  <c r="I177" i="3"/>
  <c r="D177" i="4" s="1"/>
  <c r="C50" i="4"/>
  <c r="M51" i="3"/>
  <c r="AC50" i="3"/>
  <c r="AD50" i="3" s="1"/>
  <c r="F179" i="3"/>
  <c r="D178" i="3"/>
  <c r="H178" i="3" s="1"/>
  <c r="J178" i="3"/>
  <c r="K178" i="3" s="1"/>
  <c r="L178" i="3" s="1"/>
  <c r="U175" i="3"/>
  <c r="S175" i="3"/>
  <c r="T175" i="3" s="1"/>
  <c r="K177" i="3"/>
  <c r="L177" i="3" s="1"/>
  <c r="E178" i="4" l="1"/>
  <c r="F178" i="4" s="1"/>
  <c r="I178" i="3"/>
  <c r="D178" i="4" s="1"/>
  <c r="AI51" i="3"/>
  <c r="O51" i="3"/>
  <c r="N51" i="3"/>
  <c r="P51" i="3" s="1"/>
  <c r="Q51" i="3" s="1"/>
  <c r="U176" i="3"/>
  <c r="S176" i="3"/>
  <c r="T176" i="3" s="1"/>
  <c r="F180" i="3"/>
  <c r="D179" i="3"/>
  <c r="H179" i="3" s="1"/>
  <c r="J179" i="3"/>
  <c r="H50" i="4"/>
  <c r="G50" i="4"/>
  <c r="I50" i="4" s="1"/>
  <c r="J50" i="4" s="1"/>
  <c r="G178" i="3"/>
  <c r="R177" i="3"/>
  <c r="K50" i="4" l="1"/>
  <c r="M50" i="4"/>
  <c r="I179" i="3"/>
  <c r="D179" i="4" s="1"/>
  <c r="E179" i="4"/>
  <c r="F179" i="4" s="1"/>
  <c r="J180" i="3"/>
  <c r="K180" i="3" s="1"/>
  <c r="L180" i="3" s="1"/>
  <c r="F181" i="3"/>
  <c r="D180" i="3"/>
  <c r="H180" i="3" s="1"/>
  <c r="L51" i="4"/>
  <c r="V51" i="3"/>
  <c r="S177" i="3"/>
  <c r="T177" i="3" s="1"/>
  <c r="U177" i="3"/>
  <c r="G179" i="3"/>
  <c r="R178" i="3"/>
  <c r="K179" i="3"/>
  <c r="L179" i="3" s="1"/>
  <c r="S178" i="3" l="1"/>
  <c r="T178" i="3" s="1"/>
  <c r="U178" i="3"/>
  <c r="G180" i="3"/>
  <c r="R179" i="3"/>
  <c r="W51" i="3"/>
  <c r="X51" i="3"/>
  <c r="Y51" i="3" s="1"/>
  <c r="Z51" i="3" s="1"/>
  <c r="AA51" i="3" s="1"/>
  <c r="AB51" i="3" s="1"/>
  <c r="F182" i="3"/>
  <c r="D181" i="3"/>
  <c r="H181" i="3" s="1"/>
  <c r="J181" i="3"/>
  <c r="E180" i="4"/>
  <c r="F180" i="4" s="1"/>
  <c r="I180" i="3"/>
  <c r="D180" i="4" s="1"/>
  <c r="I181" i="3" l="1"/>
  <c r="D181" i="4" s="1"/>
  <c r="E181" i="4"/>
  <c r="F181" i="4" s="1"/>
  <c r="S179" i="3"/>
  <c r="T179" i="3" s="1"/>
  <c r="U179" i="3"/>
  <c r="D182" i="3"/>
  <c r="H182" i="3" s="1"/>
  <c r="F183" i="3"/>
  <c r="J182" i="3"/>
  <c r="K182" i="3" s="1"/>
  <c r="L182" i="3" s="1"/>
  <c r="G181" i="3"/>
  <c r="R180" i="3"/>
  <c r="K181" i="3"/>
  <c r="L181" i="3" s="1"/>
  <c r="C51" i="4"/>
  <c r="AC51" i="3"/>
  <c r="AD51" i="3" s="1"/>
  <c r="M52" i="3"/>
  <c r="G51" i="4" l="1"/>
  <c r="I51" i="4" s="1"/>
  <c r="J51" i="4" s="1"/>
  <c r="H51" i="4"/>
  <c r="D183" i="3"/>
  <c r="H183" i="3" s="1"/>
  <c r="F184" i="3"/>
  <c r="J183" i="3"/>
  <c r="N52" i="3"/>
  <c r="P52" i="3" s="1"/>
  <c r="Q52" i="3" s="1"/>
  <c r="AI52" i="3"/>
  <c r="O52" i="3"/>
  <c r="U180" i="3"/>
  <c r="S180" i="3"/>
  <c r="T180" i="3" s="1"/>
  <c r="G182" i="3"/>
  <c r="R181" i="3"/>
  <c r="I182" i="3"/>
  <c r="D182" i="4" s="1"/>
  <c r="E182" i="4"/>
  <c r="F182" i="4" s="1"/>
  <c r="G183" i="3" l="1"/>
  <c r="R182" i="3"/>
  <c r="L52" i="4"/>
  <c r="V52" i="3"/>
  <c r="E183" i="4"/>
  <c r="F183" i="4" s="1"/>
  <c r="I183" i="3"/>
  <c r="D183" i="4" s="1"/>
  <c r="K183" i="3"/>
  <c r="L183" i="3" s="1"/>
  <c r="S181" i="3"/>
  <c r="T181" i="3" s="1"/>
  <c r="U181" i="3"/>
  <c r="D184" i="3"/>
  <c r="H184" i="3" s="1"/>
  <c r="F185" i="3"/>
  <c r="J184" i="3"/>
  <c r="M51" i="4"/>
  <c r="K51" i="4"/>
  <c r="W52" i="3" l="1"/>
  <c r="X52" i="3" s="1"/>
  <c r="Y52" i="3" s="1"/>
  <c r="Z52" i="3" s="1"/>
  <c r="AA52" i="3" s="1"/>
  <c r="AB52" i="3" s="1"/>
  <c r="I184" i="3"/>
  <c r="D184" i="4" s="1"/>
  <c r="E184" i="4"/>
  <c r="F184" i="4" s="1"/>
  <c r="K184" i="3"/>
  <c r="L184" i="3" s="1"/>
  <c r="S182" i="3"/>
  <c r="T182" i="3" s="1"/>
  <c r="U182" i="3"/>
  <c r="J185" i="3"/>
  <c r="D185" i="3"/>
  <c r="H185" i="3" s="1"/>
  <c r="F186" i="3"/>
  <c r="G184" i="3"/>
  <c r="R183" i="3"/>
  <c r="M53" i="3" l="1"/>
  <c r="C52" i="4"/>
  <c r="AC52" i="3"/>
  <c r="AD52" i="3" s="1"/>
  <c r="I185" i="3"/>
  <c r="D185" i="4" s="1"/>
  <c r="E185" i="4"/>
  <c r="F185" i="4" s="1"/>
  <c r="U183" i="3"/>
  <c r="S183" i="3"/>
  <c r="T183" i="3" s="1"/>
  <c r="G185" i="3"/>
  <c r="R184" i="3"/>
  <c r="K185" i="3"/>
  <c r="L185" i="3" s="1"/>
  <c r="D186" i="3"/>
  <c r="H186" i="3" s="1"/>
  <c r="F187" i="3"/>
  <c r="J186" i="3"/>
  <c r="I186" i="3" l="1"/>
  <c r="D186" i="4" s="1"/>
  <c r="E186" i="4"/>
  <c r="F186" i="4" s="1"/>
  <c r="G186" i="3"/>
  <c r="R185" i="3"/>
  <c r="K186" i="3"/>
  <c r="L186" i="3" s="1"/>
  <c r="H52" i="4"/>
  <c r="G52" i="4"/>
  <c r="I52" i="4" s="1"/>
  <c r="J52" i="4" s="1"/>
  <c r="F188" i="3"/>
  <c r="J187" i="3"/>
  <c r="K187" i="3" s="1"/>
  <c r="L187" i="3" s="1"/>
  <c r="D187" i="3"/>
  <c r="H187" i="3" s="1"/>
  <c r="S184" i="3"/>
  <c r="T184" i="3" s="1"/>
  <c r="U184" i="3"/>
  <c r="O53" i="3"/>
  <c r="AI53" i="3"/>
  <c r="N53" i="3"/>
  <c r="U185" i="3" l="1"/>
  <c r="S185" i="3"/>
  <c r="T185" i="3" s="1"/>
  <c r="J188" i="3"/>
  <c r="F189" i="3"/>
  <c r="D188" i="3"/>
  <c r="H188" i="3" s="1"/>
  <c r="G187" i="3"/>
  <c r="R186" i="3"/>
  <c r="P53" i="3"/>
  <c r="Q53" i="3" s="1"/>
  <c r="I187" i="3"/>
  <c r="D187" i="4" s="1"/>
  <c r="E187" i="4"/>
  <c r="F187" i="4" s="1"/>
  <c r="K52" i="4"/>
  <c r="M52" i="4"/>
  <c r="L53" i="4" l="1"/>
  <c r="V53" i="3"/>
  <c r="U186" i="3"/>
  <c r="S186" i="3"/>
  <c r="T186" i="3" s="1"/>
  <c r="I188" i="3"/>
  <c r="D188" i="4" s="1"/>
  <c r="E188" i="4"/>
  <c r="F188" i="4" s="1"/>
  <c r="G188" i="3"/>
  <c r="R187" i="3"/>
  <c r="J189" i="3"/>
  <c r="K189" i="3" s="1"/>
  <c r="L189" i="3" s="1"/>
  <c r="D189" i="3"/>
  <c r="H189" i="3" s="1"/>
  <c r="F190" i="3"/>
  <c r="K188" i="3"/>
  <c r="L188" i="3" s="1"/>
  <c r="J190" i="3" l="1"/>
  <c r="F191" i="3"/>
  <c r="D190" i="3"/>
  <c r="H190" i="3" s="1"/>
  <c r="U187" i="3"/>
  <c r="S187" i="3"/>
  <c r="T187" i="3" s="1"/>
  <c r="G189" i="3"/>
  <c r="R188" i="3"/>
  <c r="I189" i="3"/>
  <c r="D189" i="4" s="1"/>
  <c r="E189" i="4"/>
  <c r="F189" i="4" s="1"/>
  <c r="W53" i="3"/>
  <c r="X53" i="3"/>
  <c r="Y53" i="3" s="1"/>
  <c r="Z53" i="3" s="1"/>
  <c r="AA53" i="3" s="1"/>
  <c r="AB53" i="3" s="1"/>
  <c r="G190" i="3" l="1"/>
  <c r="R189" i="3"/>
  <c r="E190" i="4"/>
  <c r="F190" i="4" s="1"/>
  <c r="I190" i="3"/>
  <c r="D190" i="4" s="1"/>
  <c r="AC53" i="3"/>
  <c r="AD53" i="3" s="1"/>
  <c r="C53" i="4"/>
  <c r="M54" i="3"/>
  <c r="F192" i="3"/>
  <c r="J191" i="3"/>
  <c r="D191" i="3"/>
  <c r="H191" i="3" s="1"/>
  <c r="K190" i="3"/>
  <c r="L190" i="3" s="1"/>
  <c r="U188" i="3"/>
  <c r="S188" i="3"/>
  <c r="T188" i="3" s="1"/>
  <c r="F193" i="3" l="1"/>
  <c r="J192" i="3"/>
  <c r="D192" i="3"/>
  <c r="H192" i="3" s="1"/>
  <c r="O54" i="3"/>
  <c r="AI54" i="3"/>
  <c r="N54" i="3"/>
  <c r="P54" i="3" s="1"/>
  <c r="Q54" i="3" s="1"/>
  <c r="E191" i="4"/>
  <c r="F191" i="4" s="1"/>
  <c r="I191" i="3"/>
  <c r="D191" i="4" s="1"/>
  <c r="G53" i="4"/>
  <c r="I53" i="4" s="1"/>
  <c r="J53" i="4" s="1"/>
  <c r="H53" i="4"/>
  <c r="U189" i="3"/>
  <c r="S189" i="3"/>
  <c r="T189" i="3" s="1"/>
  <c r="K191" i="3"/>
  <c r="L191" i="3" s="1"/>
  <c r="G191" i="3"/>
  <c r="R190" i="3"/>
  <c r="I192" i="3" l="1"/>
  <c r="D192" i="4" s="1"/>
  <c r="E192" i="4"/>
  <c r="F192" i="4" s="1"/>
  <c r="M53" i="4"/>
  <c r="K53" i="4"/>
  <c r="L54" i="4"/>
  <c r="V54" i="3"/>
  <c r="U190" i="3"/>
  <c r="S190" i="3"/>
  <c r="T190" i="3" s="1"/>
  <c r="K192" i="3"/>
  <c r="L192" i="3" s="1"/>
  <c r="G192" i="3"/>
  <c r="R191" i="3"/>
  <c r="F194" i="3"/>
  <c r="J193" i="3"/>
  <c r="D193" i="3"/>
  <c r="H193" i="3" s="1"/>
  <c r="E193" i="4" l="1"/>
  <c r="F193" i="4" s="1"/>
  <c r="I193" i="3"/>
  <c r="D193" i="4" s="1"/>
  <c r="U191" i="3"/>
  <c r="S191" i="3"/>
  <c r="T191" i="3" s="1"/>
  <c r="K193" i="3"/>
  <c r="L193" i="3" s="1"/>
  <c r="G193" i="3"/>
  <c r="R192" i="3"/>
  <c r="W54" i="3"/>
  <c r="X54" i="3" s="1"/>
  <c r="Y54" i="3" s="1"/>
  <c r="Z54" i="3" s="1"/>
  <c r="AA54" i="3" s="1"/>
  <c r="AB54" i="3" s="1"/>
  <c r="J194" i="3"/>
  <c r="K194" i="3" s="1"/>
  <c r="L194" i="3" s="1"/>
  <c r="F195" i="3"/>
  <c r="D194" i="3"/>
  <c r="H194" i="3" s="1"/>
  <c r="AC54" i="3" l="1"/>
  <c r="AD54" i="3" s="1"/>
  <c r="C54" i="4"/>
  <c r="M55" i="3"/>
  <c r="D195" i="3"/>
  <c r="H195" i="3" s="1"/>
  <c r="J195" i="3"/>
  <c r="F196" i="3"/>
  <c r="S192" i="3"/>
  <c r="T192" i="3" s="1"/>
  <c r="U192" i="3"/>
  <c r="G194" i="3"/>
  <c r="R193" i="3"/>
  <c r="E194" i="4"/>
  <c r="F194" i="4" s="1"/>
  <c r="I194" i="3"/>
  <c r="D194" i="4" s="1"/>
  <c r="U193" i="3" l="1"/>
  <c r="S193" i="3"/>
  <c r="T193" i="3" s="1"/>
  <c r="I195" i="3"/>
  <c r="D195" i="4" s="1"/>
  <c r="E195" i="4"/>
  <c r="F195" i="4" s="1"/>
  <c r="G195" i="3"/>
  <c r="R194" i="3"/>
  <c r="F197" i="3"/>
  <c r="D196" i="3"/>
  <c r="H196" i="3" s="1"/>
  <c r="J196" i="3"/>
  <c r="N55" i="3"/>
  <c r="O55" i="3"/>
  <c r="AI55" i="3"/>
  <c r="K195" i="3"/>
  <c r="L195" i="3" s="1"/>
  <c r="H54" i="4"/>
  <c r="G54" i="4"/>
  <c r="I54" i="4" s="1"/>
  <c r="J54" i="4" s="1"/>
  <c r="M54" i="4" l="1"/>
  <c r="K54" i="4"/>
  <c r="I196" i="3"/>
  <c r="D196" i="4" s="1"/>
  <c r="E196" i="4"/>
  <c r="F196" i="4" s="1"/>
  <c r="P55" i="3"/>
  <c r="Q55" i="3" s="1"/>
  <c r="F198" i="3"/>
  <c r="J197" i="3"/>
  <c r="K197" i="3" s="1"/>
  <c r="L197" i="3" s="1"/>
  <c r="D197" i="3"/>
  <c r="H197" i="3" s="1"/>
  <c r="S194" i="3"/>
  <c r="T194" i="3" s="1"/>
  <c r="U194" i="3"/>
  <c r="K196" i="3"/>
  <c r="L196" i="3" s="1"/>
  <c r="G196" i="3"/>
  <c r="R195" i="3"/>
  <c r="U195" i="3" l="1"/>
  <c r="S195" i="3"/>
  <c r="T195" i="3" s="1"/>
  <c r="G197" i="3"/>
  <c r="R196" i="3"/>
  <c r="F199" i="3"/>
  <c r="D198" i="3"/>
  <c r="H198" i="3" s="1"/>
  <c r="J198" i="3"/>
  <c r="E197" i="4"/>
  <c r="F197" i="4" s="1"/>
  <c r="I197" i="3"/>
  <c r="D197" i="4" s="1"/>
  <c r="L55" i="4"/>
  <c r="V55" i="3"/>
  <c r="E198" i="4" l="1"/>
  <c r="F198" i="4" s="1"/>
  <c r="I198" i="3"/>
  <c r="D198" i="4" s="1"/>
  <c r="W55" i="3"/>
  <c r="X55" i="3" s="1"/>
  <c r="Y55" i="3" s="1"/>
  <c r="Z55" i="3" s="1"/>
  <c r="AA55" i="3" s="1"/>
  <c r="AB55" i="3" s="1"/>
  <c r="J199" i="3"/>
  <c r="D199" i="3"/>
  <c r="H199" i="3" s="1"/>
  <c r="F200" i="3"/>
  <c r="K198" i="3"/>
  <c r="L198" i="3" s="1"/>
  <c r="S196" i="3"/>
  <c r="T196" i="3" s="1"/>
  <c r="U196" i="3"/>
  <c r="G198" i="3"/>
  <c r="R197" i="3"/>
  <c r="C55" i="4" l="1"/>
  <c r="AC55" i="3"/>
  <c r="AD55" i="3" s="1"/>
  <c r="M56" i="3"/>
  <c r="J200" i="3"/>
  <c r="D200" i="3"/>
  <c r="H200" i="3" s="1"/>
  <c r="F201" i="3"/>
  <c r="S197" i="3"/>
  <c r="T197" i="3" s="1"/>
  <c r="U197" i="3"/>
  <c r="I199" i="3"/>
  <c r="D199" i="4" s="1"/>
  <c r="E199" i="4"/>
  <c r="F199" i="4" s="1"/>
  <c r="G199" i="3"/>
  <c r="R198" i="3"/>
  <c r="K199" i="3"/>
  <c r="L199" i="3" s="1"/>
  <c r="S198" i="3" l="1"/>
  <c r="T198" i="3" s="1"/>
  <c r="U198" i="3"/>
  <c r="J201" i="3"/>
  <c r="K201" i="3" s="1"/>
  <c r="L201" i="3" s="1"/>
  <c r="F202" i="3"/>
  <c r="D201" i="3"/>
  <c r="H201" i="3" s="1"/>
  <c r="O56" i="3"/>
  <c r="AI56" i="3"/>
  <c r="N56" i="3"/>
  <c r="G200" i="3"/>
  <c r="R199" i="3"/>
  <c r="E200" i="4"/>
  <c r="F200" i="4" s="1"/>
  <c r="I200" i="3"/>
  <c r="D200" i="4" s="1"/>
  <c r="K200" i="3"/>
  <c r="L200" i="3" s="1"/>
  <c r="H55" i="4"/>
  <c r="G55" i="4"/>
  <c r="I55" i="4" s="1"/>
  <c r="J55" i="4" s="1"/>
  <c r="J202" i="3" l="1"/>
  <c r="K202" i="3" s="1"/>
  <c r="L202" i="3" s="1"/>
  <c r="F203" i="3"/>
  <c r="D202" i="3"/>
  <c r="H202" i="3" s="1"/>
  <c r="U199" i="3"/>
  <c r="S199" i="3"/>
  <c r="T199" i="3" s="1"/>
  <c r="K55" i="4"/>
  <c r="M55" i="4"/>
  <c r="G201" i="3"/>
  <c r="R200" i="3"/>
  <c r="I201" i="3"/>
  <c r="D201" i="4" s="1"/>
  <c r="E201" i="4"/>
  <c r="F201" i="4" s="1"/>
  <c r="P56" i="3"/>
  <c r="Q56" i="3" s="1"/>
  <c r="L56" i="4" l="1"/>
  <c r="V56" i="3"/>
  <c r="S200" i="3"/>
  <c r="T200" i="3" s="1"/>
  <c r="U200" i="3"/>
  <c r="F204" i="3"/>
  <c r="D203" i="3"/>
  <c r="H203" i="3" s="1"/>
  <c r="J203" i="3"/>
  <c r="K203" i="3" s="1"/>
  <c r="L203" i="3" s="1"/>
  <c r="G202" i="3"/>
  <c r="R201" i="3"/>
  <c r="E202" i="4"/>
  <c r="F202" i="4" s="1"/>
  <c r="I202" i="3"/>
  <c r="D202" i="4" s="1"/>
  <c r="I203" i="3" l="1"/>
  <c r="D203" i="4" s="1"/>
  <c r="E203" i="4"/>
  <c r="F203" i="4" s="1"/>
  <c r="U201" i="3"/>
  <c r="S201" i="3"/>
  <c r="T201" i="3" s="1"/>
  <c r="F205" i="3"/>
  <c r="J204" i="3"/>
  <c r="K204" i="3" s="1"/>
  <c r="L204" i="3" s="1"/>
  <c r="D204" i="3"/>
  <c r="H204" i="3" s="1"/>
  <c r="W56" i="3"/>
  <c r="X56" i="3"/>
  <c r="Y56" i="3" s="1"/>
  <c r="Z56" i="3" s="1"/>
  <c r="AA56" i="3" s="1"/>
  <c r="AB56" i="3" s="1"/>
  <c r="G203" i="3"/>
  <c r="R202" i="3"/>
  <c r="C56" i="4" l="1"/>
  <c r="M57" i="3"/>
  <c r="AC56" i="3"/>
  <c r="AD56" i="3" s="1"/>
  <c r="F206" i="3"/>
  <c r="J205" i="3"/>
  <c r="D205" i="3"/>
  <c r="H205" i="3" s="1"/>
  <c r="U202" i="3"/>
  <c r="S202" i="3"/>
  <c r="T202" i="3" s="1"/>
  <c r="E204" i="4"/>
  <c r="F204" i="4" s="1"/>
  <c r="I204" i="3"/>
  <c r="D204" i="4" s="1"/>
  <c r="G204" i="3"/>
  <c r="R203" i="3"/>
  <c r="I205" i="3" l="1"/>
  <c r="D205" i="4" s="1"/>
  <c r="E205" i="4"/>
  <c r="F205" i="4" s="1"/>
  <c r="S203" i="3"/>
  <c r="T203" i="3" s="1"/>
  <c r="U203" i="3"/>
  <c r="K205" i="3"/>
  <c r="L205" i="3" s="1"/>
  <c r="AI57" i="3"/>
  <c r="N57" i="3"/>
  <c r="O57" i="3"/>
  <c r="G205" i="3"/>
  <c r="R204" i="3"/>
  <c r="J206" i="3"/>
  <c r="K206" i="3" s="1"/>
  <c r="L206" i="3" s="1"/>
  <c r="D206" i="3"/>
  <c r="H206" i="3" s="1"/>
  <c r="F207" i="3"/>
  <c r="G56" i="4"/>
  <c r="I56" i="4" s="1"/>
  <c r="J56" i="4" s="1"/>
  <c r="H56" i="4"/>
  <c r="K56" i="4" l="1"/>
  <c r="M56" i="4"/>
  <c r="P57" i="3"/>
  <c r="Q57" i="3" s="1"/>
  <c r="J207" i="3"/>
  <c r="K207" i="3" s="1"/>
  <c r="L207" i="3" s="1"/>
  <c r="F208" i="3"/>
  <c r="D207" i="3"/>
  <c r="H207" i="3" s="1"/>
  <c r="U204" i="3"/>
  <c r="S204" i="3"/>
  <c r="T204" i="3" s="1"/>
  <c r="E206" i="4"/>
  <c r="F206" i="4" s="1"/>
  <c r="I206" i="3"/>
  <c r="D206" i="4" s="1"/>
  <c r="G206" i="3"/>
  <c r="R205" i="3"/>
  <c r="S205" i="3" l="1"/>
  <c r="T205" i="3" s="1"/>
  <c r="U205" i="3"/>
  <c r="D208" i="3"/>
  <c r="H208" i="3" s="1"/>
  <c r="F209" i="3"/>
  <c r="J208" i="3"/>
  <c r="G207" i="3"/>
  <c r="R206" i="3"/>
  <c r="L57" i="4"/>
  <c r="V57" i="3"/>
  <c r="I207" i="3"/>
  <c r="D207" i="4" s="1"/>
  <c r="E207" i="4"/>
  <c r="F207" i="4" s="1"/>
  <c r="W57" i="3" l="1"/>
  <c r="X57" i="3" s="1"/>
  <c r="Y57" i="3" s="1"/>
  <c r="Z57" i="3" s="1"/>
  <c r="AA57" i="3" s="1"/>
  <c r="AB57" i="3" s="1"/>
  <c r="S206" i="3"/>
  <c r="T206" i="3" s="1"/>
  <c r="U206" i="3"/>
  <c r="G208" i="3"/>
  <c r="R207" i="3"/>
  <c r="E208" i="4"/>
  <c r="F208" i="4" s="1"/>
  <c r="I208" i="3"/>
  <c r="D208" i="4" s="1"/>
  <c r="K208" i="3"/>
  <c r="L208" i="3" s="1"/>
  <c r="D209" i="3"/>
  <c r="H209" i="3" s="1"/>
  <c r="F210" i="3"/>
  <c r="J209" i="3"/>
  <c r="AC57" i="3" l="1"/>
  <c r="AD57" i="3" s="1"/>
  <c r="C57" i="4"/>
  <c r="M58" i="3"/>
  <c r="I209" i="3"/>
  <c r="D209" i="4" s="1"/>
  <c r="E209" i="4"/>
  <c r="F209" i="4" s="1"/>
  <c r="K209" i="3"/>
  <c r="L209" i="3" s="1"/>
  <c r="S207" i="3"/>
  <c r="T207" i="3" s="1"/>
  <c r="U207" i="3"/>
  <c r="D210" i="3"/>
  <c r="H210" i="3" s="1"/>
  <c r="J210" i="3"/>
  <c r="K210" i="3" s="1"/>
  <c r="L210" i="3" s="1"/>
  <c r="F211" i="3"/>
  <c r="G209" i="3"/>
  <c r="R208" i="3"/>
  <c r="G210" i="3" l="1"/>
  <c r="R209" i="3"/>
  <c r="E210" i="4"/>
  <c r="F210" i="4" s="1"/>
  <c r="I210" i="3"/>
  <c r="D210" i="4" s="1"/>
  <c r="O58" i="3"/>
  <c r="AI58" i="3"/>
  <c r="N58" i="3"/>
  <c r="G57" i="4"/>
  <c r="I57" i="4" s="1"/>
  <c r="J57" i="4" s="1"/>
  <c r="H57" i="4"/>
  <c r="S208" i="3"/>
  <c r="T208" i="3" s="1"/>
  <c r="U208" i="3"/>
  <c r="D211" i="3"/>
  <c r="H211" i="3" s="1"/>
  <c r="F212" i="3"/>
  <c r="J211" i="3"/>
  <c r="I211" i="3" l="1"/>
  <c r="D211" i="4" s="1"/>
  <c r="E211" i="4"/>
  <c r="F211" i="4" s="1"/>
  <c r="M57" i="4"/>
  <c r="K57" i="4"/>
  <c r="K211" i="3"/>
  <c r="L211" i="3" s="1"/>
  <c r="F213" i="3"/>
  <c r="J212" i="3"/>
  <c r="D212" i="3"/>
  <c r="H212" i="3" s="1"/>
  <c r="U209" i="3"/>
  <c r="S209" i="3"/>
  <c r="T209" i="3" s="1"/>
  <c r="P58" i="3"/>
  <c r="Q58" i="3" s="1"/>
  <c r="G211" i="3"/>
  <c r="R210" i="3"/>
  <c r="S210" i="3" l="1"/>
  <c r="T210" i="3" s="1"/>
  <c r="U210" i="3"/>
  <c r="D213" i="3"/>
  <c r="H213" i="3" s="1"/>
  <c r="J213" i="3"/>
  <c r="K213" i="3" s="1"/>
  <c r="L213" i="3" s="1"/>
  <c r="F214" i="3"/>
  <c r="G212" i="3"/>
  <c r="R211" i="3"/>
  <c r="L58" i="4"/>
  <c r="V58" i="3"/>
  <c r="E212" i="4"/>
  <c r="F212" i="4" s="1"/>
  <c r="I212" i="3"/>
  <c r="D212" i="4" s="1"/>
  <c r="K212" i="3"/>
  <c r="L212" i="3" s="1"/>
  <c r="G213" i="3" l="1"/>
  <c r="R212" i="3"/>
  <c r="W58" i="3"/>
  <c r="X58" i="3" s="1"/>
  <c r="Y58" i="3" s="1"/>
  <c r="Z58" i="3" s="1"/>
  <c r="AA58" i="3" s="1"/>
  <c r="AB58" i="3" s="1"/>
  <c r="J214" i="3"/>
  <c r="K214" i="3" s="1"/>
  <c r="L214" i="3" s="1"/>
  <c r="F215" i="3"/>
  <c r="D214" i="3"/>
  <c r="H214" i="3" s="1"/>
  <c r="S211" i="3"/>
  <c r="T211" i="3" s="1"/>
  <c r="U211" i="3"/>
  <c r="E213" i="4"/>
  <c r="F213" i="4" s="1"/>
  <c r="I213" i="3"/>
  <c r="D213" i="4" s="1"/>
  <c r="M59" i="3" l="1"/>
  <c r="C58" i="4"/>
  <c r="AC58" i="3"/>
  <c r="AD58" i="3" s="1"/>
  <c r="S212" i="3"/>
  <c r="T212" i="3" s="1"/>
  <c r="U212" i="3"/>
  <c r="E214" i="4"/>
  <c r="F214" i="4" s="1"/>
  <c r="I214" i="3"/>
  <c r="D214" i="4" s="1"/>
  <c r="G214" i="3"/>
  <c r="R213" i="3"/>
  <c r="J215" i="3"/>
  <c r="D215" i="3"/>
  <c r="H215" i="3" s="1"/>
  <c r="F216" i="3"/>
  <c r="F217" i="3" l="1"/>
  <c r="D216" i="3"/>
  <c r="H216" i="3" s="1"/>
  <c r="J216" i="3"/>
  <c r="K216" i="3" s="1"/>
  <c r="L216" i="3" s="1"/>
  <c r="U213" i="3"/>
  <c r="S213" i="3"/>
  <c r="T213" i="3" s="1"/>
  <c r="I215" i="3"/>
  <c r="D215" i="4" s="1"/>
  <c r="E215" i="4"/>
  <c r="F215" i="4" s="1"/>
  <c r="G215" i="3"/>
  <c r="R214" i="3"/>
  <c r="H58" i="4"/>
  <c r="G58" i="4"/>
  <c r="I58" i="4" s="1"/>
  <c r="J58" i="4" s="1"/>
  <c r="K215" i="3"/>
  <c r="L215" i="3" s="1"/>
  <c r="O59" i="3"/>
  <c r="AI59" i="3"/>
  <c r="N59" i="3"/>
  <c r="U214" i="3" l="1"/>
  <c r="S214" i="3"/>
  <c r="T214" i="3" s="1"/>
  <c r="I216" i="3"/>
  <c r="D216" i="4" s="1"/>
  <c r="E216" i="4"/>
  <c r="F216" i="4" s="1"/>
  <c r="P59" i="3"/>
  <c r="Q59" i="3" s="1"/>
  <c r="M58" i="4"/>
  <c r="K58" i="4"/>
  <c r="G216" i="3"/>
  <c r="R215" i="3"/>
  <c r="F218" i="3"/>
  <c r="J217" i="3"/>
  <c r="D217" i="3"/>
  <c r="H217" i="3" s="1"/>
  <c r="I217" i="3" l="1"/>
  <c r="D217" i="4" s="1"/>
  <c r="E217" i="4"/>
  <c r="F217" i="4" s="1"/>
  <c r="U215" i="3"/>
  <c r="S215" i="3"/>
  <c r="T215" i="3" s="1"/>
  <c r="L59" i="4"/>
  <c r="V59" i="3"/>
  <c r="K217" i="3"/>
  <c r="L217" i="3" s="1"/>
  <c r="G217" i="3"/>
  <c r="R216" i="3"/>
  <c r="F219" i="3"/>
  <c r="J218" i="3"/>
  <c r="D218" i="3"/>
  <c r="H218" i="3" s="1"/>
  <c r="F220" i="3" l="1"/>
  <c r="J219" i="3"/>
  <c r="K219" i="3" s="1"/>
  <c r="L219" i="3" s="1"/>
  <c r="D219" i="3"/>
  <c r="H219" i="3" s="1"/>
  <c r="E218" i="4"/>
  <c r="F218" i="4" s="1"/>
  <c r="I218" i="3"/>
  <c r="D218" i="4" s="1"/>
  <c r="U216" i="3"/>
  <c r="S216" i="3"/>
  <c r="T216" i="3" s="1"/>
  <c r="W59" i="3"/>
  <c r="X59" i="3"/>
  <c r="Y59" i="3" s="1"/>
  <c r="Z59" i="3" s="1"/>
  <c r="AA59" i="3" s="1"/>
  <c r="AB59" i="3" s="1"/>
  <c r="K218" i="3"/>
  <c r="L218" i="3" s="1"/>
  <c r="G218" i="3"/>
  <c r="R217" i="3"/>
  <c r="C59" i="4" l="1"/>
  <c r="AC59" i="3"/>
  <c r="AD59" i="3" s="1"/>
  <c r="M60" i="3"/>
  <c r="S217" i="3"/>
  <c r="T217" i="3" s="1"/>
  <c r="U217" i="3"/>
  <c r="G219" i="3"/>
  <c r="R218" i="3"/>
  <c r="F221" i="3"/>
  <c r="J220" i="3"/>
  <c r="D220" i="3"/>
  <c r="H220" i="3" s="1"/>
  <c r="I219" i="3"/>
  <c r="D219" i="4" s="1"/>
  <c r="E219" i="4"/>
  <c r="F219" i="4" s="1"/>
  <c r="E220" i="4" l="1"/>
  <c r="F220" i="4" s="1"/>
  <c r="I220" i="3"/>
  <c r="D220" i="4" s="1"/>
  <c r="S218" i="3"/>
  <c r="T218" i="3" s="1"/>
  <c r="U218" i="3"/>
  <c r="G220" i="3"/>
  <c r="R219" i="3"/>
  <c r="O60" i="3"/>
  <c r="N60" i="3"/>
  <c r="P60" i="3" s="1"/>
  <c r="Q60" i="3" s="1"/>
  <c r="AI60" i="3"/>
  <c r="K220" i="3"/>
  <c r="L220" i="3" s="1"/>
  <c r="F222" i="3"/>
  <c r="J221" i="3"/>
  <c r="D221" i="3"/>
  <c r="H221" i="3" s="1"/>
  <c r="H59" i="4"/>
  <c r="G59" i="4"/>
  <c r="I59" i="4" s="1"/>
  <c r="J59" i="4" s="1"/>
  <c r="D222" i="3" l="1"/>
  <c r="H222" i="3" s="1"/>
  <c r="J222" i="3"/>
  <c r="K222" i="3" s="1"/>
  <c r="L222" i="3" s="1"/>
  <c r="F223" i="3"/>
  <c r="L60" i="4"/>
  <c r="V60" i="3"/>
  <c r="I221" i="3"/>
  <c r="D221" i="4" s="1"/>
  <c r="E221" i="4"/>
  <c r="F221" i="4" s="1"/>
  <c r="U219" i="3"/>
  <c r="S219" i="3"/>
  <c r="T219" i="3" s="1"/>
  <c r="K59" i="4"/>
  <c r="M59" i="4"/>
  <c r="K221" i="3"/>
  <c r="L221" i="3" s="1"/>
  <c r="G221" i="3"/>
  <c r="R220" i="3"/>
  <c r="J223" i="3" l="1"/>
  <c r="D223" i="3"/>
  <c r="H223" i="3" s="1"/>
  <c r="F224" i="3"/>
  <c r="U220" i="3"/>
  <c r="S220" i="3"/>
  <c r="T220" i="3" s="1"/>
  <c r="W60" i="3"/>
  <c r="X60" i="3" s="1"/>
  <c r="Y60" i="3" s="1"/>
  <c r="Z60" i="3" s="1"/>
  <c r="AA60" i="3" s="1"/>
  <c r="AB60" i="3" s="1"/>
  <c r="G222" i="3"/>
  <c r="R221" i="3"/>
  <c r="I222" i="3"/>
  <c r="D222" i="4" s="1"/>
  <c r="E222" i="4"/>
  <c r="F222" i="4" s="1"/>
  <c r="M61" i="3" l="1"/>
  <c r="AC60" i="3"/>
  <c r="AD60" i="3" s="1"/>
  <c r="C60" i="4"/>
  <c r="E223" i="4"/>
  <c r="F223" i="4" s="1"/>
  <c r="I223" i="3"/>
  <c r="D223" i="4" s="1"/>
  <c r="K223" i="3"/>
  <c r="L223" i="3" s="1"/>
  <c r="U221" i="3"/>
  <c r="S221" i="3"/>
  <c r="T221" i="3" s="1"/>
  <c r="D224" i="3"/>
  <c r="H224" i="3" s="1"/>
  <c r="J224" i="3"/>
  <c r="K224" i="3" s="1"/>
  <c r="L224" i="3" s="1"/>
  <c r="F225" i="3"/>
  <c r="G223" i="3"/>
  <c r="R222" i="3"/>
  <c r="S222" i="3" l="1"/>
  <c r="T222" i="3" s="1"/>
  <c r="U222" i="3"/>
  <c r="G224" i="3"/>
  <c r="R223" i="3"/>
  <c r="H60" i="4"/>
  <c r="G60" i="4"/>
  <c r="I60" i="4" s="1"/>
  <c r="J60" i="4" s="1"/>
  <c r="E224" i="4"/>
  <c r="F224" i="4" s="1"/>
  <c r="I224" i="3"/>
  <c r="D224" i="4" s="1"/>
  <c r="D225" i="3"/>
  <c r="H225" i="3" s="1"/>
  <c r="J225" i="3"/>
  <c r="K225" i="3" s="1"/>
  <c r="L225" i="3" s="1"/>
  <c r="F226" i="3"/>
  <c r="O61" i="3"/>
  <c r="AI61" i="3"/>
  <c r="N61" i="3"/>
  <c r="P61" i="3" s="1"/>
  <c r="Q61" i="3" s="1"/>
  <c r="F227" i="3" l="1"/>
  <c r="D226" i="3"/>
  <c r="H226" i="3" s="1"/>
  <c r="J226" i="3"/>
  <c r="K226" i="3" s="1"/>
  <c r="L226" i="3" s="1"/>
  <c r="L61" i="4"/>
  <c r="V61" i="3"/>
  <c r="S223" i="3"/>
  <c r="T223" i="3" s="1"/>
  <c r="U223" i="3"/>
  <c r="M60" i="4"/>
  <c r="K60" i="4"/>
  <c r="G225" i="3"/>
  <c r="R224" i="3"/>
  <c r="E225" i="4"/>
  <c r="F225" i="4" s="1"/>
  <c r="I225" i="3"/>
  <c r="D225" i="4" s="1"/>
  <c r="G226" i="3" l="1"/>
  <c r="R225" i="3"/>
  <c r="X61" i="3"/>
  <c r="Y61" i="3" s="1"/>
  <c r="Z61" i="3" s="1"/>
  <c r="AA61" i="3" s="1"/>
  <c r="AB61" i="3" s="1"/>
  <c r="W61" i="3"/>
  <c r="I226" i="3"/>
  <c r="D226" i="4" s="1"/>
  <c r="E226" i="4"/>
  <c r="F226" i="4" s="1"/>
  <c r="U224" i="3"/>
  <c r="S224" i="3"/>
  <c r="T224" i="3" s="1"/>
  <c r="D227" i="3"/>
  <c r="H227" i="3" s="1"/>
  <c r="F228" i="3"/>
  <c r="J227" i="3"/>
  <c r="C61" i="4" l="1"/>
  <c r="M62" i="3"/>
  <c r="AC61" i="3"/>
  <c r="AD61" i="3" s="1"/>
  <c r="I227" i="3"/>
  <c r="D227" i="4" s="1"/>
  <c r="E227" i="4"/>
  <c r="F227" i="4" s="1"/>
  <c r="K227" i="3"/>
  <c r="L227" i="3" s="1"/>
  <c r="S225" i="3"/>
  <c r="T225" i="3" s="1"/>
  <c r="U225" i="3"/>
  <c r="D228" i="3"/>
  <c r="H228" i="3" s="1"/>
  <c r="J228" i="3"/>
  <c r="F229" i="3"/>
  <c r="G227" i="3"/>
  <c r="R226" i="3"/>
  <c r="S226" i="3" l="1"/>
  <c r="T226" i="3" s="1"/>
  <c r="U226" i="3"/>
  <c r="G228" i="3"/>
  <c r="R227" i="3"/>
  <c r="I228" i="3"/>
  <c r="D228" i="4" s="1"/>
  <c r="E228" i="4"/>
  <c r="F228" i="4" s="1"/>
  <c r="N62" i="3"/>
  <c r="P62" i="3" s="1"/>
  <c r="Q62" i="3" s="1"/>
  <c r="AI62" i="3"/>
  <c r="O62" i="3"/>
  <c r="J229" i="3"/>
  <c r="K229" i="3" s="1"/>
  <c r="L229" i="3" s="1"/>
  <c r="F230" i="3"/>
  <c r="D229" i="3"/>
  <c r="H229" i="3" s="1"/>
  <c r="H61" i="4"/>
  <c r="G61" i="4"/>
  <c r="I61" i="4" s="1"/>
  <c r="J61" i="4" s="1"/>
  <c r="K228" i="3"/>
  <c r="L228" i="3" s="1"/>
  <c r="D230" i="3" l="1"/>
  <c r="H230" i="3" s="1"/>
  <c r="F231" i="3"/>
  <c r="J230" i="3"/>
  <c r="K230" i="3" s="1"/>
  <c r="L230" i="3" s="1"/>
  <c r="L62" i="4"/>
  <c r="V62" i="3"/>
  <c r="U227" i="3"/>
  <c r="S227" i="3"/>
  <c r="T227" i="3" s="1"/>
  <c r="G229" i="3"/>
  <c r="R228" i="3"/>
  <c r="E229" i="4"/>
  <c r="F229" i="4" s="1"/>
  <c r="I229" i="3"/>
  <c r="D229" i="4" s="1"/>
  <c r="M61" i="4"/>
  <c r="K61" i="4"/>
  <c r="S228" i="3" l="1"/>
  <c r="T228" i="3" s="1"/>
  <c r="U228" i="3"/>
  <c r="G230" i="3"/>
  <c r="R229" i="3"/>
  <c r="W62" i="3"/>
  <c r="X62" i="3" s="1"/>
  <c r="Y62" i="3" s="1"/>
  <c r="Z62" i="3" s="1"/>
  <c r="AA62" i="3" s="1"/>
  <c r="AB62" i="3" s="1"/>
  <c r="D231" i="3"/>
  <c r="H231" i="3" s="1"/>
  <c r="F232" i="3"/>
  <c r="J231" i="3"/>
  <c r="K231" i="3" s="1"/>
  <c r="L231" i="3" s="1"/>
  <c r="E230" i="4"/>
  <c r="F230" i="4" s="1"/>
  <c r="I230" i="3"/>
  <c r="D230" i="4" s="1"/>
  <c r="C62" i="4" l="1"/>
  <c r="AC62" i="3"/>
  <c r="AD62" i="3" s="1"/>
  <c r="M63" i="3"/>
  <c r="F233" i="3"/>
  <c r="J232" i="3"/>
  <c r="D232" i="3"/>
  <c r="H232" i="3" s="1"/>
  <c r="I231" i="3"/>
  <c r="D231" i="4" s="1"/>
  <c r="E231" i="4"/>
  <c r="F231" i="4" s="1"/>
  <c r="S229" i="3"/>
  <c r="T229" i="3" s="1"/>
  <c r="U229" i="3"/>
  <c r="G231" i="3"/>
  <c r="R230" i="3"/>
  <c r="E232" i="4" l="1"/>
  <c r="F232" i="4" s="1"/>
  <c r="I232" i="3"/>
  <c r="D232" i="4" s="1"/>
  <c r="S230" i="3"/>
  <c r="T230" i="3" s="1"/>
  <c r="U230" i="3"/>
  <c r="K232" i="3"/>
  <c r="L232" i="3" s="1"/>
  <c r="N63" i="3"/>
  <c r="P63" i="3" s="1"/>
  <c r="Q63" i="3" s="1"/>
  <c r="AI63" i="3"/>
  <c r="O63" i="3"/>
  <c r="G232" i="3"/>
  <c r="R231" i="3"/>
  <c r="J233" i="3"/>
  <c r="F234" i="3"/>
  <c r="D233" i="3"/>
  <c r="H233" i="3" s="1"/>
  <c r="G62" i="4"/>
  <c r="I62" i="4" s="1"/>
  <c r="J62" i="4" s="1"/>
  <c r="H62" i="4"/>
  <c r="I233" i="3" l="1"/>
  <c r="D233" i="4" s="1"/>
  <c r="E233" i="4"/>
  <c r="F233" i="4" s="1"/>
  <c r="J234" i="3"/>
  <c r="K234" i="3" s="1"/>
  <c r="L234" i="3" s="1"/>
  <c r="D234" i="3"/>
  <c r="H234" i="3" s="1"/>
  <c r="F235" i="3"/>
  <c r="S231" i="3"/>
  <c r="T231" i="3" s="1"/>
  <c r="U231" i="3"/>
  <c r="L63" i="4"/>
  <c r="V63" i="3"/>
  <c r="G233" i="3"/>
  <c r="R232" i="3"/>
  <c r="K62" i="4"/>
  <c r="M62" i="4"/>
  <c r="K233" i="3"/>
  <c r="L233" i="3" s="1"/>
  <c r="S232" i="3" l="1"/>
  <c r="T232" i="3" s="1"/>
  <c r="U232" i="3"/>
  <c r="G234" i="3"/>
  <c r="R233" i="3"/>
  <c r="W63" i="3"/>
  <c r="X63" i="3" s="1"/>
  <c r="Y63" i="3" s="1"/>
  <c r="Z63" i="3" s="1"/>
  <c r="AA63" i="3" s="1"/>
  <c r="AB63" i="3" s="1"/>
  <c r="J235" i="3"/>
  <c r="F236" i="3"/>
  <c r="D235" i="3"/>
  <c r="H235" i="3" s="1"/>
  <c r="I234" i="3"/>
  <c r="D234" i="4" s="1"/>
  <c r="E234" i="4"/>
  <c r="F234" i="4" s="1"/>
  <c r="AC63" i="3" l="1"/>
  <c r="AD63" i="3" s="1"/>
  <c r="C63" i="4"/>
  <c r="M64" i="3"/>
  <c r="E235" i="4"/>
  <c r="F235" i="4" s="1"/>
  <c r="I235" i="3"/>
  <c r="D235" i="4" s="1"/>
  <c r="D236" i="3"/>
  <c r="H236" i="3" s="1"/>
  <c r="F237" i="3"/>
  <c r="J236" i="3"/>
  <c r="K236" i="3" s="1"/>
  <c r="L236" i="3" s="1"/>
  <c r="K235" i="3"/>
  <c r="L235" i="3" s="1"/>
  <c r="U233" i="3"/>
  <c r="S233" i="3"/>
  <c r="T233" i="3" s="1"/>
  <c r="G235" i="3"/>
  <c r="R234" i="3"/>
  <c r="S234" i="3" l="1"/>
  <c r="T234" i="3" s="1"/>
  <c r="U234" i="3"/>
  <c r="D237" i="3"/>
  <c r="H237" i="3" s="1"/>
  <c r="J237" i="3"/>
  <c r="K237" i="3" s="1"/>
  <c r="L237" i="3" s="1"/>
  <c r="F238" i="3"/>
  <c r="O64" i="3"/>
  <c r="N64" i="3"/>
  <c r="P64" i="3" s="1"/>
  <c r="Q64" i="3" s="1"/>
  <c r="AI64" i="3"/>
  <c r="G236" i="3"/>
  <c r="R235" i="3"/>
  <c r="E236" i="4"/>
  <c r="F236" i="4" s="1"/>
  <c r="I236" i="3"/>
  <c r="D236" i="4" s="1"/>
  <c r="H63" i="4"/>
  <c r="G63" i="4"/>
  <c r="I63" i="4" s="1"/>
  <c r="J63" i="4" s="1"/>
  <c r="M63" i="4" l="1"/>
  <c r="K63" i="4"/>
  <c r="L64" i="4"/>
  <c r="V64" i="3"/>
  <c r="U235" i="3"/>
  <c r="S235" i="3"/>
  <c r="T235" i="3" s="1"/>
  <c r="I237" i="3"/>
  <c r="D237" i="4" s="1"/>
  <c r="E237" i="4"/>
  <c r="F237" i="4" s="1"/>
  <c r="G237" i="3"/>
  <c r="R236" i="3"/>
  <c r="F239" i="3"/>
  <c r="D238" i="3"/>
  <c r="H238" i="3" s="1"/>
  <c r="J238" i="3"/>
  <c r="K238" i="3" s="1"/>
  <c r="L238" i="3" s="1"/>
  <c r="S236" i="3" l="1"/>
  <c r="T236" i="3" s="1"/>
  <c r="U236" i="3"/>
  <c r="G238" i="3"/>
  <c r="R237" i="3"/>
  <c r="I238" i="3"/>
  <c r="D238" i="4" s="1"/>
  <c r="E238" i="4"/>
  <c r="F238" i="4" s="1"/>
  <c r="W64" i="3"/>
  <c r="X64" i="3" s="1"/>
  <c r="Y64" i="3" s="1"/>
  <c r="Z64" i="3" s="1"/>
  <c r="AA64" i="3" s="1"/>
  <c r="AB64" i="3" s="1"/>
  <c r="F240" i="3"/>
  <c r="J239" i="3"/>
  <c r="D239" i="3"/>
  <c r="H239" i="3" s="1"/>
  <c r="C64" i="4" l="1"/>
  <c r="AC64" i="3"/>
  <c r="AD64" i="3" s="1"/>
  <c r="M65" i="3"/>
  <c r="J240" i="3"/>
  <c r="K240" i="3" s="1"/>
  <c r="L240" i="3" s="1"/>
  <c r="D240" i="3"/>
  <c r="H240" i="3" s="1"/>
  <c r="F241" i="3"/>
  <c r="G239" i="3"/>
  <c r="R238" i="3"/>
  <c r="I239" i="3"/>
  <c r="D239" i="4" s="1"/>
  <c r="E239" i="4"/>
  <c r="F239" i="4" s="1"/>
  <c r="K239" i="3"/>
  <c r="L239" i="3" s="1"/>
  <c r="S237" i="3"/>
  <c r="T237" i="3" s="1"/>
  <c r="U237" i="3"/>
  <c r="G240" i="3" l="1"/>
  <c r="R239" i="3"/>
  <c r="J241" i="3"/>
  <c r="F242" i="3"/>
  <c r="D241" i="3"/>
  <c r="H241" i="3" s="1"/>
  <c r="N65" i="3"/>
  <c r="AI65" i="3"/>
  <c r="O65" i="3"/>
  <c r="U238" i="3"/>
  <c r="S238" i="3"/>
  <c r="T238" i="3" s="1"/>
  <c r="E240" i="4"/>
  <c r="F240" i="4" s="1"/>
  <c r="I240" i="3"/>
  <c r="D240" i="4" s="1"/>
  <c r="G64" i="4"/>
  <c r="I64" i="4" s="1"/>
  <c r="J64" i="4" s="1"/>
  <c r="H64" i="4"/>
  <c r="I241" i="3" l="1"/>
  <c r="D241" i="4" s="1"/>
  <c r="E241" i="4"/>
  <c r="F241" i="4" s="1"/>
  <c r="S239" i="3"/>
  <c r="T239" i="3" s="1"/>
  <c r="U239" i="3"/>
  <c r="F243" i="3"/>
  <c r="J242" i="3"/>
  <c r="D242" i="3"/>
  <c r="H242" i="3" s="1"/>
  <c r="G241" i="3"/>
  <c r="R240" i="3"/>
  <c r="M64" i="4"/>
  <c r="K64" i="4"/>
  <c r="P65" i="3"/>
  <c r="Q65" i="3" s="1"/>
  <c r="K241" i="3"/>
  <c r="L241" i="3" s="1"/>
  <c r="I242" i="3" l="1"/>
  <c r="D242" i="4" s="1"/>
  <c r="E242" i="4"/>
  <c r="F242" i="4" s="1"/>
  <c r="K242" i="3"/>
  <c r="L242" i="3" s="1"/>
  <c r="L65" i="4"/>
  <c r="V65" i="3"/>
  <c r="S240" i="3"/>
  <c r="T240" i="3" s="1"/>
  <c r="U240" i="3"/>
  <c r="F244" i="3"/>
  <c r="J243" i="3"/>
  <c r="K243" i="3" s="1"/>
  <c r="L243" i="3" s="1"/>
  <c r="D243" i="3"/>
  <c r="H243" i="3" s="1"/>
  <c r="G242" i="3"/>
  <c r="R241" i="3"/>
  <c r="S241" i="3" l="1"/>
  <c r="T241" i="3" s="1"/>
  <c r="U241" i="3"/>
  <c r="G243" i="3"/>
  <c r="R242" i="3"/>
  <c r="W65" i="3"/>
  <c r="X65" i="3" s="1"/>
  <c r="Y65" i="3" s="1"/>
  <c r="Z65" i="3" s="1"/>
  <c r="AA65" i="3" s="1"/>
  <c r="AB65" i="3" s="1"/>
  <c r="F245" i="3"/>
  <c r="J244" i="3"/>
  <c r="D244" i="3"/>
  <c r="H244" i="3" s="1"/>
  <c r="E243" i="4"/>
  <c r="F243" i="4" s="1"/>
  <c r="I243" i="3"/>
  <c r="D243" i="4" s="1"/>
  <c r="AC65" i="3" l="1"/>
  <c r="AD65" i="3" s="1"/>
  <c r="M66" i="3"/>
  <c r="C65" i="4"/>
  <c r="F246" i="3"/>
  <c r="D245" i="3"/>
  <c r="H245" i="3" s="1"/>
  <c r="J245" i="3"/>
  <c r="K245" i="3" s="1"/>
  <c r="L245" i="3" s="1"/>
  <c r="G244" i="3"/>
  <c r="R243" i="3"/>
  <c r="I244" i="3"/>
  <c r="D244" i="4" s="1"/>
  <c r="E244" i="4"/>
  <c r="F244" i="4" s="1"/>
  <c r="K244" i="3"/>
  <c r="L244" i="3" s="1"/>
  <c r="S242" i="3"/>
  <c r="T242" i="3" s="1"/>
  <c r="U242" i="3"/>
  <c r="G245" i="3" l="1"/>
  <c r="R244" i="3"/>
  <c r="F247" i="3"/>
  <c r="J246" i="3"/>
  <c r="K246" i="3" s="1"/>
  <c r="L246" i="3" s="1"/>
  <c r="D246" i="3"/>
  <c r="H246" i="3" s="1"/>
  <c r="G65" i="4"/>
  <c r="I65" i="4" s="1"/>
  <c r="J65" i="4" s="1"/>
  <c r="H65" i="4"/>
  <c r="E245" i="4"/>
  <c r="F245" i="4" s="1"/>
  <c r="I245" i="3"/>
  <c r="D245" i="4" s="1"/>
  <c r="O66" i="3"/>
  <c r="N66" i="3"/>
  <c r="P66" i="3" s="1"/>
  <c r="Q66" i="3" s="1"/>
  <c r="AI66" i="3"/>
  <c r="U243" i="3"/>
  <c r="S243" i="3"/>
  <c r="T243" i="3" s="1"/>
  <c r="F248" i="3" l="1"/>
  <c r="J247" i="3"/>
  <c r="K247" i="3" s="1"/>
  <c r="L247" i="3" s="1"/>
  <c r="D247" i="3"/>
  <c r="H247" i="3" s="1"/>
  <c r="L66" i="4"/>
  <c r="V66" i="3"/>
  <c r="E246" i="4"/>
  <c r="F246" i="4" s="1"/>
  <c r="I246" i="3"/>
  <c r="D246" i="4" s="1"/>
  <c r="S244" i="3"/>
  <c r="T244" i="3" s="1"/>
  <c r="U244" i="3"/>
  <c r="M65" i="4"/>
  <c r="K65" i="4"/>
  <c r="G246" i="3"/>
  <c r="R245" i="3"/>
  <c r="U245" i="3" l="1"/>
  <c r="S245" i="3"/>
  <c r="T245" i="3" s="1"/>
  <c r="G247" i="3"/>
  <c r="R246" i="3"/>
  <c r="W66" i="3"/>
  <c r="X66" i="3" s="1"/>
  <c r="Y66" i="3" s="1"/>
  <c r="Z66" i="3" s="1"/>
  <c r="AA66" i="3" s="1"/>
  <c r="AB66" i="3" s="1"/>
  <c r="D248" i="3"/>
  <c r="H248" i="3" s="1"/>
  <c r="J248" i="3"/>
  <c r="K248" i="3" s="1"/>
  <c r="L248" i="3" s="1"/>
  <c r="F249" i="3"/>
  <c r="I247" i="3"/>
  <c r="D247" i="4" s="1"/>
  <c r="E247" i="4"/>
  <c r="F247" i="4" s="1"/>
  <c r="AC66" i="3" l="1"/>
  <c r="AD66" i="3" s="1"/>
  <c r="M67" i="3"/>
  <c r="C66" i="4"/>
  <c r="J249" i="3"/>
  <c r="K249" i="3" s="1"/>
  <c r="L249" i="3" s="1"/>
  <c r="F250" i="3"/>
  <c r="D249" i="3"/>
  <c r="H249" i="3" s="1"/>
  <c r="S246" i="3"/>
  <c r="T246" i="3" s="1"/>
  <c r="U246" i="3"/>
  <c r="G248" i="3"/>
  <c r="R247" i="3"/>
  <c r="E248" i="4"/>
  <c r="F248" i="4" s="1"/>
  <c r="I248" i="3"/>
  <c r="D248" i="4" s="1"/>
  <c r="S247" i="3" l="1"/>
  <c r="T247" i="3" s="1"/>
  <c r="U247" i="3"/>
  <c r="G66" i="4"/>
  <c r="I66" i="4" s="1"/>
  <c r="J66" i="4" s="1"/>
  <c r="H66" i="4"/>
  <c r="G249" i="3"/>
  <c r="R248" i="3"/>
  <c r="I249" i="3"/>
  <c r="D249" i="4" s="1"/>
  <c r="E249" i="4"/>
  <c r="F249" i="4" s="1"/>
  <c r="O67" i="3"/>
  <c r="N67" i="3"/>
  <c r="P67" i="3" s="1"/>
  <c r="Q67" i="3" s="1"/>
  <c r="AI67" i="3"/>
  <c r="J250" i="3"/>
  <c r="K250" i="3" s="1"/>
  <c r="L250" i="3" s="1"/>
  <c r="F251" i="3"/>
  <c r="D250" i="3"/>
  <c r="H250" i="3" s="1"/>
  <c r="K66" i="4" l="1"/>
  <c r="M66" i="4"/>
  <c r="J251" i="3"/>
  <c r="K251" i="3" s="1"/>
  <c r="L251" i="3" s="1"/>
  <c r="D251" i="3"/>
  <c r="H251" i="3" s="1"/>
  <c r="F252" i="3"/>
  <c r="L67" i="4"/>
  <c r="V67" i="3"/>
  <c r="U248" i="3"/>
  <c r="S248" i="3"/>
  <c r="T248" i="3" s="1"/>
  <c r="G250" i="3"/>
  <c r="R249" i="3"/>
  <c r="I250" i="3"/>
  <c r="D250" i="4" s="1"/>
  <c r="E250" i="4"/>
  <c r="F250" i="4" s="1"/>
  <c r="W67" i="3" l="1"/>
  <c r="X67" i="3" s="1"/>
  <c r="Y67" i="3" s="1"/>
  <c r="Z67" i="3" s="1"/>
  <c r="AA67" i="3" s="1"/>
  <c r="AB67" i="3" s="1"/>
  <c r="S249" i="3"/>
  <c r="T249" i="3" s="1"/>
  <c r="U249" i="3"/>
  <c r="F253" i="3"/>
  <c r="D252" i="3"/>
  <c r="H252" i="3" s="1"/>
  <c r="J252" i="3"/>
  <c r="G251" i="3"/>
  <c r="R250" i="3"/>
  <c r="I251" i="3"/>
  <c r="D251" i="4" s="1"/>
  <c r="E251" i="4"/>
  <c r="F251" i="4" s="1"/>
  <c r="C67" i="4" l="1"/>
  <c r="M68" i="3"/>
  <c r="AC67" i="3"/>
  <c r="AD67" i="3" s="1"/>
  <c r="E252" i="4"/>
  <c r="F252" i="4" s="1"/>
  <c r="I252" i="3"/>
  <c r="D252" i="4" s="1"/>
  <c r="U250" i="3"/>
  <c r="S250" i="3"/>
  <c r="T250" i="3" s="1"/>
  <c r="D253" i="3"/>
  <c r="H253" i="3" s="1"/>
  <c r="J253" i="3"/>
  <c r="F254" i="3"/>
  <c r="G252" i="3"/>
  <c r="R251" i="3"/>
  <c r="K252" i="3"/>
  <c r="L252" i="3" s="1"/>
  <c r="G253" i="3" l="1"/>
  <c r="R252" i="3"/>
  <c r="E253" i="4"/>
  <c r="F253" i="4" s="1"/>
  <c r="I253" i="3"/>
  <c r="D253" i="4" s="1"/>
  <c r="J254" i="3"/>
  <c r="F255" i="3"/>
  <c r="D254" i="3"/>
  <c r="H254" i="3" s="1"/>
  <c r="O68" i="3"/>
  <c r="N68" i="3"/>
  <c r="P68" i="3" s="1"/>
  <c r="Q68" i="3" s="1"/>
  <c r="AI68" i="3"/>
  <c r="U251" i="3"/>
  <c r="S251" i="3"/>
  <c r="T251" i="3" s="1"/>
  <c r="K253" i="3"/>
  <c r="L253" i="3" s="1"/>
  <c r="H67" i="4"/>
  <c r="G67" i="4"/>
  <c r="I67" i="4" s="1"/>
  <c r="J67" i="4" s="1"/>
  <c r="L68" i="4" l="1"/>
  <c r="V68" i="3"/>
  <c r="I254" i="3"/>
  <c r="D254" i="4" s="1"/>
  <c r="E254" i="4"/>
  <c r="F254" i="4" s="1"/>
  <c r="K67" i="4"/>
  <c r="M67" i="4"/>
  <c r="J255" i="3"/>
  <c r="D255" i="3"/>
  <c r="H255" i="3" s="1"/>
  <c r="F256" i="3"/>
  <c r="U252" i="3"/>
  <c r="S252" i="3"/>
  <c r="T252" i="3" s="1"/>
  <c r="K254" i="3"/>
  <c r="L254" i="3" s="1"/>
  <c r="G254" i="3"/>
  <c r="R253" i="3"/>
  <c r="I255" i="3" l="1"/>
  <c r="D255" i="4" s="1"/>
  <c r="E255" i="4"/>
  <c r="F255" i="4" s="1"/>
  <c r="X68" i="3"/>
  <c r="Y68" i="3" s="1"/>
  <c r="Z68" i="3" s="1"/>
  <c r="AA68" i="3" s="1"/>
  <c r="AB68" i="3" s="1"/>
  <c r="W68" i="3"/>
  <c r="S253" i="3"/>
  <c r="T253" i="3" s="1"/>
  <c r="U253" i="3"/>
  <c r="K255" i="3"/>
  <c r="L255" i="3" s="1"/>
  <c r="G255" i="3"/>
  <c r="R254" i="3"/>
  <c r="D256" i="3"/>
  <c r="H256" i="3" s="1"/>
  <c r="J256" i="3"/>
  <c r="F257" i="3"/>
  <c r="I256" i="3" l="1"/>
  <c r="D256" i="4" s="1"/>
  <c r="E256" i="4"/>
  <c r="F256" i="4" s="1"/>
  <c r="M69" i="3"/>
  <c r="AC68" i="3"/>
  <c r="AD68" i="3" s="1"/>
  <c r="C68" i="4"/>
  <c r="U254" i="3"/>
  <c r="S254" i="3"/>
  <c r="T254" i="3" s="1"/>
  <c r="J257" i="3"/>
  <c r="F258" i="3"/>
  <c r="D257" i="3"/>
  <c r="H257" i="3" s="1"/>
  <c r="G256" i="3"/>
  <c r="R255" i="3"/>
  <c r="K256" i="3"/>
  <c r="L256" i="3" s="1"/>
  <c r="I257" i="3" l="1"/>
  <c r="D257" i="4" s="1"/>
  <c r="E257" i="4"/>
  <c r="F257" i="4" s="1"/>
  <c r="AI69" i="3"/>
  <c r="O69" i="3"/>
  <c r="N69" i="3"/>
  <c r="P69" i="3" s="1"/>
  <c r="Q69" i="3" s="1"/>
  <c r="S255" i="3"/>
  <c r="T255" i="3" s="1"/>
  <c r="U255" i="3"/>
  <c r="J258" i="3"/>
  <c r="D258" i="3"/>
  <c r="H258" i="3" s="1"/>
  <c r="F259" i="3"/>
  <c r="G257" i="3"/>
  <c r="R256" i="3"/>
  <c r="K257" i="3"/>
  <c r="L257" i="3" s="1"/>
  <c r="G68" i="4"/>
  <c r="I68" i="4" s="1"/>
  <c r="J68" i="4" s="1"/>
  <c r="H68" i="4"/>
  <c r="U256" i="3" l="1"/>
  <c r="S256" i="3"/>
  <c r="T256" i="3" s="1"/>
  <c r="D259" i="3"/>
  <c r="H259" i="3" s="1"/>
  <c r="F260" i="3"/>
  <c r="J259" i="3"/>
  <c r="K259" i="3" s="1"/>
  <c r="L259" i="3" s="1"/>
  <c r="G258" i="3"/>
  <c r="R257" i="3"/>
  <c r="E258" i="4"/>
  <c r="F258" i="4" s="1"/>
  <c r="I258" i="3"/>
  <c r="D258" i="4" s="1"/>
  <c r="L69" i="4"/>
  <c r="V69" i="3"/>
  <c r="M68" i="4"/>
  <c r="K68" i="4"/>
  <c r="K258" i="3"/>
  <c r="L258" i="3" s="1"/>
  <c r="X69" i="3" l="1"/>
  <c r="Y69" i="3" s="1"/>
  <c r="Z69" i="3" s="1"/>
  <c r="AA69" i="3" s="1"/>
  <c r="AB69" i="3" s="1"/>
  <c r="W69" i="3"/>
  <c r="S257" i="3"/>
  <c r="T257" i="3" s="1"/>
  <c r="U257" i="3"/>
  <c r="F261" i="3"/>
  <c r="D260" i="3"/>
  <c r="H260" i="3" s="1"/>
  <c r="J260" i="3"/>
  <c r="K260" i="3" s="1"/>
  <c r="L260" i="3" s="1"/>
  <c r="G259" i="3"/>
  <c r="R258" i="3"/>
  <c r="E259" i="4"/>
  <c r="F259" i="4" s="1"/>
  <c r="I259" i="3"/>
  <c r="D259" i="4" s="1"/>
  <c r="F262" i="3" l="1"/>
  <c r="J261" i="3"/>
  <c r="D261" i="3"/>
  <c r="H261" i="3" s="1"/>
  <c r="AC69" i="3"/>
  <c r="AD69" i="3" s="1"/>
  <c r="M70" i="3"/>
  <c r="C69" i="4"/>
  <c r="U258" i="3"/>
  <c r="S258" i="3"/>
  <c r="T258" i="3" s="1"/>
  <c r="G260" i="3"/>
  <c r="R259" i="3"/>
  <c r="I260" i="3"/>
  <c r="D260" i="4" s="1"/>
  <c r="E260" i="4"/>
  <c r="F260" i="4" s="1"/>
  <c r="I261" i="3" l="1"/>
  <c r="D261" i="4" s="1"/>
  <c r="E261" i="4"/>
  <c r="F261" i="4" s="1"/>
  <c r="H69" i="4"/>
  <c r="G69" i="4"/>
  <c r="I69" i="4" s="1"/>
  <c r="J69" i="4" s="1"/>
  <c r="K261" i="3"/>
  <c r="L261" i="3" s="1"/>
  <c r="U259" i="3"/>
  <c r="S259" i="3"/>
  <c r="T259" i="3" s="1"/>
  <c r="O70" i="3"/>
  <c r="AI70" i="3"/>
  <c r="N70" i="3"/>
  <c r="F263" i="3"/>
  <c r="J262" i="3"/>
  <c r="K262" i="3" s="1"/>
  <c r="L262" i="3" s="1"/>
  <c r="D262" i="3"/>
  <c r="H262" i="3" s="1"/>
  <c r="G261" i="3"/>
  <c r="R260" i="3"/>
  <c r="U260" i="3" l="1"/>
  <c r="S260" i="3"/>
  <c r="T260" i="3" s="1"/>
  <c r="G262" i="3"/>
  <c r="R261" i="3"/>
  <c r="F264" i="3"/>
  <c r="D263" i="3"/>
  <c r="H263" i="3" s="1"/>
  <c r="J263" i="3"/>
  <c r="M69" i="4"/>
  <c r="K69" i="4"/>
  <c r="E262" i="4"/>
  <c r="F262" i="4" s="1"/>
  <c r="I262" i="3"/>
  <c r="D262" i="4" s="1"/>
  <c r="P70" i="3"/>
  <c r="Q70" i="3" s="1"/>
  <c r="I263" i="3" l="1"/>
  <c r="D263" i="4" s="1"/>
  <c r="E263" i="4"/>
  <c r="F263" i="4" s="1"/>
  <c r="L70" i="4"/>
  <c r="C25" i="5" s="1"/>
  <c r="N25" i="5" s="1"/>
  <c r="V70" i="3"/>
  <c r="J264" i="3"/>
  <c r="F265" i="3"/>
  <c r="D264" i="3"/>
  <c r="H264" i="3" s="1"/>
  <c r="K263" i="3"/>
  <c r="L263" i="3" s="1"/>
  <c r="S261" i="3"/>
  <c r="T261" i="3" s="1"/>
  <c r="U261" i="3"/>
  <c r="G263" i="3"/>
  <c r="R262" i="3"/>
  <c r="G264" i="3" l="1"/>
  <c r="R263" i="3"/>
  <c r="I264" i="3"/>
  <c r="D264" i="4" s="1"/>
  <c r="E264" i="4"/>
  <c r="F264" i="4" s="1"/>
  <c r="W70" i="3"/>
  <c r="X70" i="3"/>
  <c r="Y70" i="3" s="1"/>
  <c r="Z70" i="3" s="1"/>
  <c r="AA70" i="3" s="1"/>
  <c r="AB70" i="3" s="1"/>
  <c r="D265" i="3"/>
  <c r="H265" i="3" s="1"/>
  <c r="J265" i="3"/>
  <c r="F266" i="3"/>
  <c r="K264" i="3"/>
  <c r="L264" i="3" s="1"/>
  <c r="U262" i="3"/>
  <c r="S262" i="3"/>
  <c r="T262" i="3" s="1"/>
  <c r="I265" i="3" l="1"/>
  <c r="D265" i="4" s="1"/>
  <c r="E265" i="4"/>
  <c r="F265" i="4" s="1"/>
  <c r="J266" i="3"/>
  <c r="K266" i="3" s="1"/>
  <c r="L266" i="3" s="1"/>
  <c r="D266" i="3"/>
  <c r="H266" i="3" s="1"/>
  <c r="F267" i="3"/>
  <c r="M71" i="3"/>
  <c r="AC70" i="3"/>
  <c r="AD70" i="3" s="1"/>
  <c r="C70" i="4"/>
  <c r="U263" i="3"/>
  <c r="S263" i="3"/>
  <c r="T263" i="3" s="1"/>
  <c r="K265" i="3"/>
  <c r="L265" i="3" s="1"/>
  <c r="G265" i="3"/>
  <c r="R264" i="3"/>
  <c r="U264" i="3" l="1"/>
  <c r="S264" i="3"/>
  <c r="T264" i="3" s="1"/>
  <c r="O71" i="3"/>
  <c r="AI71" i="3"/>
  <c r="N71" i="3"/>
  <c r="G266" i="3"/>
  <c r="R265" i="3"/>
  <c r="H70" i="4"/>
  <c r="G70" i="4"/>
  <c r="I70" i="4" s="1"/>
  <c r="J70" i="4" s="1"/>
  <c r="D267" i="3"/>
  <c r="H267" i="3" s="1"/>
  <c r="F268" i="3"/>
  <c r="J267" i="3"/>
  <c r="K267" i="3" s="1"/>
  <c r="L267" i="3" s="1"/>
  <c r="E266" i="4"/>
  <c r="F266" i="4" s="1"/>
  <c r="I266" i="3"/>
  <c r="D266" i="4" s="1"/>
  <c r="U265" i="3" l="1"/>
  <c r="S265" i="3"/>
  <c r="T265" i="3" s="1"/>
  <c r="D268" i="3"/>
  <c r="H268" i="3" s="1"/>
  <c r="F269" i="3"/>
  <c r="J268" i="3"/>
  <c r="G267" i="3"/>
  <c r="R266" i="3"/>
  <c r="I267" i="3"/>
  <c r="D267" i="4" s="1"/>
  <c r="E267" i="4"/>
  <c r="F267" i="4" s="1"/>
  <c r="M70" i="4"/>
  <c r="D25" i="5"/>
  <c r="K70" i="4"/>
  <c r="E25" i="5" s="1"/>
  <c r="P71" i="3"/>
  <c r="Q71" i="3" s="1"/>
  <c r="G268" i="3" l="1"/>
  <c r="R267" i="3"/>
  <c r="E268" i="4"/>
  <c r="F268" i="4" s="1"/>
  <c r="I268" i="3"/>
  <c r="D268" i="4" s="1"/>
  <c r="L71" i="4"/>
  <c r="C26" i="5" s="1"/>
  <c r="N26" i="5" s="1"/>
  <c r="V71" i="3"/>
  <c r="K268" i="3"/>
  <c r="L268" i="3" s="1"/>
  <c r="U266" i="3"/>
  <c r="S266" i="3"/>
  <c r="T266" i="3" s="1"/>
  <c r="F270" i="3"/>
  <c r="J269" i="3"/>
  <c r="D269" i="3"/>
  <c r="H269" i="3" s="1"/>
  <c r="F271" i="3" l="1"/>
  <c r="J270" i="3"/>
  <c r="D270" i="3"/>
  <c r="H270" i="3" s="1"/>
  <c r="I269" i="3"/>
  <c r="D269" i="4" s="1"/>
  <c r="E269" i="4"/>
  <c r="F269" i="4" s="1"/>
  <c r="X71" i="3"/>
  <c r="Y71" i="3" s="1"/>
  <c r="Z71" i="3" s="1"/>
  <c r="AA71" i="3" s="1"/>
  <c r="AB71" i="3" s="1"/>
  <c r="W71" i="3"/>
  <c r="U267" i="3"/>
  <c r="S267" i="3"/>
  <c r="T267" i="3" s="1"/>
  <c r="K269" i="3"/>
  <c r="L269" i="3" s="1"/>
  <c r="G269" i="3"/>
  <c r="R268" i="3"/>
  <c r="AC71" i="3" l="1"/>
  <c r="AD71" i="3" s="1"/>
  <c r="M72" i="3"/>
  <c r="C71" i="4"/>
  <c r="E270" i="4"/>
  <c r="F270" i="4" s="1"/>
  <c r="I270" i="3"/>
  <c r="D270" i="4" s="1"/>
  <c r="S268" i="3"/>
  <c r="T268" i="3" s="1"/>
  <c r="U268" i="3"/>
  <c r="K270" i="3"/>
  <c r="L270" i="3" s="1"/>
  <c r="G270" i="3"/>
  <c r="R269" i="3"/>
  <c r="J271" i="3"/>
  <c r="K271" i="3" s="1"/>
  <c r="L271" i="3" s="1"/>
  <c r="F272" i="3"/>
  <c r="D271" i="3"/>
  <c r="H271" i="3" s="1"/>
  <c r="F273" i="3" l="1"/>
  <c r="D272" i="3"/>
  <c r="H272" i="3" s="1"/>
  <c r="J272" i="3"/>
  <c r="K272" i="3" s="1"/>
  <c r="L272" i="3" s="1"/>
  <c r="H71" i="4"/>
  <c r="G71" i="4"/>
  <c r="I71" i="4" s="1"/>
  <c r="J71" i="4" s="1"/>
  <c r="S269" i="3"/>
  <c r="T269" i="3" s="1"/>
  <c r="U269" i="3"/>
  <c r="AI72" i="3"/>
  <c r="N72" i="3"/>
  <c r="O72" i="3"/>
  <c r="G271" i="3"/>
  <c r="R270" i="3"/>
  <c r="I271" i="3"/>
  <c r="D271" i="4" s="1"/>
  <c r="E271" i="4"/>
  <c r="F271" i="4" s="1"/>
  <c r="S270" i="3" l="1"/>
  <c r="T270" i="3" s="1"/>
  <c r="U270" i="3"/>
  <c r="P72" i="3"/>
  <c r="Q72" i="3" s="1"/>
  <c r="M71" i="4"/>
  <c r="K71" i="4"/>
  <c r="E26" i="5" s="1"/>
  <c r="D26" i="5"/>
  <c r="E272" i="4"/>
  <c r="F272" i="4" s="1"/>
  <c r="I272" i="3"/>
  <c r="D272" i="4" s="1"/>
  <c r="G272" i="3"/>
  <c r="R271" i="3"/>
  <c r="D273" i="3"/>
  <c r="H273" i="3" s="1"/>
  <c r="J273" i="3"/>
  <c r="F274" i="3"/>
  <c r="E273" i="4" l="1"/>
  <c r="F273" i="4" s="1"/>
  <c r="I273" i="3"/>
  <c r="D273" i="4" s="1"/>
  <c r="G273" i="3"/>
  <c r="R272" i="3"/>
  <c r="D274" i="3"/>
  <c r="H274" i="3" s="1"/>
  <c r="F275" i="3"/>
  <c r="J274" i="3"/>
  <c r="K274" i="3" s="1"/>
  <c r="L274" i="3" s="1"/>
  <c r="K273" i="3"/>
  <c r="L273" i="3" s="1"/>
  <c r="L72" i="4"/>
  <c r="V72" i="3"/>
  <c r="S271" i="3"/>
  <c r="T271" i="3" s="1"/>
  <c r="U271" i="3"/>
  <c r="U272" i="3" l="1"/>
  <c r="S272" i="3"/>
  <c r="T272" i="3" s="1"/>
  <c r="W72" i="3"/>
  <c r="X72" i="3" s="1"/>
  <c r="Y72" i="3" s="1"/>
  <c r="Z72" i="3" s="1"/>
  <c r="AA72" i="3" s="1"/>
  <c r="AB72" i="3" s="1"/>
  <c r="G274" i="3"/>
  <c r="R273" i="3"/>
  <c r="J275" i="3"/>
  <c r="K275" i="3" s="1"/>
  <c r="L275" i="3" s="1"/>
  <c r="F276" i="3"/>
  <c r="D275" i="3"/>
  <c r="H275" i="3" s="1"/>
  <c r="E274" i="4"/>
  <c r="F274" i="4" s="1"/>
  <c r="I274" i="3"/>
  <c r="D274" i="4" s="1"/>
  <c r="M73" i="3" l="1"/>
  <c r="AC72" i="3"/>
  <c r="AD72" i="3" s="1"/>
  <c r="C72" i="4"/>
  <c r="I275" i="3"/>
  <c r="D275" i="4" s="1"/>
  <c r="E275" i="4"/>
  <c r="F275" i="4" s="1"/>
  <c r="S273" i="3"/>
  <c r="T273" i="3" s="1"/>
  <c r="U273" i="3"/>
  <c r="D276" i="3"/>
  <c r="H276" i="3" s="1"/>
  <c r="J276" i="3"/>
  <c r="K276" i="3" s="1"/>
  <c r="L276" i="3" s="1"/>
  <c r="F277" i="3"/>
  <c r="G275" i="3"/>
  <c r="R274" i="3"/>
  <c r="F278" i="3" l="1"/>
  <c r="D277" i="3"/>
  <c r="H277" i="3" s="1"/>
  <c r="J277" i="3"/>
  <c r="K277" i="3" s="1"/>
  <c r="L277" i="3" s="1"/>
  <c r="H72" i="4"/>
  <c r="G72" i="4"/>
  <c r="I72" i="4" s="1"/>
  <c r="J72" i="4" s="1"/>
  <c r="U274" i="3"/>
  <c r="S274" i="3"/>
  <c r="T274" i="3" s="1"/>
  <c r="G276" i="3"/>
  <c r="R275" i="3"/>
  <c r="E276" i="4"/>
  <c r="F276" i="4" s="1"/>
  <c r="I276" i="3"/>
  <c r="D276" i="4" s="1"/>
  <c r="AI73" i="3"/>
  <c r="O73" i="3"/>
  <c r="N73" i="3"/>
  <c r="P73" i="3" s="1"/>
  <c r="Q73" i="3" s="1"/>
  <c r="G277" i="3" l="1"/>
  <c r="R276" i="3"/>
  <c r="E277" i="4"/>
  <c r="F277" i="4" s="1"/>
  <c r="I277" i="3"/>
  <c r="D277" i="4" s="1"/>
  <c r="L73" i="4"/>
  <c r="V73" i="3"/>
  <c r="F279" i="3"/>
  <c r="D278" i="3"/>
  <c r="H278" i="3" s="1"/>
  <c r="J278" i="3"/>
  <c r="K278" i="3" s="1"/>
  <c r="L278" i="3" s="1"/>
  <c r="U275" i="3"/>
  <c r="S275" i="3"/>
  <c r="T275" i="3" s="1"/>
  <c r="M72" i="4"/>
  <c r="K72" i="4"/>
  <c r="I278" i="3" l="1"/>
  <c r="D278" i="4" s="1"/>
  <c r="E278" i="4"/>
  <c r="F278" i="4" s="1"/>
  <c r="X73" i="3"/>
  <c r="Y73" i="3" s="1"/>
  <c r="Z73" i="3" s="1"/>
  <c r="AA73" i="3" s="1"/>
  <c r="AB73" i="3" s="1"/>
  <c r="W73" i="3"/>
  <c r="S276" i="3"/>
  <c r="T276" i="3" s="1"/>
  <c r="U276" i="3"/>
  <c r="J279" i="3"/>
  <c r="D279" i="3"/>
  <c r="H279" i="3" s="1"/>
  <c r="F280" i="3"/>
  <c r="G278" i="3"/>
  <c r="R277" i="3"/>
  <c r="F281" i="3" l="1"/>
  <c r="D280" i="3"/>
  <c r="H280" i="3" s="1"/>
  <c r="J280" i="3"/>
  <c r="K280" i="3" s="1"/>
  <c r="L280" i="3" s="1"/>
  <c r="M74" i="3"/>
  <c r="AC73" i="3"/>
  <c r="AD73" i="3" s="1"/>
  <c r="C73" i="4"/>
  <c r="E279" i="4"/>
  <c r="F279" i="4" s="1"/>
  <c r="I279" i="3"/>
  <c r="D279" i="4" s="1"/>
  <c r="S277" i="3"/>
  <c r="T277" i="3" s="1"/>
  <c r="U277" i="3"/>
  <c r="K279" i="3"/>
  <c r="L279" i="3" s="1"/>
  <c r="G279" i="3"/>
  <c r="R278" i="3"/>
  <c r="S278" i="3" l="1"/>
  <c r="T278" i="3" s="1"/>
  <c r="U278" i="3"/>
  <c r="G73" i="4"/>
  <c r="I73" i="4" s="1"/>
  <c r="J73" i="4" s="1"/>
  <c r="H73" i="4"/>
  <c r="G280" i="3"/>
  <c r="R279" i="3"/>
  <c r="I280" i="3"/>
  <c r="D280" i="4" s="1"/>
  <c r="E280" i="4"/>
  <c r="F280" i="4" s="1"/>
  <c r="O74" i="3"/>
  <c r="N74" i="3"/>
  <c r="P74" i="3" s="1"/>
  <c r="Q74" i="3" s="1"/>
  <c r="AI74" i="3"/>
  <c r="F282" i="3"/>
  <c r="D281" i="3"/>
  <c r="H281" i="3" s="1"/>
  <c r="J281" i="3"/>
  <c r="K281" i="3" s="1"/>
  <c r="L281" i="3" s="1"/>
  <c r="F283" i="3" l="1"/>
  <c r="D282" i="3"/>
  <c r="H282" i="3" s="1"/>
  <c r="J282" i="3"/>
  <c r="K282" i="3" s="1"/>
  <c r="L282" i="3" s="1"/>
  <c r="U279" i="3"/>
  <c r="S279" i="3"/>
  <c r="T279" i="3" s="1"/>
  <c r="G281" i="3"/>
  <c r="R280" i="3"/>
  <c r="I281" i="3"/>
  <c r="D281" i="4" s="1"/>
  <c r="E281" i="4"/>
  <c r="F281" i="4" s="1"/>
  <c r="L74" i="4"/>
  <c r="V74" i="3"/>
  <c r="K73" i="4"/>
  <c r="M73" i="4"/>
  <c r="I282" i="3" l="1"/>
  <c r="D282" i="4" s="1"/>
  <c r="E282" i="4"/>
  <c r="F282" i="4" s="1"/>
  <c r="X74" i="3"/>
  <c r="Y74" i="3" s="1"/>
  <c r="Z74" i="3" s="1"/>
  <c r="AA74" i="3" s="1"/>
  <c r="AB74" i="3" s="1"/>
  <c r="W74" i="3"/>
  <c r="S280" i="3"/>
  <c r="T280" i="3" s="1"/>
  <c r="U280" i="3"/>
  <c r="J283" i="3"/>
  <c r="K283" i="3" s="1"/>
  <c r="L283" i="3" s="1"/>
  <c r="F284" i="3"/>
  <c r="D283" i="3"/>
  <c r="H283" i="3" s="1"/>
  <c r="G282" i="3"/>
  <c r="R281" i="3"/>
  <c r="G283" i="3" l="1"/>
  <c r="R282" i="3"/>
  <c r="C74" i="4"/>
  <c r="AC74" i="3"/>
  <c r="AD74" i="3" s="1"/>
  <c r="M75" i="3"/>
  <c r="E283" i="4"/>
  <c r="F283" i="4" s="1"/>
  <c r="I283" i="3"/>
  <c r="D283" i="4" s="1"/>
  <c r="S281" i="3"/>
  <c r="T281" i="3" s="1"/>
  <c r="U281" i="3"/>
  <c r="J284" i="3"/>
  <c r="F285" i="3"/>
  <c r="D284" i="3"/>
  <c r="H284" i="3" s="1"/>
  <c r="E284" i="4" l="1"/>
  <c r="F284" i="4" s="1"/>
  <c r="I284" i="3"/>
  <c r="D284" i="4" s="1"/>
  <c r="G74" i="4"/>
  <c r="I74" i="4" s="1"/>
  <c r="J74" i="4" s="1"/>
  <c r="H74" i="4"/>
  <c r="D285" i="3"/>
  <c r="H285" i="3" s="1"/>
  <c r="F286" i="3"/>
  <c r="J285" i="3"/>
  <c r="K285" i="3" s="1"/>
  <c r="L285" i="3" s="1"/>
  <c r="N75" i="3"/>
  <c r="AI75" i="3"/>
  <c r="O75" i="3"/>
  <c r="S282" i="3"/>
  <c r="T282" i="3" s="1"/>
  <c r="U282" i="3"/>
  <c r="K284" i="3"/>
  <c r="L284" i="3" s="1"/>
  <c r="G284" i="3"/>
  <c r="R283" i="3"/>
  <c r="K74" i="4" l="1"/>
  <c r="M74" i="4"/>
  <c r="D286" i="3"/>
  <c r="H286" i="3" s="1"/>
  <c r="F287" i="3"/>
  <c r="J286" i="3"/>
  <c r="K286" i="3" s="1"/>
  <c r="L286" i="3" s="1"/>
  <c r="U283" i="3"/>
  <c r="S283" i="3"/>
  <c r="T283" i="3" s="1"/>
  <c r="P75" i="3"/>
  <c r="Q75" i="3" s="1"/>
  <c r="I285" i="3"/>
  <c r="D285" i="4" s="1"/>
  <c r="E285" i="4"/>
  <c r="F285" i="4" s="1"/>
  <c r="G285" i="3"/>
  <c r="R284" i="3"/>
  <c r="S284" i="3" l="1"/>
  <c r="T284" i="3" s="1"/>
  <c r="U284" i="3"/>
  <c r="L75" i="4"/>
  <c r="V75" i="3"/>
  <c r="G286" i="3"/>
  <c r="R285" i="3"/>
  <c r="D287" i="3"/>
  <c r="H287" i="3" s="1"/>
  <c r="F288" i="3"/>
  <c r="J287" i="3"/>
  <c r="E286" i="4"/>
  <c r="F286" i="4" s="1"/>
  <c r="I286" i="3"/>
  <c r="D286" i="4" s="1"/>
  <c r="E287" i="4" l="1"/>
  <c r="F287" i="4" s="1"/>
  <c r="I287" i="3"/>
  <c r="D287" i="4" s="1"/>
  <c r="W75" i="3"/>
  <c r="X75" i="3" s="1"/>
  <c r="Y75" i="3" s="1"/>
  <c r="Z75" i="3" s="1"/>
  <c r="AA75" i="3" s="1"/>
  <c r="AB75" i="3" s="1"/>
  <c r="S285" i="3"/>
  <c r="T285" i="3" s="1"/>
  <c r="U285" i="3"/>
  <c r="K287" i="3"/>
  <c r="L287" i="3" s="1"/>
  <c r="G287" i="3"/>
  <c r="R286" i="3"/>
  <c r="F289" i="3"/>
  <c r="J288" i="3"/>
  <c r="D288" i="3"/>
  <c r="H288" i="3" s="1"/>
  <c r="C75" i="4" l="1"/>
  <c r="M76" i="3"/>
  <c r="AC75" i="3"/>
  <c r="AD75" i="3" s="1"/>
  <c r="F290" i="3"/>
  <c r="J289" i="3"/>
  <c r="D289" i="3"/>
  <c r="H289" i="3" s="1"/>
  <c r="G288" i="3"/>
  <c r="R287" i="3"/>
  <c r="I288" i="3"/>
  <c r="D288" i="4" s="1"/>
  <c r="E288" i="4"/>
  <c r="F288" i="4" s="1"/>
  <c r="K288" i="3"/>
  <c r="L288" i="3" s="1"/>
  <c r="S286" i="3"/>
  <c r="T286" i="3" s="1"/>
  <c r="U286" i="3"/>
  <c r="G289" i="3" l="1"/>
  <c r="R288" i="3"/>
  <c r="D290" i="3"/>
  <c r="H290" i="3" s="1"/>
  <c r="J290" i="3"/>
  <c r="F291" i="3"/>
  <c r="I289" i="3"/>
  <c r="D289" i="4" s="1"/>
  <c r="E289" i="4"/>
  <c r="F289" i="4" s="1"/>
  <c r="K289" i="3"/>
  <c r="L289" i="3" s="1"/>
  <c r="AI76" i="3"/>
  <c r="N76" i="3"/>
  <c r="O76" i="3"/>
  <c r="S287" i="3"/>
  <c r="T287" i="3" s="1"/>
  <c r="U287" i="3"/>
  <c r="H75" i="4"/>
  <c r="G75" i="4"/>
  <c r="I75" i="4" s="1"/>
  <c r="J75" i="4" s="1"/>
  <c r="E290" i="4" l="1"/>
  <c r="F290" i="4" s="1"/>
  <c r="I290" i="3"/>
  <c r="D290" i="4" s="1"/>
  <c r="M75" i="4"/>
  <c r="K75" i="4"/>
  <c r="D291" i="3"/>
  <c r="H291" i="3" s="1"/>
  <c r="J291" i="3"/>
  <c r="K291" i="3" s="1"/>
  <c r="L291" i="3" s="1"/>
  <c r="F292" i="3"/>
  <c r="U288" i="3"/>
  <c r="S288" i="3"/>
  <c r="T288" i="3" s="1"/>
  <c r="K290" i="3"/>
  <c r="L290" i="3" s="1"/>
  <c r="G290" i="3"/>
  <c r="R289" i="3"/>
  <c r="P76" i="3"/>
  <c r="Q76" i="3" s="1"/>
  <c r="L76" i="4" l="1"/>
  <c r="V76" i="3"/>
  <c r="S289" i="3"/>
  <c r="T289" i="3" s="1"/>
  <c r="U289" i="3"/>
  <c r="E291" i="4"/>
  <c r="F291" i="4" s="1"/>
  <c r="I291" i="3"/>
  <c r="D291" i="4" s="1"/>
  <c r="G291" i="3"/>
  <c r="R290" i="3"/>
  <c r="F293" i="3"/>
  <c r="D292" i="3"/>
  <c r="H292" i="3" s="1"/>
  <c r="J292" i="3"/>
  <c r="K292" i="3" s="1"/>
  <c r="L292" i="3" s="1"/>
  <c r="J293" i="3" l="1"/>
  <c r="D293" i="3"/>
  <c r="H293" i="3" s="1"/>
  <c r="F294" i="3"/>
  <c r="U290" i="3"/>
  <c r="S290" i="3"/>
  <c r="T290" i="3" s="1"/>
  <c r="G292" i="3"/>
  <c r="R291" i="3"/>
  <c r="W76" i="3"/>
  <c r="X76" i="3"/>
  <c r="Y76" i="3" s="1"/>
  <c r="Z76" i="3" s="1"/>
  <c r="AA76" i="3" s="1"/>
  <c r="AB76" i="3" s="1"/>
  <c r="E292" i="4"/>
  <c r="F292" i="4" s="1"/>
  <c r="I292" i="3"/>
  <c r="D292" i="4" s="1"/>
  <c r="M77" i="3" l="1"/>
  <c r="AC76" i="3"/>
  <c r="AD76" i="3" s="1"/>
  <c r="C76" i="4"/>
  <c r="G293" i="3"/>
  <c r="R292" i="3"/>
  <c r="D294" i="3"/>
  <c r="H294" i="3" s="1"/>
  <c r="J294" i="3"/>
  <c r="K294" i="3" s="1"/>
  <c r="L294" i="3" s="1"/>
  <c r="F295" i="3"/>
  <c r="E293" i="4"/>
  <c r="F293" i="4" s="1"/>
  <c r="I293" i="3"/>
  <c r="D293" i="4" s="1"/>
  <c r="U291" i="3"/>
  <c r="S291" i="3"/>
  <c r="T291" i="3" s="1"/>
  <c r="K293" i="3"/>
  <c r="L293" i="3" s="1"/>
  <c r="G294" i="3" l="1"/>
  <c r="R293" i="3"/>
  <c r="H76" i="4"/>
  <c r="G76" i="4"/>
  <c r="I76" i="4" s="1"/>
  <c r="J76" i="4" s="1"/>
  <c r="I294" i="3"/>
  <c r="D294" i="4" s="1"/>
  <c r="E294" i="4"/>
  <c r="F294" i="4" s="1"/>
  <c r="D295" i="3"/>
  <c r="H295" i="3" s="1"/>
  <c r="F296" i="3"/>
  <c r="J295" i="3"/>
  <c r="S292" i="3"/>
  <c r="T292" i="3" s="1"/>
  <c r="U292" i="3"/>
  <c r="AI77" i="3"/>
  <c r="N77" i="3"/>
  <c r="O77" i="3"/>
  <c r="E295" i="4" l="1"/>
  <c r="F295" i="4" s="1"/>
  <c r="I295" i="3"/>
  <c r="D295" i="4" s="1"/>
  <c r="K76" i="4"/>
  <c r="M76" i="4"/>
  <c r="S293" i="3"/>
  <c r="T293" i="3" s="1"/>
  <c r="U293" i="3"/>
  <c r="P77" i="3"/>
  <c r="Q77" i="3" s="1"/>
  <c r="K295" i="3"/>
  <c r="L295" i="3" s="1"/>
  <c r="G295" i="3"/>
  <c r="R294" i="3"/>
  <c r="F297" i="3"/>
  <c r="D296" i="3"/>
  <c r="H296" i="3" s="1"/>
  <c r="J296" i="3"/>
  <c r="K296" i="3" s="1"/>
  <c r="L296" i="3" s="1"/>
  <c r="F298" i="3" l="1"/>
  <c r="D297" i="3"/>
  <c r="H297" i="3" s="1"/>
  <c r="J297" i="3"/>
  <c r="K297" i="3" s="1"/>
  <c r="L297" i="3" s="1"/>
  <c r="L77" i="4"/>
  <c r="V77" i="3"/>
  <c r="U294" i="3"/>
  <c r="S294" i="3"/>
  <c r="T294" i="3" s="1"/>
  <c r="G296" i="3"/>
  <c r="R295" i="3"/>
  <c r="I296" i="3"/>
  <c r="D296" i="4" s="1"/>
  <c r="E296" i="4"/>
  <c r="F296" i="4" s="1"/>
  <c r="S295" i="3" l="1"/>
  <c r="T295" i="3" s="1"/>
  <c r="U295" i="3"/>
  <c r="G297" i="3"/>
  <c r="R296" i="3"/>
  <c r="E297" i="4"/>
  <c r="F297" i="4" s="1"/>
  <c r="I297" i="3"/>
  <c r="D297" i="4" s="1"/>
  <c r="W77" i="3"/>
  <c r="X77" i="3" s="1"/>
  <c r="Y77" i="3" s="1"/>
  <c r="Z77" i="3" s="1"/>
  <c r="AA77" i="3" s="1"/>
  <c r="AB77" i="3" s="1"/>
  <c r="F299" i="3"/>
  <c r="J298" i="3"/>
  <c r="D298" i="3"/>
  <c r="H298" i="3" s="1"/>
  <c r="AC77" i="3" l="1"/>
  <c r="AD77" i="3" s="1"/>
  <c r="C77" i="4"/>
  <c r="M78" i="3"/>
  <c r="F300" i="3"/>
  <c r="D299" i="3"/>
  <c r="H299" i="3" s="1"/>
  <c r="J299" i="3"/>
  <c r="K299" i="3" s="1"/>
  <c r="L299" i="3" s="1"/>
  <c r="G298" i="3"/>
  <c r="R297" i="3"/>
  <c r="E298" i="4"/>
  <c r="F298" i="4" s="1"/>
  <c r="I298" i="3"/>
  <c r="D298" i="4" s="1"/>
  <c r="K298" i="3"/>
  <c r="L298" i="3" s="1"/>
  <c r="U296" i="3"/>
  <c r="S296" i="3"/>
  <c r="T296" i="3" s="1"/>
  <c r="G299" i="3" l="1"/>
  <c r="R298" i="3"/>
  <c r="F301" i="3"/>
  <c r="D300" i="3"/>
  <c r="H300" i="3" s="1"/>
  <c r="J300" i="3"/>
  <c r="K300" i="3" s="1"/>
  <c r="L300" i="3" s="1"/>
  <c r="AI78" i="3"/>
  <c r="O78" i="3"/>
  <c r="N78" i="3"/>
  <c r="P78" i="3" s="1"/>
  <c r="Q78" i="3" s="1"/>
  <c r="G77" i="4"/>
  <c r="I77" i="4" s="1"/>
  <c r="J77" i="4" s="1"/>
  <c r="H77" i="4"/>
  <c r="U297" i="3"/>
  <c r="S297" i="3"/>
  <c r="T297" i="3" s="1"/>
  <c r="E299" i="4"/>
  <c r="F299" i="4" s="1"/>
  <c r="I299" i="3"/>
  <c r="D299" i="4" s="1"/>
  <c r="J301" i="3" l="1"/>
  <c r="K301" i="3" s="1"/>
  <c r="L301" i="3" s="1"/>
  <c r="F302" i="3"/>
  <c r="D301" i="3"/>
  <c r="H301" i="3" s="1"/>
  <c r="L78" i="4"/>
  <c r="V78" i="3"/>
  <c r="U298" i="3"/>
  <c r="S298" i="3"/>
  <c r="T298" i="3" s="1"/>
  <c r="G300" i="3"/>
  <c r="R299" i="3"/>
  <c r="K77" i="4"/>
  <c r="M77" i="4"/>
  <c r="E300" i="4"/>
  <c r="F300" i="4" s="1"/>
  <c r="I300" i="3"/>
  <c r="D300" i="4" s="1"/>
  <c r="G301" i="3" l="1"/>
  <c r="R300" i="3"/>
  <c r="W78" i="3"/>
  <c r="X78" i="3"/>
  <c r="Y78" i="3" s="1"/>
  <c r="Z78" i="3" s="1"/>
  <c r="AA78" i="3" s="1"/>
  <c r="AB78" i="3" s="1"/>
  <c r="E301" i="4"/>
  <c r="F301" i="4" s="1"/>
  <c r="I301" i="3"/>
  <c r="D301" i="4" s="1"/>
  <c r="U299" i="3"/>
  <c r="S299" i="3"/>
  <c r="T299" i="3" s="1"/>
  <c r="D302" i="3"/>
  <c r="H302" i="3" s="1"/>
  <c r="J302" i="3"/>
  <c r="K302" i="3" s="1"/>
  <c r="L302" i="3" s="1"/>
  <c r="F303" i="3"/>
  <c r="AC78" i="3" l="1"/>
  <c r="AD78" i="3" s="1"/>
  <c r="M79" i="3"/>
  <c r="C78" i="4"/>
  <c r="E302" i="4"/>
  <c r="F302" i="4" s="1"/>
  <c r="I302" i="3"/>
  <c r="D302" i="4" s="1"/>
  <c r="D303" i="3"/>
  <c r="H303" i="3" s="1"/>
  <c r="F304" i="3"/>
  <c r="J303" i="3"/>
  <c r="U300" i="3"/>
  <c r="S300" i="3"/>
  <c r="T300" i="3" s="1"/>
  <c r="G302" i="3"/>
  <c r="R301" i="3"/>
  <c r="S301" i="3" l="1"/>
  <c r="T301" i="3" s="1"/>
  <c r="U301" i="3"/>
  <c r="I303" i="3"/>
  <c r="D303" i="4" s="1"/>
  <c r="E303" i="4"/>
  <c r="F303" i="4" s="1"/>
  <c r="O79" i="3"/>
  <c r="AI79" i="3"/>
  <c r="N79" i="3"/>
  <c r="P79" i="3" s="1"/>
  <c r="Q79" i="3" s="1"/>
  <c r="G303" i="3"/>
  <c r="R302" i="3"/>
  <c r="K303" i="3"/>
  <c r="L303" i="3" s="1"/>
  <c r="F305" i="3"/>
  <c r="D304" i="3"/>
  <c r="H304" i="3" s="1"/>
  <c r="J304" i="3"/>
  <c r="K304" i="3" s="1"/>
  <c r="L304" i="3" s="1"/>
  <c r="H78" i="4"/>
  <c r="G78" i="4"/>
  <c r="I78" i="4" s="1"/>
  <c r="J78" i="4" s="1"/>
  <c r="F306" i="3" l="1"/>
  <c r="D305" i="3"/>
  <c r="H305" i="3" s="1"/>
  <c r="J305" i="3"/>
  <c r="K305" i="3" s="1"/>
  <c r="L305" i="3" s="1"/>
  <c r="G304" i="3"/>
  <c r="R303" i="3"/>
  <c r="L79" i="4"/>
  <c r="V79" i="3"/>
  <c r="M78" i="4"/>
  <c r="K78" i="4"/>
  <c r="I304" i="3"/>
  <c r="D304" i="4" s="1"/>
  <c r="E304" i="4"/>
  <c r="F304" i="4" s="1"/>
  <c r="U302" i="3"/>
  <c r="S302" i="3"/>
  <c r="T302" i="3" s="1"/>
  <c r="W79" i="3" l="1"/>
  <c r="X79" i="3" s="1"/>
  <c r="Y79" i="3" s="1"/>
  <c r="Z79" i="3" s="1"/>
  <c r="AA79" i="3" s="1"/>
  <c r="AB79" i="3" s="1"/>
  <c r="S303" i="3"/>
  <c r="T303" i="3" s="1"/>
  <c r="U303" i="3"/>
  <c r="E305" i="4"/>
  <c r="F305" i="4" s="1"/>
  <c r="I305" i="3"/>
  <c r="D305" i="4" s="1"/>
  <c r="G305" i="3"/>
  <c r="R304" i="3"/>
  <c r="D306" i="3"/>
  <c r="H306" i="3" s="1"/>
  <c r="F307" i="3"/>
  <c r="J306" i="3"/>
  <c r="K306" i="3" s="1"/>
  <c r="L306" i="3" s="1"/>
  <c r="M80" i="3" l="1"/>
  <c r="C79" i="4"/>
  <c r="AC79" i="3"/>
  <c r="AD79" i="3" s="1"/>
  <c r="U304" i="3"/>
  <c r="S304" i="3"/>
  <c r="T304" i="3" s="1"/>
  <c r="F308" i="3"/>
  <c r="D307" i="3"/>
  <c r="H307" i="3" s="1"/>
  <c r="J307" i="3"/>
  <c r="K307" i="3" s="1"/>
  <c r="L307" i="3" s="1"/>
  <c r="G306" i="3"/>
  <c r="R305" i="3"/>
  <c r="I306" i="3"/>
  <c r="D306" i="4" s="1"/>
  <c r="E306" i="4"/>
  <c r="F306" i="4" s="1"/>
  <c r="G307" i="3" l="1"/>
  <c r="R306" i="3"/>
  <c r="J308" i="3"/>
  <c r="K308" i="3" s="1"/>
  <c r="L308" i="3" s="1"/>
  <c r="F309" i="3"/>
  <c r="D308" i="3"/>
  <c r="H308" i="3" s="1"/>
  <c r="H79" i="4"/>
  <c r="G79" i="4"/>
  <c r="I79" i="4" s="1"/>
  <c r="J79" i="4" s="1"/>
  <c r="S305" i="3"/>
  <c r="T305" i="3" s="1"/>
  <c r="U305" i="3"/>
  <c r="E307" i="4"/>
  <c r="F307" i="4" s="1"/>
  <c r="I307" i="3"/>
  <c r="D307" i="4" s="1"/>
  <c r="O80" i="3"/>
  <c r="AI80" i="3"/>
  <c r="N80" i="3"/>
  <c r="J309" i="3" l="1"/>
  <c r="F310" i="3"/>
  <c r="D309" i="3"/>
  <c r="H309" i="3" s="1"/>
  <c r="S306" i="3"/>
  <c r="T306" i="3" s="1"/>
  <c r="U306" i="3"/>
  <c r="P80" i="3"/>
  <c r="Q80" i="3" s="1"/>
  <c r="M79" i="4"/>
  <c r="K79" i="4"/>
  <c r="I308" i="3"/>
  <c r="D308" i="4" s="1"/>
  <c r="E308" i="4"/>
  <c r="F308" i="4" s="1"/>
  <c r="G308" i="3"/>
  <c r="R307" i="3"/>
  <c r="U307" i="3" l="1"/>
  <c r="S307" i="3"/>
  <c r="T307" i="3" s="1"/>
  <c r="I309" i="3"/>
  <c r="D309" i="4" s="1"/>
  <c r="E309" i="4"/>
  <c r="F309" i="4" s="1"/>
  <c r="G309" i="3"/>
  <c r="R308" i="3"/>
  <c r="D310" i="3"/>
  <c r="H310" i="3" s="1"/>
  <c r="J310" i="3"/>
  <c r="K310" i="3" s="1"/>
  <c r="L310" i="3" s="1"/>
  <c r="F311" i="3"/>
  <c r="L80" i="4"/>
  <c r="V80" i="3"/>
  <c r="K309" i="3"/>
  <c r="L309" i="3" s="1"/>
  <c r="W80" i="3" l="1"/>
  <c r="X80" i="3"/>
  <c r="Y80" i="3" s="1"/>
  <c r="Z80" i="3" s="1"/>
  <c r="AA80" i="3" s="1"/>
  <c r="AB80" i="3" s="1"/>
  <c r="E310" i="4"/>
  <c r="F310" i="4" s="1"/>
  <c r="I310" i="3"/>
  <c r="D310" i="4" s="1"/>
  <c r="U308" i="3"/>
  <c r="S308" i="3"/>
  <c r="T308" i="3" s="1"/>
  <c r="F312" i="3"/>
  <c r="J311" i="3"/>
  <c r="D311" i="3"/>
  <c r="H311" i="3" s="1"/>
  <c r="G310" i="3"/>
  <c r="R309" i="3"/>
  <c r="E311" i="4" l="1"/>
  <c r="F311" i="4" s="1"/>
  <c r="I311" i="3"/>
  <c r="D311" i="4" s="1"/>
  <c r="U309" i="3"/>
  <c r="S309" i="3"/>
  <c r="T309" i="3" s="1"/>
  <c r="K311" i="3"/>
  <c r="L311" i="3" s="1"/>
  <c r="M81" i="3"/>
  <c r="C80" i="4"/>
  <c r="AC80" i="3"/>
  <c r="AD80" i="3" s="1"/>
  <c r="G311" i="3"/>
  <c r="R310" i="3"/>
  <c r="J312" i="3"/>
  <c r="K312" i="3" s="1"/>
  <c r="L312" i="3" s="1"/>
  <c r="F313" i="3"/>
  <c r="D312" i="3"/>
  <c r="H312" i="3" s="1"/>
  <c r="H80" i="4" l="1"/>
  <c r="G80" i="4"/>
  <c r="I80" i="4" s="1"/>
  <c r="J80" i="4" s="1"/>
  <c r="S310" i="3"/>
  <c r="T310" i="3" s="1"/>
  <c r="U310" i="3"/>
  <c r="AI81" i="3"/>
  <c r="O81" i="3"/>
  <c r="N81" i="3"/>
  <c r="I312" i="3"/>
  <c r="D312" i="4" s="1"/>
  <c r="E312" i="4"/>
  <c r="F312" i="4" s="1"/>
  <c r="G312" i="3"/>
  <c r="R311" i="3"/>
  <c r="F314" i="3"/>
  <c r="J313" i="3"/>
  <c r="D313" i="3"/>
  <c r="H313" i="3" s="1"/>
  <c r="J314" i="3" l="1"/>
  <c r="D314" i="3"/>
  <c r="H314" i="3" s="1"/>
  <c r="F315" i="3"/>
  <c r="K80" i="4"/>
  <c r="M80" i="4"/>
  <c r="I313" i="3"/>
  <c r="D313" i="4" s="1"/>
  <c r="E313" i="4"/>
  <c r="F313" i="4" s="1"/>
  <c r="U311" i="3"/>
  <c r="S311" i="3"/>
  <c r="T311" i="3" s="1"/>
  <c r="K313" i="3"/>
  <c r="L313" i="3" s="1"/>
  <c r="G313" i="3"/>
  <c r="R312" i="3"/>
  <c r="P81" i="3"/>
  <c r="Q81" i="3" s="1"/>
  <c r="F316" i="3" l="1"/>
  <c r="J315" i="3"/>
  <c r="D315" i="3"/>
  <c r="H315" i="3" s="1"/>
  <c r="L81" i="4"/>
  <c r="V81" i="3"/>
  <c r="E314" i="4"/>
  <c r="F314" i="4" s="1"/>
  <c r="I314" i="3"/>
  <c r="D314" i="4" s="1"/>
  <c r="S312" i="3"/>
  <c r="T312" i="3" s="1"/>
  <c r="U312" i="3"/>
  <c r="G314" i="3"/>
  <c r="R313" i="3"/>
  <c r="K314" i="3"/>
  <c r="L314" i="3" s="1"/>
  <c r="G315" i="3" l="1"/>
  <c r="R314" i="3"/>
  <c r="E315" i="4"/>
  <c r="F315" i="4" s="1"/>
  <c r="I315" i="3"/>
  <c r="D315" i="4" s="1"/>
  <c r="W81" i="3"/>
  <c r="X81" i="3" s="1"/>
  <c r="Y81" i="3" s="1"/>
  <c r="Z81" i="3" s="1"/>
  <c r="AA81" i="3" s="1"/>
  <c r="AB81" i="3" s="1"/>
  <c r="K315" i="3"/>
  <c r="L315" i="3" s="1"/>
  <c r="J316" i="3"/>
  <c r="K316" i="3" s="1"/>
  <c r="L316" i="3" s="1"/>
  <c r="D316" i="3"/>
  <c r="H316" i="3" s="1"/>
  <c r="F317" i="3"/>
  <c r="S313" i="3"/>
  <c r="T313" i="3" s="1"/>
  <c r="U313" i="3"/>
  <c r="AC81" i="3" l="1"/>
  <c r="AD81" i="3" s="1"/>
  <c r="C81" i="4"/>
  <c r="M82" i="3"/>
  <c r="F318" i="3"/>
  <c r="J317" i="3"/>
  <c r="K317" i="3" s="1"/>
  <c r="L317" i="3" s="1"/>
  <c r="D317" i="3"/>
  <c r="H317" i="3" s="1"/>
  <c r="U314" i="3"/>
  <c r="S314" i="3"/>
  <c r="T314" i="3" s="1"/>
  <c r="I316" i="3"/>
  <c r="D316" i="4" s="1"/>
  <c r="E316" i="4"/>
  <c r="F316" i="4" s="1"/>
  <c r="G316" i="3"/>
  <c r="R315" i="3"/>
  <c r="G317" i="3" l="1"/>
  <c r="R316" i="3"/>
  <c r="F319" i="3"/>
  <c r="J318" i="3"/>
  <c r="D318" i="3"/>
  <c r="H318" i="3" s="1"/>
  <c r="AI82" i="3"/>
  <c r="O82" i="3"/>
  <c r="N82" i="3"/>
  <c r="P82" i="3" s="1"/>
  <c r="Q82" i="3" s="1"/>
  <c r="H81" i="4"/>
  <c r="G81" i="4"/>
  <c r="I81" i="4" s="1"/>
  <c r="J81" i="4" s="1"/>
  <c r="U315" i="3"/>
  <c r="S315" i="3"/>
  <c r="T315" i="3" s="1"/>
  <c r="I317" i="3"/>
  <c r="D317" i="4" s="1"/>
  <c r="E317" i="4"/>
  <c r="F317" i="4" s="1"/>
  <c r="E318" i="4" l="1"/>
  <c r="F318" i="4" s="1"/>
  <c r="I318" i="3"/>
  <c r="D318" i="4" s="1"/>
  <c r="L82" i="4"/>
  <c r="V82" i="3"/>
  <c r="K318" i="3"/>
  <c r="L318" i="3" s="1"/>
  <c r="S316" i="3"/>
  <c r="T316" i="3" s="1"/>
  <c r="U316" i="3"/>
  <c r="M81" i="4"/>
  <c r="K81" i="4"/>
  <c r="F320" i="3"/>
  <c r="J319" i="3"/>
  <c r="K319" i="3" s="1"/>
  <c r="L319" i="3" s="1"/>
  <c r="D319" i="3"/>
  <c r="H319" i="3" s="1"/>
  <c r="G318" i="3"/>
  <c r="R317" i="3"/>
  <c r="S317" i="3" l="1"/>
  <c r="T317" i="3" s="1"/>
  <c r="U317" i="3"/>
  <c r="W82" i="3"/>
  <c r="X82" i="3"/>
  <c r="Y82" i="3" s="1"/>
  <c r="Z82" i="3" s="1"/>
  <c r="AA82" i="3" s="1"/>
  <c r="AB82" i="3" s="1"/>
  <c r="G319" i="3"/>
  <c r="R318" i="3"/>
  <c r="D320" i="3"/>
  <c r="H320" i="3" s="1"/>
  <c r="J320" i="3"/>
  <c r="K320" i="3" s="1"/>
  <c r="L320" i="3" s="1"/>
  <c r="F321" i="3"/>
  <c r="I319" i="3"/>
  <c r="D319" i="4" s="1"/>
  <c r="E319" i="4"/>
  <c r="F319" i="4" s="1"/>
  <c r="F322" i="3" l="1"/>
  <c r="D321" i="3"/>
  <c r="H321" i="3" s="1"/>
  <c r="J321" i="3"/>
  <c r="K321" i="3" s="1"/>
  <c r="L321" i="3" s="1"/>
  <c r="S318" i="3"/>
  <c r="T318" i="3" s="1"/>
  <c r="U318" i="3"/>
  <c r="G320" i="3"/>
  <c r="R319" i="3"/>
  <c r="AC82" i="3"/>
  <c r="AD82" i="3" s="1"/>
  <c r="C82" i="4"/>
  <c r="M83" i="3"/>
  <c r="E320" i="4"/>
  <c r="F320" i="4" s="1"/>
  <c r="I320" i="3"/>
  <c r="D320" i="4" s="1"/>
  <c r="AI83" i="3" l="1"/>
  <c r="O83" i="3"/>
  <c r="N83" i="3"/>
  <c r="P83" i="3" s="1"/>
  <c r="Q83" i="3" s="1"/>
  <c r="G321" i="3"/>
  <c r="R320" i="3"/>
  <c r="H82" i="4"/>
  <c r="G82" i="4"/>
  <c r="I82" i="4" s="1"/>
  <c r="J82" i="4" s="1"/>
  <c r="I321" i="3"/>
  <c r="D321" i="4" s="1"/>
  <c r="E321" i="4"/>
  <c r="F321" i="4" s="1"/>
  <c r="F323" i="3"/>
  <c r="D322" i="3"/>
  <c r="H322" i="3" s="1"/>
  <c r="J322" i="3"/>
  <c r="K322" i="3" s="1"/>
  <c r="L322" i="3" s="1"/>
  <c r="U319" i="3"/>
  <c r="S319" i="3"/>
  <c r="T319" i="3" s="1"/>
  <c r="J323" i="3" l="1"/>
  <c r="D323" i="3"/>
  <c r="H323" i="3" s="1"/>
  <c r="F324" i="3"/>
  <c r="K82" i="4"/>
  <c r="M82" i="4"/>
  <c r="G322" i="3"/>
  <c r="R321" i="3"/>
  <c r="L83" i="4"/>
  <c r="V83" i="3"/>
  <c r="E322" i="4"/>
  <c r="F322" i="4" s="1"/>
  <c r="I322" i="3"/>
  <c r="D322" i="4" s="1"/>
  <c r="S320" i="3"/>
  <c r="T320" i="3" s="1"/>
  <c r="U320" i="3"/>
  <c r="S321" i="3" l="1"/>
  <c r="T321" i="3" s="1"/>
  <c r="U321" i="3"/>
  <c r="F325" i="3"/>
  <c r="J324" i="3"/>
  <c r="D324" i="3"/>
  <c r="H324" i="3" s="1"/>
  <c r="G323" i="3"/>
  <c r="R322" i="3"/>
  <c r="E323" i="4"/>
  <c r="F323" i="4" s="1"/>
  <c r="I323" i="3"/>
  <c r="D323" i="4" s="1"/>
  <c r="W83" i="3"/>
  <c r="X83" i="3" s="1"/>
  <c r="Y83" i="3" s="1"/>
  <c r="Z83" i="3" s="1"/>
  <c r="AA83" i="3" s="1"/>
  <c r="AB83" i="3" s="1"/>
  <c r="K323" i="3"/>
  <c r="L323" i="3" s="1"/>
  <c r="M84" i="3" l="1"/>
  <c r="C83" i="4"/>
  <c r="AC83" i="3"/>
  <c r="AD83" i="3" s="1"/>
  <c r="E324" i="4"/>
  <c r="F324" i="4" s="1"/>
  <c r="I324" i="3"/>
  <c r="D324" i="4" s="1"/>
  <c r="K324" i="3"/>
  <c r="L324" i="3" s="1"/>
  <c r="U322" i="3"/>
  <c r="S322" i="3"/>
  <c r="T322" i="3" s="1"/>
  <c r="G324" i="3"/>
  <c r="R323" i="3"/>
  <c r="J325" i="3"/>
  <c r="F326" i="3"/>
  <c r="D325" i="3"/>
  <c r="H325" i="3" s="1"/>
  <c r="I325" i="3" l="1"/>
  <c r="D325" i="4" s="1"/>
  <c r="E325" i="4"/>
  <c r="F325" i="4" s="1"/>
  <c r="S323" i="3"/>
  <c r="T323" i="3" s="1"/>
  <c r="U323" i="3"/>
  <c r="F327" i="3"/>
  <c r="J326" i="3"/>
  <c r="K326" i="3" s="1"/>
  <c r="L326" i="3" s="1"/>
  <c r="D326" i="3"/>
  <c r="H326" i="3" s="1"/>
  <c r="G325" i="3"/>
  <c r="R324" i="3"/>
  <c r="H83" i="4"/>
  <c r="G83" i="4"/>
  <c r="I83" i="4" s="1"/>
  <c r="J83" i="4" s="1"/>
  <c r="K325" i="3"/>
  <c r="L325" i="3" s="1"/>
  <c r="N84" i="3"/>
  <c r="P84" i="3" s="1"/>
  <c r="Q84" i="3" s="1"/>
  <c r="O84" i="3"/>
  <c r="AI84" i="3"/>
  <c r="L84" i="4" l="1"/>
  <c r="V84" i="3"/>
  <c r="S324" i="3"/>
  <c r="T324" i="3" s="1"/>
  <c r="U324" i="3"/>
  <c r="J327" i="3"/>
  <c r="K327" i="3" s="1"/>
  <c r="L327" i="3" s="1"/>
  <c r="F328" i="3"/>
  <c r="D327" i="3"/>
  <c r="H327" i="3" s="1"/>
  <c r="G326" i="3"/>
  <c r="R325" i="3"/>
  <c r="M83" i="4"/>
  <c r="K83" i="4"/>
  <c r="E326" i="4"/>
  <c r="F326" i="4" s="1"/>
  <c r="I326" i="3"/>
  <c r="D326" i="4" s="1"/>
  <c r="E327" i="4" l="1"/>
  <c r="F327" i="4" s="1"/>
  <c r="I327" i="3"/>
  <c r="D327" i="4" s="1"/>
  <c r="S325" i="3"/>
  <c r="T325" i="3" s="1"/>
  <c r="U325" i="3"/>
  <c r="J328" i="3"/>
  <c r="K328" i="3" s="1"/>
  <c r="L328" i="3" s="1"/>
  <c r="F329" i="3"/>
  <c r="D328" i="3"/>
  <c r="H328" i="3" s="1"/>
  <c r="W84" i="3"/>
  <c r="X84" i="3"/>
  <c r="Y84" i="3" s="1"/>
  <c r="Z84" i="3" s="1"/>
  <c r="AA84" i="3" s="1"/>
  <c r="AB84" i="3" s="1"/>
  <c r="G327" i="3"/>
  <c r="R326" i="3"/>
  <c r="AC84" i="3" l="1"/>
  <c r="AD84" i="3" s="1"/>
  <c r="M85" i="3"/>
  <c r="C84" i="4"/>
  <c r="S326" i="3"/>
  <c r="T326" i="3" s="1"/>
  <c r="U326" i="3"/>
  <c r="I328" i="3"/>
  <c r="D328" i="4" s="1"/>
  <c r="E328" i="4"/>
  <c r="F328" i="4" s="1"/>
  <c r="G328" i="3"/>
  <c r="R327" i="3"/>
  <c r="D329" i="3"/>
  <c r="H329" i="3" s="1"/>
  <c r="J329" i="3"/>
  <c r="F330" i="3"/>
  <c r="E329" i="4" l="1"/>
  <c r="F329" i="4" s="1"/>
  <c r="I329" i="3"/>
  <c r="D329" i="4" s="1"/>
  <c r="J330" i="3"/>
  <c r="K330" i="3" s="1"/>
  <c r="L330" i="3" s="1"/>
  <c r="F331" i="3"/>
  <c r="D330" i="3"/>
  <c r="H330" i="3" s="1"/>
  <c r="S327" i="3"/>
  <c r="T327" i="3" s="1"/>
  <c r="U327" i="3"/>
  <c r="H84" i="4"/>
  <c r="G84" i="4"/>
  <c r="I84" i="4" s="1"/>
  <c r="J84" i="4" s="1"/>
  <c r="K329" i="3"/>
  <c r="L329" i="3" s="1"/>
  <c r="G329" i="3"/>
  <c r="R328" i="3"/>
  <c r="O85" i="3"/>
  <c r="N85" i="3"/>
  <c r="P85" i="3" s="1"/>
  <c r="Q85" i="3" s="1"/>
  <c r="AI85" i="3"/>
  <c r="L85" i="4" l="1"/>
  <c r="V85" i="3"/>
  <c r="G330" i="3"/>
  <c r="R329" i="3"/>
  <c r="F332" i="3"/>
  <c r="J331" i="3"/>
  <c r="K331" i="3" s="1"/>
  <c r="L331" i="3" s="1"/>
  <c r="D331" i="3"/>
  <c r="H331" i="3" s="1"/>
  <c r="M84" i="4"/>
  <c r="K84" i="4"/>
  <c r="E330" i="4"/>
  <c r="F330" i="4" s="1"/>
  <c r="I330" i="3"/>
  <c r="D330" i="4" s="1"/>
  <c r="S328" i="3"/>
  <c r="T328" i="3" s="1"/>
  <c r="U328" i="3"/>
  <c r="U329" i="3" l="1"/>
  <c r="S329" i="3"/>
  <c r="T329" i="3" s="1"/>
  <c r="G331" i="3"/>
  <c r="R330" i="3"/>
  <c r="D332" i="3"/>
  <c r="H332" i="3" s="1"/>
  <c r="F333" i="3"/>
  <c r="J332" i="3"/>
  <c r="W85" i="3"/>
  <c r="X85" i="3"/>
  <c r="Y85" i="3" s="1"/>
  <c r="Z85" i="3" s="1"/>
  <c r="AA85" i="3" s="1"/>
  <c r="AB85" i="3" s="1"/>
  <c r="E331" i="4"/>
  <c r="F331" i="4" s="1"/>
  <c r="I331" i="3"/>
  <c r="D331" i="4" s="1"/>
  <c r="C85" i="4" l="1"/>
  <c r="M86" i="3"/>
  <c r="AC85" i="3"/>
  <c r="AD85" i="3" s="1"/>
  <c r="D333" i="3"/>
  <c r="H333" i="3" s="1"/>
  <c r="F334" i="3"/>
  <c r="J333" i="3"/>
  <c r="K333" i="3" s="1"/>
  <c r="L333" i="3" s="1"/>
  <c r="G332" i="3"/>
  <c r="R331" i="3"/>
  <c r="I332" i="3"/>
  <c r="D332" i="4" s="1"/>
  <c r="E332" i="4"/>
  <c r="F332" i="4" s="1"/>
  <c r="K332" i="3"/>
  <c r="L332" i="3" s="1"/>
  <c r="U330" i="3"/>
  <c r="S330" i="3"/>
  <c r="T330" i="3" s="1"/>
  <c r="F335" i="3" l="1"/>
  <c r="J334" i="3"/>
  <c r="K334" i="3" s="1"/>
  <c r="L334" i="3" s="1"/>
  <c r="D334" i="3"/>
  <c r="H334" i="3" s="1"/>
  <c r="AI86" i="3"/>
  <c r="O86" i="3"/>
  <c r="N86" i="3"/>
  <c r="P86" i="3" s="1"/>
  <c r="Q86" i="3" s="1"/>
  <c r="U331" i="3"/>
  <c r="S331" i="3"/>
  <c r="T331" i="3" s="1"/>
  <c r="G85" i="4"/>
  <c r="I85" i="4" s="1"/>
  <c r="J85" i="4" s="1"/>
  <c r="H85" i="4"/>
  <c r="G333" i="3"/>
  <c r="R332" i="3"/>
  <c r="E333" i="4"/>
  <c r="F333" i="4" s="1"/>
  <c r="I333" i="3"/>
  <c r="D333" i="4" s="1"/>
  <c r="S332" i="3" l="1"/>
  <c r="T332" i="3" s="1"/>
  <c r="U332" i="3"/>
  <c r="K85" i="4"/>
  <c r="M85" i="4"/>
  <c r="L86" i="4"/>
  <c r="V86" i="3"/>
  <c r="G334" i="3"/>
  <c r="R333" i="3"/>
  <c r="F336" i="3"/>
  <c r="J335" i="3"/>
  <c r="K335" i="3" s="1"/>
  <c r="L335" i="3" s="1"/>
  <c r="D335" i="3"/>
  <c r="H335" i="3" s="1"/>
  <c r="I334" i="3"/>
  <c r="D334" i="4" s="1"/>
  <c r="E334" i="4"/>
  <c r="F334" i="4" s="1"/>
  <c r="U333" i="3" l="1"/>
  <c r="S333" i="3"/>
  <c r="T333" i="3" s="1"/>
  <c r="F337" i="3"/>
  <c r="J336" i="3"/>
  <c r="D336" i="3"/>
  <c r="H336" i="3" s="1"/>
  <c r="G335" i="3"/>
  <c r="R334" i="3"/>
  <c r="W86" i="3"/>
  <c r="X86" i="3"/>
  <c r="Y86" i="3" s="1"/>
  <c r="Z86" i="3" s="1"/>
  <c r="AA86" i="3" s="1"/>
  <c r="AB86" i="3" s="1"/>
  <c r="I335" i="3"/>
  <c r="D335" i="4" s="1"/>
  <c r="E335" i="4"/>
  <c r="F335" i="4" s="1"/>
  <c r="G336" i="3" l="1"/>
  <c r="R335" i="3"/>
  <c r="M87" i="3"/>
  <c r="AC86" i="3"/>
  <c r="AD86" i="3" s="1"/>
  <c r="C86" i="4"/>
  <c r="I336" i="3"/>
  <c r="D336" i="4" s="1"/>
  <c r="E336" i="4"/>
  <c r="F336" i="4" s="1"/>
  <c r="K336" i="3"/>
  <c r="L336" i="3" s="1"/>
  <c r="S334" i="3"/>
  <c r="T334" i="3" s="1"/>
  <c r="U334" i="3"/>
  <c r="J337" i="3"/>
  <c r="K337" i="3" s="1"/>
  <c r="L337" i="3" s="1"/>
  <c r="F338" i="3"/>
  <c r="D337" i="3"/>
  <c r="H337" i="3" s="1"/>
  <c r="I337" i="3" l="1"/>
  <c r="D337" i="4" s="1"/>
  <c r="E337" i="4"/>
  <c r="F337" i="4" s="1"/>
  <c r="N87" i="3"/>
  <c r="AI87" i="3"/>
  <c r="O87" i="3"/>
  <c r="D338" i="3"/>
  <c r="H338" i="3" s="1"/>
  <c r="J338" i="3"/>
  <c r="K338" i="3" s="1"/>
  <c r="L338" i="3" s="1"/>
  <c r="F339" i="3"/>
  <c r="S335" i="3"/>
  <c r="T335" i="3" s="1"/>
  <c r="U335" i="3"/>
  <c r="H86" i="4"/>
  <c r="G86" i="4"/>
  <c r="I86" i="4" s="1"/>
  <c r="J86" i="4" s="1"/>
  <c r="G337" i="3"/>
  <c r="R336" i="3"/>
  <c r="F340" i="3" l="1"/>
  <c r="D339" i="3"/>
  <c r="H339" i="3" s="1"/>
  <c r="J339" i="3"/>
  <c r="K339" i="3" s="1"/>
  <c r="L339" i="3" s="1"/>
  <c r="S336" i="3"/>
  <c r="T336" i="3" s="1"/>
  <c r="U336" i="3"/>
  <c r="G338" i="3"/>
  <c r="R337" i="3"/>
  <c r="P87" i="3"/>
  <c r="Q87" i="3" s="1"/>
  <c r="M86" i="4"/>
  <c r="K86" i="4"/>
  <c r="E338" i="4"/>
  <c r="F338" i="4" s="1"/>
  <c r="I338" i="3"/>
  <c r="D338" i="4" s="1"/>
  <c r="U337" i="3" l="1"/>
  <c r="S337" i="3"/>
  <c r="T337" i="3" s="1"/>
  <c r="L87" i="4"/>
  <c r="V87" i="3"/>
  <c r="G339" i="3"/>
  <c r="R338" i="3"/>
  <c r="I339" i="3"/>
  <c r="D339" i="4" s="1"/>
  <c r="E339" i="4"/>
  <c r="F339" i="4" s="1"/>
  <c r="J340" i="3"/>
  <c r="D340" i="3"/>
  <c r="H340" i="3" s="1"/>
  <c r="F341" i="3"/>
  <c r="J341" i="3" l="1"/>
  <c r="F342" i="3"/>
  <c r="D341" i="3"/>
  <c r="H341" i="3" s="1"/>
  <c r="U338" i="3"/>
  <c r="S338" i="3"/>
  <c r="T338" i="3" s="1"/>
  <c r="I340" i="3"/>
  <c r="D340" i="4" s="1"/>
  <c r="E340" i="4"/>
  <c r="F340" i="4" s="1"/>
  <c r="G340" i="3"/>
  <c r="R339" i="3"/>
  <c r="K340" i="3"/>
  <c r="L340" i="3" s="1"/>
  <c r="X87" i="3"/>
  <c r="Y87" i="3" s="1"/>
  <c r="Z87" i="3" s="1"/>
  <c r="AA87" i="3" s="1"/>
  <c r="AB87" i="3" s="1"/>
  <c r="W87" i="3"/>
  <c r="C87" i="4" l="1"/>
  <c r="M88" i="3"/>
  <c r="AC87" i="3"/>
  <c r="AD87" i="3" s="1"/>
  <c r="I341" i="3"/>
  <c r="D341" i="4" s="1"/>
  <c r="E341" i="4"/>
  <c r="F341" i="4" s="1"/>
  <c r="F343" i="3"/>
  <c r="D342" i="3"/>
  <c r="H342" i="3" s="1"/>
  <c r="J342" i="3"/>
  <c r="U339" i="3"/>
  <c r="S339" i="3"/>
  <c r="T339" i="3" s="1"/>
  <c r="K341" i="3"/>
  <c r="L341" i="3" s="1"/>
  <c r="G341" i="3"/>
  <c r="R340" i="3"/>
  <c r="E342" i="4" l="1"/>
  <c r="F342" i="4" s="1"/>
  <c r="I342" i="3"/>
  <c r="D342" i="4" s="1"/>
  <c r="S340" i="3"/>
  <c r="T340" i="3" s="1"/>
  <c r="U340" i="3"/>
  <c r="J343" i="3"/>
  <c r="D343" i="3"/>
  <c r="H343" i="3" s="1"/>
  <c r="F344" i="3"/>
  <c r="G342" i="3"/>
  <c r="R341" i="3"/>
  <c r="N88" i="3"/>
  <c r="P88" i="3" s="1"/>
  <c r="Q88" i="3" s="1"/>
  <c r="AI88" i="3"/>
  <c r="O88" i="3"/>
  <c r="K342" i="3"/>
  <c r="L342" i="3" s="1"/>
  <c r="H87" i="4"/>
  <c r="G87" i="4"/>
  <c r="I87" i="4" s="1"/>
  <c r="J87" i="4" s="1"/>
  <c r="L88" i="4" l="1"/>
  <c r="V88" i="3"/>
  <c r="U341" i="3"/>
  <c r="S341" i="3"/>
  <c r="T341" i="3" s="1"/>
  <c r="E343" i="4"/>
  <c r="F343" i="4" s="1"/>
  <c r="I343" i="3"/>
  <c r="D343" i="4" s="1"/>
  <c r="M87" i="4"/>
  <c r="K87" i="4"/>
  <c r="G343" i="3"/>
  <c r="R342" i="3"/>
  <c r="K343" i="3"/>
  <c r="L343" i="3" s="1"/>
  <c r="J344" i="3"/>
  <c r="F345" i="3"/>
  <c r="D344" i="3"/>
  <c r="H344" i="3" s="1"/>
  <c r="I344" i="3" l="1"/>
  <c r="D344" i="4" s="1"/>
  <c r="E344" i="4"/>
  <c r="F344" i="4" s="1"/>
  <c r="S342" i="3"/>
  <c r="T342" i="3" s="1"/>
  <c r="U342" i="3"/>
  <c r="J345" i="3"/>
  <c r="D345" i="3"/>
  <c r="H345" i="3" s="1"/>
  <c r="F346" i="3"/>
  <c r="G344" i="3"/>
  <c r="R343" i="3"/>
  <c r="W88" i="3"/>
  <c r="X88" i="3"/>
  <c r="Y88" i="3" s="1"/>
  <c r="Z88" i="3" s="1"/>
  <c r="AA88" i="3" s="1"/>
  <c r="AB88" i="3" s="1"/>
  <c r="K344" i="3"/>
  <c r="L344" i="3" s="1"/>
  <c r="C88" i="4" l="1"/>
  <c r="AC88" i="3"/>
  <c r="AD88" i="3" s="1"/>
  <c r="M89" i="3"/>
  <c r="D346" i="3"/>
  <c r="H346" i="3" s="1"/>
  <c r="F347" i="3"/>
  <c r="J346" i="3"/>
  <c r="U343" i="3"/>
  <c r="S343" i="3"/>
  <c r="T343" i="3" s="1"/>
  <c r="E345" i="4"/>
  <c r="F345" i="4" s="1"/>
  <c r="I345" i="3"/>
  <c r="D345" i="4" s="1"/>
  <c r="G345" i="3"/>
  <c r="R344" i="3"/>
  <c r="K345" i="3"/>
  <c r="L345" i="3" s="1"/>
  <c r="S344" i="3" l="1"/>
  <c r="T344" i="3" s="1"/>
  <c r="U344" i="3"/>
  <c r="E346" i="4"/>
  <c r="F346" i="4" s="1"/>
  <c r="I346" i="3"/>
  <c r="D346" i="4" s="1"/>
  <c r="G346" i="3"/>
  <c r="R345" i="3"/>
  <c r="O89" i="3"/>
  <c r="AI89" i="3"/>
  <c r="N89" i="3"/>
  <c r="K346" i="3"/>
  <c r="L346" i="3" s="1"/>
  <c r="J347" i="3"/>
  <c r="D347" i="3"/>
  <c r="H347" i="3" s="1"/>
  <c r="F348" i="3"/>
  <c r="G88" i="4"/>
  <c r="I88" i="4" s="1"/>
  <c r="J88" i="4" s="1"/>
  <c r="H88" i="4"/>
  <c r="D348" i="3" l="1"/>
  <c r="H348" i="3" s="1"/>
  <c r="J348" i="3"/>
  <c r="K348" i="3" s="1"/>
  <c r="L348" i="3" s="1"/>
  <c r="F349" i="3"/>
  <c r="I347" i="3"/>
  <c r="D347" i="4" s="1"/>
  <c r="E347" i="4"/>
  <c r="F347" i="4" s="1"/>
  <c r="S345" i="3"/>
  <c r="T345" i="3" s="1"/>
  <c r="U345" i="3"/>
  <c r="K88" i="4"/>
  <c r="M88" i="4"/>
  <c r="K347" i="3"/>
  <c r="L347" i="3" s="1"/>
  <c r="P89" i="3"/>
  <c r="Q89" i="3" s="1"/>
  <c r="G347" i="3"/>
  <c r="R346" i="3"/>
  <c r="U346" i="3" l="1"/>
  <c r="S346" i="3"/>
  <c r="T346" i="3" s="1"/>
  <c r="D349" i="3"/>
  <c r="H349" i="3" s="1"/>
  <c r="J349" i="3"/>
  <c r="K349" i="3" s="1"/>
  <c r="L349" i="3" s="1"/>
  <c r="F350" i="3"/>
  <c r="G348" i="3"/>
  <c r="R347" i="3"/>
  <c r="L89" i="4"/>
  <c r="V89" i="3"/>
  <c r="I348" i="3"/>
  <c r="D348" i="4" s="1"/>
  <c r="E348" i="4"/>
  <c r="F348" i="4" s="1"/>
  <c r="S347" i="3" l="1"/>
  <c r="T347" i="3" s="1"/>
  <c r="U347" i="3"/>
  <c r="X89" i="3"/>
  <c r="Y89" i="3" s="1"/>
  <c r="Z89" i="3" s="1"/>
  <c r="AA89" i="3" s="1"/>
  <c r="AB89" i="3" s="1"/>
  <c r="W89" i="3"/>
  <c r="G349" i="3"/>
  <c r="R348" i="3"/>
  <c r="I349" i="3"/>
  <c r="D349" i="4" s="1"/>
  <c r="E349" i="4"/>
  <c r="F349" i="4" s="1"/>
  <c r="J350" i="3"/>
  <c r="K350" i="3" s="1"/>
  <c r="L350" i="3" s="1"/>
  <c r="F351" i="3"/>
  <c r="D350" i="3"/>
  <c r="H350" i="3" s="1"/>
  <c r="F352" i="3" l="1"/>
  <c r="J351" i="3"/>
  <c r="D351" i="3"/>
  <c r="H351" i="3" s="1"/>
  <c r="C89" i="4"/>
  <c r="M90" i="3"/>
  <c r="AC89" i="3"/>
  <c r="AD89" i="3" s="1"/>
  <c r="U348" i="3"/>
  <c r="S348" i="3"/>
  <c r="T348" i="3" s="1"/>
  <c r="G350" i="3"/>
  <c r="R349" i="3"/>
  <c r="I350" i="3"/>
  <c r="D350" i="4" s="1"/>
  <c r="E350" i="4"/>
  <c r="F350" i="4" s="1"/>
  <c r="U349" i="3" l="1"/>
  <c r="S349" i="3"/>
  <c r="T349" i="3" s="1"/>
  <c r="E351" i="4"/>
  <c r="F351" i="4" s="1"/>
  <c r="I351" i="3"/>
  <c r="D351" i="4" s="1"/>
  <c r="G351" i="3"/>
  <c r="R350" i="3"/>
  <c r="O90" i="3"/>
  <c r="N90" i="3"/>
  <c r="AI90" i="3"/>
  <c r="K351" i="3"/>
  <c r="L351" i="3" s="1"/>
  <c r="G89" i="4"/>
  <c r="I89" i="4" s="1"/>
  <c r="J89" i="4" s="1"/>
  <c r="H89" i="4"/>
  <c r="F353" i="3"/>
  <c r="D352" i="3"/>
  <c r="H352" i="3" s="1"/>
  <c r="J352" i="3"/>
  <c r="E352" i="4" l="1"/>
  <c r="F352" i="4" s="1"/>
  <c r="I352" i="3"/>
  <c r="D352" i="4" s="1"/>
  <c r="J353" i="3"/>
  <c r="K353" i="3" s="1"/>
  <c r="L353" i="3" s="1"/>
  <c r="F354" i="3"/>
  <c r="D353" i="3"/>
  <c r="H353" i="3" s="1"/>
  <c r="S350" i="3"/>
  <c r="T350" i="3" s="1"/>
  <c r="U350" i="3"/>
  <c r="K352" i="3"/>
  <c r="L352" i="3" s="1"/>
  <c r="G352" i="3"/>
  <c r="R351" i="3"/>
  <c r="K89" i="4"/>
  <c r="M89" i="4"/>
  <c r="P90" i="3"/>
  <c r="Q90" i="3" s="1"/>
  <c r="S351" i="3" l="1"/>
  <c r="T351" i="3" s="1"/>
  <c r="U351" i="3"/>
  <c r="J354" i="3"/>
  <c r="K354" i="3" s="1"/>
  <c r="L354" i="3" s="1"/>
  <c r="F355" i="3"/>
  <c r="D354" i="3"/>
  <c r="H354" i="3" s="1"/>
  <c r="L90" i="4"/>
  <c r="V90" i="3"/>
  <c r="G353" i="3"/>
  <c r="R352" i="3"/>
  <c r="E353" i="4"/>
  <c r="F353" i="4" s="1"/>
  <c r="I353" i="3"/>
  <c r="D353" i="4" s="1"/>
  <c r="W90" i="3" l="1"/>
  <c r="X90" i="3" s="1"/>
  <c r="Y90" i="3" s="1"/>
  <c r="Z90" i="3" s="1"/>
  <c r="AA90" i="3" s="1"/>
  <c r="AB90" i="3" s="1"/>
  <c r="D355" i="3"/>
  <c r="H355" i="3" s="1"/>
  <c r="F356" i="3"/>
  <c r="J355" i="3"/>
  <c r="U352" i="3"/>
  <c r="S352" i="3"/>
  <c r="T352" i="3" s="1"/>
  <c r="G354" i="3"/>
  <c r="R353" i="3"/>
  <c r="E354" i="4"/>
  <c r="F354" i="4" s="1"/>
  <c r="I354" i="3"/>
  <c r="D354" i="4" s="1"/>
  <c r="M91" i="3" l="1"/>
  <c r="AC90" i="3"/>
  <c r="AD90" i="3" s="1"/>
  <c r="C90" i="4"/>
  <c r="S353" i="3"/>
  <c r="T353" i="3" s="1"/>
  <c r="U353" i="3"/>
  <c r="G355" i="3"/>
  <c r="R354" i="3"/>
  <c r="E355" i="4"/>
  <c r="F355" i="4" s="1"/>
  <c r="I355" i="3"/>
  <c r="D355" i="4" s="1"/>
  <c r="K355" i="3"/>
  <c r="L355" i="3" s="1"/>
  <c r="F357" i="3"/>
  <c r="D356" i="3"/>
  <c r="H356" i="3" s="1"/>
  <c r="J356" i="3"/>
  <c r="K356" i="3" s="1"/>
  <c r="L356" i="3" s="1"/>
  <c r="S354" i="3" l="1"/>
  <c r="T354" i="3" s="1"/>
  <c r="U354" i="3"/>
  <c r="G356" i="3"/>
  <c r="R355" i="3"/>
  <c r="H90" i="4"/>
  <c r="G90" i="4"/>
  <c r="I90" i="4" s="1"/>
  <c r="J90" i="4" s="1"/>
  <c r="E356" i="4"/>
  <c r="F356" i="4" s="1"/>
  <c r="I356" i="3"/>
  <c r="D356" i="4" s="1"/>
  <c r="D357" i="3"/>
  <c r="H357" i="3" s="1"/>
  <c r="F358" i="3"/>
  <c r="J357" i="3"/>
  <c r="AI91" i="3"/>
  <c r="O91" i="3"/>
  <c r="N91" i="3"/>
  <c r="P91" i="3" s="1"/>
  <c r="Q91" i="3" s="1"/>
  <c r="M90" i="4" l="1"/>
  <c r="K90" i="4"/>
  <c r="E357" i="4"/>
  <c r="F357" i="4" s="1"/>
  <c r="I357" i="3"/>
  <c r="D357" i="4" s="1"/>
  <c r="L91" i="4"/>
  <c r="V91" i="3"/>
  <c r="K357" i="3"/>
  <c r="L357" i="3" s="1"/>
  <c r="U355" i="3"/>
  <c r="S355" i="3"/>
  <c r="T355" i="3" s="1"/>
  <c r="D358" i="3"/>
  <c r="H358" i="3" s="1"/>
  <c r="J358" i="3"/>
  <c r="F359" i="3"/>
  <c r="G357" i="3"/>
  <c r="R356" i="3"/>
  <c r="G358" i="3" l="1"/>
  <c r="R357" i="3"/>
  <c r="E358" i="4"/>
  <c r="F358" i="4" s="1"/>
  <c r="I358" i="3"/>
  <c r="D358" i="4" s="1"/>
  <c r="W91" i="3"/>
  <c r="X91" i="3" s="1"/>
  <c r="Y91" i="3" s="1"/>
  <c r="Z91" i="3" s="1"/>
  <c r="AA91" i="3" s="1"/>
  <c r="AB91" i="3" s="1"/>
  <c r="J359" i="3"/>
  <c r="K359" i="3" s="1"/>
  <c r="L359" i="3" s="1"/>
  <c r="F360" i="3"/>
  <c r="D359" i="3"/>
  <c r="H359" i="3" s="1"/>
  <c r="U356" i="3"/>
  <c r="S356" i="3"/>
  <c r="T356" i="3" s="1"/>
  <c r="K358" i="3"/>
  <c r="L358" i="3" s="1"/>
  <c r="AC91" i="3" l="1"/>
  <c r="AD91" i="3" s="1"/>
  <c r="C91" i="4"/>
  <c r="M92" i="3"/>
  <c r="E359" i="4"/>
  <c r="F359" i="4" s="1"/>
  <c r="I359" i="3"/>
  <c r="D359" i="4" s="1"/>
  <c r="U357" i="3"/>
  <c r="S357" i="3"/>
  <c r="T357" i="3" s="1"/>
  <c r="D360" i="3"/>
  <c r="H360" i="3" s="1"/>
  <c r="J360" i="3"/>
  <c r="F361" i="3"/>
  <c r="G359" i="3"/>
  <c r="R358" i="3"/>
  <c r="G360" i="3" l="1"/>
  <c r="R359" i="3"/>
  <c r="E360" i="4"/>
  <c r="F360" i="4" s="1"/>
  <c r="I360" i="3"/>
  <c r="D360" i="4" s="1"/>
  <c r="O92" i="3"/>
  <c r="N92" i="3"/>
  <c r="P92" i="3" s="1"/>
  <c r="Q92" i="3" s="1"/>
  <c r="AI92" i="3"/>
  <c r="J361" i="3"/>
  <c r="K361" i="3" s="1"/>
  <c r="L361" i="3" s="1"/>
  <c r="D361" i="3"/>
  <c r="H361" i="3" s="1"/>
  <c r="F362" i="3"/>
  <c r="H91" i="4"/>
  <c r="G91" i="4"/>
  <c r="I91" i="4" s="1"/>
  <c r="J91" i="4" s="1"/>
  <c r="U358" i="3"/>
  <c r="S358" i="3"/>
  <c r="T358" i="3" s="1"/>
  <c r="K360" i="3"/>
  <c r="L360" i="3" s="1"/>
  <c r="M91" i="4" l="1"/>
  <c r="K91" i="4"/>
  <c r="D362" i="3"/>
  <c r="H362" i="3" s="1"/>
  <c r="J362" i="3"/>
  <c r="K362" i="3" s="1"/>
  <c r="L362" i="3" s="1"/>
  <c r="F363" i="3"/>
  <c r="L92" i="4"/>
  <c r="V92" i="3"/>
  <c r="U359" i="3"/>
  <c r="S359" i="3"/>
  <c r="T359" i="3" s="1"/>
  <c r="E361" i="4"/>
  <c r="F361" i="4" s="1"/>
  <c r="I361" i="3"/>
  <c r="D361" i="4" s="1"/>
  <c r="G361" i="3"/>
  <c r="R360" i="3"/>
  <c r="G362" i="3" l="1"/>
  <c r="R361" i="3"/>
  <c r="J363" i="3"/>
  <c r="K363" i="3" s="1"/>
  <c r="L363" i="3" s="1"/>
  <c r="F364" i="3"/>
  <c r="D363" i="3"/>
  <c r="H363" i="3" s="1"/>
  <c r="X92" i="3"/>
  <c r="Y92" i="3" s="1"/>
  <c r="Z92" i="3" s="1"/>
  <c r="AA92" i="3" s="1"/>
  <c r="AB92" i="3" s="1"/>
  <c r="W92" i="3"/>
  <c r="U360" i="3"/>
  <c r="S360" i="3"/>
  <c r="T360" i="3" s="1"/>
  <c r="I362" i="3"/>
  <c r="D362" i="4" s="1"/>
  <c r="E362" i="4"/>
  <c r="F362" i="4" s="1"/>
  <c r="C92" i="4" l="1"/>
  <c r="M93" i="3"/>
  <c r="AC92" i="3"/>
  <c r="AD92" i="3" s="1"/>
  <c r="I363" i="3"/>
  <c r="D363" i="4" s="1"/>
  <c r="E363" i="4"/>
  <c r="F363" i="4" s="1"/>
  <c r="S361" i="3"/>
  <c r="T361" i="3" s="1"/>
  <c r="U361" i="3"/>
  <c r="J364" i="3"/>
  <c r="K364" i="3" s="1"/>
  <c r="L364" i="3" s="1"/>
  <c r="F365" i="3"/>
  <c r="D364" i="3"/>
  <c r="H364" i="3" s="1"/>
  <c r="G363" i="3"/>
  <c r="R362" i="3"/>
  <c r="S362" i="3" l="1"/>
  <c r="T362" i="3" s="1"/>
  <c r="U362" i="3"/>
  <c r="F366" i="3"/>
  <c r="D365" i="3"/>
  <c r="H365" i="3" s="1"/>
  <c r="J365" i="3"/>
  <c r="G364" i="3"/>
  <c r="R363" i="3"/>
  <c r="N93" i="3"/>
  <c r="O93" i="3"/>
  <c r="AI93" i="3"/>
  <c r="H92" i="4"/>
  <c r="G92" i="4"/>
  <c r="I92" i="4" s="1"/>
  <c r="J92" i="4" s="1"/>
  <c r="I364" i="3"/>
  <c r="D364" i="4" s="1"/>
  <c r="E364" i="4"/>
  <c r="F364" i="4" s="1"/>
  <c r="U363" i="3" l="1"/>
  <c r="S363" i="3"/>
  <c r="T363" i="3" s="1"/>
  <c r="E365" i="4"/>
  <c r="F365" i="4" s="1"/>
  <c r="I365" i="3"/>
  <c r="D365" i="4" s="1"/>
  <c r="M92" i="4"/>
  <c r="K92" i="4"/>
  <c r="G365" i="3"/>
  <c r="R364" i="3"/>
  <c r="D366" i="3"/>
  <c r="H366" i="3" s="1"/>
  <c r="J366" i="3"/>
  <c r="K366" i="3" s="1"/>
  <c r="L366" i="3" s="1"/>
  <c r="F367" i="3"/>
  <c r="P93" i="3"/>
  <c r="Q93" i="3" s="1"/>
  <c r="K365" i="3"/>
  <c r="L365" i="3" s="1"/>
  <c r="S364" i="3" l="1"/>
  <c r="T364" i="3" s="1"/>
  <c r="U364" i="3"/>
  <c r="F368" i="3"/>
  <c r="J367" i="3"/>
  <c r="K367" i="3" s="1"/>
  <c r="L367" i="3" s="1"/>
  <c r="D367" i="3"/>
  <c r="H367" i="3" s="1"/>
  <c r="G366" i="3"/>
  <c r="R365" i="3"/>
  <c r="L93" i="4"/>
  <c r="V93" i="3"/>
  <c r="E366" i="4"/>
  <c r="F366" i="4" s="1"/>
  <c r="I366" i="3"/>
  <c r="D366" i="4" s="1"/>
  <c r="W93" i="3" l="1"/>
  <c r="X93" i="3"/>
  <c r="Y93" i="3" s="1"/>
  <c r="Z93" i="3" s="1"/>
  <c r="AA93" i="3" s="1"/>
  <c r="AB93" i="3" s="1"/>
  <c r="U365" i="3"/>
  <c r="S365" i="3"/>
  <c r="T365" i="3" s="1"/>
  <c r="G367" i="3"/>
  <c r="R366" i="3"/>
  <c r="D368" i="3"/>
  <c r="H368" i="3" s="1"/>
  <c r="F369" i="3"/>
  <c r="J368" i="3"/>
  <c r="I367" i="3"/>
  <c r="D367" i="4" s="1"/>
  <c r="E367" i="4"/>
  <c r="F367" i="4" s="1"/>
  <c r="I368" i="3" l="1"/>
  <c r="D368" i="4" s="1"/>
  <c r="E368" i="4"/>
  <c r="F368" i="4" s="1"/>
  <c r="U366" i="3"/>
  <c r="S366" i="3"/>
  <c r="T366" i="3" s="1"/>
  <c r="AC93" i="3"/>
  <c r="AD93" i="3" s="1"/>
  <c r="C93" i="4"/>
  <c r="M94" i="3"/>
  <c r="K368" i="3"/>
  <c r="L368" i="3" s="1"/>
  <c r="G368" i="3"/>
  <c r="R367" i="3"/>
  <c r="F370" i="3"/>
  <c r="D369" i="3"/>
  <c r="H369" i="3" s="1"/>
  <c r="J369" i="3"/>
  <c r="K369" i="3" s="1"/>
  <c r="L369" i="3" s="1"/>
  <c r="U367" i="3" l="1"/>
  <c r="S367" i="3"/>
  <c r="T367" i="3" s="1"/>
  <c r="AI94" i="3"/>
  <c r="N94" i="3"/>
  <c r="P94" i="3" s="1"/>
  <c r="Q94" i="3" s="1"/>
  <c r="O94" i="3"/>
  <c r="G369" i="3"/>
  <c r="R368" i="3"/>
  <c r="H93" i="4"/>
  <c r="G93" i="4"/>
  <c r="I93" i="4" s="1"/>
  <c r="J93" i="4" s="1"/>
  <c r="I369" i="3"/>
  <c r="D369" i="4" s="1"/>
  <c r="E369" i="4"/>
  <c r="F369" i="4" s="1"/>
  <c r="F371" i="3"/>
  <c r="D370" i="3"/>
  <c r="H370" i="3" s="1"/>
  <c r="J370" i="3"/>
  <c r="K370" i="3" s="1"/>
  <c r="L370" i="3" s="1"/>
  <c r="D371" i="3" l="1"/>
  <c r="H371" i="3" s="1"/>
  <c r="J371" i="3"/>
  <c r="K371" i="3" s="1"/>
  <c r="L371" i="3" s="1"/>
  <c r="F372" i="3"/>
  <c r="G370" i="3"/>
  <c r="R369" i="3"/>
  <c r="L94" i="4"/>
  <c r="V94" i="3"/>
  <c r="M93" i="4"/>
  <c r="K93" i="4"/>
  <c r="I370" i="3"/>
  <c r="D370" i="4" s="1"/>
  <c r="E370" i="4"/>
  <c r="F370" i="4" s="1"/>
  <c r="U368" i="3"/>
  <c r="S368" i="3"/>
  <c r="T368" i="3" s="1"/>
  <c r="W94" i="3" l="1"/>
  <c r="X94" i="3"/>
  <c r="Y94" i="3" s="1"/>
  <c r="Z94" i="3" s="1"/>
  <c r="AA94" i="3" s="1"/>
  <c r="AB94" i="3" s="1"/>
  <c r="F373" i="3"/>
  <c r="J372" i="3"/>
  <c r="K372" i="3" s="1"/>
  <c r="L372" i="3" s="1"/>
  <c r="D372" i="3"/>
  <c r="H372" i="3" s="1"/>
  <c r="S369" i="3"/>
  <c r="T369" i="3" s="1"/>
  <c r="U369" i="3"/>
  <c r="G371" i="3"/>
  <c r="R370" i="3"/>
  <c r="E371" i="4"/>
  <c r="F371" i="4" s="1"/>
  <c r="I371" i="3"/>
  <c r="D371" i="4" s="1"/>
  <c r="U370" i="3" l="1"/>
  <c r="S370" i="3"/>
  <c r="T370" i="3" s="1"/>
  <c r="G372" i="3"/>
  <c r="R371" i="3"/>
  <c r="J373" i="3"/>
  <c r="F374" i="3"/>
  <c r="D373" i="3"/>
  <c r="H373" i="3" s="1"/>
  <c r="AC94" i="3"/>
  <c r="AD94" i="3" s="1"/>
  <c r="M95" i="3"/>
  <c r="C94" i="4"/>
  <c r="E372" i="4"/>
  <c r="F372" i="4" s="1"/>
  <c r="I372" i="3"/>
  <c r="D372" i="4" s="1"/>
  <c r="H94" i="4" l="1"/>
  <c r="G94" i="4"/>
  <c r="I94" i="4" s="1"/>
  <c r="J94" i="4" s="1"/>
  <c r="E373" i="4"/>
  <c r="F373" i="4" s="1"/>
  <c r="I373" i="3"/>
  <c r="D373" i="4" s="1"/>
  <c r="S371" i="3"/>
  <c r="T371" i="3" s="1"/>
  <c r="U371" i="3"/>
  <c r="N95" i="3"/>
  <c r="P95" i="3" s="1"/>
  <c r="Q95" i="3" s="1"/>
  <c r="O95" i="3"/>
  <c r="AI95" i="3"/>
  <c r="G373" i="3"/>
  <c r="R372" i="3"/>
  <c r="F375" i="3"/>
  <c r="D374" i="3"/>
  <c r="H374" i="3" s="1"/>
  <c r="J374" i="3"/>
  <c r="K374" i="3" s="1"/>
  <c r="L374" i="3" s="1"/>
  <c r="K373" i="3"/>
  <c r="L373" i="3" s="1"/>
  <c r="S372" i="3" l="1"/>
  <c r="T372" i="3" s="1"/>
  <c r="U372" i="3"/>
  <c r="L95" i="4"/>
  <c r="V95" i="3"/>
  <c r="G374" i="3"/>
  <c r="R373" i="3"/>
  <c r="I374" i="3"/>
  <c r="D374" i="4" s="1"/>
  <c r="E374" i="4"/>
  <c r="F374" i="4" s="1"/>
  <c r="M94" i="4"/>
  <c r="K94" i="4"/>
  <c r="J375" i="3"/>
  <c r="F376" i="3"/>
  <c r="D375" i="3"/>
  <c r="H375" i="3" s="1"/>
  <c r="I375" i="3" l="1"/>
  <c r="D375" i="4" s="1"/>
  <c r="E375" i="4"/>
  <c r="F375" i="4" s="1"/>
  <c r="F377" i="3"/>
  <c r="J376" i="3"/>
  <c r="K376" i="3" s="1"/>
  <c r="L376" i="3" s="1"/>
  <c r="D376" i="3"/>
  <c r="H376" i="3" s="1"/>
  <c r="S373" i="3"/>
  <c r="T373" i="3" s="1"/>
  <c r="U373" i="3"/>
  <c r="K375" i="3"/>
  <c r="L375" i="3" s="1"/>
  <c r="G375" i="3"/>
  <c r="R374" i="3"/>
  <c r="W95" i="3"/>
  <c r="X95" i="3" s="1"/>
  <c r="Y95" i="3" s="1"/>
  <c r="Z95" i="3" s="1"/>
  <c r="AA95" i="3" s="1"/>
  <c r="AB95" i="3" s="1"/>
  <c r="C95" i="4" l="1"/>
  <c r="M96" i="3"/>
  <c r="AC95" i="3"/>
  <c r="AD95" i="3" s="1"/>
  <c r="S374" i="3"/>
  <c r="T374" i="3" s="1"/>
  <c r="U374" i="3"/>
  <c r="G376" i="3"/>
  <c r="R375" i="3"/>
  <c r="F378" i="3"/>
  <c r="D377" i="3"/>
  <c r="H377" i="3" s="1"/>
  <c r="J377" i="3"/>
  <c r="I376" i="3"/>
  <c r="D376" i="4" s="1"/>
  <c r="E376" i="4"/>
  <c r="F376" i="4" s="1"/>
  <c r="G377" i="3" l="1"/>
  <c r="R376" i="3"/>
  <c r="I377" i="3"/>
  <c r="D377" i="4" s="1"/>
  <c r="E377" i="4"/>
  <c r="F377" i="4" s="1"/>
  <c r="D378" i="3"/>
  <c r="H378" i="3" s="1"/>
  <c r="J378" i="3"/>
  <c r="K378" i="3" s="1"/>
  <c r="L378" i="3" s="1"/>
  <c r="F379" i="3"/>
  <c r="O96" i="3"/>
  <c r="AI96" i="3"/>
  <c r="N96" i="3"/>
  <c r="P96" i="3" s="1"/>
  <c r="Q96" i="3" s="1"/>
  <c r="K377" i="3"/>
  <c r="L377" i="3" s="1"/>
  <c r="U375" i="3"/>
  <c r="S375" i="3"/>
  <c r="T375" i="3" s="1"/>
  <c r="G95" i="4"/>
  <c r="I95" i="4" s="1"/>
  <c r="J95" i="4" s="1"/>
  <c r="H95" i="4"/>
  <c r="M95" i="4" l="1"/>
  <c r="K95" i="4"/>
  <c r="D379" i="3"/>
  <c r="H379" i="3" s="1"/>
  <c r="F380" i="3"/>
  <c r="J379" i="3"/>
  <c r="L96" i="4"/>
  <c r="V96" i="3"/>
  <c r="S376" i="3"/>
  <c r="T376" i="3" s="1"/>
  <c r="U376" i="3"/>
  <c r="E378" i="4"/>
  <c r="F378" i="4" s="1"/>
  <c r="I378" i="3"/>
  <c r="D378" i="4" s="1"/>
  <c r="G378" i="3"/>
  <c r="R377" i="3"/>
  <c r="G379" i="3" l="1"/>
  <c r="R378" i="3"/>
  <c r="E379" i="4"/>
  <c r="F379" i="4" s="1"/>
  <c r="I379" i="3"/>
  <c r="D379" i="4" s="1"/>
  <c r="K379" i="3"/>
  <c r="L379" i="3" s="1"/>
  <c r="J380" i="3"/>
  <c r="K380" i="3" s="1"/>
  <c r="L380" i="3" s="1"/>
  <c r="D380" i="3"/>
  <c r="H380" i="3" s="1"/>
  <c r="F381" i="3"/>
  <c r="U377" i="3"/>
  <c r="S377" i="3"/>
  <c r="T377" i="3" s="1"/>
  <c r="W96" i="3"/>
  <c r="X96" i="3"/>
  <c r="Y96" i="3" s="1"/>
  <c r="Z96" i="3" s="1"/>
  <c r="AA96" i="3" s="1"/>
  <c r="AB96" i="3" s="1"/>
  <c r="M97" i="3" l="1"/>
  <c r="C96" i="4"/>
  <c r="AC96" i="3"/>
  <c r="AD96" i="3" s="1"/>
  <c r="F382" i="3"/>
  <c r="J381" i="3"/>
  <c r="K381" i="3" s="1"/>
  <c r="L381" i="3" s="1"/>
  <c r="D381" i="3"/>
  <c r="H381" i="3" s="1"/>
  <c r="U378" i="3"/>
  <c r="S378" i="3"/>
  <c r="T378" i="3" s="1"/>
  <c r="E380" i="4"/>
  <c r="F380" i="4" s="1"/>
  <c r="I380" i="3"/>
  <c r="D380" i="4" s="1"/>
  <c r="G380" i="3"/>
  <c r="R379" i="3"/>
  <c r="S379" i="3" l="1"/>
  <c r="T379" i="3" s="1"/>
  <c r="U379" i="3"/>
  <c r="N97" i="3"/>
  <c r="P97" i="3" s="1"/>
  <c r="Q97" i="3" s="1"/>
  <c r="O97" i="3"/>
  <c r="AI97" i="3"/>
  <c r="G381" i="3"/>
  <c r="R380" i="3"/>
  <c r="D382" i="3"/>
  <c r="H382" i="3" s="1"/>
  <c r="F383" i="3"/>
  <c r="J382" i="3"/>
  <c r="E381" i="4"/>
  <c r="F381" i="4" s="1"/>
  <c r="I381" i="3"/>
  <c r="D381" i="4" s="1"/>
  <c r="H96" i="4"/>
  <c r="G96" i="4"/>
  <c r="I96" i="4" s="1"/>
  <c r="J96" i="4" s="1"/>
  <c r="S380" i="3" l="1"/>
  <c r="T380" i="3" s="1"/>
  <c r="U380" i="3"/>
  <c r="L97" i="4"/>
  <c r="V97" i="3"/>
  <c r="J383" i="3"/>
  <c r="F384" i="3"/>
  <c r="D383" i="3"/>
  <c r="H383" i="3" s="1"/>
  <c r="G382" i="3"/>
  <c r="R381" i="3"/>
  <c r="M96" i="4"/>
  <c r="K96" i="4"/>
  <c r="I382" i="3"/>
  <c r="D382" i="4" s="1"/>
  <c r="E382" i="4"/>
  <c r="F382" i="4" s="1"/>
  <c r="K382" i="3"/>
  <c r="L382" i="3" s="1"/>
  <c r="I383" i="3" l="1"/>
  <c r="D383" i="4" s="1"/>
  <c r="E383" i="4"/>
  <c r="F383" i="4" s="1"/>
  <c r="W97" i="3"/>
  <c r="X97" i="3" s="1"/>
  <c r="Y97" i="3" s="1"/>
  <c r="Z97" i="3" s="1"/>
  <c r="AA97" i="3" s="1"/>
  <c r="AB97" i="3" s="1"/>
  <c r="S381" i="3"/>
  <c r="T381" i="3" s="1"/>
  <c r="U381" i="3"/>
  <c r="F385" i="3"/>
  <c r="J384" i="3"/>
  <c r="D384" i="3"/>
  <c r="H384" i="3" s="1"/>
  <c r="G383" i="3"/>
  <c r="R382" i="3"/>
  <c r="K383" i="3"/>
  <c r="L383" i="3" s="1"/>
  <c r="AC97" i="3" l="1"/>
  <c r="AD97" i="3" s="1"/>
  <c r="M98" i="3"/>
  <c r="C97" i="4"/>
  <c r="D385" i="3"/>
  <c r="H385" i="3" s="1"/>
  <c r="F386" i="3"/>
  <c r="J385" i="3"/>
  <c r="E384" i="4"/>
  <c r="F384" i="4" s="1"/>
  <c r="I384" i="3"/>
  <c r="D384" i="4" s="1"/>
  <c r="S382" i="3"/>
  <c r="T382" i="3" s="1"/>
  <c r="U382" i="3"/>
  <c r="G384" i="3"/>
  <c r="R383" i="3"/>
  <c r="K384" i="3"/>
  <c r="L384" i="3" s="1"/>
  <c r="I385" i="3" l="1"/>
  <c r="D385" i="4" s="1"/>
  <c r="E385" i="4"/>
  <c r="F385" i="4" s="1"/>
  <c r="U383" i="3"/>
  <c r="S383" i="3"/>
  <c r="T383" i="3" s="1"/>
  <c r="K385" i="3"/>
  <c r="L385" i="3" s="1"/>
  <c r="G97" i="4"/>
  <c r="I97" i="4" s="1"/>
  <c r="J97" i="4" s="1"/>
  <c r="H97" i="4"/>
  <c r="G385" i="3"/>
  <c r="R384" i="3"/>
  <c r="F387" i="3"/>
  <c r="J386" i="3"/>
  <c r="K386" i="3" s="1"/>
  <c r="L386" i="3" s="1"/>
  <c r="D386" i="3"/>
  <c r="H386" i="3" s="1"/>
  <c r="O98" i="3"/>
  <c r="N98" i="3"/>
  <c r="P98" i="3" s="1"/>
  <c r="Q98" i="3" s="1"/>
  <c r="AI98" i="3"/>
  <c r="L98" i="4" l="1"/>
  <c r="V98" i="3"/>
  <c r="F388" i="3"/>
  <c r="J387" i="3"/>
  <c r="D387" i="3"/>
  <c r="H387" i="3" s="1"/>
  <c r="K97" i="4"/>
  <c r="M97" i="4"/>
  <c r="E386" i="4"/>
  <c r="F386" i="4" s="1"/>
  <c r="I386" i="3"/>
  <c r="D386" i="4" s="1"/>
  <c r="U384" i="3"/>
  <c r="S384" i="3"/>
  <c r="T384" i="3" s="1"/>
  <c r="G386" i="3"/>
  <c r="R385" i="3"/>
  <c r="E387" i="4" l="1"/>
  <c r="F387" i="4" s="1"/>
  <c r="I387" i="3"/>
  <c r="D387" i="4" s="1"/>
  <c r="U385" i="3"/>
  <c r="S385" i="3"/>
  <c r="T385" i="3" s="1"/>
  <c r="K387" i="3"/>
  <c r="L387" i="3" s="1"/>
  <c r="W98" i="3"/>
  <c r="X98" i="3"/>
  <c r="Y98" i="3" s="1"/>
  <c r="Z98" i="3" s="1"/>
  <c r="AA98" i="3" s="1"/>
  <c r="AB98" i="3" s="1"/>
  <c r="G387" i="3"/>
  <c r="R386" i="3"/>
  <c r="F389" i="3"/>
  <c r="J388" i="3"/>
  <c r="K388" i="3" s="1"/>
  <c r="L388" i="3" s="1"/>
  <c r="D388" i="3"/>
  <c r="H388" i="3" s="1"/>
  <c r="AC98" i="3" l="1"/>
  <c r="AD98" i="3" s="1"/>
  <c r="M99" i="3"/>
  <c r="C98" i="4"/>
  <c r="J389" i="3"/>
  <c r="D389" i="3"/>
  <c r="H389" i="3" s="1"/>
  <c r="F390" i="3"/>
  <c r="U386" i="3"/>
  <c r="S386" i="3"/>
  <c r="T386" i="3" s="1"/>
  <c r="I388" i="3"/>
  <c r="D388" i="4" s="1"/>
  <c r="E388" i="4"/>
  <c r="F388" i="4" s="1"/>
  <c r="G388" i="3"/>
  <c r="R387" i="3"/>
  <c r="U387" i="3" l="1"/>
  <c r="S387" i="3"/>
  <c r="T387" i="3" s="1"/>
  <c r="H98" i="4"/>
  <c r="G98" i="4"/>
  <c r="I98" i="4" s="1"/>
  <c r="J98" i="4" s="1"/>
  <c r="G389" i="3"/>
  <c r="R388" i="3"/>
  <c r="J390" i="3"/>
  <c r="K390" i="3" s="1"/>
  <c r="L390" i="3" s="1"/>
  <c r="D390" i="3"/>
  <c r="H390" i="3" s="1"/>
  <c r="F391" i="3"/>
  <c r="O99" i="3"/>
  <c r="N99" i="3"/>
  <c r="P99" i="3" s="1"/>
  <c r="Q99" i="3" s="1"/>
  <c r="AI99" i="3"/>
  <c r="E389" i="4"/>
  <c r="F389" i="4" s="1"/>
  <c r="I389" i="3"/>
  <c r="D389" i="4" s="1"/>
  <c r="K389" i="3"/>
  <c r="L389" i="3" s="1"/>
  <c r="L99" i="4" l="1"/>
  <c r="V99" i="3"/>
  <c r="K98" i="4"/>
  <c r="M98" i="4"/>
  <c r="J391" i="3"/>
  <c r="K391" i="3" s="1"/>
  <c r="L391" i="3" s="1"/>
  <c r="F392" i="3"/>
  <c r="D391" i="3"/>
  <c r="H391" i="3" s="1"/>
  <c r="U388" i="3"/>
  <c r="S388" i="3"/>
  <c r="T388" i="3" s="1"/>
  <c r="I390" i="3"/>
  <c r="D390" i="4" s="1"/>
  <c r="E390" i="4"/>
  <c r="F390" i="4" s="1"/>
  <c r="G390" i="3"/>
  <c r="R389" i="3"/>
  <c r="S389" i="3" l="1"/>
  <c r="T389" i="3" s="1"/>
  <c r="U389" i="3"/>
  <c r="F393" i="3"/>
  <c r="J392" i="3"/>
  <c r="K392" i="3" s="1"/>
  <c r="L392" i="3" s="1"/>
  <c r="D392" i="3"/>
  <c r="H392" i="3" s="1"/>
  <c r="G391" i="3"/>
  <c r="R390" i="3"/>
  <c r="E391" i="4"/>
  <c r="F391" i="4" s="1"/>
  <c r="I391" i="3"/>
  <c r="D391" i="4" s="1"/>
  <c r="W99" i="3"/>
  <c r="X99" i="3" s="1"/>
  <c r="Y99" i="3" s="1"/>
  <c r="Z99" i="3" s="1"/>
  <c r="AA99" i="3" s="1"/>
  <c r="AB99" i="3" s="1"/>
  <c r="C99" i="4" l="1"/>
  <c r="AC99" i="3"/>
  <c r="AD99" i="3" s="1"/>
  <c r="M100" i="3"/>
  <c r="U390" i="3"/>
  <c r="S390" i="3"/>
  <c r="T390" i="3" s="1"/>
  <c r="G392" i="3"/>
  <c r="R391" i="3"/>
  <c r="D393" i="3"/>
  <c r="H393" i="3" s="1"/>
  <c r="J393" i="3"/>
  <c r="K393" i="3" s="1"/>
  <c r="L393" i="3" s="1"/>
  <c r="F394" i="3"/>
  <c r="E392" i="4"/>
  <c r="F392" i="4" s="1"/>
  <c r="I392" i="3"/>
  <c r="D392" i="4" s="1"/>
  <c r="F395" i="3" l="1"/>
  <c r="D394" i="3"/>
  <c r="H394" i="3" s="1"/>
  <c r="J394" i="3"/>
  <c r="K394" i="3" s="1"/>
  <c r="L394" i="3" s="1"/>
  <c r="S391" i="3"/>
  <c r="T391" i="3" s="1"/>
  <c r="U391" i="3"/>
  <c r="G393" i="3"/>
  <c r="R392" i="3"/>
  <c r="O100" i="3"/>
  <c r="AI100" i="3"/>
  <c r="N100" i="3"/>
  <c r="I393" i="3"/>
  <c r="D393" i="4" s="1"/>
  <c r="E393" i="4"/>
  <c r="F393" i="4" s="1"/>
  <c r="G99" i="4"/>
  <c r="I99" i="4" s="1"/>
  <c r="J99" i="4" s="1"/>
  <c r="H99" i="4"/>
  <c r="E394" i="4" l="1"/>
  <c r="F394" i="4" s="1"/>
  <c r="I394" i="3"/>
  <c r="D394" i="4" s="1"/>
  <c r="S392" i="3"/>
  <c r="T392" i="3" s="1"/>
  <c r="U392" i="3"/>
  <c r="K99" i="4"/>
  <c r="M99" i="4"/>
  <c r="P100" i="3"/>
  <c r="Q100" i="3" s="1"/>
  <c r="G394" i="3"/>
  <c r="R393" i="3"/>
  <c r="F396" i="3"/>
  <c r="J395" i="3"/>
  <c r="D395" i="3"/>
  <c r="H395" i="3" s="1"/>
  <c r="F397" i="3" l="1"/>
  <c r="J396" i="3"/>
  <c r="D396" i="3"/>
  <c r="H396" i="3" s="1"/>
  <c r="I395" i="3"/>
  <c r="D395" i="4" s="1"/>
  <c r="E395" i="4"/>
  <c r="F395" i="4" s="1"/>
  <c r="U393" i="3"/>
  <c r="S393" i="3"/>
  <c r="T393" i="3" s="1"/>
  <c r="G395" i="3"/>
  <c r="R394" i="3"/>
  <c r="K395" i="3"/>
  <c r="L395" i="3" s="1"/>
  <c r="L100" i="4"/>
  <c r="V100" i="3"/>
  <c r="I396" i="3" l="1"/>
  <c r="D396" i="4" s="1"/>
  <c r="E396" i="4"/>
  <c r="F396" i="4" s="1"/>
  <c r="K396" i="3"/>
  <c r="L396" i="3" s="1"/>
  <c r="U394" i="3"/>
  <c r="S394" i="3"/>
  <c r="T394" i="3" s="1"/>
  <c r="J397" i="3"/>
  <c r="F398" i="3"/>
  <c r="D397" i="3"/>
  <c r="H397" i="3" s="1"/>
  <c r="W100" i="3"/>
  <c r="X100" i="3" s="1"/>
  <c r="Y100" i="3" s="1"/>
  <c r="Z100" i="3" s="1"/>
  <c r="AA100" i="3" s="1"/>
  <c r="AB100" i="3" s="1"/>
  <c r="G396" i="3"/>
  <c r="R395" i="3"/>
  <c r="C100" i="4" l="1"/>
  <c r="M101" i="3"/>
  <c r="AC100" i="3"/>
  <c r="AD100" i="3" s="1"/>
  <c r="U395" i="3"/>
  <c r="S395" i="3"/>
  <c r="T395" i="3" s="1"/>
  <c r="E397" i="4"/>
  <c r="F397" i="4" s="1"/>
  <c r="I397" i="3"/>
  <c r="D397" i="4" s="1"/>
  <c r="G397" i="3"/>
  <c r="R396" i="3"/>
  <c r="D398" i="3"/>
  <c r="H398" i="3" s="1"/>
  <c r="F399" i="3"/>
  <c r="J398" i="3"/>
  <c r="K398" i="3" s="1"/>
  <c r="L398" i="3" s="1"/>
  <c r="K397" i="3"/>
  <c r="L397" i="3" s="1"/>
  <c r="G398" i="3" l="1"/>
  <c r="R397" i="3"/>
  <c r="J399" i="3"/>
  <c r="D399" i="3"/>
  <c r="H399" i="3" s="1"/>
  <c r="F400" i="3"/>
  <c r="E398" i="4"/>
  <c r="F398" i="4" s="1"/>
  <c r="I398" i="3"/>
  <c r="D398" i="4" s="1"/>
  <c r="O101" i="3"/>
  <c r="N101" i="3"/>
  <c r="P101" i="3" s="1"/>
  <c r="Q101" i="3" s="1"/>
  <c r="AI101" i="3"/>
  <c r="U396" i="3"/>
  <c r="S396" i="3"/>
  <c r="T396" i="3" s="1"/>
  <c r="G100" i="4"/>
  <c r="I100" i="4" s="1"/>
  <c r="J100" i="4" s="1"/>
  <c r="H100" i="4"/>
  <c r="I399" i="3" l="1"/>
  <c r="D399" i="4" s="1"/>
  <c r="E399" i="4"/>
  <c r="F399" i="4" s="1"/>
  <c r="S397" i="3"/>
  <c r="T397" i="3" s="1"/>
  <c r="U397" i="3"/>
  <c r="K100" i="4"/>
  <c r="M100" i="4"/>
  <c r="L101" i="4"/>
  <c r="V101" i="3"/>
  <c r="K399" i="3"/>
  <c r="L399" i="3" s="1"/>
  <c r="G399" i="3"/>
  <c r="R398" i="3"/>
  <c r="J400" i="3"/>
  <c r="F401" i="3"/>
  <c r="D400" i="3"/>
  <c r="H400" i="3" s="1"/>
  <c r="E400" i="4" l="1"/>
  <c r="F400" i="4" s="1"/>
  <c r="I400" i="3"/>
  <c r="D400" i="4" s="1"/>
  <c r="G400" i="3"/>
  <c r="R399" i="3"/>
  <c r="D401" i="3"/>
  <c r="H401" i="3" s="1"/>
  <c r="F402" i="3"/>
  <c r="J401" i="3"/>
  <c r="K401" i="3" s="1"/>
  <c r="L401" i="3" s="1"/>
  <c r="K400" i="3"/>
  <c r="L400" i="3" s="1"/>
  <c r="W101" i="3"/>
  <c r="X101" i="3" s="1"/>
  <c r="Y101" i="3" s="1"/>
  <c r="Z101" i="3" s="1"/>
  <c r="AA101" i="3" s="1"/>
  <c r="AB101" i="3" s="1"/>
  <c r="U398" i="3"/>
  <c r="S398" i="3"/>
  <c r="T398" i="3" s="1"/>
  <c r="M102" i="3" l="1"/>
  <c r="AC101" i="3"/>
  <c r="AD101" i="3" s="1"/>
  <c r="C101" i="4"/>
  <c r="S399" i="3"/>
  <c r="T399" i="3" s="1"/>
  <c r="U399" i="3"/>
  <c r="D402" i="3"/>
  <c r="H402" i="3" s="1"/>
  <c r="F403" i="3"/>
  <c r="J402" i="3"/>
  <c r="G401" i="3"/>
  <c r="R400" i="3"/>
  <c r="I401" i="3"/>
  <c r="D401" i="4" s="1"/>
  <c r="E401" i="4"/>
  <c r="F401" i="4" s="1"/>
  <c r="U400" i="3" l="1"/>
  <c r="S400" i="3"/>
  <c r="T400" i="3" s="1"/>
  <c r="F404" i="3"/>
  <c r="J403" i="3"/>
  <c r="K403" i="3" s="1"/>
  <c r="L403" i="3" s="1"/>
  <c r="D403" i="3"/>
  <c r="H403" i="3" s="1"/>
  <c r="G402" i="3"/>
  <c r="R401" i="3"/>
  <c r="I402" i="3"/>
  <c r="D402" i="4" s="1"/>
  <c r="E402" i="4"/>
  <c r="F402" i="4" s="1"/>
  <c r="G101" i="4"/>
  <c r="I101" i="4" s="1"/>
  <c r="J101" i="4" s="1"/>
  <c r="H101" i="4"/>
  <c r="K402" i="3"/>
  <c r="L402" i="3" s="1"/>
  <c r="AI102" i="3"/>
  <c r="N102" i="3"/>
  <c r="O102" i="3"/>
  <c r="S401" i="3" l="1"/>
  <c r="T401" i="3" s="1"/>
  <c r="U401" i="3"/>
  <c r="K101" i="4"/>
  <c r="M101" i="4"/>
  <c r="G403" i="3"/>
  <c r="R402" i="3"/>
  <c r="J404" i="3"/>
  <c r="F405" i="3"/>
  <c r="D404" i="3"/>
  <c r="H404" i="3" s="1"/>
  <c r="P102" i="3"/>
  <c r="Q102" i="3" s="1"/>
  <c r="I403" i="3"/>
  <c r="D403" i="4" s="1"/>
  <c r="E403" i="4"/>
  <c r="F403" i="4" s="1"/>
  <c r="I404" i="3" l="1"/>
  <c r="D404" i="4" s="1"/>
  <c r="E404" i="4"/>
  <c r="F404" i="4" s="1"/>
  <c r="S402" i="3"/>
  <c r="T402" i="3" s="1"/>
  <c r="U402" i="3"/>
  <c r="F406" i="3"/>
  <c r="J405" i="3"/>
  <c r="D405" i="3"/>
  <c r="H405" i="3" s="1"/>
  <c r="G404" i="3"/>
  <c r="R403" i="3"/>
  <c r="K404" i="3"/>
  <c r="L404" i="3" s="1"/>
  <c r="L102" i="4"/>
  <c r="V102" i="3"/>
  <c r="E405" i="4" l="1"/>
  <c r="F405" i="4" s="1"/>
  <c r="I405" i="3"/>
  <c r="D405" i="4" s="1"/>
  <c r="K405" i="3"/>
  <c r="L405" i="3" s="1"/>
  <c r="W102" i="3"/>
  <c r="X102" i="3"/>
  <c r="Y102" i="3" s="1"/>
  <c r="Z102" i="3" s="1"/>
  <c r="AA102" i="3" s="1"/>
  <c r="AB102" i="3" s="1"/>
  <c r="S403" i="3"/>
  <c r="T403" i="3" s="1"/>
  <c r="U403" i="3"/>
  <c r="G405" i="3"/>
  <c r="R404" i="3"/>
  <c r="F407" i="3"/>
  <c r="D406" i="3"/>
  <c r="H406" i="3" s="1"/>
  <c r="J406" i="3"/>
  <c r="K406" i="3" s="1"/>
  <c r="L406" i="3" s="1"/>
  <c r="F408" i="3" l="1"/>
  <c r="J407" i="3"/>
  <c r="D407" i="3"/>
  <c r="H407" i="3" s="1"/>
  <c r="S404" i="3"/>
  <c r="T404" i="3" s="1"/>
  <c r="U404" i="3"/>
  <c r="AC102" i="3"/>
  <c r="AD102" i="3" s="1"/>
  <c r="M103" i="3"/>
  <c r="C102" i="4"/>
  <c r="G406" i="3"/>
  <c r="R405" i="3"/>
  <c r="I406" i="3"/>
  <c r="D406" i="4" s="1"/>
  <c r="E406" i="4"/>
  <c r="F406" i="4" s="1"/>
  <c r="S405" i="3" l="1"/>
  <c r="T405" i="3" s="1"/>
  <c r="U405" i="3"/>
  <c r="G407" i="3"/>
  <c r="R406" i="3"/>
  <c r="E407" i="4"/>
  <c r="F407" i="4" s="1"/>
  <c r="I407" i="3"/>
  <c r="D407" i="4" s="1"/>
  <c r="G102" i="4"/>
  <c r="I102" i="4" s="1"/>
  <c r="J102" i="4" s="1"/>
  <c r="H102" i="4"/>
  <c r="K407" i="3"/>
  <c r="L407" i="3" s="1"/>
  <c r="N103" i="3"/>
  <c r="P103" i="3" s="1"/>
  <c r="Q103" i="3" s="1"/>
  <c r="AI103" i="3"/>
  <c r="O103" i="3"/>
  <c r="J408" i="3"/>
  <c r="F409" i="3"/>
  <c r="D408" i="3"/>
  <c r="H408" i="3" s="1"/>
  <c r="E408" i="4" l="1"/>
  <c r="F408" i="4" s="1"/>
  <c r="I408" i="3"/>
  <c r="D408" i="4" s="1"/>
  <c r="M102" i="4"/>
  <c r="K102" i="4"/>
  <c r="U406" i="3"/>
  <c r="S406" i="3"/>
  <c r="T406" i="3" s="1"/>
  <c r="D409" i="3"/>
  <c r="H409" i="3" s="1"/>
  <c r="F410" i="3"/>
  <c r="J409" i="3"/>
  <c r="L103" i="4"/>
  <c r="V103" i="3"/>
  <c r="G408" i="3"/>
  <c r="R407" i="3"/>
  <c r="K408" i="3"/>
  <c r="L408" i="3" s="1"/>
  <c r="W103" i="3" l="1"/>
  <c r="X103" i="3" s="1"/>
  <c r="Y103" i="3" s="1"/>
  <c r="Z103" i="3" s="1"/>
  <c r="AA103" i="3" s="1"/>
  <c r="AB103" i="3" s="1"/>
  <c r="E409" i="4"/>
  <c r="F409" i="4" s="1"/>
  <c r="I409" i="3"/>
  <c r="D409" i="4" s="1"/>
  <c r="S407" i="3"/>
  <c r="T407" i="3" s="1"/>
  <c r="U407" i="3"/>
  <c r="K409" i="3"/>
  <c r="L409" i="3" s="1"/>
  <c r="G409" i="3"/>
  <c r="R408" i="3"/>
  <c r="F411" i="3"/>
  <c r="D410" i="3"/>
  <c r="H410" i="3" s="1"/>
  <c r="J410" i="3"/>
  <c r="C103" i="4" l="1"/>
  <c r="AC103" i="3"/>
  <c r="AD103" i="3" s="1"/>
  <c r="M104" i="3"/>
  <c r="I410" i="3"/>
  <c r="D410" i="4" s="1"/>
  <c r="E410" i="4"/>
  <c r="F410" i="4" s="1"/>
  <c r="J411" i="3"/>
  <c r="K411" i="3" s="1"/>
  <c r="L411" i="3" s="1"/>
  <c r="F412" i="3"/>
  <c r="D411" i="3"/>
  <c r="H411" i="3" s="1"/>
  <c r="S408" i="3"/>
  <c r="T408" i="3" s="1"/>
  <c r="U408" i="3"/>
  <c r="K410" i="3"/>
  <c r="L410" i="3" s="1"/>
  <c r="G410" i="3"/>
  <c r="R409" i="3"/>
  <c r="S409" i="3" l="1"/>
  <c r="T409" i="3" s="1"/>
  <c r="U409" i="3"/>
  <c r="G411" i="3"/>
  <c r="R410" i="3"/>
  <c r="O104" i="3"/>
  <c r="AI104" i="3"/>
  <c r="N104" i="3"/>
  <c r="P104" i="3" s="1"/>
  <c r="Q104" i="3" s="1"/>
  <c r="E411" i="4"/>
  <c r="F411" i="4" s="1"/>
  <c r="I411" i="3"/>
  <c r="D411" i="4" s="1"/>
  <c r="F413" i="3"/>
  <c r="D412" i="3"/>
  <c r="H412" i="3" s="1"/>
  <c r="J412" i="3"/>
  <c r="K412" i="3" s="1"/>
  <c r="L412" i="3" s="1"/>
  <c r="H103" i="4"/>
  <c r="G103" i="4"/>
  <c r="I103" i="4" s="1"/>
  <c r="J103" i="4" s="1"/>
  <c r="L104" i="4" l="1"/>
  <c r="V104" i="3"/>
  <c r="G412" i="3"/>
  <c r="R411" i="3"/>
  <c r="I412" i="3"/>
  <c r="D412" i="4" s="1"/>
  <c r="E412" i="4"/>
  <c r="F412" i="4" s="1"/>
  <c r="M103" i="4"/>
  <c r="K103" i="4"/>
  <c r="J413" i="3"/>
  <c r="K413" i="3" s="1"/>
  <c r="L413" i="3" s="1"/>
  <c r="F414" i="3"/>
  <c r="D413" i="3"/>
  <c r="H413" i="3" s="1"/>
  <c r="U410" i="3"/>
  <c r="S410" i="3"/>
  <c r="T410" i="3" s="1"/>
  <c r="F415" i="3" l="1"/>
  <c r="J414" i="3"/>
  <c r="D414" i="3"/>
  <c r="H414" i="3" s="1"/>
  <c r="G413" i="3"/>
  <c r="R412" i="3"/>
  <c r="W104" i="3"/>
  <c r="X104" i="3"/>
  <c r="Y104" i="3" s="1"/>
  <c r="Z104" i="3" s="1"/>
  <c r="AA104" i="3" s="1"/>
  <c r="AB104" i="3" s="1"/>
  <c r="E413" i="4"/>
  <c r="F413" i="4" s="1"/>
  <c r="I413" i="3"/>
  <c r="D413" i="4" s="1"/>
  <c r="S411" i="3"/>
  <c r="T411" i="3" s="1"/>
  <c r="U411" i="3"/>
  <c r="I414" i="3" l="1"/>
  <c r="D414" i="4" s="1"/>
  <c r="E414" i="4"/>
  <c r="F414" i="4" s="1"/>
  <c r="K414" i="3"/>
  <c r="L414" i="3" s="1"/>
  <c r="M105" i="3"/>
  <c r="C104" i="4"/>
  <c r="AC104" i="3"/>
  <c r="AD104" i="3" s="1"/>
  <c r="S412" i="3"/>
  <c r="T412" i="3" s="1"/>
  <c r="U412" i="3"/>
  <c r="D415" i="3"/>
  <c r="H415" i="3" s="1"/>
  <c r="F416" i="3"/>
  <c r="J415" i="3"/>
  <c r="G414" i="3"/>
  <c r="R413" i="3"/>
  <c r="U413" i="3" l="1"/>
  <c r="S413" i="3"/>
  <c r="T413" i="3" s="1"/>
  <c r="D416" i="3"/>
  <c r="H416" i="3" s="1"/>
  <c r="J416" i="3"/>
  <c r="F417" i="3"/>
  <c r="G415" i="3"/>
  <c r="R414" i="3"/>
  <c r="I415" i="3"/>
  <c r="D415" i="4" s="1"/>
  <c r="E415" i="4"/>
  <c r="F415" i="4" s="1"/>
  <c r="G104" i="4"/>
  <c r="I104" i="4" s="1"/>
  <c r="J104" i="4" s="1"/>
  <c r="H104" i="4"/>
  <c r="K415" i="3"/>
  <c r="L415" i="3" s="1"/>
  <c r="O105" i="3"/>
  <c r="N105" i="3"/>
  <c r="P105" i="3" s="1"/>
  <c r="Q105" i="3" s="1"/>
  <c r="AI105" i="3"/>
  <c r="L105" i="4" l="1"/>
  <c r="V105" i="3"/>
  <c r="U414" i="3"/>
  <c r="S414" i="3"/>
  <c r="T414" i="3" s="1"/>
  <c r="M104" i="4"/>
  <c r="K104" i="4"/>
  <c r="G416" i="3"/>
  <c r="R415" i="3"/>
  <c r="I416" i="3"/>
  <c r="D416" i="4" s="1"/>
  <c r="E416" i="4"/>
  <c r="F416" i="4" s="1"/>
  <c r="J417" i="3"/>
  <c r="D417" i="3"/>
  <c r="H417" i="3" s="1"/>
  <c r="F418" i="3"/>
  <c r="K416" i="3"/>
  <c r="L416" i="3" s="1"/>
  <c r="I417" i="3" l="1"/>
  <c r="D417" i="4" s="1"/>
  <c r="E417" i="4"/>
  <c r="F417" i="4" s="1"/>
  <c r="S415" i="3"/>
  <c r="T415" i="3" s="1"/>
  <c r="U415" i="3"/>
  <c r="K417" i="3"/>
  <c r="L417" i="3" s="1"/>
  <c r="G417" i="3"/>
  <c r="R416" i="3"/>
  <c r="W105" i="3"/>
  <c r="X105" i="3" s="1"/>
  <c r="Y105" i="3" s="1"/>
  <c r="Z105" i="3" s="1"/>
  <c r="AA105" i="3" s="1"/>
  <c r="AB105" i="3" s="1"/>
  <c r="D418" i="3"/>
  <c r="H418" i="3" s="1"/>
  <c r="J418" i="3"/>
  <c r="K418" i="3" s="1"/>
  <c r="L418" i="3" s="1"/>
  <c r="F419" i="3"/>
  <c r="AC105" i="3" l="1"/>
  <c r="AD105" i="3" s="1"/>
  <c r="C105" i="4"/>
  <c r="M106" i="3"/>
  <c r="U416" i="3"/>
  <c r="S416" i="3"/>
  <c r="T416" i="3" s="1"/>
  <c r="D419" i="3"/>
  <c r="H419" i="3" s="1"/>
  <c r="F420" i="3"/>
  <c r="J419" i="3"/>
  <c r="K419" i="3" s="1"/>
  <c r="L419" i="3" s="1"/>
  <c r="G418" i="3"/>
  <c r="R417" i="3"/>
  <c r="E418" i="4"/>
  <c r="F418" i="4" s="1"/>
  <c r="I418" i="3"/>
  <c r="D418" i="4" s="1"/>
  <c r="S417" i="3" l="1"/>
  <c r="T417" i="3" s="1"/>
  <c r="U417" i="3"/>
  <c r="D420" i="3"/>
  <c r="H420" i="3" s="1"/>
  <c r="J420" i="3"/>
  <c r="K420" i="3" s="1"/>
  <c r="L420" i="3" s="1"/>
  <c r="F421" i="3"/>
  <c r="AI106" i="3"/>
  <c r="N106" i="3"/>
  <c r="O106" i="3"/>
  <c r="G419" i="3"/>
  <c r="R418" i="3"/>
  <c r="I419" i="3"/>
  <c r="D419" i="4" s="1"/>
  <c r="E419" i="4"/>
  <c r="F419" i="4" s="1"/>
  <c r="H105" i="4"/>
  <c r="G105" i="4"/>
  <c r="I105" i="4" s="1"/>
  <c r="J105" i="4" s="1"/>
  <c r="G420" i="3" l="1"/>
  <c r="R419" i="3"/>
  <c r="D421" i="3"/>
  <c r="H421" i="3" s="1"/>
  <c r="F422" i="3"/>
  <c r="J421" i="3"/>
  <c r="P106" i="3"/>
  <c r="Q106" i="3" s="1"/>
  <c r="K105" i="4"/>
  <c r="M105" i="4"/>
  <c r="S418" i="3"/>
  <c r="T418" i="3" s="1"/>
  <c r="U418" i="3"/>
  <c r="E420" i="4"/>
  <c r="F420" i="4" s="1"/>
  <c r="I420" i="3"/>
  <c r="D420" i="4" s="1"/>
  <c r="F423" i="3" l="1"/>
  <c r="J422" i="3"/>
  <c r="D422" i="3"/>
  <c r="H422" i="3" s="1"/>
  <c r="E421" i="4"/>
  <c r="F421" i="4" s="1"/>
  <c r="I421" i="3"/>
  <c r="D421" i="4" s="1"/>
  <c r="U419" i="3"/>
  <c r="S419" i="3"/>
  <c r="T419" i="3" s="1"/>
  <c r="L106" i="4"/>
  <c r="V106" i="3"/>
  <c r="K421" i="3"/>
  <c r="L421" i="3" s="1"/>
  <c r="G421" i="3"/>
  <c r="R420" i="3"/>
  <c r="I422" i="3" l="1"/>
  <c r="D422" i="4" s="1"/>
  <c r="E422" i="4"/>
  <c r="F422" i="4" s="1"/>
  <c r="W106" i="3"/>
  <c r="X106" i="3" s="1"/>
  <c r="Y106" i="3" s="1"/>
  <c r="Z106" i="3" s="1"/>
  <c r="AA106" i="3" s="1"/>
  <c r="AB106" i="3" s="1"/>
  <c r="U420" i="3"/>
  <c r="S420" i="3"/>
  <c r="T420" i="3" s="1"/>
  <c r="K422" i="3"/>
  <c r="L422" i="3" s="1"/>
  <c r="G422" i="3"/>
  <c r="R421" i="3"/>
  <c r="F424" i="3"/>
  <c r="D423" i="3"/>
  <c r="H423" i="3" s="1"/>
  <c r="J423" i="3"/>
  <c r="K423" i="3" s="1"/>
  <c r="L423" i="3" s="1"/>
  <c r="AC106" i="3" l="1"/>
  <c r="AD106" i="3" s="1"/>
  <c r="C106" i="4"/>
  <c r="M107" i="3"/>
  <c r="U421" i="3"/>
  <c r="S421" i="3"/>
  <c r="T421" i="3" s="1"/>
  <c r="I423" i="3"/>
  <c r="D423" i="4" s="1"/>
  <c r="E423" i="4"/>
  <c r="F423" i="4" s="1"/>
  <c r="G423" i="3"/>
  <c r="R422" i="3"/>
  <c r="D424" i="3"/>
  <c r="H424" i="3" s="1"/>
  <c r="F425" i="3"/>
  <c r="J424" i="3"/>
  <c r="K424" i="3" s="1"/>
  <c r="L424" i="3" s="1"/>
  <c r="D425" i="3" l="1"/>
  <c r="H425" i="3" s="1"/>
  <c r="F426" i="3"/>
  <c r="J425" i="3"/>
  <c r="K425" i="3" s="1"/>
  <c r="L425" i="3" s="1"/>
  <c r="U422" i="3"/>
  <c r="S422" i="3"/>
  <c r="T422" i="3" s="1"/>
  <c r="AI107" i="3"/>
  <c r="N107" i="3"/>
  <c r="O107" i="3"/>
  <c r="E424" i="4"/>
  <c r="F424" i="4" s="1"/>
  <c r="I424" i="3"/>
  <c r="D424" i="4" s="1"/>
  <c r="G424" i="3"/>
  <c r="R423" i="3"/>
  <c r="H106" i="4"/>
  <c r="G106" i="4"/>
  <c r="I106" i="4" s="1"/>
  <c r="J106" i="4" s="1"/>
  <c r="M106" i="4" l="1"/>
  <c r="K106" i="4"/>
  <c r="F427" i="3"/>
  <c r="D426" i="3"/>
  <c r="H426" i="3" s="1"/>
  <c r="J426" i="3"/>
  <c r="K426" i="3" s="1"/>
  <c r="L426" i="3" s="1"/>
  <c r="S423" i="3"/>
  <c r="T423" i="3" s="1"/>
  <c r="U423" i="3"/>
  <c r="E425" i="4"/>
  <c r="F425" i="4" s="1"/>
  <c r="I425" i="3"/>
  <c r="D425" i="4" s="1"/>
  <c r="G425" i="3"/>
  <c r="R424" i="3"/>
  <c r="P107" i="3"/>
  <c r="Q107" i="3" s="1"/>
  <c r="L107" i="4" l="1"/>
  <c r="V107" i="3"/>
  <c r="F428" i="3"/>
  <c r="J427" i="3"/>
  <c r="K427" i="3" s="1"/>
  <c r="L427" i="3" s="1"/>
  <c r="D427" i="3"/>
  <c r="H427" i="3" s="1"/>
  <c r="U424" i="3"/>
  <c r="S424" i="3"/>
  <c r="T424" i="3" s="1"/>
  <c r="G426" i="3"/>
  <c r="R425" i="3"/>
  <c r="E426" i="4"/>
  <c r="F426" i="4" s="1"/>
  <c r="I426" i="3"/>
  <c r="D426" i="4" s="1"/>
  <c r="S425" i="3" l="1"/>
  <c r="T425" i="3" s="1"/>
  <c r="U425" i="3"/>
  <c r="F429" i="3"/>
  <c r="D428" i="3"/>
  <c r="H428" i="3" s="1"/>
  <c r="J428" i="3"/>
  <c r="K428" i="3" s="1"/>
  <c r="L428" i="3" s="1"/>
  <c r="G427" i="3"/>
  <c r="R426" i="3"/>
  <c r="I427" i="3"/>
  <c r="D427" i="4" s="1"/>
  <c r="E427" i="4"/>
  <c r="F427" i="4" s="1"/>
  <c r="W107" i="3"/>
  <c r="X107" i="3" s="1"/>
  <c r="Y107" i="3" s="1"/>
  <c r="Z107" i="3" s="1"/>
  <c r="AA107" i="3" s="1"/>
  <c r="AB107" i="3" s="1"/>
  <c r="M108" i="3" l="1"/>
  <c r="C107" i="4"/>
  <c r="AC107" i="3"/>
  <c r="AD107" i="3" s="1"/>
  <c r="S426" i="3"/>
  <c r="T426" i="3" s="1"/>
  <c r="U426" i="3"/>
  <c r="G428" i="3"/>
  <c r="R427" i="3"/>
  <c r="E428" i="4"/>
  <c r="F428" i="4" s="1"/>
  <c r="I428" i="3"/>
  <c r="D428" i="4" s="1"/>
  <c r="D429" i="3"/>
  <c r="H429" i="3" s="1"/>
  <c r="J429" i="3"/>
  <c r="F430" i="3"/>
  <c r="I429" i="3" l="1"/>
  <c r="D429" i="4" s="1"/>
  <c r="E429" i="4"/>
  <c r="F429" i="4" s="1"/>
  <c r="G429" i="3"/>
  <c r="R428" i="3"/>
  <c r="J430" i="3"/>
  <c r="F431" i="3"/>
  <c r="D430" i="3"/>
  <c r="H430" i="3" s="1"/>
  <c r="G107" i="4"/>
  <c r="I107" i="4" s="1"/>
  <c r="J107" i="4" s="1"/>
  <c r="H107" i="4"/>
  <c r="K429" i="3"/>
  <c r="L429" i="3" s="1"/>
  <c r="S427" i="3"/>
  <c r="T427" i="3" s="1"/>
  <c r="U427" i="3"/>
  <c r="O108" i="3"/>
  <c r="N108" i="3"/>
  <c r="P108" i="3" s="1"/>
  <c r="Q108" i="3" s="1"/>
  <c r="AI108" i="3"/>
  <c r="L108" i="4" l="1"/>
  <c r="V108" i="3"/>
  <c r="U428" i="3"/>
  <c r="S428" i="3"/>
  <c r="T428" i="3" s="1"/>
  <c r="E430" i="4"/>
  <c r="F430" i="4" s="1"/>
  <c r="I430" i="3"/>
  <c r="D430" i="4" s="1"/>
  <c r="G430" i="3"/>
  <c r="R429" i="3"/>
  <c r="K107" i="4"/>
  <c r="M107" i="4"/>
  <c r="J431" i="3"/>
  <c r="F432" i="3"/>
  <c r="D431" i="3"/>
  <c r="H431" i="3" s="1"/>
  <c r="K430" i="3"/>
  <c r="L430" i="3" s="1"/>
  <c r="E431" i="4" l="1"/>
  <c r="F431" i="4" s="1"/>
  <c r="I431" i="3"/>
  <c r="D431" i="4" s="1"/>
  <c r="G431" i="3"/>
  <c r="R430" i="3"/>
  <c r="F433" i="3"/>
  <c r="J432" i="3"/>
  <c r="K432" i="3" s="1"/>
  <c r="L432" i="3" s="1"/>
  <c r="D432" i="3"/>
  <c r="H432" i="3" s="1"/>
  <c r="W108" i="3"/>
  <c r="X108" i="3" s="1"/>
  <c r="Y108" i="3" s="1"/>
  <c r="Z108" i="3" s="1"/>
  <c r="AA108" i="3" s="1"/>
  <c r="AB108" i="3" s="1"/>
  <c r="K431" i="3"/>
  <c r="L431" i="3" s="1"/>
  <c r="U429" i="3"/>
  <c r="S429" i="3"/>
  <c r="T429" i="3" s="1"/>
  <c r="AC108" i="3" l="1"/>
  <c r="AD108" i="3" s="1"/>
  <c r="M109" i="3"/>
  <c r="C108" i="4"/>
  <c r="U430" i="3"/>
  <c r="S430" i="3"/>
  <c r="T430" i="3" s="1"/>
  <c r="G432" i="3"/>
  <c r="R431" i="3"/>
  <c r="J433" i="3"/>
  <c r="K433" i="3" s="1"/>
  <c r="L433" i="3" s="1"/>
  <c r="F434" i="3"/>
  <c r="D433" i="3"/>
  <c r="H433" i="3" s="1"/>
  <c r="I432" i="3"/>
  <c r="D432" i="4" s="1"/>
  <c r="E432" i="4"/>
  <c r="F432" i="4" s="1"/>
  <c r="G433" i="3" l="1"/>
  <c r="R432" i="3"/>
  <c r="H108" i="4"/>
  <c r="G108" i="4"/>
  <c r="I108" i="4" s="1"/>
  <c r="J108" i="4" s="1"/>
  <c r="E433" i="4"/>
  <c r="F433" i="4" s="1"/>
  <c r="I433" i="3"/>
  <c r="D433" i="4" s="1"/>
  <c r="O109" i="3"/>
  <c r="N109" i="3"/>
  <c r="P109" i="3" s="1"/>
  <c r="Q109" i="3" s="1"/>
  <c r="AI109" i="3"/>
  <c r="D434" i="3"/>
  <c r="H434" i="3" s="1"/>
  <c r="J434" i="3"/>
  <c r="K434" i="3" s="1"/>
  <c r="L434" i="3" s="1"/>
  <c r="F435" i="3"/>
  <c r="S431" i="3"/>
  <c r="T431" i="3" s="1"/>
  <c r="U431" i="3"/>
  <c r="F436" i="3" l="1"/>
  <c r="D435" i="3"/>
  <c r="H435" i="3" s="1"/>
  <c r="J435" i="3"/>
  <c r="K435" i="3" s="1"/>
  <c r="L435" i="3" s="1"/>
  <c r="L109" i="4"/>
  <c r="V109" i="3"/>
  <c r="M108" i="4"/>
  <c r="K108" i="4"/>
  <c r="U432" i="3"/>
  <c r="S432" i="3"/>
  <c r="T432" i="3" s="1"/>
  <c r="E434" i="4"/>
  <c r="F434" i="4" s="1"/>
  <c r="I434" i="3"/>
  <c r="D434" i="4" s="1"/>
  <c r="G434" i="3"/>
  <c r="R433" i="3"/>
  <c r="S433" i="3" l="1"/>
  <c r="T433" i="3" s="1"/>
  <c r="U433" i="3"/>
  <c r="G435" i="3"/>
  <c r="R434" i="3"/>
  <c r="I435" i="3"/>
  <c r="D435" i="4" s="1"/>
  <c r="E435" i="4"/>
  <c r="F435" i="4" s="1"/>
  <c r="W109" i="3"/>
  <c r="X109" i="3"/>
  <c r="Y109" i="3" s="1"/>
  <c r="Z109" i="3" s="1"/>
  <c r="AA109" i="3" s="1"/>
  <c r="AB109" i="3" s="1"/>
  <c r="F437" i="3"/>
  <c r="D436" i="3"/>
  <c r="H436" i="3" s="1"/>
  <c r="J436" i="3"/>
  <c r="K436" i="3" s="1"/>
  <c r="L436" i="3" s="1"/>
  <c r="F438" i="3" l="1"/>
  <c r="D437" i="3"/>
  <c r="H437" i="3" s="1"/>
  <c r="J437" i="3"/>
  <c r="K437" i="3" s="1"/>
  <c r="L437" i="3" s="1"/>
  <c r="G436" i="3"/>
  <c r="R435" i="3"/>
  <c r="M110" i="3"/>
  <c r="AC109" i="3"/>
  <c r="AD109" i="3" s="1"/>
  <c r="C109" i="4"/>
  <c r="E436" i="4"/>
  <c r="F436" i="4" s="1"/>
  <c r="I436" i="3"/>
  <c r="D436" i="4" s="1"/>
  <c r="S434" i="3"/>
  <c r="T434" i="3" s="1"/>
  <c r="U434" i="3"/>
  <c r="AI110" i="3" l="1"/>
  <c r="N110" i="3"/>
  <c r="O110" i="3"/>
  <c r="E437" i="4"/>
  <c r="F437" i="4" s="1"/>
  <c r="I437" i="3"/>
  <c r="D437" i="4" s="1"/>
  <c r="H109" i="4"/>
  <c r="G109" i="4"/>
  <c r="I109" i="4" s="1"/>
  <c r="J109" i="4" s="1"/>
  <c r="S435" i="3"/>
  <c r="T435" i="3" s="1"/>
  <c r="U435" i="3"/>
  <c r="G437" i="3"/>
  <c r="R436" i="3"/>
  <c r="J438" i="3"/>
  <c r="K438" i="3" s="1"/>
  <c r="L438" i="3" s="1"/>
  <c r="D438" i="3"/>
  <c r="H438" i="3" s="1"/>
  <c r="F439" i="3"/>
  <c r="F440" i="3" l="1"/>
  <c r="J439" i="3"/>
  <c r="K439" i="3" s="1"/>
  <c r="L439" i="3" s="1"/>
  <c r="D439" i="3"/>
  <c r="H439" i="3" s="1"/>
  <c r="S436" i="3"/>
  <c r="T436" i="3" s="1"/>
  <c r="U436" i="3"/>
  <c r="P110" i="3"/>
  <c r="Q110" i="3" s="1"/>
  <c r="I438" i="3"/>
  <c r="D438" i="4" s="1"/>
  <c r="E438" i="4"/>
  <c r="F438" i="4" s="1"/>
  <c r="G438" i="3"/>
  <c r="R437" i="3"/>
  <c r="M109" i="4"/>
  <c r="K109" i="4"/>
  <c r="G439" i="3" l="1"/>
  <c r="R438" i="3"/>
  <c r="F441" i="3"/>
  <c r="J440" i="3"/>
  <c r="D440" i="3"/>
  <c r="H440" i="3" s="1"/>
  <c r="E439" i="4"/>
  <c r="F439" i="4" s="1"/>
  <c r="I439" i="3"/>
  <c r="D439" i="4" s="1"/>
  <c r="S437" i="3"/>
  <c r="T437" i="3" s="1"/>
  <c r="U437" i="3"/>
  <c r="L110" i="4"/>
  <c r="V110" i="3"/>
  <c r="I440" i="3" l="1"/>
  <c r="D440" i="4" s="1"/>
  <c r="E440" i="4"/>
  <c r="F440" i="4" s="1"/>
  <c r="W110" i="3"/>
  <c r="X110" i="3" s="1"/>
  <c r="Y110" i="3" s="1"/>
  <c r="Z110" i="3" s="1"/>
  <c r="AA110" i="3" s="1"/>
  <c r="AB110" i="3" s="1"/>
  <c r="K440" i="3"/>
  <c r="L440" i="3" s="1"/>
  <c r="U438" i="3"/>
  <c r="S438" i="3"/>
  <c r="T438" i="3" s="1"/>
  <c r="D441" i="3"/>
  <c r="H441" i="3" s="1"/>
  <c r="J441" i="3"/>
  <c r="K441" i="3" s="1"/>
  <c r="L441" i="3" s="1"/>
  <c r="F442" i="3"/>
  <c r="G440" i="3"/>
  <c r="R439" i="3"/>
  <c r="M111" i="3" l="1"/>
  <c r="C110" i="4"/>
  <c r="AC110" i="3"/>
  <c r="AD110" i="3" s="1"/>
  <c r="F443" i="3"/>
  <c r="J442" i="3"/>
  <c r="D442" i="3"/>
  <c r="H442" i="3" s="1"/>
  <c r="U439" i="3"/>
  <c r="S439" i="3"/>
  <c r="T439" i="3" s="1"/>
  <c r="G441" i="3"/>
  <c r="R440" i="3"/>
  <c r="I441" i="3"/>
  <c r="D441" i="4" s="1"/>
  <c r="E441" i="4"/>
  <c r="F441" i="4" s="1"/>
  <c r="G442" i="3" l="1"/>
  <c r="R441" i="3"/>
  <c r="J443" i="3"/>
  <c r="K443" i="3" s="1"/>
  <c r="L443" i="3" s="1"/>
  <c r="D443" i="3"/>
  <c r="H443" i="3" s="1"/>
  <c r="F444" i="3"/>
  <c r="I442" i="3"/>
  <c r="D442" i="4" s="1"/>
  <c r="E442" i="4"/>
  <c r="F442" i="4" s="1"/>
  <c r="H110" i="4"/>
  <c r="G110" i="4"/>
  <c r="I110" i="4" s="1"/>
  <c r="J110" i="4" s="1"/>
  <c r="U440" i="3"/>
  <c r="S440" i="3"/>
  <c r="T440" i="3" s="1"/>
  <c r="K442" i="3"/>
  <c r="L442" i="3" s="1"/>
  <c r="O111" i="3"/>
  <c r="N111" i="3"/>
  <c r="AI111" i="3"/>
  <c r="M110" i="4" l="1"/>
  <c r="K110" i="4"/>
  <c r="F445" i="3"/>
  <c r="D444" i="3"/>
  <c r="H444" i="3" s="1"/>
  <c r="J444" i="3"/>
  <c r="K444" i="3" s="1"/>
  <c r="L444" i="3" s="1"/>
  <c r="S441" i="3"/>
  <c r="T441" i="3" s="1"/>
  <c r="U441" i="3"/>
  <c r="P111" i="3"/>
  <c r="Q111" i="3" s="1"/>
  <c r="I443" i="3"/>
  <c r="D443" i="4" s="1"/>
  <c r="E443" i="4"/>
  <c r="F443" i="4" s="1"/>
  <c r="G443" i="3"/>
  <c r="R442" i="3"/>
  <c r="U442" i="3" l="1"/>
  <c r="S442" i="3"/>
  <c r="T442" i="3" s="1"/>
  <c r="G444" i="3"/>
  <c r="R443" i="3"/>
  <c r="L111" i="4"/>
  <c r="V111" i="3"/>
  <c r="I444" i="3"/>
  <c r="D444" i="4" s="1"/>
  <c r="E444" i="4"/>
  <c r="F444" i="4" s="1"/>
  <c r="F446" i="3"/>
  <c r="D445" i="3"/>
  <c r="H445" i="3" s="1"/>
  <c r="J445" i="3"/>
  <c r="I445" i="3" l="1"/>
  <c r="D445" i="4" s="1"/>
  <c r="E445" i="4"/>
  <c r="F445" i="4" s="1"/>
  <c r="U443" i="3"/>
  <c r="S443" i="3"/>
  <c r="T443" i="3" s="1"/>
  <c r="D446" i="3"/>
  <c r="H446" i="3" s="1"/>
  <c r="F447" i="3"/>
  <c r="J446" i="3"/>
  <c r="K446" i="3" s="1"/>
  <c r="L446" i="3" s="1"/>
  <c r="G445" i="3"/>
  <c r="R444" i="3"/>
  <c r="W111" i="3"/>
  <c r="X111" i="3" s="1"/>
  <c r="Y111" i="3" s="1"/>
  <c r="Z111" i="3" s="1"/>
  <c r="AA111" i="3" s="1"/>
  <c r="AB111" i="3" s="1"/>
  <c r="K445" i="3"/>
  <c r="L445" i="3" s="1"/>
  <c r="M112" i="3" l="1"/>
  <c r="AC111" i="3"/>
  <c r="AD111" i="3" s="1"/>
  <c r="C111" i="4"/>
  <c r="J447" i="3"/>
  <c r="D447" i="3"/>
  <c r="H447" i="3" s="1"/>
  <c r="F448" i="3"/>
  <c r="U444" i="3"/>
  <c r="S444" i="3"/>
  <c r="T444" i="3" s="1"/>
  <c r="E446" i="4"/>
  <c r="F446" i="4" s="1"/>
  <c r="I446" i="3"/>
  <c r="D446" i="4" s="1"/>
  <c r="G446" i="3"/>
  <c r="R445" i="3"/>
  <c r="G447" i="3" l="1"/>
  <c r="R446" i="3"/>
  <c r="F449" i="3"/>
  <c r="D448" i="3"/>
  <c r="H448" i="3" s="1"/>
  <c r="J448" i="3"/>
  <c r="E447" i="4"/>
  <c r="F447" i="4" s="1"/>
  <c r="I447" i="3"/>
  <c r="D447" i="4" s="1"/>
  <c r="H111" i="4"/>
  <c r="G111" i="4"/>
  <c r="I111" i="4" s="1"/>
  <c r="J111" i="4" s="1"/>
  <c r="U445" i="3"/>
  <c r="S445" i="3"/>
  <c r="T445" i="3" s="1"/>
  <c r="K447" i="3"/>
  <c r="L447" i="3" s="1"/>
  <c r="AI112" i="3"/>
  <c r="O112" i="3"/>
  <c r="N112" i="3"/>
  <c r="P112" i="3" s="1"/>
  <c r="Q112" i="3" s="1"/>
  <c r="E448" i="4" l="1"/>
  <c r="F448" i="4" s="1"/>
  <c r="I448" i="3"/>
  <c r="D448" i="4" s="1"/>
  <c r="M111" i="4"/>
  <c r="K111" i="4"/>
  <c r="F450" i="3"/>
  <c r="D449" i="3"/>
  <c r="H449" i="3" s="1"/>
  <c r="J449" i="3"/>
  <c r="K449" i="3" s="1"/>
  <c r="L449" i="3" s="1"/>
  <c r="L112" i="4"/>
  <c r="C27" i="5" s="1"/>
  <c r="N27" i="5" s="1"/>
  <c r="V112" i="3"/>
  <c r="K448" i="3"/>
  <c r="L448" i="3" s="1"/>
  <c r="U446" i="3"/>
  <c r="S446" i="3"/>
  <c r="T446" i="3" s="1"/>
  <c r="G448" i="3"/>
  <c r="R447" i="3"/>
  <c r="J450" i="3" l="1"/>
  <c r="K450" i="3" s="1"/>
  <c r="L450" i="3" s="1"/>
  <c r="F451" i="3"/>
  <c r="D450" i="3"/>
  <c r="H450" i="3" s="1"/>
  <c r="S447" i="3"/>
  <c r="T447" i="3" s="1"/>
  <c r="U447" i="3"/>
  <c r="G449" i="3"/>
  <c r="R448" i="3"/>
  <c r="W112" i="3"/>
  <c r="X112" i="3"/>
  <c r="Y112" i="3" s="1"/>
  <c r="Z112" i="3" s="1"/>
  <c r="AA112" i="3" s="1"/>
  <c r="AB112" i="3" s="1"/>
  <c r="E449" i="4"/>
  <c r="F449" i="4" s="1"/>
  <c r="I449" i="3"/>
  <c r="D449" i="4" s="1"/>
  <c r="S448" i="3" l="1"/>
  <c r="T448" i="3" s="1"/>
  <c r="U448" i="3"/>
  <c r="G450" i="3"/>
  <c r="R449" i="3"/>
  <c r="D451" i="3"/>
  <c r="H451" i="3" s="1"/>
  <c r="J451" i="3"/>
  <c r="K451" i="3" s="1"/>
  <c r="L451" i="3" s="1"/>
  <c r="F452" i="3"/>
  <c r="AC112" i="3"/>
  <c r="AD112" i="3" s="1"/>
  <c r="C112" i="4"/>
  <c r="M113" i="3"/>
  <c r="I450" i="3"/>
  <c r="D450" i="4" s="1"/>
  <c r="E450" i="4"/>
  <c r="F450" i="4" s="1"/>
  <c r="D452" i="3" l="1"/>
  <c r="H452" i="3" s="1"/>
  <c r="F453" i="3"/>
  <c r="J452" i="3"/>
  <c r="K452" i="3" s="1"/>
  <c r="L452" i="3" s="1"/>
  <c r="S449" i="3"/>
  <c r="T449" i="3" s="1"/>
  <c r="U449" i="3"/>
  <c r="O113" i="3"/>
  <c r="N113" i="3"/>
  <c r="P113" i="3" s="1"/>
  <c r="Q113" i="3" s="1"/>
  <c r="AI113" i="3"/>
  <c r="G451" i="3"/>
  <c r="R450" i="3"/>
  <c r="G112" i="4"/>
  <c r="I112" i="4" s="1"/>
  <c r="J112" i="4" s="1"/>
  <c r="H112" i="4"/>
  <c r="E451" i="4"/>
  <c r="F451" i="4" s="1"/>
  <c r="I451" i="3"/>
  <c r="D451" i="4" s="1"/>
  <c r="K112" i="4" l="1"/>
  <c r="E27" i="5" s="1"/>
  <c r="D27" i="5"/>
  <c r="M112" i="4"/>
  <c r="L113" i="4"/>
  <c r="V113" i="3"/>
  <c r="U450" i="3"/>
  <c r="S450" i="3"/>
  <c r="T450" i="3" s="1"/>
  <c r="G452" i="3"/>
  <c r="R451" i="3"/>
  <c r="D453" i="3"/>
  <c r="H453" i="3" s="1"/>
  <c r="J453" i="3"/>
  <c r="F454" i="3"/>
  <c r="E452" i="4"/>
  <c r="F452" i="4" s="1"/>
  <c r="I452" i="3"/>
  <c r="D452" i="4" s="1"/>
  <c r="I453" i="3" l="1"/>
  <c r="D453" i="4" s="1"/>
  <c r="E453" i="4"/>
  <c r="F453" i="4" s="1"/>
  <c r="F455" i="3"/>
  <c r="J454" i="3"/>
  <c r="D454" i="3"/>
  <c r="H454" i="3" s="1"/>
  <c r="K453" i="3"/>
  <c r="L453" i="3" s="1"/>
  <c r="S451" i="3"/>
  <c r="T451" i="3" s="1"/>
  <c r="U451" i="3"/>
  <c r="G453" i="3"/>
  <c r="R452" i="3"/>
  <c r="W113" i="3"/>
  <c r="X113" i="3"/>
  <c r="Y113" i="3" s="1"/>
  <c r="Z113" i="3" s="1"/>
  <c r="AA113" i="3" s="1"/>
  <c r="AB113" i="3" s="1"/>
  <c r="U452" i="3" l="1"/>
  <c r="S452" i="3"/>
  <c r="T452" i="3" s="1"/>
  <c r="F456" i="3"/>
  <c r="J455" i="3"/>
  <c r="D455" i="3"/>
  <c r="H455" i="3" s="1"/>
  <c r="G454" i="3"/>
  <c r="R453" i="3"/>
  <c r="M114" i="3"/>
  <c r="AC113" i="3"/>
  <c r="AD113" i="3" s="1"/>
  <c r="C113" i="4"/>
  <c r="I454" i="3"/>
  <c r="D454" i="4" s="1"/>
  <c r="E454" i="4"/>
  <c r="F454" i="4" s="1"/>
  <c r="K454" i="3"/>
  <c r="L454" i="3" s="1"/>
  <c r="G113" i="4" l="1"/>
  <c r="I113" i="4" s="1"/>
  <c r="J113" i="4" s="1"/>
  <c r="H113" i="4"/>
  <c r="G455" i="3"/>
  <c r="R454" i="3"/>
  <c r="J456" i="3"/>
  <c r="K456" i="3" s="1"/>
  <c r="L456" i="3" s="1"/>
  <c r="F457" i="3"/>
  <c r="D456" i="3"/>
  <c r="H456" i="3" s="1"/>
  <c r="AI114" i="3"/>
  <c r="N114" i="3"/>
  <c r="O114" i="3"/>
  <c r="E455" i="4"/>
  <c r="F455" i="4" s="1"/>
  <c r="I455" i="3"/>
  <c r="D455" i="4" s="1"/>
  <c r="S453" i="3"/>
  <c r="T453" i="3" s="1"/>
  <c r="U453" i="3"/>
  <c r="K455" i="3"/>
  <c r="L455" i="3" s="1"/>
  <c r="D457" i="3" l="1"/>
  <c r="H457" i="3" s="1"/>
  <c r="J457" i="3"/>
  <c r="K457" i="3" s="1"/>
  <c r="L457" i="3" s="1"/>
  <c r="F458" i="3"/>
  <c r="G456" i="3"/>
  <c r="R455" i="3"/>
  <c r="P114" i="3"/>
  <c r="Q114" i="3" s="1"/>
  <c r="M113" i="4"/>
  <c r="K113" i="4"/>
  <c r="E456" i="4"/>
  <c r="F456" i="4" s="1"/>
  <c r="I456" i="3"/>
  <c r="D456" i="4" s="1"/>
  <c r="U454" i="3"/>
  <c r="S454" i="3"/>
  <c r="T454" i="3" s="1"/>
  <c r="L114" i="4" l="1"/>
  <c r="V114" i="3"/>
  <c r="S455" i="3"/>
  <c r="T455" i="3" s="1"/>
  <c r="U455" i="3"/>
  <c r="G457" i="3"/>
  <c r="R456" i="3"/>
  <c r="I457" i="3"/>
  <c r="D457" i="4" s="1"/>
  <c r="E457" i="4"/>
  <c r="F457" i="4" s="1"/>
  <c r="J458" i="3"/>
  <c r="K458" i="3" s="1"/>
  <c r="L458" i="3" s="1"/>
  <c r="F459" i="3"/>
  <c r="D458" i="3"/>
  <c r="H458" i="3" s="1"/>
  <c r="F460" i="3" l="1"/>
  <c r="J459" i="3"/>
  <c r="D459" i="3"/>
  <c r="H459" i="3" s="1"/>
  <c r="S456" i="3"/>
  <c r="T456" i="3" s="1"/>
  <c r="U456" i="3"/>
  <c r="G458" i="3"/>
  <c r="R457" i="3"/>
  <c r="W114" i="3"/>
  <c r="X114" i="3"/>
  <c r="Y114" i="3" s="1"/>
  <c r="Z114" i="3" s="1"/>
  <c r="AA114" i="3" s="1"/>
  <c r="AB114" i="3" s="1"/>
  <c r="I458" i="3"/>
  <c r="D458" i="4" s="1"/>
  <c r="E458" i="4"/>
  <c r="F458" i="4" s="1"/>
  <c r="G459" i="3" l="1"/>
  <c r="R458" i="3"/>
  <c r="E459" i="4"/>
  <c r="F459" i="4" s="1"/>
  <c r="I459" i="3"/>
  <c r="D459" i="4" s="1"/>
  <c r="AC114" i="3"/>
  <c r="AD114" i="3" s="1"/>
  <c r="C114" i="4"/>
  <c r="M115" i="3"/>
  <c r="K459" i="3"/>
  <c r="L459" i="3" s="1"/>
  <c r="D460" i="3"/>
  <c r="H460" i="3" s="1"/>
  <c r="F461" i="3"/>
  <c r="J460" i="3"/>
  <c r="U457" i="3"/>
  <c r="S457" i="3"/>
  <c r="T457" i="3" s="1"/>
  <c r="J461" i="3" l="1"/>
  <c r="F462" i="3"/>
  <c r="D461" i="3"/>
  <c r="H461" i="3" s="1"/>
  <c r="O115" i="3"/>
  <c r="AI115" i="3"/>
  <c r="N115" i="3"/>
  <c r="P115" i="3" s="1"/>
  <c r="Q115" i="3" s="1"/>
  <c r="I460" i="3"/>
  <c r="D460" i="4" s="1"/>
  <c r="E460" i="4"/>
  <c r="F460" i="4" s="1"/>
  <c r="H114" i="4"/>
  <c r="G114" i="4"/>
  <c r="I114" i="4" s="1"/>
  <c r="J114" i="4" s="1"/>
  <c r="U458" i="3"/>
  <c r="S458" i="3"/>
  <c r="T458" i="3" s="1"/>
  <c r="K460" i="3"/>
  <c r="L460" i="3" s="1"/>
  <c r="G460" i="3"/>
  <c r="R459" i="3"/>
  <c r="L115" i="4" l="1"/>
  <c r="V115" i="3"/>
  <c r="I461" i="3"/>
  <c r="D461" i="4" s="1"/>
  <c r="E461" i="4"/>
  <c r="F461" i="4" s="1"/>
  <c r="U459" i="3"/>
  <c r="S459" i="3"/>
  <c r="T459" i="3" s="1"/>
  <c r="D462" i="3"/>
  <c r="H462" i="3" s="1"/>
  <c r="J462" i="3"/>
  <c r="F463" i="3"/>
  <c r="G461" i="3"/>
  <c r="R460" i="3"/>
  <c r="K114" i="4"/>
  <c r="M114" i="4"/>
  <c r="K461" i="3"/>
  <c r="L461" i="3" s="1"/>
  <c r="G462" i="3" l="1"/>
  <c r="R461" i="3"/>
  <c r="E462" i="4"/>
  <c r="F462" i="4" s="1"/>
  <c r="I462" i="3"/>
  <c r="D462" i="4" s="1"/>
  <c r="W115" i="3"/>
  <c r="X115" i="3" s="1"/>
  <c r="Y115" i="3" s="1"/>
  <c r="Z115" i="3" s="1"/>
  <c r="AA115" i="3" s="1"/>
  <c r="AB115" i="3" s="1"/>
  <c r="F464" i="3"/>
  <c r="D463" i="3"/>
  <c r="H463" i="3" s="1"/>
  <c r="J463" i="3"/>
  <c r="K463" i="3" s="1"/>
  <c r="L463" i="3" s="1"/>
  <c r="S460" i="3"/>
  <c r="T460" i="3" s="1"/>
  <c r="U460" i="3"/>
  <c r="K462" i="3"/>
  <c r="L462" i="3" s="1"/>
  <c r="C115" i="4" l="1"/>
  <c r="AC115" i="3"/>
  <c r="AD115" i="3" s="1"/>
  <c r="M116" i="3"/>
  <c r="F465" i="3"/>
  <c r="D464" i="3"/>
  <c r="H464" i="3" s="1"/>
  <c r="J464" i="3"/>
  <c r="K464" i="3" s="1"/>
  <c r="L464" i="3" s="1"/>
  <c r="S461" i="3"/>
  <c r="T461" i="3" s="1"/>
  <c r="U461" i="3"/>
  <c r="I463" i="3"/>
  <c r="D463" i="4" s="1"/>
  <c r="E463" i="4"/>
  <c r="F463" i="4" s="1"/>
  <c r="G463" i="3"/>
  <c r="R462" i="3"/>
  <c r="U462" i="3" l="1"/>
  <c r="S462" i="3"/>
  <c r="T462" i="3" s="1"/>
  <c r="D465" i="3"/>
  <c r="H465" i="3" s="1"/>
  <c r="J465" i="3"/>
  <c r="F466" i="3"/>
  <c r="G464" i="3"/>
  <c r="R463" i="3"/>
  <c r="O116" i="3"/>
  <c r="N116" i="3"/>
  <c r="P116" i="3" s="1"/>
  <c r="Q116" i="3" s="1"/>
  <c r="AI116" i="3"/>
  <c r="I464" i="3"/>
  <c r="D464" i="4" s="1"/>
  <c r="E464" i="4"/>
  <c r="F464" i="4" s="1"/>
  <c r="H115" i="4"/>
  <c r="G115" i="4"/>
  <c r="I115" i="4" s="1"/>
  <c r="J115" i="4" s="1"/>
  <c r="L116" i="4" l="1"/>
  <c r="V116" i="3"/>
  <c r="G465" i="3"/>
  <c r="R464" i="3"/>
  <c r="I465" i="3"/>
  <c r="D465" i="4" s="1"/>
  <c r="E465" i="4"/>
  <c r="F465" i="4" s="1"/>
  <c r="J466" i="3"/>
  <c r="K466" i="3" s="1"/>
  <c r="L466" i="3" s="1"/>
  <c r="F467" i="3"/>
  <c r="D466" i="3"/>
  <c r="H466" i="3" s="1"/>
  <c r="M115" i="4"/>
  <c r="K115" i="4"/>
  <c r="K465" i="3"/>
  <c r="L465" i="3" s="1"/>
  <c r="U463" i="3"/>
  <c r="S463" i="3"/>
  <c r="T463" i="3" s="1"/>
  <c r="F468" i="3" l="1"/>
  <c r="J467" i="3"/>
  <c r="D467" i="3"/>
  <c r="H467" i="3" s="1"/>
  <c r="U464" i="3"/>
  <c r="S464" i="3"/>
  <c r="T464" i="3" s="1"/>
  <c r="G466" i="3"/>
  <c r="R465" i="3"/>
  <c r="W116" i="3"/>
  <c r="X116" i="3"/>
  <c r="Y116" i="3" s="1"/>
  <c r="Z116" i="3" s="1"/>
  <c r="AA116" i="3" s="1"/>
  <c r="AB116" i="3" s="1"/>
  <c r="I466" i="3"/>
  <c r="D466" i="4" s="1"/>
  <c r="E466" i="4"/>
  <c r="F466" i="4" s="1"/>
  <c r="AC116" i="3" l="1"/>
  <c r="AD116" i="3" s="1"/>
  <c r="M117" i="3"/>
  <c r="C116" i="4"/>
  <c r="G467" i="3"/>
  <c r="R466" i="3"/>
  <c r="I467" i="3"/>
  <c r="D467" i="4" s="1"/>
  <c r="E467" i="4"/>
  <c r="F467" i="4" s="1"/>
  <c r="K467" i="3"/>
  <c r="L467" i="3" s="1"/>
  <c r="U465" i="3"/>
  <c r="S465" i="3"/>
  <c r="T465" i="3" s="1"/>
  <c r="J468" i="3"/>
  <c r="K468" i="3" s="1"/>
  <c r="L468" i="3" s="1"/>
  <c r="F469" i="3"/>
  <c r="D468" i="3"/>
  <c r="H468" i="3" s="1"/>
  <c r="G468" i="3" l="1"/>
  <c r="R467" i="3"/>
  <c r="G116" i="4"/>
  <c r="I116" i="4" s="1"/>
  <c r="J116" i="4" s="1"/>
  <c r="H116" i="4"/>
  <c r="I468" i="3"/>
  <c r="D468" i="4" s="1"/>
  <c r="E468" i="4"/>
  <c r="F468" i="4" s="1"/>
  <c r="AI117" i="3"/>
  <c r="N117" i="3"/>
  <c r="O117" i="3"/>
  <c r="F470" i="3"/>
  <c r="J469" i="3"/>
  <c r="D469" i="3"/>
  <c r="H469" i="3" s="1"/>
  <c r="U466" i="3"/>
  <c r="S466" i="3"/>
  <c r="T466" i="3" s="1"/>
  <c r="F471" i="3" l="1"/>
  <c r="D470" i="3"/>
  <c r="H470" i="3" s="1"/>
  <c r="J470" i="3"/>
  <c r="K470" i="3" s="1"/>
  <c r="L470" i="3" s="1"/>
  <c r="S467" i="3"/>
  <c r="T467" i="3" s="1"/>
  <c r="U467" i="3"/>
  <c r="G469" i="3"/>
  <c r="R468" i="3"/>
  <c r="E469" i="4"/>
  <c r="F469" i="4" s="1"/>
  <c r="I469" i="3"/>
  <c r="D469" i="4" s="1"/>
  <c r="P117" i="3"/>
  <c r="Q117" i="3" s="1"/>
  <c r="K469" i="3"/>
  <c r="L469" i="3" s="1"/>
  <c r="M116" i="4"/>
  <c r="K116" i="4"/>
  <c r="S468" i="3" l="1"/>
  <c r="T468" i="3" s="1"/>
  <c r="U468" i="3"/>
  <c r="L117" i="4"/>
  <c r="V117" i="3"/>
  <c r="G470" i="3"/>
  <c r="R469" i="3"/>
  <c r="E470" i="4"/>
  <c r="F470" i="4" s="1"/>
  <c r="I470" i="3"/>
  <c r="D470" i="4" s="1"/>
  <c r="F472" i="3"/>
  <c r="D471" i="3"/>
  <c r="H471" i="3" s="1"/>
  <c r="J471" i="3"/>
  <c r="K471" i="3" s="1"/>
  <c r="L471" i="3" s="1"/>
  <c r="F473" i="3" l="1"/>
  <c r="J472" i="3"/>
  <c r="D472" i="3"/>
  <c r="H472" i="3" s="1"/>
  <c r="S469" i="3"/>
  <c r="T469" i="3" s="1"/>
  <c r="U469" i="3"/>
  <c r="G471" i="3"/>
  <c r="R470" i="3"/>
  <c r="I471" i="3"/>
  <c r="D471" i="4" s="1"/>
  <c r="E471" i="4"/>
  <c r="F471" i="4" s="1"/>
  <c r="W117" i="3"/>
  <c r="X117" i="3" s="1"/>
  <c r="Y117" i="3" s="1"/>
  <c r="Z117" i="3" s="1"/>
  <c r="AA117" i="3" s="1"/>
  <c r="AB117" i="3" s="1"/>
  <c r="AC117" i="3" l="1"/>
  <c r="AD117" i="3" s="1"/>
  <c r="C117" i="4"/>
  <c r="M118" i="3"/>
  <c r="G472" i="3"/>
  <c r="R471" i="3"/>
  <c r="I472" i="3"/>
  <c r="D472" i="4" s="1"/>
  <c r="E472" i="4"/>
  <c r="F472" i="4" s="1"/>
  <c r="K472" i="3"/>
  <c r="L472" i="3" s="1"/>
  <c r="S470" i="3"/>
  <c r="T470" i="3" s="1"/>
  <c r="U470" i="3"/>
  <c r="F474" i="3"/>
  <c r="J473" i="3"/>
  <c r="D473" i="3"/>
  <c r="H473" i="3" s="1"/>
  <c r="F475" i="3" l="1"/>
  <c r="J474" i="3"/>
  <c r="D474" i="3"/>
  <c r="H474" i="3" s="1"/>
  <c r="G473" i="3"/>
  <c r="R472" i="3"/>
  <c r="E473" i="4"/>
  <c r="F473" i="4" s="1"/>
  <c r="I473" i="3"/>
  <c r="D473" i="4" s="1"/>
  <c r="AI118" i="3"/>
  <c r="N118" i="3"/>
  <c r="O118" i="3"/>
  <c r="K473" i="3"/>
  <c r="L473" i="3" s="1"/>
  <c r="G117" i="4"/>
  <c r="I117" i="4" s="1"/>
  <c r="J117" i="4" s="1"/>
  <c r="H117" i="4"/>
  <c r="U471" i="3"/>
  <c r="S471" i="3"/>
  <c r="T471" i="3" s="1"/>
  <c r="I474" i="3" l="1"/>
  <c r="D474" i="4" s="1"/>
  <c r="E474" i="4"/>
  <c r="F474" i="4" s="1"/>
  <c r="P118" i="3"/>
  <c r="Q118" i="3" s="1"/>
  <c r="K117" i="4"/>
  <c r="M117" i="4"/>
  <c r="U472" i="3"/>
  <c r="S472" i="3"/>
  <c r="T472" i="3" s="1"/>
  <c r="K474" i="3"/>
  <c r="L474" i="3" s="1"/>
  <c r="G474" i="3"/>
  <c r="R473" i="3"/>
  <c r="D475" i="3"/>
  <c r="H475" i="3" s="1"/>
  <c r="J475" i="3"/>
  <c r="K475" i="3" s="1"/>
  <c r="L475" i="3" s="1"/>
  <c r="F476" i="3"/>
  <c r="G475" i="3" l="1"/>
  <c r="R474" i="3"/>
  <c r="L118" i="4"/>
  <c r="V118" i="3"/>
  <c r="E475" i="4"/>
  <c r="F475" i="4" s="1"/>
  <c r="I475" i="3"/>
  <c r="D475" i="4" s="1"/>
  <c r="J476" i="3"/>
  <c r="K476" i="3" s="1"/>
  <c r="L476" i="3" s="1"/>
  <c r="F477" i="3"/>
  <c r="D476" i="3"/>
  <c r="H476" i="3" s="1"/>
  <c r="S473" i="3"/>
  <c r="T473" i="3" s="1"/>
  <c r="U473" i="3"/>
  <c r="J477" i="3" l="1"/>
  <c r="F478" i="3"/>
  <c r="D477" i="3"/>
  <c r="H477" i="3" s="1"/>
  <c r="W118" i="3"/>
  <c r="X118" i="3"/>
  <c r="Y118" i="3" s="1"/>
  <c r="Z118" i="3" s="1"/>
  <c r="AA118" i="3" s="1"/>
  <c r="AB118" i="3" s="1"/>
  <c r="U474" i="3"/>
  <c r="S474" i="3"/>
  <c r="T474" i="3" s="1"/>
  <c r="E476" i="4"/>
  <c r="F476" i="4" s="1"/>
  <c r="I476" i="3"/>
  <c r="D476" i="4" s="1"/>
  <c r="G476" i="3"/>
  <c r="R475" i="3"/>
  <c r="AC118" i="3" l="1"/>
  <c r="AD118" i="3" s="1"/>
  <c r="M119" i="3"/>
  <c r="C118" i="4"/>
  <c r="I477" i="3"/>
  <c r="D477" i="4" s="1"/>
  <c r="E477" i="4"/>
  <c r="F477" i="4" s="1"/>
  <c r="S475" i="3"/>
  <c r="T475" i="3" s="1"/>
  <c r="U475" i="3"/>
  <c r="G477" i="3"/>
  <c r="R476" i="3"/>
  <c r="D478" i="3"/>
  <c r="H478" i="3" s="1"/>
  <c r="F479" i="3"/>
  <c r="J478" i="3"/>
  <c r="K478" i="3" s="1"/>
  <c r="L478" i="3" s="1"/>
  <c r="K477" i="3"/>
  <c r="L477" i="3" s="1"/>
  <c r="G478" i="3" l="1"/>
  <c r="R477" i="3"/>
  <c r="J479" i="3"/>
  <c r="F480" i="3"/>
  <c r="D479" i="3"/>
  <c r="H479" i="3" s="1"/>
  <c r="H118" i="4"/>
  <c r="G118" i="4"/>
  <c r="I118" i="4" s="1"/>
  <c r="J118" i="4" s="1"/>
  <c r="E478" i="4"/>
  <c r="F478" i="4" s="1"/>
  <c r="I478" i="3"/>
  <c r="D478" i="4" s="1"/>
  <c r="O119" i="3"/>
  <c r="AI119" i="3"/>
  <c r="N119" i="3"/>
  <c r="S476" i="3"/>
  <c r="T476" i="3" s="1"/>
  <c r="U476" i="3"/>
  <c r="E479" i="4" l="1"/>
  <c r="F479" i="4" s="1"/>
  <c r="I479" i="3"/>
  <c r="D479" i="4" s="1"/>
  <c r="S477" i="3"/>
  <c r="T477" i="3" s="1"/>
  <c r="U477" i="3"/>
  <c r="K118" i="4"/>
  <c r="M118" i="4"/>
  <c r="G479" i="3"/>
  <c r="R478" i="3"/>
  <c r="D480" i="3"/>
  <c r="H480" i="3" s="1"/>
  <c r="J480" i="3"/>
  <c r="K480" i="3" s="1"/>
  <c r="L480" i="3" s="1"/>
  <c r="F481" i="3"/>
  <c r="P119" i="3"/>
  <c r="Q119" i="3" s="1"/>
  <c r="K479" i="3"/>
  <c r="L479" i="3" s="1"/>
  <c r="G480" i="3" l="1"/>
  <c r="R479" i="3"/>
  <c r="I480" i="3"/>
  <c r="D480" i="4" s="1"/>
  <c r="E480" i="4"/>
  <c r="F480" i="4" s="1"/>
  <c r="L119" i="4"/>
  <c r="V119" i="3"/>
  <c r="D481" i="3"/>
  <c r="H481" i="3" s="1"/>
  <c r="J481" i="3"/>
  <c r="K481" i="3" s="1"/>
  <c r="L481" i="3" s="1"/>
  <c r="F482" i="3"/>
  <c r="U478" i="3"/>
  <c r="S478" i="3"/>
  <c r="T478" i="3" s="1"/>
  <c r="U479" i="3" l="1"/>
  <c r="S479" i="3"/>
  <c r="T479" i="3" s="1"/>
  <c r="E481" i="4"/>
  <c r="F481" i="4" s="1"/>
  <c r="I481" i="3"/>
  <c r="D481" i="4" s="1"/>
  <c r="G481" i="3"/>
  <c r="R480" i="3"/>
  <c r="D482" i="3"/>
  <c r="H482" i="3" s="1"/>
  <c r="J482" i="3"/>
  <c r="K482" i="3" s="1"/>
  <c r="L482" i="3" s="1"/>
  <c r="F483" i="3"/>
  <c r="W119" i="3"/>
  <c r="X119" i="3" s="1"/>
  <c r="Y119" i="3" s="1"/>
  <c r="Z119" i="3" s="1"/>
  <c r="AA119" i="3" s="1"/>
  <c r="AB119" i="3" s="1"/>
  <c r="M120" i="3" l="1"/>
  <c r="AC119" i="3"/>
  <c r="AD119" i="3" s="1"/>
  <c r="C119" i="4"/>
  <c r="J483" i="3"/>
  <c r="K483" i="3" s="1"/>
  <c r="L483" i="3" s="1"/>
  <c r="F484" i="3"/>
  <c r="D483" i="3"/>
  <c r="H483" i="3" s="1"/>
  <c r="U480" i="3"/>
  <c r="S480" i="3"/>
  <c r="T480" i="3" s="1"/>
  <c r="G482" i="3"/>
  <c r="R481" i="3"/>
  <c r="I482" i="3"/>
  <c r="D482" i="4" s="1"/>
  <c r="E482" i="4"/>
  <c r="F482" i="4" s="1"/>
  <c r="S481" i="3" l="1"/>
  <c r="T481" i="3" s="1"/>
  <c r="U481" i="3"/>
  <c r="G483" i="3"/>
  <c r="R482" i="3"/>
  <c r="H119" i="4"/>
  <c r="G119" i="4"/>
  <c r="I119" i="4" s="1"/>
  <c r="J119" i="4" s="1"/>
  <c r="I483" i="3"/>
  <c r="D483" i="4" s="1"/>
  <c r="E483" i="4"/>
  <c r="F483" i="4" s="1"/>
  <c r="J484" i="3"/>
  <c r="K484" i="3" s="1"/>
  <c r="L484" i="3" s="1"/>
  <c r="D484" i="3"/>
  <c r="H484" i="3" s="1"/>
  <c r="F485" i="3"/>
  <c r="O120" i="3"/>
  <c r="AI120" i="3"/>
  <c r="N120" i="3"/>
  <c r="G484" i="3" l="1"/>
  <c r="R483" i="3"/>
  <c r="M119" i="4"/>
  <c r="K119" i="4"/>
  <c r="F486" i="3"/>
  <c r="D485" i="3"/>
  <c r="H485" i="3" s="1"/>
  <c r="J485" i="3"/>
  <c r="K485" i="3" s="1"/>
  <c r="L485" i="3" s="1"/>
  <c r="P120" i="3"/>
  <c r="Q120" i="3" s="1"/>
  <c r="I484" i="3"/>
  <c r="D484" i="4" s="1"/>
  <c r="E484" i="4"/>
  <c r="F484" i="4" s="1"/>
  <c r="U482" i="3"/>
  <c r="S482" i="3"/>
  <c r="T482" i="3" s="1"/>
  <c r="L120" i="4" l="1"/>
  <c r="V120" i="3"/>
  <c r="I485" i="3"/>
  <c r="D485" i="4" s="1"/>
  <c r="E485" i="4"/>
  <c r="F485" i="4" s="1"/>
  <c r="F487" i="3"/>
  <c r="J486" i="3"/>
  <c r="D486" i="3"/>
  <c r="H486" i="3" s="1"/>
  <c r="S483" i="3"/>
  <c r="T483" i="3" s="1"/>
  <c r="U483" i="3"/>
  <c r="G485" i="3"/>
  <c r="R484" i="3"/>
  <c r="F488" i="3" l="1"/>
  <c r="D487" i="3"/>
  <c r="H487" i="3" s="1"/>
  <c r="J487" i="3"/>
  <c r="K487" i="3" s="1"/>
  <c r="L487" i="3" s="1"/>
  <c r="U484" i="3"/>
  <c r="S484" i="3"/>
  <c r="T484" i="3" s="1"/>
  <c r="W120" i="3"/>
  <c r="X120" i="3"/>
  <c r="Y120" i="3" s="1"/>
  <c r="Z120" i="3" s="1"/>
  <c r="AA120" i="3" s="1"/>
  <c r="AB120" i="3" s="1"/>
  <c r="G486" i="3"/>
  <c r="R485" i="3"/>
  <c r="I486" i="3"/>
  <c r="D486" i="4" s="1"/>
  <c r="E486" i="4"/>
  <c r="F486" i="4" s="1"/>
  <c r="K486" i="3"/>
  <c r="L486" i="3" s="1"/>
  <c r="C120" i="4" l="1"/>
  <c r="M121" i="3"/>
  <c r="AC120" i="3"/>
  <c r="AD120" i="3" s="1"/>
  <c r="U485" i="3"/>
  <c r="S485" i="3"/>
  <c r="T485" i="3" s="1"/>
  <c r="I487" i="3"/>
  <c r="D487" i="4" s="1"/>
  <c r="E487" i="4"/>
  <c r="F487" i="4" s="1"/>
  <c r="G487" i="3"/>
  <c r="R486" i="3"/>
  <c r="F489" i="3"/>
  <c r="D488" i="3"/>
  <c r="H488" i="3" s="1"/>
  <c r="J488" i="3"/>
  <c r="K488" i="3" s="1"/>
  <c r="L488" i="3" s="1"/>
  <c r="U486" i="3" l="1"/>
  <c r="S486" i="3"/>
  <c r="T486" i="3" s="1"/>
  <c r="I488" i="3"/>
  <c r="D488" i="4" s="1"/>
  <c r="E488" i="4"/>
  <c r="F488" i="4" s="1"/>
  <c r="G488" i="3"/>
  <c r="R487" i="3"/>
  <c r="O121" i="3"/>
  <c r="AI121" i="3"/>
  <c r="N121" i="3"/>
  <c r="P121" i="3" s="1"/>
  <c r="Q121" i="3" s="1"/>
  <c r="F490" i="3"/>
  <c r="D489" i="3"/>
  <c r="H489" i="3" s="1"/>
  <c r="J489" i="3"/>
  <c r="K489" i="3" s="1"/>
  <c r="L489" i="3" s="1"/>
  <c r="G120" i="4"/>
  <c r="I120" i="4" s="1"/>
  <c r="J120" i="4" s="1"/>
  <c r="H120" i="4"/>
  <c r="M120" i="4" l="1"/>
  <c r="K120" i="4"/>
  <c r="D490" i="3"/>
  <c r="H490" i="3" s="1"/>
  <c r="J490" i="3"/>
  <c r="F491" i="3"/>
  <c r="L121" i="4"/>
  <c r="V121" i="3"/>
  <c r="U487" i="3"/>
  <c r="S487" i="3"/>
  <c r="T487" i="3" s="1"/>
  <c r="G489" i="3"/>
  <c r="R488" i="3"/>
  <c r="E489" i="4"/>
  <c r="F489" i="4" s="1"/>
  <c r="I489" i="3"/>
  <c r="D489" i="4" s="1"/>
  <c r="G490" i="3" l="1"/>
  <c r="R489" i="3"/>
  <c r="I490" i="3"/>
  <c r="D490" i="4" s="1"/>
  <c r="E490" i="4"/>
  <c r="F490" i="4" s="1"/>
  <c r="J491" i="3"/>
  <c r="F492" i="3"/>
  <c r="D491" i="3"/>
  <c r="H491" i="3" s="1"/>
  <c r="U488" i="3"/>
  <c r="S488" i="3"/>
  <c r="T488" i="3" s="1"/>
  <c r="X121" i="3"/>
  <c r="Y121" i="3" s="1"/>
  <c r="Z121" i="3" s="1"/>
  <c r="AA121" i="3" s="1"/>
  <c r="AB121" i="3" s="1"/>
  <c r="W121" i="3"/>
  <c r="K490" i="3"/>
  <c r="L490" i="3" s="1"/>
  <c r="AC121" i="3" l="1"/>
  <c r="AD121" i="3" s="1"/>
  <c r="C121" i="4"/>
  <c r="M122" i="3"/>
  <c r="I491" i="3"/>
  <c r="D491" i="4" s="1"/>
  <c r="E491" i="4"/>
  <c r="F491" i="4" s="1"/>
  <c r="D492" i="3"/>
  <c r="H492" i="3" s="1"/>
  <c r="J492" i="3"/>
  <c r="K492" i="3" s="1"/>
  <c r="L492" i="3" s="1"/>
  <c r="F493" i="3"/>
  <c r="K491" i="3"/>
  <c r="L491" i="3" s="1"/>
  <c r="S489" i="3"/>
  <c r="T489" i="3" s="1"/>
  <c r="U489" i="3"/>
  <c r="G491" i="3"/>
  <c r="R490" i="3"/>
  <c r="G492" i="3" l="1"/>
  <c r="R491" i="3"/>
  <c r="N122" i="3"/>
  <c r="O122" i="3"/>
  <c r="AI122" i="3"/>
  <c r="E492" i="4"/>
  <c r="F492" i="4" s="1"/>
  <c r="I492" i="3"/>
  <c r="D492" i="4" s="1"/>
  <c r="G121" i="4"/>
  <c r="I121" i="4" s="1"/>
  <c r="J121" i="4" s="1"/>
  <c r="H121" i="4"/>
  <c r="U490" i="3"/>
  <c r="S490" i="3"/>
  <c r="T490" i="3" s="1"/>
  <c r="D493" i="3"/>
  <c r="H493" i="3" s="1"/>
  <c r="J493" i="3"/>
  <c r="F494" i="3"/>
  <c r="I493" i="3" l="1"/>
  <c r="D493" i="4" s="1"/>
  <c r="E493" i="4"/>
  <c r="F493" i="4" s="1"/>
  <c r="K121" i="4"/>
  <c r="M121" i="4"/>
  <c r="J494" i="3"/>
  <c r="F495" i="3"/>
  <c r="D494" i="3"/>
  <c r="H494" i="3" s="1"/>
  <c r="U491" i="3"/>
  <c r="S491" i="3"/>
  <c r="T491" i="3" s="1"/>
  <c r="K493" i="3"/>
  <c r="L493" i="3" s="1"/>
  <c r="P122" i="3"/>
  <c r="Q122" i="3" s="1"/>
  <c r="G493" i="3"/>
  <c r="R492" i="3"/>
  <c r="I494" i="3" l="1"/>
  <c r="D494" i="4" s="1"/>
  <c r="E494" i="4"/>
  <c r="F494" i="4" s="1"/>
  <c r="S492" i="3"/>
  <c r="T492" i="3" s="1"/>
  <c r="U492" i="3"/>
  <c r="D495" i="3"/>
  <c r="H495" i="3" s="1"/>
  <c r="F496" i="3"/>
  <c r="J495" i="3"/>
  <c r="K495" i="3" s="1"/>
  <c r="L495" i="3" s="1"/>
  <c r="G494" i="3"/>
  <c r="R493" i="3"/>
  <c r="L122" i="4"/>
  <c r="V122" i="3"/>
  <c r="K494" i="3"/>
  <c r="L494" i="3" s="1"/>
  <c r="S493" i="3" l="1"/>
  <c r="T493" i="3" s="1"/>
  <c r="U493" i="3"/>
  <c r="F497" i="3"/>
  <c r="D496" i="3"/>
  <c r="H496" i="3" s="1"/>
  <c r="J496" i="3"/>
  <c r="G495" i="3"/>
  <c r="R494" i="3"/>
  <c r="E495" i="4"/>
  <c r="F495" i="4" s="1"/>
  <c r="I495" i="3"/>
  <c r="D495" i="4" s="1"/>
  <c r="W122" i="3"/>
  <c r="X122" i="3" s="1"/>
  <c r="Y122" i="3" s="1"/>
  <c r="Z122" i="3" s="1"/>
  <c r="AA122" i="3" s="1"/>
  <c r="AB122" i="3" s="1"/>
  <c r="AC122" i="3" l="1"/>
  <c r="AD122" i="3" s="1"/>
  <c r="C122" i="4"/>
  <c r="M123" i="3"/>
  <c r="U494" i="3"/>
  <c r="S494" i="3"/>
  <c r="T494" i="3" s="1"/>
  <c r="G496" i="3"/>
  <c r="R495" i="3"/>
  <c r="I496" i="3"/>
  <c r="D496" i="4" s="1"/>
  <c r="E496" i="4"/>
  <c r="F496" i="4" s="1"/>
  <c r="J497" i="3"/>
  <c r="D497" i="3"/>
  <c r="H497" i="3" s="1"/>
  <c r="F498" i="3"/>
  <c r="K496" i="3"/>
  <c r="L496" i="3" s="1"/>
  <c r="J498" i="3" l="1"/>
  <c r="F499" i="3"/>
  <c r="D498" i="3"/>
  <c r="H498" i="3" s="1"/>
  <c r="I497" i="3"/>
  <c r="D497" i="4" s="1"/>
  <c r="E497" i="4"/>
  <c r="F497" i="4" s="1"/>
  <c r="S495" i="3"/>
  <c r="T495" i="3" s="1"/>
  <c r="U495" i="3"/>
  <c r="N123" i="3"/>
  <c r="P123" i="3" s="1"/>
  <c r="Q123" i="3" s="1"/>
  <c r="AI123" i="3"/>
  <c r="O123" i="3"/>
  <c r="K497" i="3"/>
  <c r="L497" i="3" s="1"/>
  <c r="G497" i="3"/>
  <c r="R496" i="3"/>
  <c r="G122" i="4"/>
  <c r="I122" i="4" s="1"/>
  <c r="J122" i="4" s="1"/>
  <c r="H122" i="4"/>
  <c r="G498" i="3" l="1"/>
  <c r="R497" i="3"/>
  <c r="E498" i="4"/>
  <c r="F498" i="4" s="1"/>
  <c r="I498" i="3"/>
  <c r="D498" i="4" s="1"/>
  <c r="L123" i="4"/>
  <c r="V123" i="3"/>
  <c r="D499" i="3"/>
  <c r="H499" i="3" s="1"/>
  <c r="J499" i="3"/>
  <c r="F500" i="3"/>
  <c r="K122" i="4"/>
  <c r="M122" i="4"/>
  <c r="U496" i="3"/>
  <c r="S496" i="3"/>
  <c r="T496" i="3" s="1"/>
  <c r="K498" i="3"/>
  <c r="L498" i="3" s="1"/>
  <c r="I499" i="3" l="1"/>
  <c r="D499" i="4" s="1"/>
  <c r="E499" i="4"/>
  <c r="F499" i="4" s="1"/>
  <c r="D500" i="3"/>
  <c r="H500" i="3" s="1"/>
  <c r="F501" i="3"/>
  <c r="J500" i="3"/>
  <c r="X123" i="3"/>
  <c r="Y123" i="3" s="1"/>
  <c r="Z123" i="3" s="1"/>
  <c r="AA123" i="3" s="1"/>
  <c r="AB123" i="3" s="1"/>
  <c r="W123" i="3"/>
  <c r="U497" i="3"/>
  <c r="S497" i="3"/>
  <c r="T497" i="3" s="1"/>
  <c r="K499" i="3"/>
  <c r="L499" i="3" s="1"/>
  <c r="G499" i="3"/>
  <c r="R498" i="3"/>
  <c r="U498" i="3" l="1"/>
  <c r="S498" i="3"/>
  <c r="T498" i="3" s="1"/>
  <c r="C123" i="4"/>
  <c r="M124" i="3"/>
  <c r="AC123" i="3"/>
  <c r="AD123" i="3" s="1"/>
  <c r="E500" i="4"/>
  <c r="F500" i="4" s="1"/>
  <c r="I500" i="3"/>
  <c r="D500" i="4" s="1"/>
  <c r="G500" i="3"/>
  <c r="R499" i="3"/>
  <c r="K500" i="3"/>
  <c r="L500" i="3" s="1"/>
  <c r="D501" i="3"/>
  <c r="H501" i="3" s="1"/>
  <c r="F502" i="3"/>
  <c r="J501" i="3"/>
  <c r="K501" i="3" s="1"/>
  <c r="L501" i="3" s="1"/>
  <c r="H123" i="4" l="1"/>
  <c r="G123" i="4"/>
  <c r="I123" i="4" s="1"/>
  <c r="J123" i="4" s="1"/>
  <c r="F503" i="3"/>
  <c r="D502" i="3"/>
  <c r="H502" i="3" s="1"/>
  <c r="J502" i="3"/>
  <c r="K502" i="3" s="1"/>
  <c r="L502" i="3" s="1"/>
  <c r="E501" i="4"/>
  <c r="F501" i="4" s="1"/>
  <c r="I501" i="3"/>
  <c r="D501" i="4" s="1"/>
  <c r="U499" i="3"/>
  <c r="S499" i="3"/>
  <c r="T499" i="3" s="1"/>
  <c r="G501" i="3"/>
  <c r="R500" i="3"/>
  <c r="AI124" i="3"/>
  <c r="O124" i="3"/>
  <c r="N124" i="3"/>
  <c r="F504" i="3" l="1"/>
  <c r="J503" i="3"/>
  <c r="D503" i="3"/>
  <c r="H503" i="3" s="1"/>
  <c r="K123" i="4"/>
  <c r="M123" i="4"/>
  <c r="S500" i="3"/>
  <c r="T500" i="3" s="1"/>
  <c r="U500" i="3"/>
  <c r="P124" i="3"/>
  <c r="Q124" i="3" s="1"/>
  <c r="G502" i="3"/>
  <c r="R501" i="3"/>
  <c r="I502" i="3"/>
  <c r="D502" i="4" s="1"/>
  <c r="E502" i="4"/>
  <c r="F502" i="4" s="1"/>
  <c r="L124" i="4" l="1"/>
  <c r="V124" i="3"/>
  <c r="E503" i="4"/>
  <c r="F503" i="4" s="1"/>
  <c r="I503" i="3"/>
  <c r="D503" i="4" s="1"/>
  <c r="U501" i="3"/>
  <c r="S501" i="3"/>
  <c r="T501" i="3" s="1"/>
  <c r="K503" i="3"/>
  <c r="L503" i="3" s="1"/>
  <c r="G503" i="3"/>
  <c r="R502" i="3"/>
  <c r="J504" i="3"/>
  <c r="K504" i="3" s="1"/>
  <c r="L504" i="3" s="1"/>
  <c r="D504" i="3"/>
  <c r="H504" i="3" s="1"/>
  <c r="F505" i="3"/>
  <c r="D505" i="3" l="1"/>
  <c r="H505" i="3" s="1"/>
  <c r="J505" i="3"/>
  <c r="F506" i="3"/>
  <c r="U502" i="3"/>
  <c r="S502" i="3"/>
  <c r="T502" i="3" s="1"/>
  <c r="W124" i="3"/>
  <c r="X124" i="3" s="1"/>
  <c r="Y124" i="3" s="1"/>
  <c r="Z124" i="3" s="1"/>
  <c r="AA124" i="3" s="1"/>
  <c r="AB124" i="3" s="1"/>
  <c r="I504" i="3"/>
  <c r="D504" i="4" s="1"/>
  <c r="E504" i="4"/>
  <c r="F504" i="4" s="1"/>
  <c r="G504" i="3"/>
  <c r="R503" i="3"/>
  <c r="M125" i="3" l="1"/>
  <c r="AC124" i="3"/>
  <c r="AD124" i="3" s="1"/>
  <c r="C124" i="4"/>
  <c r="E505" i="4"/>
  <c r="F505" i="4" s="1"/>
  <c r="I505" i="3"/>
  <c r="D505" i="4" s="1"/>
  <c r="U503" i="3"/>
  <c r="S503" i="3"/>
  <c r="T503" i="3" s="1"/>
  <c r="D506" i="3"/>
  <c r="H506" i="3" s="1"/>
  <c r="J506" i="3"/>
  <c r="K506" i="3" s="1"/>
  <c r="L506" i="3" s="1"/>
  <c r="F507" i="3"/>
  <c r="G505" i="3"/>
  <c r="R504" i="3"/>
  <c r="K505" i="3"/>
  <c r="L505" i="3" s="1"/>
  <c r="F508" i="3" l="1"/>
  <c r="J507" i="3"/>
  <c r="D507" i="3"/>
  <c r="H507" i="3" s="1"/>
  <c r="G124" i="4"/>
  <c r="I124" i="4" s="1"/>
  <c r="J124" i="4" s="1"/>
  <c r="H124" i="4"/>
  <c r="U504" i="3"/>
  <c r="S504" i="3"/>
  <c r="T504" i="3" s="1"/>
  <c r="G506" i="3"/>
  <c r="R505" i="3"/>
  <c r="I506" i="3"/>
  <c r="D506" i="4" s="1"/>
  <c r="E506" i="4"/>
  <c r="F506" i="4" s="1"/>
  <c r="AI125" i="3"/>
  <c r="N125" i="3"/>
  <c r="O125" i="3"/>
  <c r="G507" i="3" l="1"/>
  <c r="R506" i="3"/>
  <c r="K124" i="4"/>
  <c r="M124" i="4"/>
  <c r="E507" i="4"/>
  <c r="F507" i="4" s="1"/>
  <c r="I507" i="3"/>
  <c r="D507" i="4" s="1"/>
  <c r="K507" i="3"/>
  <c r="L507" i="3" s="1"/>
  <c r="P125" i="3"/>
  <c r="Q125" i="3" s="1"/>
  <c r="S505" i="3"/>
  <c r="T505" i="3" s="1"/>
  <c r="U505" i="3"/>
  <c r="D508" i="3"/>
  <c r="H508" i="3" s="1"/>
  <c r="F509" i="3"/>
  <c r="J508" i="3"/>
  <c r="I508" i="3" l="1"/>
  <c r="D508" i="4" s="1"/>
  <c r="E508" i="4"/>
  <c r="F508" i="4" s="1"/>
  <c r="K508" i="3"/>
  <c r="L508" i="3" s="1"/>
  <c r="S506" i="3"/>
  <c r="T506" i="3" s="1"/>
  <c r="U506" i="3"/>
  <c r="J509" i="3"/>
  <c r="F510" i="3"/>
  <c r="D509" i="3"/>
  <c r="H509" i="3" s="1"/>
  <c r="L125" i="4"/>
  <c r="V125" i="3"/>
  <c r="G508" i="3"/>
  <c r="R507" i="3"/>
  <c r="U507" i="3" l="1"/>
  <c r="S507" i="3"/>
  <c r="T507" i="3" s="1"/>
  <c r="E509" i="4"/>
  <c r="F509" i="4" s="1"/>
  <c r="I509" i="3"/>
  <c r="D509" i="4" s="1"/>
  <c r="G509" i="3"/>
  <c r="R508" i="3"/>
  <c r="W125" i="3"/>
  <c r="X125" i="3" s="1"/>
  <c r="Y125" i="3" s="1"/>
  <c r="Z125" i="3" s="1"/>
  <c r="AA125" i="3" s="1"/>
  <c r="AB125" i="3" s="1"/>
  <c r="D510" i="3"/>
  <c r="H510" i="3" s="1"/>
  <c r="F511" i="3"/>
  <c r="J510" i="3"/>
  <c r="K509" i="3"/>
  <c r="L509" i="3" s="1"/>
  <c r="C125" i="4" l="1"/>
  <c r="M126" i="3"/>
  <c r="AC125" i="3"/>
  <c r="AD125" i="3" s="1"/>
  <c r="U508" i="3"/>
  <c r="S508" i="3"/>
  <c r="T508" i="3" s="1"/>
  <c r="E510" i="4"/>
  <c r="F510" i="4" s="1"/>
  <c r="I510" i="3"/>
  <c r="D510" i="4" s="1"/>
  <c r="G510" i="3"/>
  <c r="R509" i="3"/>
  <c r="K510" i="3"/>
  <c r="L510" i="3" s="1"/>
  <c r="J511" i="3"/>
  <c r="F512" i="3"/>
  <c r="D511" i="3"/>
  <c r="H511" i="3" s="1"/>
  <c r="E511" i="4" l="1"/>
  <c r="F511" i="4" s="1"/>
  <c r="I511" i="3"/>
  <c r="D511" i="4" s="1"/>
  <c r="F513" i="3"/>
  <c r="D512" i="3"/>
  <c r="H512" i="3" s="1"/>
  <c r="J512" i="3"/>
  <c r="K512" i="3" s="1"/>
  <c r="L512" i="3" s="1"/>
  <c r="S509" i="3"/>
  <c r="T509" i="3" s="1"/>
  <c r="U509" i="3"/>
  <c r="N126" i="3"/>
  <c r="P126" i="3" s="1"/>
  <c r="Q126" i="3" s="1"/>
  <c r="AI126" i="3"/>
  <c r="O126" i="3"/>
  <c r="K511" i="3"/>
  <c r="L511" i="3" s="1"/>
  <c r="G511" i="3"/>
  <c r="R510" i="3"/>
  <c r="G125" i="4"/>
  <c r="I125" i="4" s="1"/>
  <c r="J125" i="4" s="1"/>
  <c r="H125" i="4"/>
  <c r="U510" i="3" l="1"/>
  <c r="S510" i="3"/>
  <c r="T510" i="3" s="1"/>
  <c r="G512" i="3"/>
  <c r="R511" i="3"/>
  <c r="L126" i="4"/>
  <c r="V126" i="3"/>
  <c r="E512" i="4"/>
  <c r="F512" i="4" s="1"/>
  <c r="I512" i="3"/>
  <c r="D512" i="4" s="1"/>
  <c r="K125" i="4"/>
  <c r="M125" i="4"/>
  <c r="F514" i="3"/>
  <c r="J513" i="3"/>
  <c r="K513" i="3" s="1"/>
  <c r="L513" i="3" s="1"/>
  <c r="D513" i="3"/>
  <c r="H513" i="3" s="1"/>
  <c r="S511" i="3" l="1"/>
  <c r="T511" i="3" s="1"/>
  <c r="U511" i="3"/>
  <c r="D514" i="3"/>
  <c r="H514" i="3" s="1"/>
  <c r="F515" i="3"/>
  <c r="J514" i="3"/>
  <c r="G513" i="3"/>
  <c r="R512" i="3"/>
  <c r="W126" i="3"/>
  <c r="X126" i="3"/>
  <c r="Y126" i="3" s="1"/>
  <c r="Z126" i="3" s="1"/>
  <c r="AA126" i="3" s="1"/>
  <c r="AB126" i="3" s="1"/>
  <c r="E513" i="4"/>
  <c r="F513" i="4" s="1"/>
  <c r="I513" i="3"/>
  <c r="D513" i="4" s="1"/>
  <c r="G514" i="3" l="1"/>
  <c r="R513" i="3"/>
  <c r="E514" i="4"/>
  <c r="F514" i="4" s="1"/>
  <c r="I514" i="3"/>
  <c r="D514" i="4" s="1"/>
  <c r="AC126" i="3"/>
  <c r="AD126" i="3" s="1"/>
  <c r="M127" i="3"/>
  <c r="C126" i="4"/>
  <c r="K514" i="3"/>
  <c r="L514" i="3" s="1"/>
  <c r="J515" i="3"/>
  <c r="K515" i="3" s="1"/>
  <c r="L515" i="3" s="1"/>
  <c r="F516" i="3"/>
  <c r="D515" i="3"/>
  <c r="H515" i="3" s="1"/>
  <c r="U512" i="3"/>
  <c r="S512" i="3"/>
  <c r="T512" i="3" s="1"/>
  <c r="H126" i="4" l="1"/>
  <c r="G126" i="4"/>
  <c r="I126" i="4" s="1"/>
  <c r="J126" i="4" s="1"/>
  <c r="E515" i="4"/>
  <c r="F515" i="4" s="1"/>
  <c r="I515" i="3"/>
  <c r="D515" i="4" s="1"/>
  <c r="O127" i="3"/>
  <c r="N127" i="3"/>
  <c r="AI127" i="3"/>
  <c r="U513" i="3"/>
  <c r="S513" i="3"/>
  <c r="T513" i="3" s="1"/>
  <c r="D516" i="3"/>
  <c r="H516" i="3" s="1"/>
  <c r="J516" i="3"/>
  <c r="K516" i="3" s="1"/>
  <c r="L516" i="3" s="1"/>
  <c r="F517" i="3"/>
  <c r="G515" i="3"/>
  <c r="R514" i="3"/>
  <c r="J517" i="3" l="1"/>
  <c r="D517" i="3"/>
  <c r="H517" i="3" s="1"/>
  <c r="F518" i="3"/>
  <c r="U514" i="3"/>
  <c r="S514" i="3"/>
  <c r="T514" i="3" s="1"/>
  <c r="G516" i="3"/>
  <c r="R515" i="3"/>
  <c r="I516" i="3"/>
  <c r="D516" i="4" s="1"/>
  <c r="E516" i="4"/>
  <c r="F516" i="4" s="1"/>
  <c r="P127" i="3"/>
  <c r="Q127" i="3" s="1"/>
  <c r="K126" i="4"/>
  <c r="M126" i="4"/>
  <c r="D518" i="3" l="1"/>
  <c r="H518" i="3" s="1"/>
  <c r="J518" i="3"/>
  <c r="K518" i="3" s="1"/>
  <c r="L518" i="3" s="1"/>
  <c r="F519" i="3"/>
  <c r="L127" i="4"/>
  <c r="V127" i="3"/>
  <c r="U515" i="3"/>
  <c r="S515" i="3"/>
  <c r="T515" i="3" s="1"/>
  <c r="I517" i="3"/>
  <c r="D517" i="4" s="1"/>
  <c r="E517" i="4"/>
  <c r="F517" i="4" s="1"/>
  <c r="G517" i="3"/>
  <c r="R516" i="3"/>
  <c r="K517" i="3"/>
  <c r="L517" i="3" s="1"/>
  <c r="S516" i="3" l="1"/>
  <c r="T516" i="3" s="1"/>
  <c r="U516" i="3"/>
  <c r="F520" i="3"/>
  <c r="J519" i="3"/>
  <c r="K519" i="3" s="1"/>
  <c r="L519" i="3" s="1"/>
  <c r="D519" i="3"/>
  <c r="H519" i="3" s="1"/>
  <c r="G518" i="3"/>
  <c r="R517" i="3"/>
  <c r="X127" i="3"/>
  <c r="Y127" i="3" s="1"/>
  <c r="Z127" i="3" s="1"/>
  <c r="AA127" i="3" s="1"/>
  <c r="AB127" i="3" s="1"/>
  <c r="W127" i="3"/>
  <c r="E518" i="4"/>
  <c r="F518" i="4" s="1"/>
  <c r="I518" i="3"/>
  <c r="D518" i="4" s="1"/>
  <c r="M128" i="3" l="1"/>
  <c r="C127" i="4"/>
  <c r="AC127" i="3"/>
  <c r="AD127" i="3" s="1"/>
  <c r="S517" i="3"/>
  <c r="T517" i="3" s="1"/>
  <c r="U517" i="3"/>
  <c r="G519" i="3"/>
  <c r="R518" i="3"/>
  <c r="J520" i="3"/>
  <c r="F521" i="3"/>
  <c r="D520" i="3"/>
  <c r="H520" i="3" s="1"/>
  <c r="I519" i="3"/>
  <c r="D519" i="4" s="1"/>
  <c r="E519" i="4"/>
  <c r="F519" i="4" s="1"/>
  <c r="S518" i="3" l="1"/>
  <c r="T518" i="3" s="1"/>
  <c r="U518" i="3"/>
  <c r="I520" i="3"/>
  <c r="D520" i="4" s="1"/>
  <c r="E520" i="4"/>
  <c r="F520" i="4" s="1"/>
  <c r="G520" i="3"/>
  <c r="R519" i="3"/>
  <c r="F522" i="3"/>
  <c r="J521" i="3"/>
  <c r="K521" i="3" s="1"/>
  <c r="L521" i="3" s="1"/>
  <c r="D521" i="3"/>
  <c r="H521" i="3" s="1"/>
  <c r="H127" i="4"/>
  <c r="G127" i="4"/>
  <c r="I127" i="4" s="1"/>
  <c r="J127" i="4" s="1"/>
  <c r="K520" i="3"/>
  <c r="L520" i="3" s="1"/>
  <c r="N128" i="3"/>
  <c r="O128" i="3"/>
  <c r="AI128" i="3"/>
  <c r="M127" i="4" l="1"/>
  <c r="K127" i="4"/>
  <c r="P128" i="3"/>
  <c r="Q128" i="3" s="1"/>
  <c r="F523" i="3"/>
  <c r="J522" i="3"/>
  <c r="D522" i="3"/>
  <c r="H522" i="3" s="1"/>
  <c r="E521" i="4"/>
  <c r="F521" i="4" s="1"/>
  <c r="I521" i="3"/>
  <c r="D521" i="4" s="1"/>
  <c r="S519" i="3"/>
  <c r="T519" i="3" s="1"/>
  <c r="U519" i="3"/>
  <c r="G521" i="3"/>
  <c r="R520" i="3"/>
  <c r="U520" i="3" l="1"/>
  <c r="S520" i="3"/>
  <c r="T520" i="3" s="1"/>
  <c r="L128" i="4"/>
  <c r="V128" i="3"/>
  <c r="G522" i="3"/>
  <c r="R521" i="3"/>
  <c r="E522" i="4"/>
  <c r="F522" i="4" s="1"/>
  <c r="I522" i="3"/>
  <c r="D522" i="4" s="1"/>
  <c r="K522" i="3"/>
  <c r="L522" i="3" s="1"/>
  <c r="D523" i="3"/>
  <c r="H523" i="3" s="1"/>
  <c r="F524" i="3"/>
  <c r="J523" i="3"/>
  <c r="K523" i="3" s="1"/>
  <c r="L523" i="3" s="1"/>
  <c r="U521" i="3" l="1"/>
  <c r="S521" i="3"/>
  <c r="T521" i="3" s="1"/>
  <c r="J524" i="3"/>
  <c r="K524" i="3" s="1"/>
  <c r="L524" i="3" s="1"/>
  <c r="F525" i="3"/>
  <c r="D524" i="3"/>
  <c r="H524" i="3" s="1"/>
  <c r="G523" i="3"/>
  <c r="R522" i="3"/>
  <c r="E523" i="4"/>
  <c r="F523" i="4" s="1"/>
  <c r="I523" i="3"/>
  <c r="D523" i="4" s="1"/>
  <c r="W128" i="3"/>
  <c r="X128" i="3"/>
  <c r="Y128" i="3" s="1"/>
  <c r="Z128" i="3" s="1"/>
  <c r="AA128" i="3" s="1"/>
  <c r="AB128" i="3" s="1"/>
  <c r="I524" i="3" l="1"/>
  <c r="D524" i="4" s="1"/>
  <c r="E524" i="4"/>
  <c r="F524" i="4" s="1"/>
  <c r="M129" i="3"/>
  <c r="C128" i="4"/>
  <c r="AC128" i="3"/>
  <c r="AD128" i="3" s="1"/>
  <c r="U522" i="3"/>
  <c r="S522" i="3"/>
  <c r="T522" i="3" s="1"/>
  <c r="F526" i="3"/>
  <c r="J525" i="3"/>
  <c r="D525" i="3"/>
  <c r="H525" i="3" s="1"/>
  <c r="G524" i="3"/>
  <c r="R523" i="3"/>
  <c r="I525" i="3" l="1"/>
  <c r="D525" i="4" s="1"/>
  <c r="E525" i="4"/>
  <c r="F525" i="4" s="1"/>
  <c r="O129" i="3"/>
  <c r="N129" i="3"/>
  <c r="P129" i="3" s="1"/>
  <c r="Q129" i="3" s="1"/>
  <c r="AI129" i="3"/>
  <c r="U523" i="3"/>
  <c r="S523" i="3"/>
  <c r="T523" i="3" s="1"/>
  <c r="G525" i="3"/>
  <c r="R524" i="3"/>
  <c r="K525" i="3"/>
  <c r="L525" i="3" s="1"/>
  <c r="J526" i="3"/>
  <c r="F527" i="3"/>
  <c r="D526" i="3"/>
  <c r="H526" i="3" s="1"/>
  <c r="H128" i="4"/>
  <c r="G128" i="4"/>
  <c r="I128" i="4" s="1"/>
  <c r="J128" i="4" s="1"/>
  <c r="L129" i="4" l="1"/>
  <c r="V129" i="3"/>
  <c r="E526" i="4"/>
  <c r="F526" i="4" s="1"/>
  <c r="I526" i="3"/>
  <c r="D526" i="4" s="1"/>
  <c r="M128" i="4"/>
  <c r="K128" i="4"/>
  <c r="D527" i="3"/>
  <c r="H527" i="3" s="1"/>
  <c r="J527" i="3"/>
  <c r="F528" i="3"/>
  <c r="S524" i="3"/>
  <c r="T524" i="3" s="1"/>
  <c r="U524" i="3"/>
  <c r="K526" i="3"/>
  <c r="L526" i="3" s="1"/>
  <c r="G526" i="3"/>
  <c r="R525" i="3"/>
  <c r="G527" i="3" l="1"/>
  <c r="R526" i="3"/>
  <c r="I527" i="3"/>
  <c r="D527" i="4" s="1"/>
  <c r="E527" i="4"/>
  <c r="F527" i="4" s="1"/>
  <c r="D528" i="3"/>
  <c r="H528" i="3" s="1"/>
  <c r="J528" i="3"/>
  <c r="K528" i="3" s="1"/>
  <c r="L528" i="3" s="1"/>
  <c r="F529" i="3"/>
  <c r="K527" i="3"/>
  <c r="L527" i="3" s="1"/>
  <c r="W129" i="3"/>
  <c r="X129" i="3" s="1"/>
  <c r="Y129" i="3" s="1"/>
  <c r="Z129" i="3" s="1"/>
  <c r="AA129" i="3" s="1"/>
  <c r="AB129" i="3" s="1"/>
  <c r="U525" i="3"/>
  <c r="S525" i="3"/>
  <c r="T525" i="3" s="1"/>
  <c r="C129" i="4" l="1"/>
  <c r="AC129" i="3"/>
  <c r="AD129" i="3" s="1"/>
  <c r="M130" i="3"/>
  <c r="E528" i="4"/>
  <c r="F528" i="4" s="1"/>
  <c r="I528" i="3"/>
  <c r="D528" i="4" s="1"/>
  <c r="U526" i="3"/>
  <c r="S526" i="3"/>
  <c r="T526" i="3" s="1"/>
  <c r="J529" i="3"/>
  <c r="D529" i="3"/>
  <c r="H529" i="3" s="1"/>
  <c r="F530" i="3"/>
  <c r="G528" i="3"/>
  <c r="R527" i="3"/>
  <c r="U527" i="3" l="1"/>
  <c r="S527" i="3"/>
  <c r="T527" i="3" s="1"/>
  <c r="I529" i="3"/>
  <c r="D529" i="4" s="1"/>
  <c r="E529" i="4"/>
  <c r="F529" i="4" s="1"/>
  <c r="G529" i="3"/>
  <c r="R528" i="3"/>
  <c r="K529" i="3"/>
  <c r="L529" i="3" s="1"/>
  <c r="AI130" i="3"/>
  <c r="N130" i="3"/>
  <c r="O130" i="3"/>
  <c r="D530" i="3"/>
  <c r="H530" i="3" s="1"/>
  <c r="F531" i="3"/>
  <c r="J530" i="3"/>
  <c r="G129" i="4"/>
  <c r="I129" i="4" s="1"/>
  <c r="J129" i="4" s="1"/>
  <c r="H129" i="4"/>
  <c r="I530" i="3" l="1"/>
  <c r="D530" i="4" s="1"/>
  <c r="E530" i="4"/>
  <c r="F530" i="4" s="1"/>
  <c r="U528" i="3"/>
  <c r="S528" i="3"/>
  <c r="T528" i="3" s="1"/>
  <c r="K530" i="3"/>
  <c r="L530" i="3" s="1"/>
  <c r="P130" i="3"/>
  <c r="Q130" i="3" s="1"/>
  <c r="G530" i="3"/>
  <c r="R529" i="3"/>
  <c r="M129" i="4"/>
  <c r="K129" i="4"/>
  <c r="F532" i="3"/>
  <c r="J531" i="3"/>
  <c r="D531" i="3"/>
  <c r="H531" i="3" s="1"/>
  <c r="F533" i="3" l="1"/>
  <c r="D532" i="3"/>
  <c r="H532" i="3" s="1"/>
  <c r="J532" i="3"/>
  <c r="K532" i="3" s="1"/>
  <c r="L532" i="3" s="1"/>
  <c r="G531" i="3"/>
  <c r="R530" i="3"/>
  <c r="I531" i="3"/>
  <c r="D531" i="4" s="1"/>
  <c r="E531" i="4"/>
  <c r="F531" i="4" s="1"/>
  <c r="L130" i="4"/>
  <c r="V130" i="3"/>
  <c r="K531" i="3"/>
  <c r="L531" i="3" s="1"/>
  <c r="U529" i="3"/>
  <c r="S529" i="3"/>
  <c r="T529" i="3" s="1"/>
  <c r="W130" i="3" l="1"/>
  <c r="X130" i="3" s="1"/>
  <c r="Y130" i="3" s="1"/>
  <c r="Z130" i="3" s="1"/>
  <c r="AA130" i="3" s="1"/>
  <c r="AB130" i="3" s="1"/>
  <c r="S530" i="3"/>
  <c r="T530" i="3" s="1"/>
  <c r="U530" i="3"/>
  <c r="I532" i="3"/>
  <c r="D532" i="4" s="1"/>
  <c r="E532" i="4"/>
  <c r="F532" i="4" s="1"/>
  <c r="G532" i="3"/>
  <c r="R531" i="3"/>
  <c r="F534" i="3"/>
  <c r="D533" i="3"/>
  <c r="H533" i="3" s="1"/>
  <c r="J533" i="3"/>
  <c r="K533" i="3" s="1"/>
  <c r="L533" i="3" s="1"/>
  <c r="M131" i="3" l="1"/>
  <c r="AC130" i="3"/>
  <c r="AD130" i="3" s="1"/>
  <c r="C130" i="4"/>
  <c r="S531" i="3"/>
  <c r="T531" i="3" s="1"/>
  <c r="U531" i="3"/>
  <c r="I533" i="3"/>
  <c r="D533" i="4" s="1"/>
  <c r="E533" i="4"/>
  <c r="F533" i="4" s="1"/>
  <c r="G533" i="3"/>
  <c r="R532" i="3"/>
  <c r="J534" i="3"/>
  <c r="K534" i="3" s="1"/>
  <c r="L534" i="3" s="1"/>
  <c r="F535" i="3"/>
  <c r="D534" i="3"/>
  <c r="H534" i="3" s="1"/>
  <c r="I534" i="3" l="1"/>
  <c r="D534" i="4" s="1"/>
  <c r="E534" i="4"/>
  <c r="F534" i="4" s="1"/>
  <c r="U532" i="3"/>
  <c r="S532" i="3"/>
  <c r="T532" i="3" s="1"/>
  <c r="G130" i="4"/>
  <c r="I130" i="4" s="1"/>
  <c r="J130" i="4" s="1"/>
  <c r="H130" i="4"/>
  <c r="D535" i="3"/>
  <c r="H535" i="3" s="1"/>
  <c r="F536" i="3"/>
  <c r="J535" i="3"/>
  <c r="G534" i="3"/>
  <c r="R533" i="3"/>
  <c r="N131" i="3"/>
  <c r="O131" i="3"/>
  <c r="AI131" i="3"/>
  <c r="G535" i="3" l="1"/>
  <c r="R534" i="3"/>
  <c r="E535" i="4"/>
  <c r="F535" i="4" s="1"/>
  <c r="I535" i="3"/>
  <c r="D535" i="4" s="1"/>
  <c r="P131" i="3"/>
  <c r="Q131" i="3" s="1"/>
  <c r="K535" i="3"/>
  <c r="L535" i="3" s="1"/>
  <c r="J536" i="3"/>
  <c r="F537" i="3"/>
  <c r="D536" i="3"/>
  <c r="H536" i="3" s="1"/>
  <c r="M130" i="4"/>
  <c r="K130" i="4"/>
  <c r="S533" i="3"/>
  <c r="T533" i="3" s="1"/>
  <c r="U533" i="3"/>
  <c r="E536" i="4" l="1"/>
  <c r="F536" i="4" s="1"/>
  <c r="I536" i="3"/>
  <c r="D536" i="4" s="1"/>
  <c r="J537" i="3"/>
  <c r="K537" i="3" s="1"/>
  <c r="L537" i="3" s="1"/>
  <c r="F538" i="3"/>
  <c r="D537" i="3"/>
  <c r="H537" i="3" s="1"/>
  <c r="L131" i="4"/>
  <c r="V131" i="3"/>
  <c r="S534" i="3"/>
  <c r="T534" i="3" s="1"/>
  <c r="U534" i="3"/>
  <c r="K536" i="3"/>
  <c r="L536" i="3" s="1"/>
  <c r="G536" i="3"/>
  <c r="R535" i="3"/>
  <c r="U535" i="3" l="1"/>
  <c r="S535" i="3"/>
  <c r="T535" i="3" s="1"/>
  <c r="G537" i="3"/>
  <c r="R536" i="3"/>
  <c r="E537" i="4"/>
  <c r="F537" i="4" s="1"/>
  <c r="I537" i="3"/>
  <c r="D537" i="4" s="1"/>
  <c r="W131" i="3"/>
  <c r="X131" i="3" s="1"/>
  <c r="Y131" i="3" s="1"/>
  <c r="Z131" i="3" s="1"/>
  <c r="AA131" i="3" s="1"/>
  <c r="AB131" i="3" s="1"/>
  <c r="J538" i="3"/>
  <c r="K538" i="3" s="1"/>
  <c r="L538" i="3" s="1"/>
  <c r="D538" i="3"/>
  <c r="H538" i="3" s="1"/>
  <c r="F539" i="3"/>
  <c r="C131" i="4" l="1"/>
  <c r="M132" i="3"/>
  <c r="AC131" i="3"/>
  <c r="AD131" i="3" s="1"/>
  <c r="D539" i="3"/>
  <c r="H539" i="3" s="1"/>
  <c r="F540" i="3"/>
  <c r="J539" i="3"/>
  <c r="K539" i="3" s="1"/>
  <c r="L539" i="3" s="1"/>
  <c r="U536" i="3"/>
  <c r="S536" i="3"/>
  <c r="T536" i="3" s="1"/>
  <c r="I538" i="3"/>
  <c r="D538" i="4" s="1"/>
  <c r="E538" i="4"/>
  <c r="F538" i="4" s="1"/>
  <c r="G538" i="3"/>
  <c r="R537" i="3"/>
  <c r="D540" i="3" l="1"/>
  <c r="H540" i="3" s="1"/>
  <c r="J540" i="3"/>
  <c r="K540" i="3" s="1"/>
  <c r="L540" i="3" s="1"/>
  <c r="F541" i="3"/>
  <c r="U537" i="3"/>
  <c r="S537" i="3"/>
  <c r="T537" i="3" s="1"/>
  <c r="AI132" i="3"/>
  <c r="O132" i="3"/>
  <c r="N132" i="3"/>
  <c r="P132" i="3" s="1"/>
  <c r="Q132" i="3" s="1"/>
  <c r="G539" i="3"/>
  <c r="R538" i="3"/>
  <c r="E539" i="4"/>
  <c r="F539" i="4" s="1"/>
  <c r="I539" i="3"/>
  <c r="D539" i="4" s="1"/>
  <c r="G131" i="4"/>
  <c r="I131" i="4" s="1"/>
  <c r="J131" i="4" s="1"/>
  <c r="H131" i="4"/>
  <c r="K131" i="4" l="1"/>
  <c r="M131" i="4"/>
  <c r="U538" i="3"/>
  <c r="S538" i="3"/>
  <c r="T538" i="3" s="1"/>
  <c r="G540" i="3"/>
  <c r="R539" i="3"/>
  <c r="L132" i="4"/>
  <c r="V132" i="3"/>
  <c r="E540" i="4"/>
  <c r="F540" i="4" s="1"/>
  <c r="I540" i="3"/>
  <c r="D540" i="4" s="1"/>
  <c r="F542" i="3"/>
  <c r="J541" i="3"/>
  <c r="K541" i="3" s="1"/>
  <c r="L541" i="3" s="1"/>
  <c r="D541" i="3"/>
  <c r="H541" i="3" s="1"/>
  <c r="F543" i="3" l="1"/>
  <c r="J542" i="3"/>
  <c r="D542" i="3"/>
  <c r="H542" i="3" s="1"/>
  <c r="S539" i="3"/>
  <c r="T539" i="3" s="1"/>
  <c r="U539" i="3"/>
  <c r="I541" i="3"/>
  <c r="D541" i="4" s="1"/>
  <c r="E541" i="4"/>
  <c r="F541" i="4" s="1"/>
  <c r="X132" i="3"/>
  <c r="Y132" i="3" s="1"/>
  <c r="Z132" i="3" s="1"/>
  <c r="AA132" i="3" s="1"/>
  <c r="AB132" i="3" s="1"/>
  <c r="W132" i="3"/>
  <c r="G541" i="3"/>
  <c r="R540" i="3"/>
  <c r="M133" i="3" l="1"/>
  <c r="C132" i="4"/>
  <c r="AC132" i="3"/>
  <c r="AD132" i="3" s="1"/>
  <c r="E542" i="4"/>
  <c r="F542" i="4" s="1"/>
  <c r="I542" i="3"/>
  <c r="D542" i="4" s="1"/>
  <c r="U540" i="3"/>
  <c r="S540" i="3"/>
  <c r="T540" i="3" s="1"/>
  <c r="K542" i="3"/>
  <c r="L542" i="3" s="1"/>
  <c r="G542" i="3"/>
  <c r="R541" i="3"/>
  <c r="F544" i="3"/>
  <c r="J543" i="3"/>
  <c r="K543" i="3" s="1"/>
  <c r="L543" i="3" s="1"/>
  <c r="D543" i="3"/>
  <c r="H543" i="3" s="1"/>
  <c r="J544" i="3" l="1"/>
  <c r="K544" i="3" s="1"/>
  <c r="L544" i="3" s="1"/>
  <c r="F545" i="3"/>
  <c r="D544" i="3"/>
  <c r="H544" i="3" s="1"/>
  <c r="U541" i="3"/>
  <c r="S541" i="3"/>
  <c r="T541" i="3" s="1"/>
  <c r="H132" i="4"/>
  <c r="G132" i="4"/>
  <c r="I132" i="4" s="1"/>
  <c r="J132" i="4" s="1"/>
  <c r="E543" i="4"/>
  <c r="F543" i="4" s="1"/>
  <c r="I543" i="3"/>
  <c r="D543" i="4" s="1"/>
  <c r="G543" i="3"/>
  <c r="R542" i="3"/>
  <c r="O133" i="3"/>
  <c r="AI133" i="3"/>
  <c r="N133" i="3"/>
  <c r="D545" i="3" l="1"/>
  <c r="H545" i="3" s="1"/>
  <c r="J545" i="3"/>
  <c r="K545" i="3" s="1"/>
  <c r="L545" i="3" s="1"/>
  <c r="F546" i="3"/>
  <c r="S542" i="3"/>
  <c r="T542" i="3" s="1"/>
  <c r="U542" i="3"/>
  <c r="K132" i="4"/>
  <c r="M132" i="4"/>
  <c r="P133" i="3"/>
  <c r="Q133" i="3" s="1"/>
  <c r="G544" i="3"/>
  <c r="R543" i="3"/>
  <c r="I544" i="3"/>
  <c r="D544" i="4" s="1"/>
  <c r="E544" i="4"/>
  <c r="F544" i="4" s="1"/>
  <c r="G545" i="3" l="1"/>
  <c r="R544" i="3"/>
  <c r="D546" i="3"/>
  <c r="H546" i="3" s="1"/>
  <c r="F547" i="3"/>
  <c r="J546" i="3"/>
  <c r="L133" i="4"/>
  <c r="V133" i="3"/>
  <c r="U543" i="3"/>
  <c r="S543" i="3"/>
  <c r="T543" i="3" s="1"/>
  <c r="I545" i="3"/>
  <c r="D545" i="4" s="1"/>
  <c r="E545" i="4"/>
  <c r="F545" i="4" s="1"/>
  <c r="W133" i="3" l="1"/>
  <c r="X133" i="3"/>
  <c r="Y133" i="3" s="1"/>
  <c r="Z133" i="3" s="1"/>
  <c r="AA133" i="3" s="1"/>
  <c r="AB133" i="3" s="1"/>
  <c r="I546" i="3"/>
  <c r="D546" i="4" s="1"/>
  <c r="E546" i="4"/>
  <c r="F546" i="4" s="1"/>
  <c r="K546" i="3"/>
  <c r="L546" i="3" s="1"/>
  <c r="S544" i="3"/>
  <c r="T544" i="3" s="1"/>
  <c r="U544" i="3"/>
  <c r="J547" i="3"/>
  <c r="D547" i="3"/>
  <c r="H547" i="3" s="1"/>
  <c r="F548" i="3"/>
  <c r="G546" i="3"/>
  <c r="R545" i="3"/>
  <c r="I547" i="3" l="1"/>
  <c r="D547" i="4" s="1"/>
  <c r="E547" i="4"/>
  <c r="F547" i="4" s="1"/>
  <c r="S545" i="3"/>
  <c r="T545" i="3" s="1"/>
  <c r="U545" i="3"/>
  <c r="G547" i="3"/>
  <c r="R546" i="3"/>
  <c r="K547" i="3"/>
  <c r="L547" i="3" s="1"/>
  <c r="AC133" i="3"/>
  <c r="AD133" i="3" s="1"/>
  <c r="C133" i="4"/>
  <c r="M134" i="3"/>
  <c r="D548" i="3"/>
  <c r="H548" i="3" s="1"/>
  <c r="F549" i="3"/>
  <c r="J548" i="3"/>
  <c r="I548" i="3" l="1"/>
  <c r="D548" i="4" s="1"/>
  <c r="E548" i="4"/>
  <c r="F548" i="4" s="1"/>
  <c r="K548" i="3"/>
  <c r="L548" i="3" s="1"/>
  <c r="O134" i="3"/>
  <c r="AI134" i="3"/>
  <c r="N134" i="3"/>
  <c r="P134" i="3" s="1"/>
  <c r="Q134" i="3" s="1"/>
  <c r="S546" i="3"/>
  <c r="T546" i="3" s="1"/>
  <c r="U546" i="3"/>
  <c r="F550" i="3"/>
  <c r="D549" i="3"/>
  <c r="H549" i="3" s="1"/>
  <c r="J549" i="3"/>
  <c r="G133" i="4"/>
  <c r="I133" i="4" s="1"/>
  <c r="J133" i="4" s="1"/>
  <c r="H133" i="4"/>
  <c r="G548" i="3"/>
  <c r="R547" i="3"/>
  <c r="E549" i="4" l="1"/>
  <c r="F549" i="4" s="1"/>
  <c r="I549" i="3"/>
  <c r="D549" i="4" s="1"/>
  <c r="L134" i="4"/>
  <c r="V134" i="3"/>
  <c r="M133" i="4"/>
  <c r="K133" i="4"/>
  <c r="F551" i="3"/>
  <c r="D550" i="3"/>
  <c r="H550" i="3" s="1"/>
  <c r="J550" i="3"/>
  <c r="U547" i="3"/>
  <c r="S547" i="3"/>
  <c r="T547" i="3" s="1"/>
  <c r="K549" i="3"/>
  <c r="L549" i="3" s="1"/>
  <c r="G549" i="3"/>
  <c r="R548" i="3"/>
  <c r="U548" i="3" l="1"/>
  <c r="S548" i="3"/>
  <c r="T548" i="3" s="1"/>
  <c r="E550" i="4"/>
  <c r="F550" i="4" s="1"/>
  <c r="I550" i="3"/>
  <c r="D550" i="4" s="1"/>
  <c r="W134" i="3"/>
  <c r="X134" i="3" s="1"/>
  <c r="Y134" i="3" s="1"/>
  <c r="Z134" i="3" s="1"/>
  <c r="AA134" i="3" s="1"/>
  <c r="AB134" i="3" s="1"/>
  <c r="G550" i="3"/>
  <c r="R549" i="3"/>
  <c r="J551" i="3"/>
  <c r="K551" i="3" s="1"/>
  <c r="L551" i="3" s="1"/>
  <c r="F552" i="3"/>
  <c r="D551" i="3"/>
  <c r="H551" i="3" s="1"/>
  <c r="K550" i="3"/>
  <c r="L550" i="3" s="1"/>
  <c r="AC134" i="3" l="1"/>
  <c r="AD134" i="3" s="1"/>
  <c r="M135" i="3"/>
  <c r="C134" i="4"/>
  <c r="D552" i="3"/>
  <c r="H552" i="3" s="1"/>
  <c r="J552" i="3"/>
  <c r="K552" i="3" s="1"/>
  <c r="L552" i="3" s="1"/>
  <c r="F553" i="3"/>
  <c r="U549" i="3"/>
  <c r="S549" i="3"/>
  <c r="T549" i="3" s="1"/>
  <c r="G551" i="3"/>
  <c r="R550" i="3"/>
  <c r="I551" i="3"/>
  <c r="D551" i="4" s="1"/>
  <c r="E551" i="4"/>
  <c r="F551" i="4" s="1"/>
  <c r="S550" i="3" l="1"/>
  <c r="T550" i="3" s="1"/>
  <c r="U550" i="3"/>
  <c r="J553" i="3"/>
  <c r="K553" i="3" s="1"/>
  <c r="L553" i="3" s="1"/>
  <c r="F554" i="3"/>
  <c r="D553" i="3"/>
  <c r="H553" i="3" s="1"/>
  <c r="G552" i="3"/>
  <c r="R551" i="3"/>
  <c r="H134" i="4"/>
  <c r="G134" i="4"/>
  <c r="I134" i="4" s="1"/>
  <c r="J134" i="4" s="1"/>
  <c r="N135" i="3"/>
  <c r="P135" i="3" s="1"/>
  <c r="Q135" i="3" s="1"/>
  <c r="AI135" i="3"/>
  <c r="O135" i="3"/>
  <c r="I552" i="3"/>
  <c r="D552" i="4" s="1"/>
  <c r="E552" i="4"/>
  <c r="F552" i="4" s="1"/>
  <c r="L135" i="4" l="1"/>
  <c r="V135" i="3"/>
  <c r="S551" i="3"/>
  <c r="T551" i="3" s="1"/>
  <c r="U551" i="3"/>
  <c r="K134" i="4"/>
  <c r="M134" i="4"/>
  <c r="G553" i="3"/>
  <c r="R552" i="3"/>
  <c r="E553" i="4"/>
  <c r="F553" i="4" s="1"/>
  <c r="I553" i="3"/>
  <c r="D553" i="4" s="1"/>
  <c r="F555" i="3"/>
  <c r="D554" i="3"/>
  <c r="H554" i="3" s="1"/>
  <c r="J554" i="3"/>
  <c r="K554" i="3" s="1"/>
  <c r="L554" i="3" s="1"/>
  <c r="U552" i="3" l="1"/>
  <c r="S552" i="3"/>
  <c r="T552" i="3" s="1"/>
  <c r="G554" i="3"/>
  <c r="R553" i="3"/>
  <c r="E554" i="4"/>
  <c r="F554" i="4" s="1"/>
  <c r="I554" i="3"/>
  <c r="D554" i="4" s="1"/>
  <c r="W135" i="3"/>
  <c r="X135" i="3"/>
  <c r="Y135" i="3" s="1"/>
  <c r="Z135" i="3" s="1"/>
  <c r="AA135" i="3" s="1"/>
  <c r="AB135" i="3" s="1"/>
  <c r="J555" i="3"/>
  <c r="K555" i="3" s="1"/>
  <c r="L555" i="3" s="1"/>
  <c r="F556" i="3"/>
  <c r="D555" i="3"/>
  <c r="H555" i="3" s="1"/>
  <c r="E555" i="4" l="1"/>
  <c r="F555" i="4" s="1"/>
  <c r="I555" i="3"/>
  <c r="D555" i="4" s="1"/>
  <c r="C135" i="4"/>
  <c r="AC135" i="3"/>
  <c r="AD135" i="3" s="1"/>
  <c r="M136" i="3"/>
  <c r="U553" i="3"/>
  <c r="S553" i="3"/>
  <c r="T553" i="3" s="1"/>
  <c r="D556" i="3"/>
  <c r="H556" i="3" s="1"/>
  <c r="J556" i="3"/>
  <c r="K556" i="3" s="1"/>
  <c r="L556" i="3" s="1"/>
  <c r="F557" i="3"/>
  <c r="G555" i="3"/>
  <c r="R554" i="3"/>
  <c r="G135" i="4" l="1"/>
  <c r="I135" i="4" s="1"/>
  <c r="J135" i="4" s="1"/>
  <c r="H135" i="4"/>
  <c r="F558" i="3"/>
  <c r="D557" i="3"/>
  <c r="H557" i="3" s="1"/>
  <c r="J557" i="3"/>
  <c r="S554" i="3"/>
  <c r="T554" i="3" s="1"/>
  <c r="U554" i="3"/>
  <c r="AI136" i="3"/>
  <c r="O136" i="3"/>
  <c r="N136" i="3"/>
  <c r="G556" i="3"/>
  <c r="R555" i="3"/>
  <c r="I556" i="3"/>
  <c r="D556" i="4" s="1"/>
  <c r="E556" i="4"/>
  <c r="F556" i="4" s="1"/>
  <c r="I557" i="3" l="1"/>
  <c r="D557" i="4" s="1"/>
  <c r="E557" i="4"/>
  <c r="F557" i="4" s="1"/>
  <c r="S555" i="3"/>
  <c r="T555" i="3" s="1"/>
  <c r="U555" i="3"/>
  <c r="F559" i="3"/>
  <c r="J558" i="3"/>
  <c r="D558" i="3"/>
  <c r="H558" i="3" s="1"/>
  <c r="G557" i="3"/>
  <c r="R556" i="3"/>
  <c r="K557" i="3"/>
  <c r="L557" i="3" s="1"/>
  <c r="P136" i="3"/>
  <c r="Q136" i="3" s="1"/>
  <c r="K135" i="4"/>
  <c r="M135" i="4"/>
  <c r="L136" i="4" l="1"/>
  <c r="V136" i="3"/>
  <c r="I558" i="3"/>
  <c r="D558" i="4" s="1"/>
  <c r="E558" i="4"/>
  <c r="F558" i="4" s="1"/>
  <c r="S556" i="3"/>
  <c r="T556" i="3" s="1"/>
  <c r="U556" i="3"/>
  <c r="K558" i="3"/>
  <c r="L558" i="3" s="1"/>
  <c r="G558" i="3"/>
  <c r="R557" i="3"/>
  <c r="D559" i="3"/>
  <c r="H559" i="3" s="1"/>
  <c r="J559" i="3"/>
  <c r="K559" i="3" s="1"/>
  <c r="L559" i="3" s="1"/>
  <c r="F560" i="3"/>
  <c r="U557" i="3" l="1"/>
  <c r="S557" i="3"/>
  <c r="T557" i="3" s="1"/>
  <c r="F561" i="3"/>
  <c r="J560" i="3"/>
  <c r="D560" i="3"/>
  <c r="H560" i="3" s="1"/>
  <c r="G559" i="3"/>
  <c r="R558" i="3"/>
  <c r="X136" i="3"/>
  <c r="Y136" i="3" s="1"/>
  <c r="Z136" i="3" s="1"/>
  <c r="AA136" i="3" s="1"/>
  <c r="AB136" i="3" s="1"/>
  <c r="W136" i="3"/>
  <c r="I559" i="3"/>
  <c r="D559" i="4" s="1"/>
  <c r="E559" i="4"/>
  <c r="F559" i="4" s="1"/>
  <c r="M137" i="3" l="1"/>
  <c r="C136" i="4"/>
  <c r="AC136" i="3"/>
  <c r="AD136" i="3" s="1"/>
  <c r="G560" i="3"/>
  <c r="R559" i="3"/>
  <c r="J561" i="3"/>
  <c r="D561" i="3"/>
  <c r="H561" i="3" s="1"/>
  <c r="F562" i="3"/>
  <c r="E560" i="4"/>
  <c r="F560" i="4" s="1"/>
  <c r="I560" i="3"/>
  <c r="D560" i="4" s="1"/>
  <c r="S558" i="3"/>
  <c r="T558" i="3" s="1"/>
  <c r="U558" i="3"/>
  <c r="K560" i="3"/>
  <c r="L560" i="3" s="1"/>
  <c r="I561" i="3" l="1"/>
  <c r="D561" i="4" s="1"/>
  <c r="E561" i="4"/>
  <c r="F561" i="4" s="1"/>
  <c r="G561" i="3"/>
  <c r="R560" i="3"/>
  <c r="K561" i="3"/>
  <c r="L561" i="3" s="1"/>
  <c r="G136" i="4"/>
  <c r="I136" i="4" s="1"/>
  <c r="J136" i="4" s="1"/>
  <c r="H136" i="4"/>
  <c r="J562" i="3"/>
  <c r="D562" i="3"/>
  <c r="H562" i="3" s="1"/>
  <c r="F563" i="3"/>
  <c r="U559" i="3"/>
  <c r="S559" i="3"/>
  <c r="T559" i="3" s="1"/>
  <c r="AI137" i="3"/>
  <c r="O137" i="3"/>
  <c r="N137" i="3"/>
  <c r="P137" i="3" s="1"/>
  <c r="Q137" i="3" s="1"/>
  <c r="E562" i="4" l="1"/>
  <c r="F562" i="4" s="1"/>
  <c r="I562" i="3"/>
  <c r="D562" i="4" s="1"/>
  <c r="U560" i="3"/>
  <c r="S560" i="3"/>
  <c r="T560" i="3" s="1"/>
  <c r="K136" i="4"/>
  <c r="M136" i="4"/>
  <c r="G562" i="3"/>
  <c r="R561" i="3"/>
  <c r="L137" i="4"/>
  <c r="V137" i="3"/>
  <c r="K562" i="3"/>
  <c r="L562" i="3" s="1"/>
  <c r="D563" i="3"/>
  <c r="H563" i="3" s="1"/>
  <c r="J563" i="3"/>
  <c r="K563" i="3" s="1"/>
  <c r="L563" i="3" s="1"/>
  <c r="F564" i="3"/>
  <c r="D564" i="3" l="1"/>
  <c r="H564" i="3" s="1"/>
  <c r="F565" i="3"/>
  <c r="J564" i="3"/>
  <c r="K564" i="3" s="1"/>
  <c r="L564" i="3" s="1"/>
  <c r="U561" i="3"/>
  <c r="S561" i="3"/>
  <c r="T561" i="3" s="1"/>
  <c r="G563" i="3"/>
  <c r="R562" i="3"/>
  <c r="E563" i="4"/>
  <c r="F563" i="4" s="1"/>
  <c r="I563" i="3"/>
  <c r="D563" i="4" s="1"/>
  <c r="W137" i="3"/>
  <c r="X137" i="3"/>
  <c r="Y137" i="3" s="1"/>
  <c r="Z137" i="3" s="1"/>
  <c r="AA137" i="3" s="1"/>
  <c r="AB137" i="3" s="1"/>
  <c r="AC137" i="3" l="1"/>
  <c r="AD137" i="3" s="1"/>
  <c r="M138" i="3"/>
  <c r="C137" i="4"/>
  <c r="U562" i="3"/>
  <c r="S562" i="3"/>
  <c r="T562" i="3" s="1"/>
  <c r="F566" i="3"/>
  <c r="J565" i="3"/>
  <c r="D565" i="3"/>
  <c r="H565" i="3" s="1"/>
  <c r="G564" i="3"/>
  <c r="R563" i="3"/>
  <c r="I564" i="3"/>
  <c r="D564" i="4" s="1"/>
  <c r="E564" i="4"/>
  <c r="F564" i="4" s="1"/>
  <c r="G565" i="3" l="1"/>
  <c r="R564" i="3"/>
  <c r="D566" i="3"/>
  <c r="H566" i="3" s="1"/>
  <c r="F567" i="3"/>
  <c r="J566" i="3"/>
  <c r="H137" i="4"/>
  <c r="G137" i="4"/>
  <c r="I137" i="4" s="1"/>
  <c r="J137" i="4" s="1"/>
  <c r="E565" i="4"/>
  <c r="F565" i="4" s="1"/>
  <c r="I565" i="3"/>
  <c r="D565" i="4" s="1"/>
  <c r="N138" i="3"/>
  <c r="P138" i="3" s="1"/>
  <c r="Q138" i="3" s="1"/>
  <c r="AI138" i="3"/>
  <c r="O138" i="3"/>
  <c r="S563" i="3"/>
  <c r="T563" i="3" s="1"/>
  <c r="U563" i="3"/>
  <c r="K565" i="3"/>
  <c r="L565" i="3" s="1"/>
  <c r="K137" i="4" l="1"/>
  <c r="M137" i="4"/>
  <c r="D567" i="3"/>
  <c r="H567" i="3" s="1"/>
  <c r="J567" i="3"/>
  <c r="F568" i="3"/>
  <c r="L138" i="4"/>
  <c r="V138" i="3"/>
  <c r="I566" i="3"/>
  <c r="D566" i="4" s="1"/>
  <c r="E566" i="4"/>
  <c r="F566" i="4" s="1"/>
  <c r="K566" i="3"/>
  <c r="L566" i="3" s="1"/>
  <c r="S564" i="3"/>
  <c r="T564" i="3" s="1"/>
  <c r="U564" i="3"/>
  <c r="G566" i="3"/>
  <c r="R565" i="3"/>
  <c r="I567" i="3" l="1"/>
  <c r="D567" i="4" s="1"/>
  <c r="E567" i="4"/>
  <c r="F567" i="4" s="1"/>
  <c r="F569" i="3"/>
  <c r="D568" i="3"/>
  <c r="H568" i="3" s="1"/>
  <c r="J568" i="3"/>
  <c r="K568" i="3" s="1"/>
  <c r="L568" i="3" s="1"/>
  <c r="S565" i="3"/>
  <c r="T565" i="3" s="1"/>
  <c r="U565" i="3"/>
  <c r="W138" i="3"/>
  <c r="X138" i="3" s="1"/>
  <c r="Y138" i="3" s="1"/>
  <c r="Z138" i="3" s="1"/>
  <c r="AA138" i="3" s="1"/>
  <c r="AB138" i="3" s="1"/>
  <c r="K567" i="3"/>
  <c r="L567" i="3" s="1"/>
  <c r="G567" i="3"/>
  <c r="R566" i="3"/>
  <c r="M139" i="3" l="1"/>
  <c r="AC138" i="3"/>
  <c r="AD138" i="3" s="1"/>
  <c r="C138" i="4"/>
  <c r="D569" i="3"/>
  <c r="H569" i="3" s="1"/>
  <c r="F570" i="3"/>
  <c r="J569" i="3"/>
  <c r="K569" i="3" s="1"/>
  <c r="L569" i="3" s="1"/>
  <c r="U566" i="3"/>
  <c r="S566" i="3"/>
  <c r="T566" i="3" s="1"/>
  <c r="G568" i="3"/>
  <c r="R567" i="3"/>
  <c r="E568" i="4"/>
  <c r="F568" i="4" s="1"/>
  <c r="I568" i="3"/>
  <c r="D568" i="4" s="1"/>
  <c r="G569" i="3" l="1"/>
  <c r="R568" i="3"/>
  <c r="H138" i="4"/>
  <c r="G138" i="4"/>
  <c r="I138" i="4" s="1"/>
  <c r="J138" i="4" s="1"/>
  <c r="D570" i="3"/>
  <c r="H570" i="3" s="1"/>
  <c r="J570" i="3"/>
  <c r="F571" i="3"/>
  <c r="U567" i="3"/>
  <c r="S567" i="3"/>
  <c r="T567" i="3" s="1"/>
  <c r="E569" i="4"/>
  <c r="F569" i="4" s="1"/>
  <c r="I569" i="3"/>
  <c r="D569" i="4" s="1"/>
  <c r="AI139" i="3"/>
  <c r="O139" i="3"/>
  <c r="N139" i="3"/>
  <c r="E570" i="4" l="1"/>
  <c r="F570" i="4" s="1"/>
  <c r="I570" i="3"/>
  <c r="D570" i="4" s="1"/>
  <c r="F572" i="3"/>
  <c r="D571" i="3"/>
  <c r="H571" i="3" s="1"/>
  <c r="J571" i="3"/>
  <c r="K571" i="3" s="1"/>
  <c r="L571" i="3" s="1"/>
  <c r="U568" i="3"/>
  <c r="S568" i="3"/>
  <c r="T568" i="3" s="1"/>
  <c r="P139" i="3"/>
  <c r="Q139" i="3" s="1"/>
  <c r="K570" i="3"/>
  <c r="L570" i="3" s="1"/>
  <c r="M138" i="4"/>
  <c r="K138" i="4"/>
  <c r="G570" i="3"/>
  <c r="R569" i="3"/>
  <c r="U569" i="3" l="1"/>
  <c r="S569" i="3"/>
  <c r="T569" i="3" s="1"/>
  <c r="J572" i="3"/>
  <c r="K572" i="3" s="1"/>
  <c r="L572" i="3" s="1"/>
  <c r="D572" i="3"/>
  <c r="H572" i="3" s="1"/>
  <c r="F573" i="3"/>
  <c r="G571" i="3"/>
  <c r="R570" i="3"/>
  <c r="L139" i="4"/>
  <c r="V139" i="3"/>
  <c r="I571" i="3"/>
  <c r="D571" i="4" s="1"/>
  <c r="E571" i="4"/>
  <c r="F571" i="4" s="1"/>
  <c r="G572" i="3" l="1"/>
  <c r="R571" i="3"/>
  <c r="W139" i="3"/>
  <c r="X139" i="3" s="1"/>
  <c r="Y139" i="3" s="1"/>
  <c r="Z139" i="3" s="1"/>
  <c r="AA139" i="3" s="1"/>
  <c r="AB139" i="3" s="1"/>
  <c r="D573" i="3"/>
  <c r="H573" i="3" s="1"/>
  <c r="F574" i="3"/>
  <c r="J573" i="3"/>
  <c r="S570" i="3"/>
  <c r="T570" i="3" s="1"/>
  <c r="U570" i="3"/>
  <c r="E572" i="4"/>
  <c r="F572" i="4" s="1"/>
  <c r="I572" i="3"/>
  <c r="D572" i="4" s="1"/>
  <c r="AC139" i="3" l="1"/>
  <c r="AD139" i="3" s="1"/>
  <c r="M140" i="3"/>
  <c r="C139" i="4"/>
  <c r="D574" i="3"/>
  <c r="H574" i="3" s="1"/>
  <c r="F575" i="3"/>
  <c r="J574" i="3"/>
  <c r="I573" i="3"/>
  <c r="D573" i="4" s="1"/>
  <c r="E573" i="4"/>
  <c r="F573" i="4" s="1"/>
  <c r="U571" i="3"/>
  <c r="S571" i="3"/>
  <c r="T571" i="3" s="1"/>
  <c r="K573" i="3"/>
  <c r="L573" i="3" s="1"/>
  <c r="G573" i="3"/>
  <c r="R572" i="3"/>
  <c r="S572" i="3" l="1"/>
  <c r="T572" i="3" s="1"/>
  <c r="U572" i="3"/>
  <c r="E574" i="4"/>
  <c r="F574" i="4" s="1"/>
  <c r="I574" i="3"/>
  <c r="D574" i="4" s="1"/>
  <c r="G574" i="3"/>
  <c r="R573" i="3"/>
  <c r="K574" i="3"/>
  <c r="L574" i="3" s="1"/>
  <c r="H139" i="4"/>
  <c r="G139" i="4"/>
  <c r="I139" i="4" s="1"/>
  <c r="J139" i="4" s="1"/>
  <c r="F576" i="3"/>
  <c r="D575" i="3"/>
  <c r="H575" i="3" s="1"/>
  <c r="J575" i="3"/>
  <c r="K575" i="3" s="1"/>
  <c r="L575" i="3" s="1"/>
  <c r="AI140" i="3"/>
  <c r="O140" i="3"/>
  <c r="N140" i="3"/>
  <c r="P140" i="3" s="1"/>
  <c r="Q140" i="3" s="1"/>
  <c r="U573" i="3" l="1"/>
  <c r="S573" i="3"/>
  <c r="T573" i="3" s="1"/>
  <c r="L140" i="4"/>
  <c r="V140" i="3"/>
  <c r="E575" i="4"/>
  <c r="F575" i="4" s="1"/>
  <c r="I575" i="3"/>
  <c r="D575" i="4" s="1"/>
  <c r="K139" i="4"/>
  <c r="M139" i="4"/>
  <c r="G575" i="3"/>
  <c r="R574" i="3"/>
  <c r="F577" i="3"/>
  <c r="J576" i="3"/>
  <c r="D576" i="3"/>
  <c r="H576" i="3" s="1"/>
  <c r="E576" i="4" l="1"/>
  <c r="F576" i="4" s="1"/>
  <c r="I576" i="3"/>
  <c r="D576" i="4" s="1"/>
  <c r="K576" i="3"/>
  <c r="L576" i="3" s="1"/>
  <c r="U574" i="3"/>
  <c r="S574" i="3"/>
  <c r="T574" i="3" s="1"/>
  <c r="G576" i="3"/>
  <c r="R575" i="3"/>
  <c r="F578" i="3"/>
  <c r="J577" i="3"/>
  <c r="D577" i="3"/>
  <c r="H577" i="3" s="1"/>
  <c r="W140" i="3"/>
  <c r="X140" i="3" s="1"/>
  <c r="Y140" i="3" s="1"/>
  <c r="Z140" i="3" s="1"/>
  <c r="AA140" i="3" s="1"/>
  <c r="AB140" i="3" s="1"/>
  <c r="AC140" i="3" l="1"/>
  <c r="AD140" i="3" s="1"/>
  <c r="C140" i="4"/>
  <c r="M141" i="3"/>
  <c r="I577" i="3"/>
  <c r="D577" i="4" s="1"/>
  <c r="E577" i="4"/>
  <c r="F577" i="4" s="1"/>
  <c r="S575" i="3"/>
  <c r="T575" i="3" s="1"/>
  <c r="U575" i="3"/>
  <c r="K577" i="3"/>
  <c r="L577" i="3" s="1"/>
  <c r="G577" i="3"/>
  <c r="R576" i="3"/>
  <c r="F579" i="3"/>
  <c r="J578" i="3"/>
  <c r="D578" i="3"/>
  <c r="H578" i="3" s="1"/>
  <c r="E578" i="4" l="1"/>
  <c r="F578" i="4" s="1"/>
  <c r="I578" i="3"/>
  <c r="D578" i="4" s="1"/>
  <c r="U576" i="3"/>
  <c r="S576" i="3"/>
  <c r="T576" i="3" s="1"/>
  <c r="K578" i="3"/>
  <c r="L578" i="3" s="1"/>
  <c r="G578" i="3"/>
  <c r="R577" i="3"/>
  <c r="AI141" i="3"/>
  <c r="N141" i="3"/>
  <c r="O141" i="3"/>
  <c r="D579" i="3"/>
  <c r="H579" i="3" s="1"/>
  <c r="F580" i="3"/>
  <c r="J579" i="3"/>
  <c r="H140" i="4"/>
  <c r="G140" i="4"/>
  <c r="I140" i="4" s="1"/>
  <c r="J140" i="4" s="1"/>
  <c r="I579" i="3" l="1"/>
  <c r="D579" i="4" s="1"/>
  <c r="E579" i="4"/>
  <c r="F579" i="4" s="1"/>
  <c r="U577" i="3"/>
  <c r="S577" i="3"/>
  <c r="T577" i="3" s="1"/>
  <c r="K140" i="4"/>
  <c r="M140" i="4"/>
  <c r="K579" i="3"/>
  <c r="L579" i="3" s="1"/>
  <c r="G579" i="3"/>
  <c r="R578" i="3"/>
  <c r="J580" i="3"/>
  <c r="K580" i="3" s="1"/>
  <c r="L580" i="3" s="1"/>
  <c r="F581" i="3"/>
  <c r="D580" i="3"/>
  <c r="H580" i="3" s="1"/>
  <c r="P141" i="3"/>
  <c r="Q141" i="3" s="1"/>
  <c r="G580" i="3" l="1"/>
  <c r="R579" i="3"/>
  <c r="L141" i="4"/>
  <c r="V141" i="3"/>
  <c r="I580" i="3"/>
  <c r="D580" i="4" s="1"/>
  <c r="E580" i="4"/>
  <c r="F580" i="4" s="1"/>
  <c r="F582" i="3"/>
  <c r="J581" i="3"/>
  <c r="K581" i="3" s="1"/>
  <c r="L581" i="3" s="1"/>
  <c r="D581" i="3"/>
  <c r="H581" i="3" s="1"/>
  <c r="S578" i="3"/>
  <c r="T578" i="3" s="1"/>
  <c r="U578" i="3"/>
  <c r="W141" i="3" l="1"/>
  <c r="X141" i="3"/>
  <c r="Y141" i="3" s="1"/>
  <c r="Z141" i="3" s="1"/>
  <c r="AA141" i="3" s="1"/>
  <c r="AB141" i="3" s="1"/>
  <c r="F583" i="3"/>
  <c r="D582" i="3"/>
  <c r="H582" i="3" s="1"/>
  <c r="J582" i="3"/>
  <c r="K582" i="3" s="1"/>
  <c r="L582" i="3" s="1"/>
  <c r="S579" i="3"/>
  <c r="T579" i="3" s="1"/>
  <c r="U579" i="3"/>
  <c r="E581" i="4"/>
  <c r="F581" i="4" s="1"/>
  <c r="I581" i="3"/>
  <c r="D581" i="4" s="1"/>
  <c r="G581" i="3"/>
  <c r="R580" i="3"/>
  <c r="C141" i="4" l="1"/>
  <c r="M142" i="3"/>
  <c r="AC141" i="3"/>
  <c r="AD141" i="3" s="1"/>
  <c r="S580" i="3"/>
  <c r="T580" i="3" s="1"/>
  <c r="U580" i="3"/>
  <c r="G582" i="3"/>
  <c r="R581" i="3"/>
  <c r="I582" i="3"/>
  <c r="D582" i="4" s="1"/>
  <c r="E582" i="4"/>
  <c r="F582" i="4" s="1"/>
  <c r="J583" i="3"/>
  <c r="D583" i="3"/>
  <c r="H583" i="3" s="1"/>
  <c r="F584" i="3"/>
  <c r="G583" i="3" l="1"/>
  <c r="R582" i="3"/>
  <c r="F585" i="3"/>
  <c r="J584" i="3"/>
  <c r="D584" i="3"/>
  <c r="H584" i="3" s="1"/>
  <c r="I583" i="3"/>
  <c r="D583" i="4" s="1"/>
  <c r="E583" i="4"/>
  <c r="F583" i="4" s="1"/>
  <c r="N142" i="3"/>
  <c r="AI142" i="3"/>
  <c r="O142" i="3"/>
  <c r="K583" i="3"/>
  <c r="L583" i="3" s="1"/>
  <c r="U581" i="3"/>
  <c r="S581" i="3"/>
  <c r="T581" i="3" s="1"/>
  <c r="H141" i="4"/>
  <c r="G141" i="4"/>
  <c r="I141" i="4" s="1"/>
  <c r="J141" i="4" s="1"/>
  <c r="F586" i="3" l="1"/>
  <c r="J585" i="3"/>
  <c r="D585" i="3"/>
  <c r="H585" i="3" s="1"/>
  <c r="E584" i="4"/>
  <c r="F584" i="4" s="1"/>
  <c r="I584" i="3"/>
  <c r="D584" i="4" s="1"/>
  <c r="S582" i="3"/>
  <c r="T582" i="3" s="1"/>
  <c r="U582" i="3"/>
  <c r="K141" i="4"/>
  <c r="M141" i="4"/>
  <c r="P142" i="3"/>
  <c r="Q142" i="3" s="1"/>
  <c r="K584" i="3"/>
  <c r="L584" i="3" s="1"/>
  <c r="G584" i="3"/>
  <c r="R583" i="3"/>
  <c r="U583" i="3" l="1"/>
  <c r="S583" i="3"/>
  <c r="T583" i="3" s="1"/>
  <c r="I585" i="3"/>
  <c r="D585" i="4" s="1"/>
  <c r="E585" i="4"/>
  <c r="F585" i="4" s="1"/>
  <c r="G585" i="3"/>
  <c r="R584" i="3"/>
  <c r="K585" i="3"/>
  <c r="L585" i="3" s="1"/>
  <c r="J586" i="3"/>
  <c r="F587" i="3"/>
  <c r="D586" i="3"/>
  <c r="H586" i="3" s="1"/>
  <c r="L142" i="4"/>
  <c r="V142" i="3"/>
  <c r="E586" i="4" l="1"/>
  <c r="F586" i="4" s="1"/>
  <c r="I586" i="3"/>
  <c r="D586" i="4" s="1"/>
  <c r="D587" i="3"/>
  <c r="H587" i="3" s="1"/>
  <c r="F588" i="3"/>
  <c r="J587" i="3"/>
  <c r="X142" i="3"/>
  <c r="Y142" i="3" s="1"/>
  <c r="Z142" i="3" s="1"/>
  <c r="AA142" i="3" s="1"/>
  <c r="AB142" i="3" s="1"/>
  <c r="W142" i="3"/>
  <c r="U584" i="3"/>
  <c r="S584" i="3"/>
  <c r="T584" i="3" s="1"/>
  <c r="K586" i="3"/>
  <c r="L586" i="3" s="1"/>
  <c r="G586" i="3"/>
  <c r="R585" i="3"/>
  <c r="C142" i="4" l="1"/>
  <c r="M143" i="3"/>
  <c r="AC142" i="3"/>
  <c r="AD142" i="3" s="1"/>
  <c r="I587" i="3"/>
  <c r="D587" i="4" s="1"/>
  <c r="E587" i="4"/>
  <c r="F587" i="4" s="1"/>
  <c r="U585" i="3"/>
  <c r="S585" i="3"/>
  <c r="T585" i="3" s="1"/>
  <c r="K587" i="3"/>
  <c r="L587" i="3" s="1"/>
  <c r="G587" i="3"/>
  <c r="R586" i="3"/>
  <c r="J588" i="3"/>
  <c r="F589" i="3"/>
  <c r="D588" i="3"/>
  <c r="H588" i="3" s="1"/>
  <c r="S586" i="3" l="1"/>
  <c r="T586" i="3" s="1"/>
  <c r="U586" i="3"/>
  <c r="E588" i="4"/>
  <c r="F588" i="4" s="1"/>
  <c r="I588" i="3"/>
  <c r="D588" i="4" s="1"/>
  <c r="G588" i="3"/>
  <c r="R587" i="3"/>
  <c r="AI143" i="3"/>
  <c r="O143" i="3"/>
  <c r="N143" i="3"/>
  <c r="P143" i="3" s="1"/>
  <c r="Q143" i="3" s="1"/>
  <c r="J589" i="3"/>
  <c r="K589" i="3" s="1"/>
  <c r="L589" i="3" s="1"/>
  <c r="F590" i="3"/>
  <c r="D589" i="3"/>
  <c r="H589" i="3" s="1"/>
  <c r="H142" i="4"/>
  <c r="G142" i="4"/>
  <c r="I142" i="4" s="1"/>
  <c r="J142" i="4" s="1"/>
  <c r="K588" i="3"/>
  <c r="L588" i="3" s="1"/>
  <c r="E589" i="4" l="1"/>
  <c r="F589" i="4" s="1"/>
  <c r="I589" i="3"/>
  <c r="D589" i="4" s="1"/>
  <c r="L143" i="4"/>
  <c r="V143" i="3"/>
  <c r="U587" i="3"/>
  <c r="S587" i="3"/>
  <c r="T587" i="3" s="1"/>
  <c r="K142" i="4"/>
  <c r="M142" i="4"/>
  <c r="D590" i="3"/>
  <c r="H590" i="3" s="1"/>
  <c r="J590" i="3"/>
  <c r="F591" i="3"/>
  <c r="G589" i="3"/>
  <c r="R588" i="3"/>
  <c r="G590" i="3" l="1"/>
  <c r="R589" i="3"/>
  <c r="I590" i="3"/>
  <c r="D590" i="4" s="1"/>
  <c r="E590" i="4"/>
  <c r="F590" i="4" s="1"/>
  <c r="F592" i="3"/>
  <c r="D591" i="3"/>
  <c r="H591" i="3" s="1"/>
  <c r="J591" i="3"/>
  <c r="K591" i="3" s="1"/>
  <c r="L591" i="3" s="1"/>
  <c r="K590" i="3"/>
  <c r="L590" i="3" s="1"/>
  <c r="W143" i="3"/>
  <c r="X143" i="3" s="1"/>
  <c r="Y143" i="3" s="1"/>
  <c r="Z143" i="3" s="1"/>
  <c r="AA143" i="3" s="1"/>
  <c r="AB143" i="3" s="1"/>
  <c r="U588" i="3"/>
  <c r="S588" i="3"/>
  <c r="T588" i="3" s="1"/>
  <c r="AC143" i="3" l="1"/>
  <c r="AD143" i="3" s="1"/>
  <c r="M144" i="3"/>
  <c r="C143" i="4"/>
  <c r="I591" i="3"/>
  <c r="D591" i="4" s="1"/>
  <c r="E591" i="4"/>
  <c r="F591" i="4" s="1"/>
  <c r="S589" i="3"/>
  <c r="T589" i="3" s="1"/>
  <c r="U589" i="3"/>
  <c r="D592" i="3"/>
  <c r="H592" i="3" s="1"/>
  <c r="F593" i="3"/>
  <c r="J592" i="3"/>
  <c r="G591" i="3"/>
  <c r="R590" i="3"/>
  <c r="G592" i="3" l="1"/>
  <c r="R591" i="3"/>
  <c r="I592" i="3"/>
  <c r="D592" i="4" s="1"/>
  <c r="E592" i="4"/>
  <c r="F592" i="4" s="1"/>
  <c r="H143" i="4"/>
  <c r="G143" i="4"/>
  <c r="I143" i="4" s="1"/>
  <c r="J143" i="4" s="1"/>
  <c r="K592" i="3"/>
  <c r="L592" i="3" s="1"/>
  <c r="N144" i="3"/>
  <c r="P144" i="3" s="1"/>
  <c r="Q144" i="3" s="1"/>
  <c r="O144" i="3"/>
  <c r="AI144" i="3"/>
  <c r="U590" i="3"/>
  <c r="S590" i="3"/>
  <c r="T590" i="3" s="1"/>
  <c r="F594" i="3"/>
  <c r="D593" i="3"/>
  <c r="H593" i="3" s="1"/>
  <c r="J593" i="3"/>
  <c r="K593" i="3" s="1"/>
  <c r="L593" i="3" s="1"/>
  <c r="L144" i="4" l="1"/>
  <c r="V144" i="3"/>
  <c r="I593" i="3"/>
  <c r="D593" i="4" s="1"/>
  <c r="E593" i="4"/>
  <c r="F593" i="4" s="1"/>
  <c r="M143" i="4"/>
  <c r="K143" i="4"/>
  <c r="S591" i="3"/>
  <c r="T591" i="3" s="1"/>
  <c r="U591" i="3"/>
  <c r="D594" i="3"/>
  <c r="H594" i="3" s="1"/>
  <c r="F595" i="3"/>
  <c r="J594" i="3"/>
  <c r="K594" i="3" s="1"/>
  <c r="L594" i="3" s="1"/>
  <c r="G593" i="3"/>
  <c r="R592" i="3"/>
  <c r="J595" i="3" l="1"/>
  <c r="F596" i="3"/>
  <c r="D595" i="3"/>
  <c r="H595" i="3" s="1"/>
  <c r="U592" i="3"/>
  <c r="S592" i="3"/>
  <c r="T592" i="3" s="1"/>
  <c r="W144" i="3"/>
  <c r="X144" i="3" s="1"/>
  <c r="Y144" i="3" s="1"/>
  <c r="Z144" i="3" s="1"/>
  <c r="AA144" i="3" s="1"/>
  <c r="AB144" i="3" s="1"/>
  <c r="G594" i="3"/>
  <c r="R593" i="3"/>
  <c r="E594" i="4"/>
  <c r="F594" i="4" s="1"/>
  <c r="I594" i="3"/>
  <c r="D594" i="4" s="1"/>
  <c r="AC144" i="3" l="1"/>
  <c r="AD144" i="3" s="1"/>
  <c r="C144" i="4"/>
  <c r="M145" i="3"/>
  <c r="S593" i="3"/>
  <c r="T593" i="3" s="1"/>
  <c r="U593" i="3"/>
  <c r="I595" i="3"/>
  <c r="D595" i="4" s="1"/>
  <c r="E595" i="4"/>
  <c r="F595" i="4" s="1"/>
  <c r="G595" i="3"/>
  <c r="R594" i="3"/>
  <c r="D596" i="3"/>
  <c r="H596" i="3" s="1"/>
  <c r="J596" i="3"/>
  <c r="F597" i="3"/>
  <c r="K595" i="3"/>
  <c r="L595" i="3" s="1"/>
  <c r="G596" i="3" l="1"/>
  <c r="R595" i="3"/>
  <c r="E596" i="4"/>
  <c r="F596" i="4" s="1"/>
  <c r="I596" i="3"/>
  <c r="D596" i="4" s="1"/>
  <c r="N145" i="3"/>
  <c r="AI145" i="3"/>
  <c r="O145" i="3"/>
  <c r="J597" i="3"/>
  <c r="F598" i="3"/>
  <c r="D597" i="3"/>
  <c r="H597" i="3" s="1"/>
  <c r="H144" i="4"/>
  <c r="G144" i="4"/>
  <c r="I144" i="4" s="1"/>
  <c r="J144" i="4" s="1"/>
  <c r="K596" i="3"/>
  <c r="L596" i="3" s="1"/>
  <c r="U594" i="3"/>
  <c r="S594" i="3"/>
  <c r="T594" i="3" s="1"/>
  <c r="E597" i="4" l="1"/>
  <c r="F597" i="4" s="1"/>
  <c r="I597" i="3"/>
  <c r="D597" i="4" s="1"/>
  <c r="F599" i="3"/>
  <c r="J598" i="3"/>
  <c r="D598" i="3"/>
  <c r="H598" i="3" s="1"/>
  <c r="S595" i="3"/>
  <c r="T595" i="3" s="1"/>
  <c r="U595" i="3"/>
  <c r="M144" i="4"/>
  <c r="K144" i="4"/>
  <c r="P145" i="3"/>
  <c r="Q145" i="3" s="1"/>
  <c r="G597" i="3"/>
  <c r="R596" i="3"/>
  <c r="K597" i="3"/>
  <c r="L597" i="3" s="1"/>
  <c r="S596" i="3" l="1"/>
  <c r="T596" i="3" s="1"/>
  <c r="U596" i="3"/>
  <c r="G598" i="3"/>
  <c r="R597" i="3"/>
  <c r="E598" i="4"/>
  <c r="F598" i="4" s="1"/>
  <c r="I598" i="3"/>
  <c r="D598" i="4" s="1"/>
  <c r="L145" i="4"/>
  <c r="V145" i="3"/>
  <c r="K598" i="3"/>
  <c r="L598" i="3" s="1"/>
  <c r="J599" i="3"/>
  <c r="D599" i="3"/>
  <c r="H599" i="3" s="1"/>
  <c r="F600" i="3"/>
  <c r="W145" i="3" l="1"/>
  <c r="X145" i="3"/>
  <c r="Y145" i="3" s="1"/>
  <c r="Z145" i="3" s="1"/>
  <c r="AA145" i="3" s="1"/>
  <c r="AB145" i="3" s="1"/>
  <c r="S597" i="3"/>
  <c r="T597" i="3" s="1"/>
  <c r="U597" i="3"/>
  <c r="D600" i="3"/>
  <c r="H600" i="3" s="1"/>
  <c r="F601" i="3"/>
  <c r="J600" i="3"/>
  <c r="K600" i="3" s="1"/>
  <c r="L600" i="3" s="1"/>
  <c r="G599" i="3"/>
  <c r="R598" i="3"/>
  <c r="I599" i="3"/>
  <c r="D599" i="4" s="1"/>
  <c r="E599" i="4"/>
  <c r="F599" i="4" s="1"/>
  <c r="K599" i="3"/>
  <c r="L599" i="3" s="1"/>
  <c r="U598" i="3" l="1"/>
  <c r="S598" i="3"/>
  <c r="T598" i="3" s="1"/>
  <c r="J601" i="3"/>
  <c r="K601" i="3" s="1"/>
  <c r="L601" i="3" s="1"/>
  <c r="D601" i="3"/>
  <c r="H601" i="3" s="1"/>
  <c r="F602" i="3"/>
  <c r="C145" i="4"/>
  <c r="M146" i="3"/>
  <c r="AC145" i="3"/>
  <c r="AD145" i="3" s="1"/>
  <c r="G600" i="3"/>
  <c r="R599" i="3"/>
  <c r="E600" i="4"/>
  <c r="F600" i="4" s="1"/>
  <c r="I600" i="3"/>
  <c r="D600" i="4" s="1"/>
  <c r="O146" i="3" l="1"/>
  <c r="N146" i="3"/>
  <c r="P146" i="3" s="1"/>
  <c r="Q146" i="3" s="1"/>
  <c r="AI146" i="3"/>
  <c r="U599" i="3"/>
  <c r="S599" i="3"/>
  <c r="T599" i="3" s="1"/>
  <c r="H145" i="4"/>
  <c r="G145" i="4"/>
  <c r="I145" i="4" s="1"/>
  <c r="J145" i="4" s="1"/>
  <c r="G601" i="3"/>
  <c r="R600" i="3"/>
  <c r="D602" i="3"/>
  <c r="H602" i="3" s="1"/>
  <c r="J602" i="3"/>
  <c r="K602" i="3" s="1"/>
  <c r="L602" i="3" s="1"/>
  <c r="F603" i="3"/>
  <c r="E601" i="4"/>
  <c r="F601" i="4" s="1"/>
  <c r="I601" i="3"/>
  <c r="D601" i="4" s="1"/>
  <c r="I602" i="3" l="1"/>
  <c r="D602" i="4" s="1"/>
  <c r="E602" i="4"/>
  <c r="F602" i="4" s="1"/>
  <c r="M145" i="4"/>
  <c r="K145" i="4"/>
  <c r="S600" i="3"/>
  <c r="T600" i="3" s="1"/>
  <c r="U600" i="3"/>
  <c r="L146" i="4"/>
  <c r="V146" i="3"/>
  <c r="D603" i="3"/>
  <c r="H603" i="3" s="1"/>
  <c r="F604" i="3"/>
  <c r="J603" i="3"/>
  <c r="G602" i="3"/>
  <c r="R601" i="3"/>
  <c r="G603" i="3" l="1"/>
  <c r="R602" i="3"/>
  <c r="E603" i="4"/>
  <c r="F603" i="4" s="1"/>
  <c r="I603" i="3"/>
  <c r="D603" i="4" s="1"/>
  <c r="K603" i="3"/>
  <c r="L603" i="3" s="1"/>
  <c r="J604" i="3"/>
  <c r="K604" i="3" s="1"/>
  <c r="L604" i="3" s="1"/>
  <c r="F605" i="3"/>
  <c r="D604" i="3"/>
  <c r="H604" i="3" s="1"/>
  <c r="W146" i="3"/>
  <c r="X146" i="3" s="1"/>
  <c r="Y146" i="3" s="1"/>
  <c r="Z146" i="3" s="1"/>
  <c r="AA146" i="3" s="1"/>
  <c r="AB146" i="3" s="1"/>
  <c r="U601" i="3"/>
  <c r="S601" i="3"/>
  <c r="T601" i="3" s="1"/>
  <c r="M147" i="3" l="1"/>
  <c r="AC146" i="3"/>
  <c r="AD146" i="3" s="1"/>
  <c r="C146" i="4"/>
  <c r="F606" i="3"/>
  <c r="J605" i="3"/>
  <c r="D605" i="3"/>
  <c r="H605" i="3" s="1"/>
  <c r="U602" i="3"/>
  <c r="S602" i="3"/>
  <c r="T602" i="3" s="1"/>
  <c r="E604" i="4"/>
  <c r="F604" i="4" s="1"/>
  <c r="I604" i="3"/>
  <c r="D604" i="4" s="1"/>
  <c r="G604" i="3"/>
  <c r="R603" i="3"/>
  <c r="G605" i="3" l="1"/>
  <c r="R604" i="3"/>
  <c r="D606" i="3"/>
  <c r="H606" i="3" s="1"/>
  <c r="J606" i="3"/>
  <c r="K606" i="3" s="1"/>
  <c r="L606" i="3" s="1"/>
  <c r="F607" i="3"/>
  <c r="I605" i="3"/>
  <c r="D605" i="4" s="1"/>
  <c r="E605" i="4"/>
  <c r="F605" i="4" s="1"/>
  <c r="H146" i="4"/>
  <c r="G146" i="4"/>
  <c r="I146" i="4" s="1"/>
  <c r="J146" i="4" s="1"/>
  <c r="K605" i="3"/>
  <c r="L605" i="3" s="1"/>
  <c r="U603" i="3"/>
  <c r="S603" i="3"/>
  <c r="T603" i="3" s="1"/>
  <c r="AI147" i="3"/>
  <c r="O147" i="3"/>
  <c r="N147" i="3"/>
  <c r="P147" i="3" s="1"/>
  <c r="Q147" i="3" s="1"/>
  <c r="M146" i="4" l="1"/>
  <c r="K146" i="4"/>
  <c r="I606" i="3"/>
  <c r="D606" i="4" s="1"/>
  <c r="E606" i="4"/>
  <c r="F606" i="4" s="1"/>
  <c r="L147" i="4"/>
  <c r="V147" i="3"/>
  <c r="S604" i="3"/>
  <c r="T604" i="3" s="1"/>
  <c r="U604" i="3"/>
  <c r="J607" i="3"/>
  <c r="D607" i="3"/>
  <c r="H607" i="3" s="1"/>
  <c r="F608" i="3"/>
  <c r="G606" i="3"/>
  <c r="R605" i="3"/>
  <c r="G607" i="3" l="1"/>
  <c r="R606" i="3"/>
  <c r="W147" i="3"/>
  <c r="X147" i="3" s="1"/>
  <c r="Y147" i="3" s="1"/>
  <c r="Z147" i="3" s="1"/>
  <c r="AA147" i="3" s="1"/>
  <c r="AB147" i="3" s="1"/>
  <c r="J608" i="3"/>
  <c r="F609" i="3"/>
  <c r="D608" i="3"/>
  <c r="H608" i="3" s="1"/>
  <c r="I607" i="3"/>
  <c r="D607" i="4" s="1"/>
  <c r="E607" i="4"/>
  <c r="F607" i="4" s="1"/>
  <c r="S605" i="3"/>
  <c r="T605" i="3" s="1"/>
  <c r="U605" i="3"/>
  <c r="K607" i="3"/>
  <c r="L607" i="3" s="1"/>
  <c r="AC147" i="3" l="1"/>
  <c r="AD147" i="3" s="1"/>
  <c r="C147" i="4"/>
  <c r="M148" i="3"/>
  <c r="I608" i="3"/>
  <c r="D608" i="4" s="1"/>
  <c r="E608" i="4"/>
  <c r="F608" i="4" s="1"/>
  <c r="F610" i="3"/>
  <c r="D609" i="3"/>
  <c r="H609" i="3" s="1"/>
  <c r="J609" i="3"/>
  <c r="K609" i="3" s="1"/>
  <c r="L609" i="3" s="1"/>
  <c r="U606" i="3"/>
  <c r="S606" i="3"/>
  <c r="T606" i="3" s="1"/>
  <c r="K608" i="3"/>
  <c r="L608" i="3" s="1"/>
  <c r="G608" i="3"/>
  <c r="R607" i="3"/>
  <c r="G609" i="3" l="1"/>
  <c r="R608" i="3"/>
  <c r="F611" i="3"/>
  <c r="J610" i="3"/>
  <c r="D610" i="3"/>
  <c r="H610" i="3" s="1"/>
  <c r="N148" i="3"/>
  <c r="P148" i="3" s="1"/>
  <c r="Q148" i="3" s="1"/>
  <c r="AI148" i="3"/>
  <c r="O148" i="3"/>
  <c r="H147" i="4"/>
  <c r="G147" i="4"/>
  <c r="I147" i="4" s="1"/>
  <c r="J147" i="4" s="1"/>
  <c r="I609" i="3"/>
  <c r="D609" i="4" s="1"/>
  <c r="E609" i="4"/>
  <c r="F609" i="4" s="1"/>
  <c r="S607" i="3"/>
  <c r="T607" i="3" s="1"/>
  <c r="U607" i="3"/>
  <c r="L148" i="4" l="1"/>
  <c r="V148" i="3"/>
  <c r="F612" i="3"/>
  <c r="D611" i="3"/>
  <c r="H611" i="3" s="1"/>
  <c r="J611" i="3"/>
  <c r="M147" i="4"/>
  <c r="K147" i="4"/>
  <c r="E610" i="4"/>
  <c r="F610" i="4" s="1"/>
  <c r="I610" i="3"/>
  <c r="D610" i="4" s="1"/>
  <c r="S608" i="3"/>
  <c r="T608" i="3" s="1"/>
  <c r="U608" i="3"/>
  <c r="K610" i="3"/>
  <c r="L610" i="3" s="1"/>
  <c r="G610" i="3"/>
  <c r="R609" i="3"/>
  <c r="G611" i="3" l="1"/>
  <c r="R610" i="3"/>
  <c r="E611" i="4"/>
  <c r="F611" i="4" s="1"/>
  <c r="I611" i="3"/>
  <c r="D611" i="4" s="1"/>
  <c r="F613" i="3"/>
  <c r="D612" i="3"/>
  <c r="H612" i="3" s="1"/>
  <c r="J612" i="3"/>
  <c r="K611" i="3"/>
  <c r="L611" i="3" s="1"/>
  <c r="W148" i="3"/>
  <c r="X148" i="3" s="1"/>
  <c r="Y148" i="3" s="1"/>
  <c r="Z148" i="3" s="1"/>
  <c r="AA148" i="3" s="1"/>
  <c r="AB148" i="3" s="1"/>
  <c r="U609" i="3"/>
  <c r="S609" i="3"/>
  <c r="T609" i="3" s="1"/>
  <c r="M149" i="3" l="1"/>
  <c r="C148" i="4"/>
  <c r="AC148" i="3"/>
  <c r="AD148" i="3" s="1"/>
  <c r="E612" i="4"/>
  <c r="F612" i="4" s="1"/>
  <c r="I612" i="3"/>
  <c r="D612" i="4" s="1"/>
  <c r="F614" i="3"/>
  <c r="J613" i="3"/>
  <c r="D613" i="3"/>
  <c r="H613" i="3" s="1"/>
  <c r="U610" i="3"/>
  <c r="S610" i="3"/>
  <c r="T610" i="3" s="1"/>
  <c r="K612" i="3"/>
  <c r="L612" i="3" s="1"/>
  <c r="G612" i="3"/>
  <c r="R611" i="3"/>
  <c r="G613" i="3" l="1"/>
  <c r="R612" i="3"/>
  <c r="I613" i="3"/>
  <c r="D613" i="4" s="1"/>
  <c r="E613" i="4"/>
  <c r="F613" i="4" s="1"/>
  <c r="K613" i="3"/>
  <c r="L613" i="3" s="1"/>
  <c r="G148" i="4"/>
  <c r="I148" i="4" s="1"/>
  <c r="J148" i="4" s="1"/>
  <c r="H148" i="4"/>
  <c r="U611" i="3"/>
  <c r="S611" i="3"/>
  <c r="T611" i="3" s="1"/>
  <c r="F615" i="3"/>
  <c r="J614" i="3"/>
  <c r="D614" i="3"/>
  <c r="H614" i="3" s="1"/>
  <c r="O149" i="3"/>
  <c r="AI149" i="3"/>
  <c r="N149" i="3"/>
  <c r="E614" i="4" l="1"/>
  <c r="F614" i="4" s="1"/>
  <c r="I614" i="3"/>
  <c r="D614" i="4" s="1"/>
  <c r="M148" i="4"/>
  <c r="K148" i="4"/>
  <c r="P149" i="3"/>
  <c r="Q149" i="3" s="1"/>
  <c r="K614" i="3"/>
  <c r="L614" i="3" s="1"/>
  <c r="U612" i="3"/>
  <c r="S612" i="3"/>
  <c r="T612" i="3" s="1"/>
  <c r="D615" i="3"/>
  <c r="H615" i="3" s="1"/>
  <c r="F616" i="3"/>
  <c r="J615" i="3"/>
  <c r="K615" i="3" s="1"/>
  <c r="L615" i="3" s="1"/>
  <c r="G614" i="3"/>
  <c r="R613" i="3"/>
  <c r="S613" i="3" l="1"/>
  <c r="T613" i="3" s="1"/>
  <c r="U613" i="3"/>
  <c r="G615" i="3"/>
  <c r="R614" i="3"/>
  <c r="F617" i="3"/>
  <c r="J616" i="3"/>
  <c r="K616" i="3" s="1"/>
  <c r="L616" i="3" s="1"/>
  <c r="D616" i="3"/>
  <c r="H616" i="3" s="1"/>
  <c r="I615" i="3"/>
  <c r="D615" i="4" s="1"/>
  <c r="E615" i="4"/>
  <c r="F615" i="4" s="1"/>
  <c r="L149" i="4"/>
  <c r="V149" i="3"/>
  <c r="W149" i="3" l="1"/>
  <c r="X149" i="3"/>
  <c r="Y149" i="3" s="1"/>
  <c r="Z149" i="3" s="1"/>
  <c r="AA149" i="3" s="1"/>
  <c r="AB149" i="3" s="1"/>
  <c r="F618" i="3"/>
  <c r="D617" i="3"/>
  <c r="H617" i="3" s="1"/>
  <c r="J617" i="3"/>
  <c r="K617" i="3" s="1"/>
  <c r="L617" i="3" s="1"/>
  <c r="S614" i="3"/>
  <c r="T614" i="3" s="1"/>
  <c r="U614" i="3"/>
  <c r="E616" i="4"/>
  <c r="F616" i="4" s="1"/>
  <c r="I616" i="3"/>
  <c r="D616" i="4" s="1"/>
  <c r="G616" i="3"/>
  <c r="R615" i="3"/>
  <c r="F619" i="3" l="1"/>
  <c r="J618" i="3"/>
  <c r="D618" i="3"/>
  <c r="H618" i="3" s="1"/>
  <c r="U615" i="3"/>
  <c r="S615" i="3"/>
  <c r="T615" i="3" s="1"/>
  <c r="C149" i="4"/>
  <c r="AC149" i="3"/>
  <c r="AD149" i="3" s="1"/>
  <c r="M150" i="3"/>
  <c r="G617" i="3"/>
  <c r="R616" i="3"/>
  <c r="E617" i="4"/>
  <c r="F617" i="4" s="1"/>
  <c r="I617" i="3"/>
  <c r="D617" i="4" s="1"/>
  <c r="U616" i="3" l="1"/>
  <c r="S616" i="3"/>
  <c r="T616" i="3" s="1"/>
  <c r="H149" i="4"/>
  <c r="G149" i="4"/>
  <c r="I149" i="4" s="1"/>
  <c r="J149" i="4" s="1"/>
  <c r="I618" i="3"/>
  <c r="D618" i="4" s="1"/>
  <c r="E618" i="4"/>
  <c r="F618" i="4" s="1"/>
  <c r="G618" i="3"/>
  <c r="R617" i="3"/>
  <c r="K618" i="3"/>
  <c r="L618" i="3" s="1"/>
  <c r="O150" i="3"/>
  <c r="N150" i="3"/>
  <c r="P150" i="3" s="1"/>
  <c r="Q150" i="3" s="1"/>
  <c r="AI150" i="3"/>
  <c r="F620" i="3"/>
  <c r="D619" i="3"/>
  <c r="H619" i="3" s="1"/>
  <c r="J619" i="3"/>
  <c r="K619" i="3" s="1"/>
  <c r="L619" i="3" s="1"/>
  <c r="U617" i="3" l="1"/>
  <c r="S617" i="3"/>
  <c r="T617" i="3" s="1"/>
  <c r="M149" i="4"/>
  <c r="K149" i="4"/>
  <c r="I619" i="3"/>
  <c r="D619" i="4" s="1"/>
  <c r="E619" i="4"/>
  <c r="F619" i="4" s="1"/>
  <c r="L150" i="4"/>
  <c r="V150" i="3"/>
  <c r="G619" i="3"/>
  <c r="R618" i="3"/>
  <c r="F621" i="3"/>
  <c r="J620" i="3"/>
  <c r="D620" i="3"/>
  <c r="H620" i="3" s="1"/>
  <c r="J621" i="3" l="1"/>
  <c r="F622" i="3"/>
  <c r="D621" i="3"/>
  <c r="H621" i="3" s="1"/>
  <c r="E620" i="4"/>
  <c r="F620" i="4" s="1"/>
  <c r="I620" i="3"/>
  <c r="D620" i="4" s="1"/>
  <c r="U618" i="3"/>
  <c r="S618" i="3"/>
  <c r="T618" i="3" s="1"/>
  <c r="K620" i="3"/>
  <c r="L620" i="3" s="1"/>
  <c r="G620" i="3"/>
  <c r="R619" i="3"/>
  <c r="W150" i="3"/>
  <c r="X150" i="3"/>
  <c r="Y150" i="3" s="1"/>
  <c r="Z150" i="3" s="1"/>
  <c r="AA150" i="3" s="1"/>
  <c r="AB150" i="3" s="1"/>
  <c r="E621" i="4" l="1"/>
  <c r="F621" i="4" s="1"/>
  <c r="I621" i="3"/>
  <c r="D621" i="4" s="1"/>
  <c r="M151" i="3"/>
  <c r="AC150" i="3"/>
  <c r="AD150" i="3" s="1"/>
  <c r="C150" i="4"/>
  <c r="S619" i="3"/>
  <c r="T619" i="3" s="1"/>
  <c r="U619" i="3"/>
  <c r="G621" i="3"/>
  <c r="R620" i="3"/>
  <c r="F623" i="3"/>
  <c r="D622" i="3"/>
  <c r="H622" i="3" s="1"/>
  <c r="J622" i="3"/>
  <c r="K621" i="3"/>
  <c r="L621" i="3" s="1"/>
  <c r="I622" i="3" l="1"/>
  <c r="D622" i="4" s="1"/>
  <c r="E622" i="4"/>
  <c r="F622" i="4" s="1"/>
  <c r="J623" i="3"/>
  <c r="K623" i="3" s="1"/>
  <c r="L623" i="3" s="1"/>
  <c r="F624" i="3"/>
  <c r="D623" i="3"/>
  <c r="H623" i="3" s="1"/>
  <c r="AI151" i="3"/>
  <c r="O151" i="3"/>
  <c r="N151" i="3"/>
  <c r="P151" i="3" s="1"/>
  <c r="Q151" i="3" s="1"/>
  <c r="U620" i="3"/>
  <c r="S620" i="3"/>
  <c r="T620" i="3" s="1"/>
  <c r="K622" i="3"/>
  <c r="L622" i="3" s="1"/>
  <c r="G622" i="3"/>
  <c r="R621" i="3"/>
  <c r="H150" i="4"/>
  <c r="G150" i="4"/>
  <c r="I150" i="4" s="1"/>
  <c r="J150" i="4" s="1"/>
  <c r="U621" i="3" l="1"/>
  <c r="S621" i="3"/>
  <c r="T621" i="3" s="1"/>
  <c r="G623" i="3"/>
  <c r="R622" i="3"/>
  <c r="L151" i="4"/>
  <c r="V151" i="3"/>
  <c r="K150" i="4"/>
  <c r="M150" i="4"/>
  <c r="E623" i="4"/>
  <c r="F623" i="4" s="1"/>
  <c r="I623" i="3"/>
  <c r="D623" i="4" s="1"/>
  <c r="J624" i="3"/>
  <c r="D624" i="3"/>
  <c r="H624" i="3" s="1"/>
  <c r="F625" i="3"/>
  <c r="I624" i="3" l="1"/>
  <c r="D624" i="4" s="1"/>
  <c r="E624" i="4"/>
  <c r="F624" i="4" s="1"/>
  <c r="K624" i="3"/>
  <c r="L624" i="3" s="1"/>
  <c r="S622" i="3"/>
  <c r="T622" i="3" s="1"/>
  <c r="U622" i="3"/>
  <c r="G624" i="3"/>
  <c r="R623" i="3"/>
  <c r="F626" i="3"/>
  <c r="J625" i="3"/>
  <c r="D625" i="3"/>
  <c r="H625" i="3" s="1"/>
  <c r="W151" i="3"/>
  <c r="X151" i="3" s="1"/>
  <c r="Y151" i="3" s="1"/>
  <c r="Z151" i="3" s="1"/>
  <c r="AA151" i="3" s="1"/>
  <c r="AB151" i="3" s="1"/>
  <c r="AC151" i="3" l="1"/>
  <c r="AD151" i="3" s="1"/>
  <c r="M152" i="3"/>
  <c r="C151" i="4"/>
  <c r="D626" i="3"/>
  <c r="H626" i="3" s="1"/>
  <c r="F627" i="3"/>
  <c r="J626" i="3"/>
  <c r="E625" i="4"/>
  <c r="F625" i="4" s="1"/>
  <c r="I625" i="3"/>
  <c r="D625" i="4" s="1"/>
  <c r="S623" i="3"/>
  <c r="T623" i="3" s="1"/>
  <c r="U623" i="3"/>
  <c r="G625" i="3"/>
  <c r="R624" i="3"/>
  <c r="K625" i="3"/>
  <c r="L625" i="3" s="1"/>
  <c r="I626" i="3" l="1"/>
  <c r="D626" i="4" s="1"/>
  <c r="E626" i="4"/>
  <c r="F626" i="4" s="1"/>
  <c r="K626" i="3"/>
  <c r="L626" i="3" s="1"/>
  <c r="H151" i="4"/>
  <c r="G151" i="4"/>
  <c r="I151" i="4" s="1"/>
  <c r="J151" i="4" s="1"/>
  <c r="U624" i="3"/>
  <c r="S624" i="3"/>
  <c r="T624" i="3" s="1"/>
  <c r="O152" i="3"/>
  <c r="AI152" i="3"/>
  <c r="N152" i="3"/>
  <c r="P152" i="3" s="1"/>
  <c r="Q152" i="3" s="1"/>
  <c r="G626" i="3"/>
  <c r="R625" i="3"/>
  <c r="J627" i="3"/>
  <c r="K627" i="3" s="1"/>
  <c r="L627" i="3" s="1"/>
  <c r="F628" i="3"/>
  <c r="D627" i="3"/>
  <c r="H627" i="3" s="1"/>
  <c r="L152" i="4" l="1"/>
  <c r="V152" i="3"/>
  <c r="K151" i="4"/>
  <c r="M151" i="4"/>
  <c r="I627" i="3"/>
  <c r="D627" i="4" s="1"/>
  <c r="E627" i="4"/>
  <c r="F627" i="4" s="1"/>
  <c r="S625" i="3"/>
  <c r="T625" i="3" s="1"/>
  <c r="U625" i="3"/>
  <c r="F629" i="3"/>
  <c r="J628" i="3"/>
  <c r="D628" i="3"/>
  <c r="H628" i="3" s="1"/>
  <c r="G627" i="3"/>
  <c r="R626" i="3"/>
  <c r="G628" i="3" l="1"/>
  <c r="R627" i="3"/>
  <c r="J629" i="3"/>
  <c r="K629" i="3" s="1"/>
  <c r="L629" i="3" s="1"/>
  <c r="D629" i="3"/>
  <c r="H629" i="3" s="1"/>
  <c r="F630" i="3"/>
  <c r="E628" i="4"/>
  <c r="F628" i="4" s="1"/>
  <c r="I628" i="3"/>
  <c r="D628" i="4" s="1"/>
  <c r="W152" i="3"/>
  <c r="X152" i="3"/>
  <c r="Y152" i="3" s="1"/>
  <c r="Z152" i="3" s="1"/>
  <c r="AA152" i="3" s="1"/>
  <c r="AB152" i="3" s="1"/>
  <c r="S626" i="3"/>
  <c r="T626" i="3" s="1"/>
  <c r="U626" i="3"/>
  <c r="K628" i="3"/>
  <c r="L628" i="3" s="1"/>
  <c r="M153" i="3" l="1"/>
  <c r="AC152" i="3"/>
  <c r="AD152" i="3" s="1"/>
  <c r="C152" i="4"/>
  <c r="F631" i="3"/>
  <c r="D630" i="3"/>
  <c r="H630" i="3" s="1"/>
  <c r="J630" i="3"/>
  <c r="S627" i="3"/>
  <c r="T627" i="3" s="1"/>
  <c r="U627" i="3"/>
  <c r="E629" i="4"/>
  <c r="F629" i="4" s="1"/>
  <c r="I629" i="3"/>
  <c r="D629" i="4" s="1"/>
  <c r="G629" i="3"/>
  <c r="R628" i="3"/>
  <c r="G630" i="3" l="1"/>
  <c r="R629" i="3"/>
  <c r="I630" i="3"/>
  <c r="D630" i="4" s="1"/>
  <c r="E630" i="4"/>
  <c r="F630" i="4" s="1"/>
  <c r="G152" i="4"/>
  <c r="I152" i="4" s="1"/>
  <c r="J152" i="4" s="1"/>
  <c r="H152" i="4"/>
  <c r="J631" i="3"/>
  <c r="K631" i="3" s="1"/>
  <c r="L631" i="3" s="1"/>
  <c r="D631" i="3"/>
  <c r="H631" i="3" s="1"/>
  <c r="F632" i="3"/>
  <c r="U628" i="3"/>
  <c r="S628" i="3"/>
  <c r="T628" i="3" s="1"/>
  <c r="K630" i="3"/>
  <c r="L630" i="3" s="1"/>
  <c r="N153" i="3"/>
  <c r="O153" i="3"/>
  <c r="AI153" i="3"/>
  <c r="P153" i="3" l="1"/>
  <c r="Q153" i="3" s="1"/>
  <c r="J632" i="3"/>
  <c r="K632" i="3" s="1"/>
  <c r="L632" i="3" s="1"/>
  <c r="D632" i="3"/>
  <c r="H632" i="3" s="1"/>
  <c r="F633" i="3"/>
  <c r="I631" i="3"/>
  <c r="D631" i="4" s="1"/>
  <c r="E631" i="4"/>
  <c r="F631" i="4" s="1"/>
  <c r="K152" i="4"/>
  <c r="M152" i="4"/>
  <c r="U629" i="3"/>
  <c r="S629" i="3"/>
  <c r="T629" i="3" s="1"/>
  <c r="G631" i="3"/>
  <c r="R630" i="3"/>
  <c r="G632" i="3" l="1"/>
  <c r="R631" i="3"/>
  <c r="F634" i="3"/>
  <c r="J633" i="3"/>
  <c r="D633" i="3"/>
  <c r="H633" i="3" s="1"/>
  <c r="L153" i="4"/>
  <c r="V153" i="3"/>
  <c r="U630" i="3"/>
  <c r="S630" i="3"/>
  <c r="T630" i="3" s="1"/>
  <c r="I632" i="3"/>
  <c r="D632" i="4" s="1"/>
  <c r="E632" i="4"/>
  <c r="F632" i="4" s="1"/>
  <c r="J634" i="3" l="1"/>
  <c r="D634" i="3"/>
  <c r="H634" i="3" s="1"/>
  <c r="F635" i="3"/>
  <c r="I633" i="3"/>
  <c r="D633" i="4" s="1"/>
  <c r="E633" i="4"/>
  <c r="F633" i="4" s="1"/>
  <c r="K633" i="3"/>
  <c r="L633" i="3" s="1"/>
  <c r="S631" i="3"/>
  <c r="T631" i="3" s="1"/>
  <c r="U631" i="3"/>
  <c r="W153" i="3"/>
  <c r="X153" i="3" s="1"/>
  <c r="Y153" i="3" s="1"/>
  <c r="Z153" i="3" s="1"/>
  <c r="AA153" i="3" s="1"/>
  <c r="AB153" i="3" s="1"/>
  <c r="G633" i="3"/>
  <c r="R632" i="3"/>
  <c r="AC153" i="3" l="1"/>
  <c r="AD153" i="3" s="1"/>
  <c r="C153" i="4"/>
  <c r="M154" i="3"/>
  <c r="U632" i="3"/>
  <c r="S632" i="3"/>
  <c r="T632" i="3" s="1"/>
  <c r="D635" i="3"/>
  <c r="H635" i="3" s="1"/>
  <c r="J635" i="3"/>
  <c r="K635" i="3" s="1"/>
  <c r="L635" i="3" s="1"/>
  <c r="F636" i="3"/>
  <c r="G634" i="3"/>
  <c r="R633" i="3"/>
  <c r="E634" i="4"/>
  <c r="F634" i="4" s="1"/>
  <c r="I634" i="3"/>
  <c r="D634" i="4" s="1"/>
  <c r="K634" i="3"/>
  <c r="L634" i="3" s="1"/>
  <c r="S633" i="3" l="1"/>
  <c r="T633" i="3" s="1"/>
  <c r="U633" i="3"/>
  <c r="G635" i="3"/>
  <c r="R634" i="3"/>
  <c r="I635" i="3"/>
  <c r="D635" i="4" s="1"/>
  <c r="E635" i="4"/>
  <c r="F635" i="4" s="1"/>
  <c r="N154" i="3"/>
  <c r="O154" i="3"/>
  <c r="AI154" i="3"/>
  <c r="F637" i="3"/>
  <c r="D636" i="3"/>
  <c r="H636" i="3" s="1"/>
  <c r="J636" i="3"/>
  <c r="K636" i="3" s="1"/>
  <c r="L636" i="3" s="1"/>
  <c r="G153" i="4"/>
  <c r="I153" i="4" s="1"/>
  <c r="J153" i="4" s="1"/>
  <c r="H153" i="4"/>
  <c r="F638" i="3" l="1"/>
  <c r="D637" i="3"/>
  <c r="H637" i="3" s="1"/>
  <c r="J637" i="3"/>
  <c r="K637" i="3" s="1"/>
  <c r="L637" i="3" s="1"/>
  <c r="I636" i="3"/>
  <c r="D636" i="4" s="1"/>
  <c r="E636" i="4"/>
  <c r="F636" i="4" s="1"/>
  <c r="S634" i="3"/>
  <c r="T634" i="3" s="1"/>
  <c r="U634" i="3"/>
  <c r="K153" i="4"/>
  <c r="M153" i="4"/>
  <c r="P154" i="3"/>
  <c r="Q154" i="3" s="1"/>
  <c r="G636" i="3"/>
  <c r="R635" i="3"/>
  <c r="S635" i="3" l="1"/>
  <c r="T635" i="3" s="1"/>
  <c r="U635" i="3"/>
  <c r="E637" i="4"/>
  <c r="F637" i="4" s="1"/>
  <c r="I637" i="3"/>
  <c r="D637" i="4" s="1"/>
  <c r="G637" i="3"/>
  <c r="R636" i="3"/>
  <c r="L154" i="4"/>
  <c r="C28" i="5" s="1"/>
  <c r="N28" i="5" s="1"/>
  <c r="V154" i="3"/>
  <c r="J638" i="3"/>
  <c r="K638" i="3" s="1"/>
  <c r="L638" i="3" s="1"/>
  <c r="F639" i="3"/>
  <c r="D638" i="3"/>
  <c r="H638" i="3" s="1"/>
  <c r="F640" i="3" l="1"/>
  <c r="J639" i="3"/>
  <c r="D639" i="3"/>
  <c r="H639" i="3" s="1"/>
  <c r="S636" i="3"/>
  <c r="T636" i="3" s="1"/>
  <c r="U636" i="3"/>
  <c r="E638" i="4"/>
  <c r="F638" i="4" s="1"/>
  <c r="I638" i="3"/>
  <c r="D638" i="4" s="1"/>
  <c r="G638" i="3"/>
  <c r="R637" i="3"/>
  <c r="W154" i="3"/>
  <c r="X154" i="3" s="1"/>
  <c r="Y154" i="3" s="1"/>
  <c r="Z154" i="3" s="1"/>
  <c r="AA154" i="3" s="1"/>
  <c r="AB154" i="3" s="1"/>
  <c r="AC154" i="3" l="1"/>
  <c r="AD154" i="3" s="1"/>
  <c r="C154" i="4"/>
  <c r="M155" i="3"/>
  <c r="I639" i="3"/>
  <c r="D639" i="4" s="1"/>
  <c r="E639" i="4"/>
  <c r="F639" i="4" s="1"/>
  <c r="S637" i="3"/>
  <c r="T637" i="3" s="1"/>
  <c r="U637" i="3"/>
  <c r="K639" i="3"/>
  <c r="L639" i="3" s="1"/>
  <c r="G639" i="3"/>
  <c r="R638" i="3"/>
  <c r="D640" i="3"/>
  <c r="H640" i="3" s="1"/>
  <c r="F641" i="3"/>
  <c r="J640" i="3"/>
  <c r="K640" i="3" s="1"/>
  <c r="L640" i="3" s="1"/>
  <c r="J641" i="3" l="1"/>
  <c r="K641" i="3" s="1"/>
  <c r="L641" i="3" s="1"/>
  <c r="F642" i="3"/>
  <c r="D641" i="3"/>
  <c r="H641" i="3" s="1"/>
  <c r="S638" i="3"/>
  <c r="T638" i="3" s="1"/>
  <c r="U638" i="3"/>
  <c r="N155" i="3"/>
  <c r="O155" i="3"/>
  <c r="AI155" i="3"/>
  <c r="G640" i="3"/>
  <c r="R639" i="3"/>
  <c r="G154" i="4"/>
  <c r="I154" i="4" s="1"/>
  <c r="J154" i="4" s="1"/>
  <c r="H154" i="4"/>
  <c r="I640" i="3"/>
  <c r="D640" i="4" s="1"/>
  <c r="E640" i="4"/>
  <c r="F640" i="4" s="1"/>
  <c r="G641" i="3" l="1"/>
  <c r="R640" i="3"/>
  <c r="M154" i="4"/>
  <c r="K154" i="4"/>
  <c r="E28" i="5" s="1"/>
  <c r="D28" i="5"/>
  <c r="S639" i="3"/>
  <c r="T639" i="3" s="1"/>
  <c r="U639" i="3"/>
  <c r="P155" i="3"/>
  <c r="Q155" i="3" s="1"/>
  <c r="I641" i="3"/>
  <c r="D641" i="4" s="1"/>
  <c r="E641" i="4"/>
  <c r="F641" i="4" s="1"/>
  <c r="J642" i="3"/>
  <c r="K642" i="3" s="1"/>
  <c r="L642" i="3" s="1"/>
  <c r="F643" i="3"/>
  <c r="D642" i="3"/>
  <c r="H642" i="3" s="1"/>
  <c r="L155" i="4" l="1"/>
  <c r="V155" i="3"/>
  <c r="U640" i="3"/>
  <c r="S640" i="3"/>
  <c r="T640" i="3" s="1"/>
  <c r="I642" i="3"/>
  <c r="D642" i="4" s="1"/>
  <c r="E642" i="4"/>
  <c r="F642" i="4" s="1"/>
  <c r="G642" i="3"/>
  <c r="R641" i="3"/>
  <c r="J643" i="3"/>
  <c r="D643" i="3"/>
  <c r="H643" i="3" s="1"/>
  <c r="F644" i="3"/>
  <c r="E643" i="4" l="1"/>
  <c r="F643" i="4" s="1"/>
  <c r="I643" i="3"/>
  <c r="D643" i="4" s="1"/>
  <c r="K643" i="3"/>
  <c r="L643" i="3" s="1"/>
  <c r="W155" i="3"/>
  <c r="X155" i="3"/>
  <c r="Y155" i="3" s="1"/>
  <c r="Z155" i="3" s="1"/>
  <c r="AA155" i="3" s="1"/>
  <c r="AB155" i="3" s="1"/>
  <c r="J644" i="3"/>
  <c r="K644" i="3" s="1"/>
  <c r="L644" i="3" s="1"/>
  <c r="D644" i="3"/>
  <c r="H644" i="3" s="1"/>
  <c r="F645" i="3"/>
  <c r="S641" i="3"/>
  <c r="T641" i="3" s="1"/>
  <c r="U641" i="3"/>
  <c r="G643" i="3"/>
  <c r="R642" i="3"/>
  <c r="S642" i="3" l="1"/>
  <c r="T642" i="3" s="1"/>
  <c r="U642" i="3"/>
  <c r="D645" i="3"/>
  <c r="H645" i="3" s="1"/>
  <c r="F646" i="3"/>
  <c r="J645" i="3"/>
  <c r="C155" i="4"/>
  <c r="AC155" i="3"/>
  <c r="AD155" i="3" s="1"/>
  <c r="M156" i="3"/>
  <c r="G644" i="3"/>
  <c r="R643" i="3"/>
  <c r="I644" i="3"/>
  <c r="D644" i="4" s="1"/>
  <c r="E644" i="4"/>
  <c r="F644" i="4" s="1"/>
  <c r="S643" i="3" l="1"/>
  <c r="T643" i="3" s="1"/>
  <c r="U643" i="3"/>
  <c r="G155" i="4"/>
  <c r="I155" i="4" s="1"/>
  <c r="J155" i="4" s="1"/>
  <c r="H155" i="4"/>
  <c r="E645" i="4"/>
  <c r="F645" i="4" s="1"/>
  <c r="I645" i="3"/>
  <c r="D645" i="4" s="1"/>
  <c r="G645" i="3"/>
  <c r="R644" i="3"/>
  <c r="K645" i="3"/>
  <c r="L645" i="3" s="1"/>
  <c r="AI156" i="3"/>
  <c r="O156" i="3"/>
  <c r="N156" i="3"/>
  <c r="F647" i="3"/>
  <c r="D646" i="3"/>
  <c r="H646" i="3" s="1"/>
  <c r="J646" i="3"/>
  <c r="I646" i="3" l="1"/>
  <c r="D646" i="4" s="1"/>
  <c r="E646" i="4"/>
  <c r="F646" i="4" s="1"/>
  <c r="S644" i="3"/>
  <c r="T644" i="3" s="1"/>
  <c r="U644" i="3"/>
  <c r="G646" i="3"/>
  <c r="R645" i="3"/>
  <c r="K155" i="4"/>
  <c r="M155" i="4"/>
  <c r="D647" i="3"/>
  <c r="H647" i="3" s="1"/>
  <c r="J647" i="3"/>
  <c r="K647" i="3" s="1"/>
  <c r="L647" i="3" s="1"/>
  <c r="F648" i="3"/>
  <c r="K646" i="3"/>
  <c r="L646" i="3" s="1"/>
  <c r="P156" i="3"/>
  <c r="Q156" i="3" s="1"/>
  <c r="L156" i="4" l="1"/>
  <c r="V156" i="3"/>
  <c r="F649" i="3"/>
  <c r="J648" i="3"/>
  <c r="D648" i="3"/>
  <c r="H648" i="3" s="1"/>
  <c r="S645" i="3"/>
  <c r="T645" i="3" s="1"/>
  <c r="U645" i="3"/>
  <c r="E647" i="4"/>
  <c r="F647" i="4" s="1"/>
  <c r="I647" i="3"/>
  <c r="D647" i="4" s="1"/>
  <c r="G647" i="3"/>
  <c r="R646" i="3"/>
  <c r="U646" i="3" l="1"/>
  <c r="S646" i="3"/>
  <c r="T646" i="3" s="1"/>
  <c r="F650" i="3"/>
  <c r="J649" i="3"/>
  <c r="K649" i="3" s="1"/>
  <c r="L649" i="3" s="1"/>
  <c r="D649" i="3"/>
  <c r="H649" i="3" s="1"/>
  <c r="G648" i="3"/>
  <c r="R647" i="3"/>
  <c r="E648" i="4"/>
  <c r="F648" i="4" s="1"/>
  <c r="I648" i="3"/>
  <c r="D648" i="4" s="1"/>
  <c r="X156" i="3"/>
  <c r="Y156" i="3" s="1"/>
  <c r="Z156" i="3" s="1"/>
  <c r="AA156" i="3" s="1"/>
  <c r="AB156" i="3" s="1"/>
  <c r="W156" i="3"/>
  <c r="K648" i="3"/>
  <c r="L648" i="3" s="1"/>
  <c r="AC156" i="3" l="1"/>
  <c r="AD156" i="3" s="1"/>
  <c r="C156" i="4"/>
  <c r="M157" i="3"/>
  <c r="S647" i="3"/>
  <c r="T647" i="3" s="1"/>
  <c r="U647" i="3"/>
  <c r="G649" i="3"/>
  <c r="R648" i="3"/>
  <c r="J650" i="3"/>
  <c r="F651" i="3"/>
  <c r="D650" i="3"/>
  <c r="H650" i="3" s="1"/>
  <c r="E649" i="4"/>
  <c r="F649" i="4" s="1"/>
  <c r="I649" i="3"/>
  <c r="D649" i="4" s="1"/>
  <c r="E650" i="4" l="1"/>
  <c r="F650" i="4" s="1"/>
  <c r="I650" i="3"/>
  <c r="D650" i="4" s="1"/>
  <c r="U648" i="3"/>
  <c r="S648" i="3"/>
  <c r="T648" i="3" s="1"/>
  <c r="J651" i="3"/>
  <c r="F652" i="3"/>
  <c r="D651" i="3"/>
  <c r="H651" i="3" s="1"/>
  <c r="G650" i="3"/>
  <c r="R649" i="3"/>
  <c r="AI157" i="3"/>
  <c r="O157" i="3"/>
  <c r="N157" i="3"/>
  <c r="G156" i="4"/>
  <c r="I156" i="4" s="1"/>
  <c r="J156" i="4" s="1"/>
  <c r="H156" i="4"/>
  <c r="K650" i="3"/>
  <c r="L650" i="3" s="1"/>
  <c r="E651" i="4" l="1"/>
  <c r="F651" i="4" s="1"/>
  <c r="I651" i="3"/>
  <c r="D651" i="4" s="1"/>
  <c r="K156" i="4"/>
  <c r="M156" i="4"/>
  <c r="U649" i="3"/>
  <c r="S649" i="3"/>
  <c r="T649" i="3" s="1"/>
  <c r="J652" i="3"/>
  <c r="D652" i="3"/>
  <c r="H652" i="3" s="1"/>
  <c r="F653" i="3"/>
  <c r="P157" i="3"/>
  <c r="Q157" i="3" s="1"/>
  <c r="G651" i="3"/>
  <c r="R650" i="3"/>
  <c r="K651" i="3"/>
  <c r="L651" i="3" s="1"/>
  <c r="U650" i="3" l="1"/>
  <c r="S650" i="3"/>
  <c r="T650" i="3" s="1"/>
  <c r="F654" i="3"/>
  <c r="D653" i="3"/>
  <c r="H653" i="3" s="1"/>
  <c r="J653" i="3"/>
  <c r="K653" i="3" s="1"/>
  <c r="L653" i="3" s="1"/>
  <c r="G652" i="3"/>
  <c r="R651" i="3"/>
  <c r="I652" i="3"/>
  <c r="D652" i="4" s="1"/>
  <c r="E652" i="4"/>
  <c r="F652" i="4" s="1"/>
  <c r="L157" i="4"/>
  <c r="V157" i="3"/>
  <c r="K652" i="3"/>
  <c r="L652" i="3" s="1"/>
  <c r="S651" i="3" l="1"/>
  <c r="T651" i="3" s="1"/>
  <c r="U651" i="3"/>
  <c r="D654" i="3"/>
  <c r="H654" i="3" s="1"/>
  <c r="J654" i="3"/>
  <c r="F655" i="3"/>
  <c r="G653" i="3"/>
  <c r="R652" i="3"/>
  <c r="W157" i="3"/>
  <c r="X157" i="3"/>
  <c r="Y157" i="3" s="1"/>
  <c r="Z157" i="3" s="1"/>
  <c r="AA157" i="3" s="1"/>
  <c r="AB157" i="3" s="1"/>
  <c r="I653" i="3"/>
  <c r="D653" i="4" s="1"/>
  <c r="E653" i="4"/>
  <c r="F653" i="4" s="1"/>
  <c r="AC157" i="3" l="1"/>
  <c r="AD157" i="3" s="1"/>
  <c r="M158" i="3"/>
  <c r="C157" i="4"/>
  <c r="G654" i="3"/>
  <c r="R653" i="3"/>
  <c r="I654" i="3"/>
  <c r="D654" i="4" s="1"/>
  <c r="E654" i="4"/>
  <c r="F654" i="4" s="1"/>
  <c r="F656" i="3"/>
  <c r="D655" i="3"/>
  <c r="H655" i="3" s="1"/>
  <c r="J655" i="3"/>
  <c r="K655" i="3" s="1"/>
  <c r="L655" i="3" s="1"/>
  <c r="S652" i="3"/>
  <c r="T652" i="3" s="1"/>
  <c r="U652" i="3"/>
  <c r="K654" i="3"/>
  <c r="L654" i="3" s="1"/>
  <c r="J656" i="3" l="1"/>
  <c r="F657" i="3"/>
  <c r="D656" i="3"/>
  <c r="H656" i="3" s="1"/>
  <c r="G655" i="3"/>
  <c r="R654" i="3"/>
  <c r="H157" i="4"/>
  <c r="G157" i="4"/>
  <c r="I157" i="4" s="1"/>
  <c r="J157" i="4" s="1"/>
  <c r="O158" i="3"/>
  <c r="AI158" i="3"/>
  <c r="N158" i="3"/>
  <c r="I655" i="3"/>
  <c r="D655" i="4" s="1"/>
  <c r="E655" i="4"/>
  <c r="F655" i="4" s="1"/>
  <c r="S653" i="3"/>
  <c r="T653" i="3" s="1"/>
  <c r="U653" i="3"/>
  <c r="E656" i="4" l="1"/>
  <c r="F656" i="4" s="1"/>
  <c r="I656" i="3"/>
  <c r="D656" i="4" s="1"/>
  <c r="D657" i="3"/>
  <c r="H657" i="3" s="1"/>
  <c r="J657" i="3"/>
  <c r="K657" i="3" s="1"/>
  <c r="L657" i="3" s="1"/>
  <c r="F658" i="3"/>
  <c r="P158" i="3"/>
  <c r="Q158" i="3" s="1"/>
  <c r="K157" i="4"/>
  <c r="M157" i="4"/>
  <c r="U654" i="3"/>
  <c r="S654" i="3"/>
  <c r="T654" i="3" s="1"/>
  <c r="G656" i="3"/>
  <c r="R655" i="3"/>
  <c r="K656" i="3"/>
  <c r="L656" i="3" s="1"/>
  <c r="L158" i="4" l="1"/>
  <c r="V158" i="3"/>
  <c r="I657" i="3"/>
  <c r="D657" i="4" s="1"/>
  <c r="E657" i="4"/>
  <c r="F657" i="4" s="1"/>
  <c r="U655" i="3"/>
  <c r="S655" i="3"/>
  <c r="T655" i="3" s="1"/>
  <c r="J658" i="3"/>
  <c r="K658" i="3" s="1"/>
  <c r="L658" i="3" s="1"/>
  <c r="D658" i="3"/>
  <c r="H658" i="3" s="1"/>
  <c r="F659" i="3"/>
  <c r="G657" i="3"/>
  <c r="R656" i="3"/>
  <c r="U656" i="3" l="1"/>
  <c r="S656" i="3"/>
  <c r="T656" i="3" s="1"/>
  <c r="G658" i="3"/>
  <c r="R657" i="3"/>
  <c r="J659" i="3"/>
  <c r="D659" i="3"/>
  <c r="H659" i="3" s="1"/>
  <c r="F660" i="3"/>
  <c r="W158" i="3"/>
  <c r="X158" i="3"/>
  <c r="Y158" i="3" s="1"/>
  <c r="Z158" i="3" s="1"/>
  <c r="AA158" i="3" s="1"/>
  <c r="AB158" i="3" s="1"/>
  <c r="E658" i="4"/>
  <c r="F658" i="4" s="1"/>
  <c r="I658" i="3"/>
  <c r="D658" i="4" s="1"/>
  <c r="D660" i="3" l="1"/>
  <c r="H660" i="3" s="1"/>
  <c r="J660" i="3"/>
  <c r="K660" i="3" s="1"/>
  <c r="L660" i="3" s="1"/>
  <c r="F661" i="3"/>
  <c r="U657" i="3"/>
  <c r="S657" i="3"/>
  <c r="T657" i="3" s="1"/>
  <c r="C158" i="4"/>
  <c r="AC158" i="3"/>
  <c r="AD158" i="3" s="1"/>
  <c r="M159" i="3"/>
  <c r="I659" i="3"/>
  <c r="D659" i="4" s="1"/>
  <c r="E659" i="4"/>
  <c r="F659" i="4" s="1"/>
  <c r="G659" i="3"/>
  <c r="R658" i="3"/>
  <c r="K659" i="3"/>
  <c r="L659" i="3" s="1"/>
  <c r="G660" i="3" l="1"/>
  <c r="R659" i="3"/>
  <c r="F662" i="3"/>
  <c r="J661" i="3"/>
  <c r="D661" i="3"/>
  <c r="H661" i="3" s="1"/>
  <c r="G158" i="4"/>
  <c r="I158" i="4" s="1"/>
  <c r="J158" i="4" s="1"/>
  <c r="H158" i="4"/>
  <c r="U658" i="3"/>
  <c r="S658" i="3"/>
  <c r="T658" i="3" s="1"/>
  <c r="AI159" i="3"/>
  <c r="O159" i="3"/>
  <c r="N159" i="3"/>
  <c r="P159" i="3" s="1"/>
  <c r="Q159" i="3" s="1"/>
  <c r="I660" i="3"/>
  <c r="D660" i="4" s="1"/>
  <c r="E660" i="4"/>
  <c r="F660" i="4" s="1"/>
  <c r="L159" i="4" l="1"/>
  <c r="V159" i="3"/>
  <c r="K158" i="4"/>
  <c r="M158" i="4"/>
  <c r="F663" i="3"/>
  <c r="D662" i="3"/>
  <c r="H662" i="3" s="1"/>
  <c r="J662" i="3"/>
  <c r="K662" i="3" s="1"/>
  <c r="L662" i="3" s="1"/>
  <c r="E661" i="4"/>
  <c r="F661" i="4" s="1"/>
  <c r="I661" i="3"/>
  <c r="D661" i="4" s="1"/>
  <c r="U659" i="3"/>
  <c r="S659" i="3"/>
  <c r="T659" i="3" s="1"/>
  <c r="K661" i="3"/>
  <c r="L661" i="3" s="1"/>
  <c r="G661" i="3"/>
  <c r="R660" i="3"/>
  <c r="S660" i="3" l="1"/>
  <c r="T660" i="3" s="1"/>
  <c r="U660" i="3"/>
  <c r="G662" i="3"/>
  <c r="R661" i="3"/>
  <c r="I662" i="3"/>
  <c r="D662" i="4" s="1"/>
  <c r="E662" i="4"/>
  <c r="F662" i="4" s="1"/>
  <c r="F664" i="3"/>
  <c r="J663" i="3"/>
  <c r="D663" i="3"/>
  <c r="H663" i="3" s="1"/>
  <c r="W159" i="3"/>
  <c r="X159" i="3" s="1"/>
  <c r="Y159" i="3" s="1"/>
  <c r="Z159" i="3" s="1"/>
  <c r="AA159" i="3" s="1"/>
  <c r="AB159" i="3" s="1"/>
  <c r="AC159" i="3" l="1"/>
  <c r="AD159" i="3" s="1"/>
  <c r="C159" i="4"/>
  <c r="M160" i="3"/>
  <c r="D664" i="3"/>
  <c r="H664" i="3" s="1"/>
  <c r="F665" i="3"/>
  <c r="J664" i="3"/>
  <c r="E663" i="4"/>
  <c r="F663" i="4" s="1"/>
  <c r="I663" i="3"/>
  <c r="D663" i="4" s="1"/>
  <c r="U661" i="3"/>
  <c r="S661" i="3"/>
  <c r="T661" i="3" s="1"/>
  <c r="K663" i="3"/>
  <c r="L663" i="3" s="1"/>
  <c r="G663" i="3"/>
  <c r="R662" i="3"/>
  <c r="I664" i="3" l="1"/>
  <c r="D664" i="4" s="1"/>
  <c r="E664" i="4"/>
  <c r="F664" i="4" s="1"/>
  <c r="U662" i="3"/>
  <c r="S662" i="3"/>
  <c r="T662" i="3" s="1"/>
  <c r="O160" i="3"/>
  <c r="AI160" i="3"/>
  <c r="N160" i="3"/>
  <c r="P160" i="3" s="1"/>
  <c r="Q160" i="3" s="1"/>
  <c r="G664" i="3"/>
  <c r="R663" i="3"/>
  <c r="K664" i="3"/>
  <c r="L664" i="3" s="1"/>
  <c r="H159" i="4"/>
  <c r="G159" i="4"/>
  <c r="I159" i="4" s="1"/>
  <c r="J159" i="4" s="1"/>
  <c r="F666" i="3"/>
  <c r="D665" i="3"/>
  <c r="H665" i="3" s="1"/>
  <c r="J665" i="3"/>
  <c r="E665" i="4" l="1"/>
  <c r="F665" i="4" s="1"/>
  <c r="I665" i="3"/>
  <c r="D665" i="4" s="1"/>
  <c r="G665" i="3"/>
  <c r="R664" i="3"/>
  <c r="F667" i="3"/>
  <c r="D666" i="3"/>
  <c r="H666" i="3" s="1"/>
  <c r="J666" i="3"/>
  <c r="K666" i="3" s="1"/>
  <c r="L666" i="3" s="1"/>
  <c r="L160" i="4"/>
  <c r="V160" i="3"/>
  <c r="K665" i="3"/>
  <c r="L665" i="3" s="1"/>
  <c r="K159" i="4"/>
  <c r="M159" i="4"/>
  <c r="U663" i="3"/>
  <c r="S663" i="3"/>
  <c r="T663" i="3" s="1"/>
  <c r="U664" i="3" l="1"/>
  <c r="S664" i="3"/>
  <c r="T664" i="3" s="1"/>
  <c r="X160" i="3"/>
  <c r="Y160" i="3" s="1"/>
  <c r="Z160" i="3" s="1"/>
  <c r="AA160" i="3" s="1"/>
  <c r="AB160" i="3" s="1"/>
  <c r="W160" i="3"/>
  <c r="G666" i="3"/>
  <c r="R665" i="3"/>
  <c r="E666" i="4"/>
  <c r="F666" i="4" s="1"/>
  <c r="I666" i="3"/>
  <c r="D666" i="4" s="1"/>
  <c r="F668" i="3"/>
  <c r="J667" i="3"/>
  <c r="D667" i="3"/>
  <c r="H667" i="3" s="1"/>
  <c r="J668" i="3" l="1"/>
  <c r="F669" i="3"/>
  <c r="D668" i="3"/>
  <c r="H668" i="3" s="1"/>
  <c r="C160" i="4"/>
  <c r="AC160" i="3"/>
  <c r="AD160" i="3" s="1"/>
  <c r="M161" i="3"/>
  <c r="E667" i="4"/>
  <c r="F667" i="4" s="1"/>
  <c r="I667" i="3"/>
  <c r="D667" i="4" s="1"/>
  <c r="S665" i="3"/>
  <c r="T665" i="3" s="1"/>
  <c r="U665" i="3"/>
  <c r="K667" i="3"/>
  <c r="L667" i="3" s="1"/>
  <c r="G667" i="3"/>
  <c r="R666" i="3"/>
  <c r="E668" i="4" l="1"/>
  <c r="F668" i="4" s="1"/>
  <c r="I668" i="3"/>
  <c r="D668" i="4" s="1"/>
  <c r="O161" i="3"/>
  <c r="N161" i="3"/>
  <c r="P161" i="3" s="1"/>
  <c r="Q161" i="3" s="1"/>
  <c r="AI161" i="3"/>
  <c r="U666" i="3"/>
  <c r="S666" i="3"/>
  <c r="T666" i="3" s="1"/>
  <c r="J669" i="3"/>
  <c r="D669" i="3"/>
  <c r="H669" i="3" s="1"/>
  <c r="F670" i="3"/>
  <c r="G668" i="3"/>
  <c r="R667" i="3"/>
  <c r="H160" i="4"/>
  <c r="G160" i="4"/>
  <c r="I160" i="4" s="1"/>
  <c r="J160" i="4" s="1"/>
  <c r="K668" i="3"/>
  <c r="L668" i="3" s="1"/>
  <c r="E669" i="4" l="1"/>
  <c r="F669" i="4" s="1"/>
  <c r="I669" i="3"/>
  <c r="D669" i="4" s="1"/>
  <c r="U667" i="3"/>
  <c r="S667" i="3"/>
  <c r="T667" i="3" s="1"/>
  <c r="G669" i="3"/>
  <c r="R668" i="3"/>
  <c r="K669" i="3"/>
  <c r="L669" i="3" s="1"/>
  <c r="L161" i="4"/>
  <c r="V161" i="3"/>
  <c r="M160" i="4"/>
  <c r="K160" i="4"/>
  <c r="F671" i="3"/>
  <c r="J670" i="3"/>
  <c r="K670" i="3" s="1"/>
  <c r="L670" i="3" s="1"/>
  <c r="D670" i="3"/>
  <c r="H670" i="3" s="1"/>
  <c r="W161" i="3" l="1"/>
  <c r="X161" i="3"/>
  <c r="Y161" i="3" s="1"/>
  <c r="Z161" i="3" s="1"/>
  <c r="AA161" i="3" s="1"/>
  <c r="AB161" i="3" s="1"/>
  <c r="G670" i="3"/>
  <c r="R669" i="3"/>
  <c r="D671" i="3"/>
  <c r="H671" i="3" s="1"/>
  <c r="J671" i="3"/>
  <c r="K671" i="3" s="1"/>
  <c r="L671" i="3" s="1"/>
  <c r="F672" i="3"/>
  <c r="I670" i="3"/>
  <c r="D670" i="4" s="1"/>
  <c r="E670" i="4"/>
  <c r="F670" i="4" s="1"/>
  <c r="S668" i="3"/>
  <c r="T668" i="3" s="1"/>
  <c r="U668" i="3"/>
  <c r="G671" i="3" l="1"/>
  <c r="R670" i="3"/>
  <c r="AC161" i="3"/>
  <c r="AD161" i="3" s="1"/>
  <c r="M162" i="3"/>
  <c r="C161" i="4"/>
  <c r="E671" i="4"/>
  <c r="F671" i="4" s="1"/>
  <c r="I671" i="3"/>
  <c r="D671" i="4" s="1"/>
  <c r="F673" i="3"/>
  <c r="D672" i="3"/>
  <c r="H672" i="3" s="1"/>
  <c r="J672" i="3"/>
  <c r="U669" i="3"/>
  <c r="S669" i="3"/>
  <c r="T669" i="3" s="1"/>
  <c r="I672" i="3" l="1"/>
  <c r="D672" i="4" s="1"/>
  <c r="E672" i="4"/>
  <c r="F672" i="4" s="1"/>
  <c r="J673" i="3"/>
  <c r="K673" i="3" s="1"/>
  <c r="L673" i="3" s="1"/>
  <c r="F674" i="3"/>
  <c r="D673" i="3"/>
  <c r="H673" i="3" s="1"/>
  <c r="G161" i="4"/>
  <c r="I161" i="4" s="1"/>
  <c r="J161" i="4" s="1"/>
  <c r="H161" i="4"/>
  <c r="S670" i="3"/>
  <c r="T670" i="3" s="1"/>
  <c r="U670" i="3"/>
  <c r="K672" i="3"/>
  <c r="L672" i="3" s="1"/>
  <c r="O162" i="3"/>
  <c r="N162" i="3"/>
  <c r="P162" i="3" s="1"/>
  <c r="Q162" i="3" s="1"/>
  <c r="AI162" i="3"/>
  <c r="G672" i="3"/>
  <c r="R671" i="3"/>
  <c r="G673" i="3" l="1"/>
  <c r="R672" i="3"/>
  <c r="M161" i="4"/>
  <c r="K161" i="4"/>
  <c r="L162" i="4"/>
  <c r="V162" i="3"/>
  <c r="E673" i="4"/>
  <c r="F673" i="4" s="1"/>
  <c r="I673" i="3"/>
  <c r="D673" i="4" s="1"/>
  <c r="S671" i="3"/>
  <c r="T671" i="3" s="1"/>
  <c r="U671" i="3"/>
  <c r="F675" i="3"/>
  <c r="J674" i="3"/>
  <c r="D674" i="3"/>
  <c r="H674" i="3" s="1"/>
  <c r="F676" i="3" l="1"/>
  <c r="D675" i="3"/>
  <c r="H675" i="3" s="1"/>
  <c r="J675" i="3"/>
  <c r="K675" i="3" s="1"/>
  <c r="L675" i="3" s="1"/>
  <c r="E674" i="4"/>
  <c r="F674" i="4" s="1"/>
  <c r="I674" i="3"/>
  <c r="D674" i="4" s="1"/>
  <c r="X162" i="3"/>
  <c r="Y162" i="3" s="1"/>
  <c r="Z162" i="3" s="1"/>
  <c r="AA162" i="3" s="1"/>
  <c r="AB162" i="3" s="1"/>
  <c r="W162" i="3"/>
  <c r="U672" i="3"/>
  <c r="S672" i="3"/>
  <c r="T672" i="3" s="1"/>
  <c r="K674" i="3"/>
  <c r="L674" i="3" s="1"/>
  <c r="G674" i="3"/>
  <c r="R673" i="3"/>
  <c r="C162" i="4" l="1"/>
  <c r="M163" i="3"/>
  <c r="AC162" i="3"/>
  <c r="AD162" i="3" s="1"/>
  <c r="S673" i="3"/>
  <c r="T673" i="3" s="1"/>
  <c r="U673" i="3"/>
  <c r="I675" i="3"/>
  <c r="D675" i="4" s="1"/>
  <c r="E675" i="4"/>
  <c r="F675" i="4" s="1"/>
  <c r="G675" i="3"/>
  <c r="R674" i="3"/>
  <c r="J676" i="3"/>
  <c r="F677" i="3"/>
  <c r="D676" i="3"/>
  <c r="H676" i="3" s="1"/>
  <c r="I676" i="3" l="1"/>
  <c r="D676" i="4" s="1"/>
  <c r="E676" i="4"/>
  <c r="F676" i="4" s="1"/>
  <c r="S674" i="3"/>
  <c r="T674" i="3" s="1"/>
  <c r="U674" i="3"/>
  <c r="G676" i="3"/>
  <c r="R675" i="3"/>
  <c r="N163" i="3"/>
  <c r="P163" i="3" s="1"/>
  <c r="Q163" i="3" s="1"/>
  <c r="AI163" i="3"/>
  <c r="O163" i="3"/>
  <c r="F678" i="3"/>
  <c r="J677" i="3"/>
  <c r="K677" i="3" s="1"/>
  <c r="L677" i="3" s="1"/>
  <c r="D677" i="3"/>
  <c r="H677" i="3" s="1"/>
  <c r="H162" i="4"/>
  <c r="G162" i="4"/>
  <c r="I162" i="4" s="1"/>
  <c r="J162" i="4" s="1"/>
  <c r="K676" i="3"/>
  <c r="L676" i="3" s="1"/>
  <c r="M162" i="4" l="1"/>
  <c r="K162" i="4"/>
  <c r="L163" i="4"/>
  <c r="V163" i="3"/>
  <c r="J678" i="3"/>
  <c r="D678" i="3"/>
  <c r="H678" i="3" s="1"/>
  <c r="F679" i="3"/>
  <c r="E677" i="4"/>
  <c r="F677" i="4" s="1"/>
  <c r="I677" i="3"/>
  <c r="D677" i="4" s="1"/>
  <c r="U675" i="3"/>
  <c r="S675" i="3"/>
  <c r="T675" i="3" s="1"/>
  <c r="G677" i="3"/>
  <c r="R676" i="3"/>
  <c r="E678" i="4" l="1"/>
  <c r="F678" i="4" s="1"/>
  <c r="I678" i="3"/>
  <c r="D678" i="4" s="1"/>
  <c r="K678" i="3"/>
  <c r="L678" i="3" s="1"/>
  <c r="U676" i="3"/>
  <c r="S676" i="3"/>
  <c r="T676" i="3" s="1"/>
  <c r="J679" i="3"/>
  <c r="K679" i="3" s="1"/>
  <c r="L679" i="3" s="1"/>
  <c r="F680" i="3"/>
  <c r="D679" i="3"/>
  <c r="H679" i="3" s="1"/>
  <c r="G678" i="3"/>
  <c r="R677" i="3"/>
  <c r="W163" i="3"/>
  <c r="X163" i="3" s="1"/>
  <c r="Y163" i="3" s="1"/>
  <c r="Z163" i="3" s="1"/>
  <c r="AA163" i="3" s="1"/>
  <c r="AB163" i="3" s="1"/>
  <c r="AC163" i="3" l="1"/>
  <c r="AD163" i="3" s="1"/>
  <c r="M164" i="3"/>
  <c r="C163" i="4"/>
  <c r="G679" i="3"/>
  <c r="R678" i="3"/>
  <c r="I679" i="3"/>
  <c r="D679" i="4" s="1"/>
  <c r="E679" i="4"/>
  <c r="F679" i="4" s="1"/>
  <c r="U677" i="3"/>
  <c r="S677" i="3"/>
  <c r="T677" i="3" s="1"/>
  <c r="F681" i="3"/>
  <c r="J680" i="3"/>
  <c r="D680" i="3"/>
  <c r="H680" i="3" s="1"/>
  <c r="E680" i="4" l="1"/>
  <c r="F680" i="4" s="1"/>
  <c r="I680" i="3"/>
  <c r="D680" i="4" s="1"/>
  <c r="G680" i="3"/>
  <c r="R679" i="3"/>
  <c r="K680" i="3"/>
  <c r="L680" i="3" s="1"/>
  <c r="G163" i="4"/>
  <c r="I163" i="4" s="1"/>
  <c r="J163" i="4" s="1"/>
  <c r="H163" i="4"/>
  <c r="F682" i="3"/>
  <c r="J681" i="3"/>
  <c r="K681" i="3" s="1"/>
  <c r="L681" i="3" s="1"/>
  <c r="D681" i="3"/>
  <c r="H681" i="3" s="1"/>
  <c r="O164" i="3"/>
  <c r="N164" i="3"/>
  <c r="P164" i="3" s="1"/>
  <c r="Q164" i="3" s="1"/>
  <c r="AI164" i="3"/>
  <c r="U678" i="3"/>
  <c r="S678" i="3"/>
  <c r="T678" i="3" s="1"/>
  <c r="M163" i="4" l="1"/>
  <c r="K163" i="4"/>
  <c r="G681" i="3"/>
  <c r="R680" i="3"/>
  <c r="L164" i="4"/>
  <c r="V164" i="3"/>
  <c r="D682" i="3"/>
  <c r="H682" i="3" s="1"/>
  <c r="J682" i="3"/>
  <c r="K682" i="3" s="1"/>
  <c r="L682" i="3" s="1"/>
  <c r="F683" i="3"/>
  <c r="I681" i="3"/>
  <c r="D681" i="4" s="1"/>
  <c r="E681" i="4"/>
  <c r="F681" i="4" s="1"/>
  <c r="S679" i="3"/>
  <c r="T679" i="3" s="1"/>
  <c r="U679" i="3"/>
  <c r="G682" i="3" l="1"/>
  <c r="R681" i="3"/>
  <c r="D683" i="3"/>
  <c r="H683" i="3" s="1"/>
  <c r="F684" i="3"/>
  <c r="J683" i="3"/>
  <c r="W164" i="3"/>
  <c r="X164" i="3" s="1"/>
  <c r="Y164" i="3" s="1"/>
  <c r="Z164" i="3" s="1"/>
  <c r="AA164" i="3" s="1"/>
  <c r="AB164" i="3" s="1"/>
  <c r="I682" i="3"/>
  <c r="D682" i="4" s="1"/>
  <c r="E682" i="4"/>
  <c r="F682" i="4" s="1"/>
  <c r="S680" i="3"/>
  <c r="T680" i="3" s="1"/>
  <c r="U680" i="3"/>
  <c r="AC164" i="3" l="1"/>
  <c r="AD164" i="3" s="1"/>
  <c r="C164" i="4"/>
  <c r="M165" i="3"/>
  <c r="E683" i="4"/>
  <c r="F683" i="4" s="1"/>
  <c r="I683" i="3"/>
  <c r="D683" i="4" s="1"/>
  <c r="K683" i="3"/>
  <c r="L683" i="3" s="1"/>
  <c r="U681" i="3"/>
  <c r="S681" i="3"/>
  <c r="T681" i="3" s="1"/>
  <c r="F685" i="3"/>
  <c r="J684" i="3"/>
  <c r="K684" i="3" s="1"/>
  <c r="L684" i="3" s="1"/>
  <c r="D684" i="3"/>
  <c r="H684" i="3" s="1"/>
  <c r="G683" i="3"/>
  <c r="R682" i="3"/>
  <c r="U682" i="3" l="1"/>
  <c r="S682" i="3"/>
  <c r="T682" i="3" s="1"/>
  <c r="G684" i="3"/>
  <c r="R683" i="3"/>
  <c r="F686" i="3"/>
  <c r="J685" i="3"/>
  <c r="K685" i="3" s="1"/>
  <c r="L685" i="3" s="1"/>
  <c r="D685" i="3"/>
  <c r="H685" i="3" s="1"/>
  <c r="N165" i="3"/>
  <c r="P165" i="3" s="1"/>
  <c r="Q165" i="3" s="1"/>
  <c r="AI165" i="3"/>
  <c r="O165" i="3"/>
  <c r="I684" i="3"/>
  <c r="D684" i="4" s="1"/>
  <c r="E684" i="4"/>
  <c r="F684" i="4" s="1"/>
  <c r="H164" i="4"/>
  <c r="G164" i="4"/>
  <c r="I164" i="4" s="1"/>
  <c r="J164" i="4" s="1"/>
  <c r="L165" i="4" l="1"/>
  <c r="V165" i="3"/>
  <c r="D686" i="3"/>
  <c r="H686" i="3" s="1"/>
  <c r="F687" i="3"/>
  <c r="J686" i="3"/>
  <c r="E685" i="4"/>
  <c r="F685" i="4" s="1"/>
  <c r="I685" i="3"/>
  <c r="D685" i="4" s="1"/>
  <c r="U683" i="3"/>
  <c r="S683" i="3"/>
  <c r="T683" i="3" s="1"/>
  <c r="M164" i="4"/>
  <c r="K164" i="4"/>
  <c r="G685" i="3"/>
  <c r="R684" i="3"/>
  <c r="E686" i="4" l="1"/>
  <c r="F686" i="4" s="1"/>
  <c r="I686" i="3"/>
  <c r="D686" i="4" s="1"/>
  <c r="S684" i="3"/>
  <c r="T684" i="3" s="1"/>
  <c r="U684" i="3"/>
  <c r="K686" i="3"/>
  <c r="L686" i="3" s="1"/>
  <c r="W165" i="3"/>
  <c r="X165" i="3"/>
  <c r="Y165" i="3" s="1"/>
  <c r="Z165" i="3" s="1"/>
  <c r="AA165" i="3" s="1"/>
  <c r="AB165" i="3" s="1"/>
  <c r="G686" i="3"/>
  <c r="R685" i="3"/>
  <c r="J687" i="3"/>
  <c r="K687" i="3" s="1"/>
  <c r="L687" i="3" s="1"/>
  <c r="D687" i="3"/>
  <c r="H687" i="3" s="1"/>
  <c r="F688" i="3"/>
  <c r="G687" i="3" l="1"/>
  <c r="R686" i="3"/>
  <c r="M166" i="3"/>
  <c r="AC165" i="3"/>
  <c r="AD165" i="3" s="1"/>
  <c r="C165" i="4"/>
  <c r="J688" i="3"/>
  <c r="K688" i="3" s="1"/>
  <c r="L688" i="3" s="1"/>
  <c r="F689" i="3"/>
  <c r="D688" i="3"/>
  <c r="H688" i="3" s="1"/>
  <c r="E687" i="4"/>
  <c r="F687" i="4" s="1"/>
  <c r="I687" i="3"/>
  <c r="D687" i="4" s="1"/>
  <c r="U685" i="3"/>
  <c r="S685" i="3"/>
  <c r="T685" i="3" s="1"/>
  <c r="I688" i="3" l="1"/>
  <c r="D688" i="4" s="1"/>
  <c r="E688" i="4"/>
  <c r="F688" i="4" s="1"/>
  <c r="G165" i="4"/>
  <c r="I165" i="4" s="1"/>
  <c r="J165" i="4" s="1"/>
  <c r="H165" i="4"/>
  <c r="F690" i="3"/>
  <c r="J689" i="3"/>
  <c r="D689" i="3"/>
  <c r="H689" i="3" s="1"/>
  <c r="U686" i="3"/>
  <c r="S686" i="3"/>
  <c r="T686" i="3" s="1"/>
  <c r="N166" i="3"/>
  <c r="AI166" i="3"/>
  <c r="O166" i="3"/>
  <c r="G688" i="3"/>
  <c r="R687" i="3"/>
  <c r="D690" i="3" l="1"/>
  <c r="H690" i="3" s="1"/>
  <c r="F691" i="3"/>
  <c r="J690" i="3"/>
  <c r="U687" i="3"/>
  <c r="S687" i="3"/>
  <c r="T687" i="3" s="1"/>
  <c r="P166" i="3"/>
  <c r="Q166" i="3" s="1"/>
  <c r="E689" i="4"/>
  <c r="F689" i="4" s="1"/>
  <c r="I689" i="3"/>
  <c r="D689" i="4" s="1"/>
  <c r="G689" i="3"/>
  <c r="R688" i="3"/>
  <c r="K689" i="3"/>
  <c r="L689" i="3" s="1"/>
  <c r="K165" i="4"/>
  <c r="M165" i="4"/>
  <c r="G690" i="3" l="1"/>
  <c r="R689" i="3"/>
  <c r="L166" i="4"/>
  <c r="V166" i="3"/>
  <c r="F692" i="3"/>
  <c r="J691" i="3"/>
  <c r="D691" i="3"/>
  <c r="H691" i="3" s="1"/>
  <c r="E690" i="4"/>
  <c r="F690" i="4" s="1"/>
  <c r="I690" i="3"/>
  <c r="D690" i="4" s="1"/>
  <c r="S688" i="3"/>
  <c r="T688" i="3" s="1"/>
  <c r="U688" i="3"/>
  <c r="K690" i="3"/>
  <c r="L690" i="3" s="1"/>
  <c r="E691" i="4" l="1"/>
  <c r="F691" i="4" s="1"/>
  <c r="I691" i="3"/>
  <c r="D691" i="4" s="1"/>
  <c r="W166" i="3"/>
  <c r="X166" i="3" s="1"/>
  <c r="Y166" i="3" s="1"/>
  <c r="Z166" i="3" s="1"/>
  <c r="AA166" i="3" s="1"/>
  <c r="AB166" i="3" s="1"/>
  <c r="K691" i="3"/>
  <c r="L691" i="3" s="1"/>
  <c r="S689" i="3"/>
  <c r="T689" i="3" s="1"/>
  <c r="U689" i="3"/>
  <c r="F693" i="3"/>
  <c r="J692" i="3"/>
  <c r="K692" i="3" s="1"/>
  <c r="L692" i="3" s="1"/>
  <c r="D692" i="3"/>
  <c r="H692" i="3" s="1"/>
  <c r="G691" i="3"/>
  <c r="R690" i="3"/>
  <c r="C166" i="4" l="1"/>
  <c r="M167" i="3"/>
  <c r="AC166" i="3"/>
  <c r="AD166" i="3" s="1"/>
  <c r="U690" i="3"/>
  <c r="S690" i="3"/>
  <c r="T690" i="3" s="1"/>
  <c r="G692" i="3"/>
  <c r="R691" i="3"/>
  <c r="F694" i="3"/>
  <c r="J693" i="3"/>
  <c r="D693" i="3"/>
  <c r="H693" i="3" s="1"/>
  <c r="I692" i="3"/>
  <c r="D692" i="4" s="1"/>
  <c r="E692" i="4"/>
  <c r="F692" i="4" s="1"/>
  <c r="I693" i="3" l="1"/>
  <c r="D693" i="4" s="1"/>
  <c r="E693" i="4"/>
  <c r="F693" i="4" s="1"/>
  <c r="S691" i="3"/>
  <c r="T691" i="3" s="1"/>
  <c r="U691" i="3"/>
  <c r="G693" i="3"/>
  <c r="R692" i="3"/>
  <c r="K693" i="3"/>
  <c r="L693" i="3" s="1"/>
  <c r="N167" i="3"/>
  <c r="AI167" i="3"/>
  <c r="O167" i="3"/>
  <c r="D694" i="3"/>
  <c r="H694" i="3" s="1"/>
  <c r="J694" i="3"/>
  <c r="K694" i="3" s="1"/>
  <c r="L694" i="3" s="1"/>
  <c r="F695" i="3"/>
  <c r="G166" i="4"/>
  <c r="I166" i="4" s="1"/>
  <c r="J166" i="4" s="1"/>
  <c r="H166" i="4"/>
  <c r="D695" i="3" l="1"/>
  <c r="H695" i="3" s="1"/>
  <c r="F696" i="3"/>
  <c r="J695" i="3"/>
  <c r="K695" i="3" s="1"/>
  <c r="L695" i="3" s="1"/>
  <c r="U692" i="3"/>
  <c r="S692" i="3"/>
  <c r="T692" i="3" s="1"/>
  <c r="E694" i="4"/>
  <c r="F694" i="4" s="1"/>
  <c r="I694" i="3"/>
  <c r="D694" i="4" s="1"/>
  <c r="G694" i="3"/>
  <c r="R693" i="3"/>
  <c r="K166" i="4"/>
  <c r="M166" i="4"/>
  <c r="P167" i="3"/>
  <c r="Q167" i="3" s="1"/>
  <c r="L167" i="4" l="1"/>
  <c r="V167" i="3"/>
  <c r="G695" i="3"/>
  <c r="R694" i="3"/>
  <c r="J696" i="3"/>
  <c r="K696" i="3" s="1"/>
  <c r="L696" i="3" s="1"/>
  <c r="D696" i="3"/>
  <c r="H696" i="3" s="1"/>
  <c r="F697" i="3"/>
  <c r="U693" i="3"/>
  <c r="S693" i="3"/>
  <c r="T693" i="3" s="1"/>
  <c r="E695" i="4"/>
  <c r="F695" i="4" s="1"/>
  <c r="I695" i="3"/>
  <c r="D695" i="4" s="1"/>
  <c r="U694" i="3" l="1"/>
  <c r="S694" i="3"/>
  <c r="T694" i="3" s="1"/>
  <c r="G696" i="3"/>
  <c r="R695" i="3"/>
  <c r="J697" i="3"/>
  <c r="K697" i="3" s="1"/>
  <c r="L697" i="3" s="1"/>
  <c r="F698" i="3"/>
  <c r="D697" i="3"/>
  <c r="H697" i="3" s="1"/>
  <c r="W167" i="3"/>
  <c r="X167" i="3" s="1"/>
  <c r="Y167" i="3" s="1"/>
  <c r="Z167" i="3" s="1"/>
  <c r="AA167" i="3" s="1"/>
  <c r="AB167" i="3" s="1"/>
  <c r="I696" i="3"/>
  <c r="D696" i="4" s="1"/>
  <c r="E696" i="4"/>
  <c r="F696" i="4" s="1"/>
  <c r="AC167" i="3" l="1"/>
  <c r="AD167" i="3" s="1"/>
  <c r="M168" i="3"/>
  <c r="C167" i="4"/>
  <c r="D698" i="3"/>
  <c r="H698" i="3" s="1"/>
  <c r="F699" i="3"/>
  <c r="J698" i="3"/>
  <c r="E697" i="4"/>
  <c r="F697" i="4" s="1"/>
  <c r="I697" i="3"/>
  <c r="D697" i="4" s="1"/>
  <c r="S695" i="3"/>
  <c r="T695" i="3" s="1"/>
  <c r="U695" i="3"/>
  <c r="G697" i="3"/>
  <c r="R696" i="3"/>
  <c r="I698" i="3" l="1"/>
  <c r="D698" i="4" s="1"/>
  <c r="E698" i="4"/>
  <c r="F698" i="4" s="1"/>
  <c r="S696" i="3"/>
  <c r="T696" i="3" s="1"/>
  <c r="U696" i="3"/>
  <c r="K698" i="3"/>
  <c r="L698" i="3" s="1"/>
  <c r="G167" i="4"/>
  <c r="I167" i="4" s="1"/>
  <c r="J167" i="4" s="1"/>
  <c r="H167" i="4"/>
  <c r="G698" i="3"/>
  <c r="R697" i="3"/>
  <c r="D699" i="3"/>
  <c r="H699" i="3" s="1"/>
  <c r="J699" i="3"/>
  <c r="K699" i="3" s="1"/>
  <c r="L699" i="3" s="1"/>
  <c r="F700" i="3"/>
  <c r="O168" i="3"/>
  <c r="AI168" i="3"/>
  <c r="N168" i="3"/>
  <c r="P168" i="3" s="1"/>
  <c r="Q168" i="3" s="1"/>
  <c r="L168" i="4" l="1"/>
  <c r="V168" i="3"/>
  <c r="G699" i="3"/>
  <c r="R698" i="3"/>
  <c r="E699" i="4"/>
  <c r="F699" i="4" s="1"/>
  <c r="I699" i="3"/>
  <c r="D699" i="4" s="1"/>
  <c r="M167" i="4"/>
  <c r="K167" i="4"/>
  <c r="F701" i="3"/>
  <c r="D700" i="3"/>
  <c r="H700" i="3" s="1"/>
  <c r="J700" i="3"/>
  <c r="K700" i="3" s="1"/>
  <c r="L700" i="3" s="1"/>
  <c r="S697" i="3"/>
  <c r="T697" i="3" s="1"/>
  <c r="U697" i="3"/>
  <c r="F702" i="3" l="1"/>
  <c r="D701" i="3"/>
  <c r="H701" i="3" s="1"/>
  <c r="J701" i="3"/>
  <c r="K701" i="3" s="1"/>
  <c r="L701" i="3" s="1"/>
  <c r="G700" i="3"/>
  <c r="R699" i="3"/>
  <c r="W168" i="3"/>
  <c r="X168" i="3" s="1"/>
  <c r="Y168" i="3" s="1"/>
  <c r="Z168" i="3" s="1"/>
  <c r="AA168" i="3" s="1"/>
  <c r="AB168" i="3" s="1"/>
  <c r="I700" i="3"/>
  <c r="D700" i="4" s="1"/>
  <c r="E700" i="4"/>
  <c r="F700" i="4" s="1"/>
  <c r="U698" i="3"/>
  <c r="S698" i="3"/>
  <c r="T698" i="3" s="1"/>
  <c r="AC168" i="3" l="1"/>
  <c r="AD168" i="3" s="1"/>
  <c r="M169" i="3"/>
  <c r="C168" i="4"/>
  <c r="S699" i="3"/>
  <c r="T699" i="3" s="1"/>
  <c r="U699" i="3"/>
  <c r="I701" i="3"/>
  <c r="D701" i="4" s="1"/>
  <c r="E701" i="4"/>
  <c r="F701" i="4" s="1"/>
  <c r="G701" i="3"/>
  <c r="R700" i="3"/>
  <c r="F703" i="3"/>
  <c r="D702" i="3"/>
  <c r="H702" i="3" s="1"/>
  <c r="J702" i="3"/>
  <c r="K702" i="3" s="1"/>
  <c r="L702" i="3" s="1"/>
  <c r="F704" i="3" l="1"/>
  <c r="J703" i="3"/>
  <c r="D703" i="3"/>
  <c r="H703" i="3" s="1"/>
  <c r="S700" i="3"/>
  <c r="T700" i="3" s="1"/>
  <c r="U700" i="3"/>
  <c r="H168" i="4"/>
  <c r="G168" i="4"/>
  <c r="I168" i="4" s="1"/>
  <c r="J168" i="4" s="1"/>
  <c r="G702" i="3"/>
  <c r="R701" i="3"/>
  <c r="AI169" i="3"/>
  <c r="O169" i="3"/>
  <c r="N169" i="3"/>
  <c r="P169" i="3" s="1"/>
  <c r="Q169" i="3" s="1"/>
  <c r="E702" i="4"/>
  <c r="F702" i="4" s="1"/>
  <c r="I702" i="3"/>
  <c r="D702" i="4" s="1"/>
  <c r="L169" i="4" l="1"/>
  <c r="V169" i="3"/>
  <c r="S701" i="3"/>
  <c r="T701" i="3" s="1"/>
  <c r="U701" i="3"/>
  <c r="I703" i="3"/>
  <c r="D703" i="4" s="1"/>
  <c r="E703" i="4"/>
  <c r="F703" i="4" s="1"/>
  <c r="G703" i="3"/>
  <c r="R702" i="3"/>
  <c r="K703" i="3"/>
  <c r="L703" i="3" s="1"/>
  <c r="K168" i="4"/>
  <c r="M168" i="4"/>
  <c r="F705" i="3"/>
  <c r="J704" i="3"/>
  <c r="D704" i="3"/>
  <c r="H704" i="3" s="1"/>
  <c r="G704" i="3" l="1"/>
  <c r="R703" i="3"/>
  <c r="I704" i="3"/>
  <c r="D704" i="4" s="1"/>
  <c r="E704" i="4"/>
  <c r="F704" i="4" s="1"/>
  <c r="K704" i="3"/>
  <c r="L704" i="3" s="1"/>
  <c r="X169" i="3"/>
  <c r="Y169" i="3" s="1"/>
  <c r="Z169" i="3" s="1"/>
  <c r="AA169" i="3" s="1"/>
  <c r="AB169" i="3" s="1"/>
  <c r="W169" i="3"/>
  <c r="D705" i="3"/>
  <c r="H705" i="3" s="1"/>
  <c r="J705" i="3"/>
  <c r="K705" i="3" s="1"/>
  <c r="L705" i="3" s="1"/>
  <c r="F706" i="3"/>
  <c r="S702" i="3"/>
  <c r="T702" i="3" s="1"/>
  <c r="U702" i="3"/>
  <c r="M170" i="3" l="1"/>
  <c r="AC169" i="3"/>
  <c r="AD169" i="3" s="1"/>
  <c r="C169" i="4"/>
  <c r="E705" i="4"/>
  <c r="F705" i="4" s="1"/>
  <c r="I705" i="3"/>
  <c r="D705" i="4" s="1"/>
  <c r="U703" i="3"/>
  <c r="S703" i="3"/>
  <c r="T703" i="3" s="1"/>
  <c r="D706" i="3"/>
  <c r="H706" i="3" s="1"/>
  <c r="F707" i="3"/>
  <c r="J706" i="3"/>
  <c r="G705" i="3"/>
  <c r="R704" i="3"/>
  <c r="G706" i="3" l="1"/>
  <c r="R705" i="3"/>
  <c r="I706" i="3"/>
  <c r="D706" i="4" s="1"/>
  <c r="E706" i="4"/>
  <c r="F706" i="4" s="1"/>
  <c r="H169" i="4"/>
  <c r="G169" i="4"/>
  <c r="I169" i="4" s="1"/>
  <c r="J169" i="4" s="1"/>
  <c r="K706" i="3"/>
  <c r="L706" i="3" s="1"/>
  <c r="O170" i="3"/>
  <c r="N170" i="3"/>
  <c r="P170" i="3" s="1"/>
  <c r="Q170" i="3" s="1"/>
  <c r="AI170" i="3"/>
  <c r="S704" i="3"/>
  <c r="T704" i="3" s="1"/>
  <c r="U704" i="3"/>
  <c r="J707" i="3"/>
  <c r="D707" i="3"/>
  <c r="H707" i="3" s="1"/>
  <c r="F708" i="3"/>
  <c r="D708" i="3" l="1"/>
  <c r="H708" i="3" s="1"/>
  <c r="J708" i="3"/>
  <c r="K708" i="3" s="1"/>
  <c r="L708" i="3" s="1"/>
  <c r="F709" i="3"/>
  <c r="I707" i="3"/>
  <c r="D707" i="4" s="1"/>
  <c r="E707" i="4"/>
  <c r="F707" i="4" s="1"/>
  <c r="K707" i="3"/>
  <c r="L707" i="3" s="1"/>
  <c r="L170" i="4"/>
  <c r="V170" i="3"/>
  <c r="M169" i="4"/>
  <c r="K169" i="4"/>
  <c r="S705" i="3"/>
  <c r="T705" i="3" s="1"/>
  <c r="U705" i="3"/>
  <c r="G707" i="3"/>
  <c r="R706" i="3"/>
  <c r="G708" i="3" l="1"/>
  <c r="R707" i="3"/>
  <c r="D709" i="3"/>
  <c r="H709" i="3" s="1"/>
  <c r="F710" i="3"/>
  <c r="J709" i="3"/>
  <c r="W170" i="3"/>
  <c r="X170" i="3" s="1"/>
  <c r="Y170" i="3" s="1"/>
  <c r="Z170" i="3" s="1"/>
  <c r="AA170" i="3" s="1"/>
  <c r="AB170" i="3" s="1"/>
  <c r="S706" i="3"/>
  <c r="T706" i="3" s="1"/>
  <c r="U706" i="3"/>
  <c r="I708" i="3"/>
  <c r="D708" i="4" s="1"/>
  <c r="E708" i="4"/>
  <c r="F708" i="4" s="1"/>
  <c r="M171" i="3" l="1"/>
  <c r="AC170" i="3"/>
  <c r="AD170" i="3" s="1"/>
  <c r="C170" i="4"/>
  <c r="E709" i="4"/>
  <c r="F709" i="4" s="1"/>
  <c r="I709" i="3"/>
  <c r="D709" i="4" s="1"/>
  <c r="K709" i="3"/>
  <c r="L709" i="3" s="1"/>
  <c r="S707" i="3"/>
  <c r="T707" i="3" s="1"/>
  <c r="U707" i="3"/>
  <c r="F711" i="3"/>
  <c r="D710" i="3"/>
  <c r="H710" i="3" s="1"/>
  <c r="J710" i="3"/>
  <c r="G709" i="3"/>
  <c r="R708" i="3"/>
  <c r="S708" i="3" l="1"/>
  <c r="T708" i="3" s="1"/>
  <c r="U708" i="3"/>
  <c r="I710" i="3"/>
  <c r="D710" i="4" s="1"/>
  <c r="E710" i="4"/>
  <c r="F710" i="4" s="1"/>
  <c r="G170" i="4"/>
  <c r="I170" i="4" s="1"/>
  <c r="J170" i="4" s="1"/>
  <c r="H170" i="4"/>
  <c r="G710" i="3"/>
  <c r="R709" i="3"/>
  <c r="F712" i="3"/>
  <c r="J711" i="3"/>
  <c r="D711" i="3"/>
  <c r="H711" i="3" s="1"/>
  <c r="K710" i="3"/>
  <c r="L710" i="3" s="1"/>
  <c r="AI171" i="3"/>
  <c r="N171" i="3"/>
  <c r="O171" i="3"/>
  <c r="I711" i="3" l="1"/>
  <c r="D711" i="4" s="1"/>
  <c r="E711" i="4"/>
  <c r="F711" i="4" s="1"/>
  <c r="G711" i="3"/>
  <c r="R710" i="3"/>
  <c r="K711" i="3"/>
  <c r="L711" i="3" s="1"/>
  <c r="P171" i="3"/>
  <c r="Q171" i="3" s="1"/>
  <c r="J712" i="3"/>
  <c r="D712" i="3"/>
  <c r="H712" i="3" s="1"/>
  <c r="F713" i="3"/>
  <c r="M170" i="4"/>
  <c r="K170" i="4"/>
  <c r="U709" i="3"/>
  <c r="S709" i="3"/>
  <c r="T709" i="3" s="1"/>
  <c r="J713" i="3" l="1"/>
  <c r="D713" i="3"/>
  <c r="H713" i="3" s="1"/>
  <c r="F714" i="3"/>
  <c r="L171" i="4"/>
  <c r="V171" i="3"/>
  <c r="U710" i="3"/>
  <c r="S710" i="3"/>
  <c r="T710" i="3" s="1"/>
  <c r="E712" i="4"/>
  <c r="F712" i="4" s="1"/>
  <c r="I712" i="3"/>
  <c r="D712" i="4" s="1"/>
  <c r="G712" i="3"/>
  <c r="R711" i="3"/>
  <c r="K712" i="3"/>
  <c r="L712" i="3" s="1"/>
  <c r="D714" i="3" l="1"/>
  <c r="H714" i="3" s="1"/>
  <c r="J714" i="3"/>
  <c r="K714" i="3" s="1"/>
  <c r="L714" i="3" s="1"/>
  <c r="F715" i="3"/>
  <c r="E713" i="4"/>
  <c r="F713" i="4" s="1"/>
  <c r="I713" i="3"/>
  <c r="D713" i="4" s="1"/>
  <c r="S711" i="3"/>
  <c r="T711" i="3" s="1"/>
  <c r="U711" i="3"/>
  <c r="W171" i="3"/>
  <c r="X171" i="3"/>
  <c r="Y171" i="3" s="1"/>
  <c r="Z171" i="3" s="1"/>
  <c r="AA171" i="3" s="1"/>
  <c r="AB171" i="3" s="1"/>
  <c r="G713" i="3"/>
  <c r="R712" i="3"/>
  <c r="K713" i="3"/>
  <c r="L713" i="3" s="1"/>
  <c r="AC171" i="3" l="1"/>
  <c r="AD171" i="3" s="1"/>
  <c r="M172" i="3"/>
  <c r="C171" i="4"/>
  <c r="I714" i="3"/>
  <c r="D714" i="4" s="1"/>
  <c r="E714" i="4"/>
  <c r="F714" i="4" s="1"/>
  <c r="S712" i="3"/>
  <c r="T712" i="3" s="1"/>
  <c r="U712" i="3"/>
  <c r="G714" i="3"/>
  <c r="R713" i="3"/>
  <c r="D715" i="3"/>
  <c r="H715" i="3" s="1"/>
  <c r="F716" i="3"/>
  <c r="J715" i="3"/>
  <c r="J716" i="3" l="1"/>
  <c r="F717" i="3"/>
  <c r="D716" i="3"/>
  <c r="H716" i="3" s="1"/>
  <c r="G715" i="3"/>
  <c r="R714" i="3"/>
  <c r="H171" i="4"/>
  <c r="G171" i="4"/>
  <c r="I171" i="4" s="1"/>
  <c r="J171" i="4" s="1"/>
  <c r="AI172" i="3"/>
  <c r="N172" i="3"/>
  <c r="O172" i="3"/>
  <c r="I715" i="3"/>
  <c r="D715" i="4" s="1"/>
  <c r="E715" i="4"/>
  <c r="F715" i="4" s="1"/>
  <c r="K715" i="3"/>
  <c r="L715" i="3" s="1"/>
  <c r="U713" i="3"/>
  <c r="S713" i="3"/>
  <c r="T713" i="3" s="1"/>
  <c r="K171" i="4" l="1"/>
  <c r="M171" i="4"/>
  <c r="I716" i="3"/>
  <c r="D716" i="4" s="1"/>
  <c r="E716" i="4"/>
  <c r="F716" i="4" s="1"/>
  <c r="P172" i="3"/>
  <c r="Q172" i="3" s="1"/>
  <c r="U714" i="3"/>
  <c r="S714" i="3"/>
  <c r="T714" i="3" s="1"/>
  <c r="F718" i="3"/>
  <c r="J717" i="3"/>
  <c r="K717" i="3" s="1"/>
  <c r="L717" i="3" s="1"/>
  <c r="D717" i="3"/>
  <c r="H717" i="3" s="1"/>
  <c r="G716" i="3"/>
  <c r="R715" i="3"/>
  <c r="K716" i="3"/>
  <c r="L716" i="3" s="1"/>
  <c r="U715" i="3" l="1"/>
  <c r="S715" i="3"/>
  <c r="T715" i="3" s="1"/>
  <c r="G717" i="3"/>
  <c r="R716" i="3"/>
  <c r="L172" i="4"/>
  <c r="V172" i="3"/>
  <c r="D718" i="3"/>
  <c r="H718" i="3" s="1"/>
  <c r="F719" i="3"/>
  <c r="J718" i="3"/>
  <c r="K718" i="3" s="1"/>
  <c r="L718" i="3" s="1"/>
  <c r="I717" i="3"/>
  <c r="D717" i="4" s="1"/>
  <c r="E717" i="4"/>
  <c r="F717" i="4" s="1"/>
  <c r="W172" i="3" l="1"/>
  <c r="X172" i="3"/>
  <c r="Y172" i="3" s="1"/>
  <c r="Z172" i="3" s="1"/>
  <c r="AA172" i="3" s="1"/>
  <c r="AB172" i="3" s="1"/>
  <c r="G718" i="3"/>
  <c r="R717" i="3"/>
  <c r="F720" i="3"/>
  <c r="D719" i="3"/>
  <c r="H719" i="3" s="1"/>
  <c r="J719" i="3"/>
  <c r="E718" i="4"/>
  <c r="F718" i="4" s="1"/>
  <c r="I718" i="3"/>
  <c r="D718" i="4" s="1"/>
  <c r="U716" i="3"/>
  <c r="S716" i="3"/>
  <c r="T716" i="3" s="1"/>
  <c r="I719" i="3" l="1"/>
  <c r="D719" i="4" s="1"/>
  <c r="E719" i="4"/>
  <c r="F719" i="4" s="1"/>
  <c r="G719" i="3"/>
  <c r="R718" i="3"/>
  <c r="F721" i="3"/>
  <c r="J720" i="3"/>
  <c r="K720" i="3" s="1"/>
  <c r="L720" i="3" s="1"/>
  <c r="D720" i="3"/>
  <c r="H720" i="3" s="1"/>
  <c r="AC172" i="3"/>
  <c r="AD172" i="3" s="1"/>
  <c r="C172" i="4"/>
  <c r="M173" i="3"/>
  <c r="K719" i="3"/>
  <c r="L719" i="3" s="1"/>
  <c r="U717" i="3"/>
  <c r="S717" i="3"/>
  <c r="T717" i="3" s="1"/>
  <c r="N173" i="3" l="1"/>
  <c r="AI173" i="3"/>
  <c r="O173" i="3"/>
  <c r="G720" i="3"/>
  <c r="R719" i="3"/>
  <c r="G172" i="4"/>
  <c r="I172" i="4" s="1"/>
  <c r="J172" i="4" s="1"/>
  <c r="H172" i="4"/>
  <c r="D721" i="3"/>
  <c r="H721" i="3" s="1"/>
  <c r="F722" i="3"/>
  <c r="J721" i="3"/>
  <c r="I720" i="3"/>
  <c r="D720" i="4" s="1"/>
  <c r="E720" i="4"/>
  <c r="F720" i="4" s="1"/>
  <c r="U718" i="3"/>
  <c r="S718" i="3"/>
  <c r="T718" i="3" s="1"/>
  <c r="F723" i="3" l="1"/>
  <c r="J722" i="3"/>
  <c r="D722" i="3"/>
  <c r="H722" i="3" s="1"/>
  <c r="M172" i="4"/>
  <c r="K172" i="4"/>
  <c r="E721" i="4"/>
  <c r="F721" i="4" s="1"/>
  <c r="I721" i="3"/>
  <c r="D721" i="4" s="1"/>
  <c r="S719" i="3"/>
  <c r="T719" i="3" s="1"/>
  <c r="U719" i="3"/>
  <c r="K721" i="3"/>
  <c r="L721" i="3" s="1"/>
  <c r="G721" i="3"/>
  <c r="R720" i="3"/>
  <c r="P173" i="3"/>
  <c r="Q173" i="3" s="1"/>
  <c r="L173" i="4" l="1"/>
  <c r="V173" i="3"/>
  <c r="E722" i="4"/>
  <c r="F722" i="4" s="1"/>
  <c r="I722" i="3"/>
  <c r="D722" i="4" s="1"/>
  <c r="U720" i="3"/>
  <c r="S720" i="3"/>
  <c r="T720" i="3" s="1"/>
  <c r="K722" i="3"/>
  <c r="L722" i="3" s="1"/>
  <c r="G722" i="3"/>
  <c r="R721" i="3"/>
  <c r="F724" i="3"/>
  <c r="J723" i="3"/>
  <c r="D723" i="3"/>
  <c r="H723" i="3" s="1"/>
  <c r="D724" i="3" l="1"/>
  <c r="H724" i="3" s="1"/>
  <c r="F725" i="3"/>
  <c r="J724" i="3"/>
  <c r="K724" i="3" s="1"/>
  <c r="L724" i="3" s="1"/>
  <c r="E723" i="4"/>
  <c r="F723" i="4" s="1"/>
  <c r="I723" i="3"/>
  <c r="D723" i="4" s="1"/>
  <c r="U721" i="3"/>
  <c r="S721" i="3"/>
  <c r="T721" i="3" s="1"/>
  <c r="W173" i="3"/>
  <c r="X173" i="3"/>
  <c r="Y173" i="3" s="1"/>
  <c r="Z173" i="3" s="1"/>
  <c r="AA173" i="3" s="1"/>
  <c r="AB173" i="3" s="1"/>
  <c r="G723" i="3"/>
  <c r="R722" i="3"/>
  <c r="K723" i="3"/>
  <c r="L723" i="3" s="1"/>
  <c r="U722" i="3" l="1"/>
  <c r="S722" i="3"/>
  <c r="T722" i="3" s="1"/>
  <c r="G724" i="3"/>
  <c r="R723" i="3"/>
  <c r="AC173" i="3"/>
  <c r="AD173" i="3" s="1"/>
  <c r="C173" i="4"/>
  <c r="M174" i="3"/>
  <c r="D725" i="3"/>
  <c r="H725" i="3" s="1"/>
  <c r="J725" i="3"/>
  <c r="F726" i="3"/>
  <c r="E724" i="4"/>
  <c r="F724" i="4" s="1"/>
  <c r="I724" i="3"/>
  <c r="D724" i="4" s="1"/>
  <c r="S723" i="3" l="1"/>
  <c r="T723" i="3" s="1"/>
  <c r="U723" i="3"/>
  <c r="I725" i="3"/>
  <c r="D725" i="4" s="1"/>
  <c r="E725" i="4"/>
  <c r="F725" i="4" s="1"/>
  <c r="G725" i="3"/>
  <c r="R724" i="3"/>
  <c r="D726" i="3"/>
  <c r="H726" i="3" s="1"/>
  <c r="J726" i="3"/>
  <c r="F727" i="3"/>
  <c r="N174" i="3"/>
  <c r="P174" i="3" s="1"/>
  <c r="Q174" i="3" s="1"/>
  <c r="AI174" i="3"/>
  <c r="O174" i="3"/>
  <c r="K725" i="3"/>
  <c r="L725" i="3" s="1"/>
  <c r="G173" i="4"/>
  <c r="I173" i="4" s="1"/>
  <c r="J173" i="4" s="1"/>
  <c r="H173" i="4"/>
  <c r="M173" i="4" l="1"/>
  <c r="K173" i="4"/>
  <c r="L174" i="4"/>
  <c r="V174" i="3"/>
  <c r="I726" i="3"/>
  <c r="D726" i="4" s="1"/>
  <c r="E726" i="4"/>
  <c r="F726" i="4" s="1"/>
  <c r="D727" i="3"/>
  <c r="H727" i="3" s="1"/>
  <c r="J727" i="3"/>
  <c r="F728" i="3"/>
  <c r="U724" i="3"/>
  <c r="S724" i="3"/>
  <c r="T724" i="3" s="1"/>
  <c r="K726" i="3"/>
  <c r="L726" i="3" s="1"/>
  <c r="G726" i="3"/>
  <c r="R725" i="3"/>
  <c r="I727" i="3" l="1"/>
  <c r="D727" i="4" s="1"/>
  <c r="E727" i="4"/>
  <c r="F727" i="4" s="1"/>
  <c r="W174" i="3"/>
  <c r="X174" i="3" s="1"/>
  <c r="Y174" i="3" s="1"/>
  <c r="Z174" i="3" s="1"/>
  <c r="AA174" i="3" s="1"/>
  <c r="AB174" i="3" s="1"/>
  <c r="D728" i="3"/>
  <c r="H728" i="3" s="1"/>
  <c r="F729" i="3"/>
  <c r="J728" i="3"/>
  <c r="S725" i="3"/>
  <c r="T725" i="3" s="1"/>
  <c r="U725" i="3"/>
  <c r="G727" i="3"/>
  <c r="R726" i="3"/>
  <c r="K727" i="3"/>
  <c r="L727" i="3" s="1"/>
  <c r="M175" i="3" l="1"/>
  <c r="C174" i="4"/>
  <c r="AC174" i="3"/>
  <c r="AD174" i="3" s="1"/>
  <c r="S726" i="3"/>
  <c r="T726" i="3" s="1"/>
  <c r="U726" i="3"/>
  <c r="I728" i="3"/>
  <c r="D728" i="4" s="1"/>
  <c r="E728" i="4"/>
  <c r="F728" i="4" s="1"/>
  <c r="G728" i="3"/>
  <c r="R727" i="3"/>
  <c r="K728" i="3"/>
  <c r="L728" i="3" s="1"/>
  <c r="F730" i="3"/>
  <c r="D729" i="3"/>
  <c r="H729" i="3" s="1"/>
  <c r="J729" i="3"/>
  <c r="K729" i="3" s="1"/>
  <c r="L729" i="3" s="1"/>
  <c r="E729" i="4" l="1"/>
  <c r="F729" i="4" s="1"/>
  <c r="I729" i="3"/>
  <c r="D729" i="4" s="1"/>
  <c r="S727" i="3"/>
  <c r="T727" i="3" s="1"/>
  <c r="U727" i="3"/>
  <c r="J730" i="3"/>
  <c r="K730" i="3" s="1"/>
  <c r="L730" i="3" s="1"/>
  <c r="F731" i="3"/>
  <c r="D730" i="3"/>
  <c r="H730" i="3" s="1"/>
  <c r="G729" i="3"/>
  <c r="R728" i="3"/>
  <c r="H174" i="4"/>
  <c r="G174" i="4"/>
  <c r="I174" i="4" s="1"/>
  <c r="J174" i="4" s="1"/>
  <c r="AI175" i="3"/>
  <c r="N175" i="3"/>
  <c r="O175" i="3"/>
  <c r="G730" i="3" l="1"/>
  <c r="R729" i="3"/>
  <c r="K174" i="4"/>
  <c r="M174" i="4"/>
  <c r="P175" i="3"/>
  <c r="Q175" i="3" s="1"/>
  <c r="E730" i="4"/>
  <c r="F730" i="4" s="1"/>
  <c r="I730" i="3"/>
  <c r="D730" i="4" s="1"/>
  <c r="U728" i="3"/>
  <c r="S728" i="3"/>
  <c r="T728" i="3" s="1"/>
  <c r="F732" i="3"/>
  <c r="J731" i="3"/>
  <c r="D731" i="3"/>
  <c r="H731" i="3" s="1"/>
  <c r="F733" i="3" l="1"/>
  <c r="D732" i="3"/>
  <c r="H732" i="3" s="1"/>
  <c r="J732" i="3"/>
  <c r="K732" i="3" s="1"/>
  <c r="L732" i="3" s="1"/>
  <c r="E731" i="4"/>
  <c r="F731" i="4" s="1"/>
  <c r="I731" i="3"/>
  <c r="D731" i="4" s="1"/>
  <c r="L175" i="4"/>
  <c r="V175" i="3"/>
  <c r="U729" i="3"/>
  <c r="S729" i="3"/>
  <c r="T729" i="3" s="1"/>
  <c r="K731" i="3"/>
  <c r="L731" i="3" s="1"/>
  <c r="G731" i="3"/>
  <c r="R730" i="3"/>
  <c r="U730" i="3" l="1"/>
  <c r="S730" i="3"/>
  <c r="T730" i="3" s="1"/>
  <c r="G732" i="3"/>
  <c r="R731" i="3"/>
  <c r="E732" i="4"/>
  <c r="F732" i="4" s="1"/>
  <c r="I732" i="3"/>
  <c r="D732" i="4" s="1"/>
  <c r="W175" i="3"/>
  <c r="X175" i="3"/>
  <c r="Y175" i="3" s="1"/>
  <c r="Z175" i="3" s="1"/>
  <c r="AA175" i="3" s="1"/>
  <c r="AB175" i="3" s="1"/>
  <c r="F734" i="3"/>
  <c r="J733" i="3"/>
  <c r="D733" i="3"/>
  <c r="H733" i="3" s="1"/>
  <c r="D734" i="3" l="1"/>
  <c r="H734" i="3" s="1"/>
  <c r="F735" i="3"/>
  <c r="J734" i="3"/>
  <c r="K734" i="3" s="1"/>
  <c r="L734" i="3" s="1"/>
  <c r="E733" i="4"/>
  <c r="F733" i="4" s="1"/>
  <c r="I733" i="3"/>
  <c r="D733" i="4" s="1"/>
  <c r="C175" i="4"/>
  <c r="M176" i="3"/>
  <c r="AC175" i="3"/>
  <c r="AD175" i="3" s="1"/>
  <c r="S731" i="3"/>
  <c r="T731" i="3" s="1"/>
  <c r="U731" i="3"/>
  <c r="K733" i="3"/>
  <c r="L733" i="3" s="1"/>
  <c r="G733" i="3"/>
  <c r="R732" i="3"/>
  <c r="O176" i="3" l="1"/>
  <c r="AI176" i="3"/>
  <c r="N176" i="3"/>
  <c r="P176" i="3" s="1"/>
  <c r="Q176" i="3" s="1"/>
  <c r="S732" i="3"/>
  <c r="T732" i="3" s="1"/>
  <c r="U732" i="3"/>
  <c r="G175" i="4"/>
  <c r="I175" i="4" s="1"/>
  <c r="J175" i="4" s="1"/>
  <c r="H175" i="4"/>
  <c r="F736" i="3"/>
  <c r="D735" i="3"/>
  <c r="H735" i="3" s="1"/>
  <c r="J735" i="3"/>
  <c r="K735" i="3" s="1"/>
  <c r="L735" i="3" s="1"/>
  <c r="G734" i="3"/>
  <c r="R733" i="3"/>
  <c r="E734" i="4"/>
  <c r="F734" i="4" s="1"/>
  <c r="I734" i="3"/>
  <c r="D734" i="4" s="1"/>
  <c r="K175" i="4" l="1"/>
  <c r="M175" i="4"/>
  <c r="S733" i="3"/>
  <c r="T733" i="3" s="1"/>
  <c r="U733" i="3"/>
  <c r="E735" i="4"/>
  <c r="F735" i="4" s="1"/>
  <c r="I735" i="3"/>
  <c r="D735" i="4" s="1"/>
  <c r="L176" i="4"/>
  <c r="V176" i="3"/>
  <c r="G735" i="3"/>
  <c r="R734" i="3"/>
  <c r="J736" i="3"/>
  <c r="K736" i="3" s="1"/>
  <c r="L736" i="3" s="1"/>
  <c r="F737" i="3"/>
  <c r="D736" i="3"/>
  <c r="H736" i="3" s="1"/>
  <c r="I736" i="3" l="1"/>
  <c r="D736" i="4" s="1"/>
  <c r="E736" i="4"/>
  <c r="F736" i="4" s="1"/>
  <c r="U734" i="3"/>
  <c r="S734" i="3"/>
  <c r="T734" i="3" s="1"/>
  <c r="D737" i="3"/>
  <c r="H737" i="3" s="1"/>
  <c r="F738" i="3"/>
  <c r="J737" i="3"/>
  <c r="K737" i="3" s="1"/>
  <c r="L737" i="3" s="1"/>
  <c r="G736" i="3"/>
  <c r="R735" i="3"/>
  <c r="W176" i="3"/>
  <c r="X176" i="3" s="1"/>
  <c r="Y176" i="3" s="1"/>
  <c r="Z176" i="3" s="1"/>
  <c r="AA176" i="3" s="1"/>
  <c r="AB176" i="3" s="1"/>
  <c r="M177" i="3" l="1"/>
  <c r="C176" i="4"/>
  <c r="AC176" i="3"/>
  <c r="AD176" i="3" s="1"/>
  <c r="S735" i="3"/>
  <c r="T735" i="3" s="1"/>
  <c r="U735" i="3"/>
  <c r="F739" i="3"/>
  <c r="D738" i="3"/>
  <c r="H738" i="3" s="1"/>
  <c r="J738" i="3"/>
  <c r="K738" i="3" s="1"/>
  <c r="L738" i="3" s="1"/>
  <c r="G737" i="3"/>
  <c r="R736" i="3"/>
  <c r="I737" i="3"/>
  <c r="D737" i="4" s="1"/>
  <c r="E737" i="4"/>
  <c r="F737" i="4" s="1"/>
  <c r="F740" i="3" l="1"/>
  <c r="D739" i="3"/>
  <c r="H739" i="3" s="1"/>
  <c r="J739" i="3"/>
  <c r="K739" i="3" s="1"/>
  <c r="L739" i="3" s="1"/>
  <c r="U736" i="3"/>
  <c r="S736" i="3"/>
  <c r="T736" i="3" s="1"/>
  <c r="H176" i="4"/>
  <c r="G176" i="4"/>
  <c r="I176" i="4" s="1"/>
  <c r="J176" i="4" s="1"/>
  <c r="G738" i="3"/>
  <c r="R737" i="3"/>
  <c r="I738" i="3"/>
  <c r="D738" i="4" s="1"/>
  <c r="E738" i="4"/>
  <c r="F738" i="4" s="1"/>
  <c r="O177" i="3"/>
  <c r="N177" i="3"/>
  <c r="AI177" i="3"/>
  <c r="U737" i="3" l="1"/>
  <c r="S737" i="3"/>
  <c r="T737" i="3" s="1"/>
  <c r="G739" i="3"/>
  <c r="R738" i="3"/>
  <c r="M176" i="4"/>
  <c r="K176" i="4"/>
  <c r="E739" i="4"/>
  <c r="F739" i="4" s="1"/>
  <c r="I739" i="3"/>
  <c r="D739" i="4" s="1"/>
  <c r="P177" i="3"/>
  <c r="Q177" i="3" s="1"/>
  <c r="F741" i="3"/>
  <c r="J740" i="3"/>
  <c r="D740" i="3"/>
  <c r="H740" i="3" s="1"/>
  <c r="L177" i="4" l="1"/>
  <c r="V177" i="3"/>
  <c r="G740" i="3"/>
  <c r="R739" i="3"/>
  <c r="I740" i="3"/>
  <c r="D740" i="4" s="1"/>
  <c r="E740" i="4"/>
  <c r="F740" i="4" s="1"/>
  <c r="K740" i="3"/>
  <c r="L740" i="3" s="1"/>
  <c r="D741" i="3"/>
  <c r="H741" i="3" s="1"/>
  <c r="F742" i="3"/>
  <c r="J741" i="3"/>
  <c r="U738" i="3"/>
  <c r="S738" i="3"/>
  <c r="T738" i="3" s="1"/>
  <c r="E741" i="4" l="1"/>
  <c r="F741" i="4" s="1"/>
  <c r="I741" i="3"/>
  <c r="D741" i="4" s="1"/>
  <c r="U739" i="3"/>
  <c r="S739" i="3"/>
  <c r="T739" i="3" s="1"/>
  <c r="K741" i="3"/>
  <c r="L741" i="3" s="1"/>
  <c r="G741" i="3"/>
  <c r="R740" i="3"/>
  <c r="W177" i="3"/>
  <c r="X177" i="3"/>
  <c r="Y177" i="3" s="1"/>
  <c r="Z177" i="3" s="1"/>
  <c r="AA177" i="3" s="1"/>
  <c r="AB177" i="3" s="1"/>
  <c r="D742" i="3"/>
  <c r="H742" i="3" s="1"/>
  <c r="J742" i="3"/>
  <c r="K742" i="3" s="1"/>
  <c r="L742" i="3" s="1"/>
  <c r="F743" i="3"/>
  <c r="F744" i="3" l="1"/>
  <c r="J743" i="3"/>
  <c r="D743" i="3"/>
  <c r="H743" i="3" s="1"/>
  <c r="C177" i="4"/>
  <c r="AC177" i="3"/>
  <c r="AD177" i="3" s="1"/>
  <c r="M178" i="3"/>
  <c r="G742" i="3"/>
  <c r="R741" i="3"/>
  <c r="I742" i="3"/>
  <c r="D742" i="4" s="1"/>
  <c r="E742" i="4"/>
  <c r="F742" i="4" s="1"/>
  <c r="S740" i="3"/>
  <c r="T740" i="3" s="1"/>
  <c r="U740" i="3"/>
  <c r="G743" i="3" l="1"/>
  <c r="R742" i="3"/>
  <c r="O178" i="3"/>
  <c r="AI178" i="3"/>
  <c r="N178" i="3"/>
  <c r="I743" i="3"/>
  <c r="D743" i="4" s="1"/>
  <c r="E743" i="4"/>
  <c r="F743" i="4" s="1"/>
  <c r="K743" i="3"/>
  <c r="L743" i="3" s="1"/>
  <c r="U741" i="3"/>
  <c r="S741" i="3"/>
  <c r="T741" i="3" s="1"/>
  <c r="G177" i="4"/>
  <c r="I177" i="4" s="1"/>
  <c r="J177" i="4" s="1"/>
  <c r="H177" i="4"/>
  <c r="D744" i="3"/>
  <c r="H744" i="3" s="1"/>
  <c r="F745" i="3"/>
  <c r="J744" i="3"/>
  <c r="J745" i="3" l="1"/>
  <c r="F746" i="3"/>
  <c r="D745" i="3"/>
  <c r="H745" i="3" s="1"/>
  <c r="E744" i="4"/>
  <c r="F744" i="4" s="1"/>
  <c r="I744" i="3"/>
  <c r="D744" i="4" s="1"/>
  <c r="S742" i="3"/>
  <c r="T742" i="3" s="1"/>
  <c r="U742" i="3"/>
  <c r="P178" i="3"/>
  <c r="Q178" i="3" s="1"/>
  <c r="G744" i="3"/>
  <c r="R743" i="3"/>
  <c r="K744" i="3"/>
  <c r="L744" i="3" s="1"/>
  <c r="K177" i="4"/>
  <c r="M177" i="4"/>
  <c r="G745" i="3" l="1"/>
  <c r="R744" i="3"/>
  <c r="E745" i="4"/>
  <c r="F745" i="4" s="1"/>
  <c r="I745" i="3"/>
  <c r="D745" i="4" s="1"/>
  <c r="L178" i="4"/>
  <c r="V178" i="3"/>
  <c r="F747" i="3"/>
  <c r="D746" i="3"/>
  <c r="H746" i="3" s="1"/>
  <c r="J746" i="3"/>
  <c r="S743" i="3"/>
  <c r="T743" i="3" s="1"/>
  <c r="U743" i="3"/>
  <c r="K745" i="3"/>
  <c r="L745" i="3" s="1"/>
  <c r="I746" i="3" l="1"/>
  <c r="D746" i="4" s="1"/>
  <c r="E746" i="4"/>
  <c r="F746" i="4" s="1"/>
  <c r="J747" i="3"/>
  <c r="K747" i="3" s="1"/>
  <c r="L747" i="3" s="1"/>
  <c r="F748" i="3"/>
  <c r="D747" i="3"/>
  <c r="H747" i="3" s="1"/>
  <c r="X178" i="3"/>
  <c r="Y178" i="3" s="1"/>
  <c r="Z178" i="3" s="1"/>
  <c r="AA178" i="3" s="1"/>
  <c r="AB178" i="3" s="1"/>
  <c r="W178" i="3"/>
  <c r="S744" i="3"/>
  <c r="T744" i="3" s="1"/>
  <c r="U744" i="3"/>
  <c r="K746" i="3"/>
  <c r="L746" i="3" s="1"/>
  <c r="G746" i="3"/>
  <c r="R745" i="3"/>
  <c r="C178" i="4" l="1"/>
  <c r="M179" i="3"/>
  <c r="AC178" i="3"/>
  <c r="AD178" i="3" s="1"/>
  <c r="U745" i="3"/>
  <c r="S745" i="3"/>
  <c r="T745" i="3" s="1"/>
  <c r="G747" i="3"/>
  <c r="R746" i="3"/>
  <c r="I747" i="3"/>
  <c r="D747" i="4" s="1"/>
  <c r="E747" i="4"/>
  <c r="F747" i="4" s="1"/>
  <c r="J748" i="3"/>
  <c r="F749" i="3"/>
  <c r="D748" i="3"/>
  <c r="H748" i="3" s="1"/>
  <c r="G748" i="3" l="1"/>
  <c r="R747" i="3"/>
  <c r="I748" i="3"/>
  <c r="D748" i="4" s="1"/>
  <c r="E748" i="4"/>
  <c r="F748" i="4" s="1"/>
  <c r="F750" i="3"/>
  <c r="J749" i="3"/>
  <c r="D749" i="3"/>
  <c r="H749" i="3" s="1"/>
  <c r="O179" i="3"/>
  <c r="N179" i="3"/>
  <c r="P179" i="3" s="1"/>
  <c r="Q179" i="3" s="1"/>
  <c r="AI179" i="3"/>
  <c r="K748" i="3"/>
  <c r="L748" i="3" s="1"/>
  <c r="U746" i="3"/>
  <c r="S746" i="3"/>
  <c r="T746" i="3" s="1"/>
  <c r="H178" i="4"/>
  <c r="G178" i="4"/>
  <c r="I178" i="4" s="1"/>
  <c r="J178" i="4" s="1"/>
  <c r="I749" i="3" l="1"/>
  <c r="D749" i="4" s="1"/>
  <c r="E749" i="4"/>
  <c r="F749" i="4" s="1"/>
  <c r="L179" i="4"/>
  <c r="V179" i="3"/>
  <c r="K749" i="3"/>
  <c r="L749" i="3" s="1"/>
  <c r="S747" i="3"/>
  <c r="T747" i="3" s="1"/>
  <c r="U747" i="3"/>
  <c r="K178" i="4"/>
  <c r="M178" i="4"/>
  <c r="J750" i="3"/>
  <c r="K750" i="3" s="1"/>
  <c r="L750" i="3" s="1"/>
  <c r="F751" i="3"/>
  <c r="D750" i="3"/>
  <c r="H750" i="3" s="1"/>
  <c r="G749" i="3"/>
  <c r="R748" i="3"/>
  <c r="G750" i="3" l="1"/>
  <c r="R749" i="3"/>
  <c r="I750" i="3"/>
  <c r="D750" i="4" s="1"/>
  <c r="E750" i="4"/>
  <c r="F750" i="4" s="1"/>
  <c r="S748" i="3"/>
  <c r="T748" i="3" s="1"/>
  <c r="U748" i="3"/>
  <c r="J751" i="3"/>
  <c r="K751" i="3" s="1"/>
  <c r="L751" i="3" s="1"/>
  <c r="F752" i="3"/>
  <c r="D751" i="3"/>
  <c r="H751" i="3" s="1"/>
  <c r="W179" i="3"/>
  <c r="X179" i="3"/>
  <c r="Y179" i="3" s="1"/>
  <c r="Z179" i="3" s="1"/>
  <c r="AA179" i="3" s="1"/>
  <c r="AB179" i="3" s="1"/>
  <c r="C179" i="4" l="1"/>
  <c r="M180" i="3"/>
  <c r="AC179" i="3"/>
  <c r="AD179" i="3" s="1"/>
  <c r="E751" i="4"/>
  <c r="F751" i="4" s="1"/>
  <c r="I751" i="3"/>
  <c r="D751" i="4" s="1"/>
  <c r="S749" i="3"/>
  <c r="T749" i="3" s="1"/>
  <c r="U749" i="3"/>
  <c r="F753" i="3"/>
  <c r="D752" i="3"/>
  <c r="H752" i="3" s="1"/>
  <c r="J752" i="3"/>
  <c r="G751" i="3"/>
  <c r="R750" i="3"/>
  <c r="E752" i="4" l="1"/>
  <c r="F752" i="4" s="1"/>
  <c r="I752" i="3"/>
  <c r="D752" i="4" s="1"/>
  <c r="U750" i="3"/>
  <c r="S750" i="3"/>
  <c r="T750" i="3" s="1"/>
  <c r="F754" i="3"/>
  <c r="D753" i="3"/>
  <c r="H753" i="3" s="1"/>
  <c r="J753" i="3"/>
  <c r="K753" i="3" s="1"/>
  <c r="L753" i="3" s="1"/>
  <c r="G752" i="3"/>
  <c r="R751" i="3"/>
  <c r="O180" i="3"/>
  <c r="AI180" i="3"/>
  <c r="N180" i="3"/>
  <c r="K752" i="3"/>
  <c r="L752" i="3" s="1"/>
  <c r="G179" i="4"/>
  <c r="I179" i="4" s="1"/>
  <c r="J179" i="4" s="1"/>
  <c r="H179" i="4"/>
  <c r="K179" i="4" l="1"/>
  <c r="M179" i="4"/>
  <c r="U751" i="3"/>
  <c r="S751" i="3"/>
  <c r="T751" i="3" s="1"/>
  <c r="E753" i="4"/>
  <c r="F753" i="4" s="1"/>
  <c r="I753" i="3"/>
  <c r="D753" i="4" s="1"/>
  <c r="P180" i="3"/>
  <c r="Q180" i="3" s="1"/>
  <c r="G753" i="3"/>
  <c r="R752" i="3"/>
  <c r="D754" i="3"/>
  <c r="H754" i="3" s="1"/>
  <c r="F755" i="3"/>
  <c r="J754" i="3"/>
  <c r="K754" i="3" s="1"/>
  <c r="L754" i="3" s="1"/>
  <c r="S752" i="3" l="1"/>
  <c r="T752" i="3" s="1"/>
  <c r="U752" i="3"/>
  <c r="D755" i="3"/>
  <c r="H755" i="3" s="1"/>
  <c r="F756" i="3"/>
  <c r="J755" i="3"/>
  <c r="G754" i="3"/>
  <c r="R753" i="3"/>
  <c r="E754" i="4"/>
  <c r="F754" i="4" s="1"/>
  <c r="I754" i="3"/>
  <c r="D754" i="4" s="1"/>
  <c r="L180" i="4"/>
  <c r="V180" i="3"/>
  <c r="G755" i="3" l="1"/>
  <c r="R754" i="3"/>
  <c r="I755" i="3"/>
  <c r="D755" i="4" s="1"/>
  <c r="E755" i="4"/>
  <c r="F755" i="4" s="1"/>
  <c r="K755" i="3"/>
  <c r="L755" i="3" s="1"/>
  <c r="F757" i="3"/>
  <c r="D756" i="3"/>
  <c r="H756" i="3" s="1"/>
  <c r="J756" i="3"/>
  <c r="K756" i="3" s="1"/>
  <c r="L756" i="3" s="1"/>
  <c r="X180" i="3"/>
  <c r="Y180" i="3" s="1"/>
  <c r="Z180" i="3" s="1"/>
  <c r="AA180" i="3" s="1"/>
  <c r="AB180" i="3" s="1"/>
  <c r="W180" i="3"/>
  <c r="U753" i="3"/>
  <c r="S753" i="3"/>
  <c r="T753" i="3" s="1"/>
  <c r="AC180" i="3" l="1"/>
  <c r="AD180" i="3" s="1"/>
  <c r="C180" i="4"/>
  <c r="M181" i="3"/>
  <c r="F758" i="3"/>
  <c r="D757" i="3"/>
  <c r="H757" i="3" s="1"/>
  <c r="J757" i="3"/>
  <c r="K757" i="3" s="1"/>
  <c r="L757" i="3" s="1"/>
  <c r="U754" i="3"/>
  <c r="S754" i="3"/>
  <c r="T754" i="3" s="1"/>
  <c r="I756" i="3"/>
  <c r="D756" i="4" s="1"/>
  <c r="E756" i="4"/>
  <c r="F756" i="4" s="1"/>
  <c r="G756" i="3"/>
  <c r="R755" i="3"/>
  <c r="G757" i="3" l="1"/>
  <c r="R756" i="3"/>
  <c r="D758" i="3"/>
  <c r="H758" i="3" s="1"/>
  <c r="J758" i="3"/>
  <c r="K758" i="3" s="1"/>
  <c r="L758" i="3" s="1"/>
  <c r="F759" i="3"/>
  <c r="AI181" i="3"/>
  <c r="O181" i="3"/>
  <c r="N181" i="3"/>
  <c r="P181" i="3" s="1"/>
  <c r="Q181" i="3" s="1"/>
  <c r="G180" i="4"/>
  <c r="I180" i="4" s="1"/>
  <c r="J180" i="4" s="1"/>
  <c r="H180" i="4"/>
  <c r="U755" i="3"/>
  <c r="S755" i="3"/>
  <c r="T755" i="3" s="1"/>
  <c r="I757" i="3"/>
  <c r="D757" i="4" s="1"/>
  <c r="E757" i="4"/>
  <c r="F757" i="4" s="1"/>
  <c r="M180" i="4" l="1"/>
  <c r="K180" i="4"/>
  <c r="E758" i="4"/>
  <c r="F758" i="4" s="1"/>
  <c r="I758" i="3"/>
  <c r="D758" i="4" s="1"/>
  <c r="L181" i="4"/>
  <c r="V181" i="3"/>
  <c r="J759" i="3"/>
  <c r="F760" i="3"/>
  <c r="D759" i="3"/>
  <c r="H759" i="3" s="1"/>
  <c r="S756" i="3"/>
  <c r="T756" i="3" s="1"/>
  <c r="U756" i="3"/>
  <c r="G758" i="3"/>
  <c r="R757" i="3"/>
  <c r="U757" i="3" l="1"/>
  <c r="S757" i="3"/>
  <c r="T757" i="3" s="1"/>
  <c r="W181" i="3"/>
  <c r="X181" i="3"/>
  <c r="Y181" i="3" s="1"/>
  <c r="Z181" i="3" s="1"/>
  <c r="AA181" i="3" s="1"/>
  <c r="AB181" i="3" s="1"/>
  <c r="G759" i="3"/>
  <c r="R758" i="3"/>
  <c r="E759" i="4"/>
  <c r="F759" i="4" s="1"/>
  <c r="I759" i="3"/>
  <c r="D759" i="4" s="1"/>
  <c r="D760" i="3"/>
  <c r="H760" i="3" s="1"/>
  <c r="F761" i="3"/>
  <c r="J760" i="3"/>
  <c r="K760" i="3" s="1"/>
  <c r="L760" i="3" s="1"/>
  <c r="K759" i="3"/>
  <c r="L759" i="3" s="1"/>
  <c r="M182" i="3" l="1"/>
  <c r="AC181" i="3"/>
  <c r="AD181" i="3" s="1"/>
  <c r="C181" i="4"/>
  <c r="F762" i="3"/>
  <c r="J761" i="3"/>
  <c r="K761" i="3" s="1"/>
  <c r="L761" i="3" s="1"/>
  <c r="D761" i="3"/>
  <c r="H761" i="3" s="1"/>
  <c r="E760" i="4"/>
  <c r="F760" i="4" s="1"/>
  <c r="I760" i="3"/>
  <c r="D760" i="4" s="1"/>
  <c r="U758" i="3"/>
  <c r="S758" i="3"/>
  <c r="T758" i="3" s="1"/>
  <c r="G760" i="3"/>
  <c r="R759" i="3"/>
  <c r="G181" i="4" l="1"/>
  <c r="I181" i="4" s="1"/>
  <c r="J181" i="4" s="1"/>
  <c r="H181" i="4"/>
  <c r="U759" i="3"/>
  <c r="S759" i="3"/>
  <c r="T759" i="3" s="1"/>
  <c r="G761" i="3"/>
  <c r="R760" i="3"/>
  <c r="D762" i="3"/>
  <c r="H762" i="3" s="1"/>
  <c r="J762" i="3"/>
  <c r="K762" i="3" s="1"/>
  <c r="L762" i="3" s="1"/>
  <c r="F763" i="3"/>
  <c r="O182" i="3"/>
  <c r="AI182" i="3"/>
  <c r="N182" i="3"/>
  <c r="P182" i="3" s="1"/>
  <c r="Q182" i="3" s="1"/>
  <c r="E761" i="4"/>
  <c r="F761" i="4" s="1"/>
  <c r="I761" i="3"/>
  <c r="D761" i="4" s="1"/>
  <c r="D763" i="3" l="1"/>
  <c r="H763" i="3" s="1"/>
  <c r="F764" i="3"/>
  <c r="J763" i="3"/>
  <c r="K763" i="3" s="1"/>
  <c r="L763" i="3" s="1"/>
  <c r="U760" i="3"/>
  <c r="S760" i="3"/>
  <c r="T760" i="3" s="1"/>
  <c r="L182" i="4"/>
  <c r="V182" i="3"/>
  <c r="G762" i="3"/>
  <c r="R761" i="3"/>
  <c r="K181" i="4"/>
  <c r="M181" i="4"/>
  <c r="E762" i="4"/>
  <c r="F762" i="4" s="1"/>
  <c r="I762" i="3"/>
  <c r="D762" i="4" s="1"/>
  <c r="S761" i="3" l="1"/>
  <c r="T761" i="3" s="1"/>
  <c r="U761" i="3"/>
  <c r="J764" i="3"/>
  <c r="F765" i="3"/>
  <c r="D764" i="3"/>
  <c r="H764" i="3" s="1"/>
  <c r="G763" i="3"/>
  <c r="R762" i="3"/>
  <c r="W182" i="3"/>
  <c r="X182" i="3" s="1"/>
  <c r="Y182" i="3" s="1"/>
  <c r="Z182" i="3" s="1"/>
  <c r="AA182" i="3" s="1"/>
  <c r="AB182" i="3" s="1"/>
  <c r="I763" i="3"/>
  <c r="D763" i="4" s="1"/>
  <c r="E763" i="4"/>
  <c r="F763" i="4" s="1"/>
  <c r="AC182" i="3" l="1"/>
  <c r="AD182" i="3" s="1"/>
  <c r="C182" i="4"/>
  <c r="M183" i="3"/>
  <c r="G764" i="3"/>
  <c r="R763" i="3"/>
  <c r="E764" i="4"/>
  <c r="F764" i="4" s="1"/>
  <c r="I764" i="3"/>
  <c r="D764" i="4" s="1"/>
  <c r="J765" i="3"/>
  <c r="D765" i="3"/>
  <c r="H765" i="3" s="1"/>
  <c r="F766" i="3"/>
  <c r="S762" i="3"/>
  <c r="T762" i="3" s="1"/>
  <c r="U762" i="3"/>
  <c r="K764" i="3"/>
  <c r="L764" i="3" s="1"/>
  <c r="F767" i="3" l="1"/>
  <c r="J766" i="3"/>
  <c r="D766" i="3"/>
  <c r="H766" i="3" s="1"/>
  <c r="G765" i="3"/>
  <c r="R764" i="3"/>
  <c r="E765" i="4"/>
  <c r="F765" i="4" s="1"/>
  <c r="I765" i="3"/>
  <c r="D765" i="4" s="1"/>
  <c r="N183" i="3"/>
  <c r="AI183" i="3"/>
  <c r="O183" i="3"/>
  <c r="K765" i="3"/>
  <c r="L765" i="3" s="1"/>
  <c r="H182" i="4"/>
  <c r="G182" i="4"/>
  <c r="I182" i="4" s="1"/>
  <c r="J182" i="4" s="1"/>
  <c r="S763" i="3"/>
  <c r="T763" i="3" s="1"/>
  <c r="U763" i="3"/>
  <c r="M182" i="4" l="1"/>
  <c r="K182" i="4"/>
  <c r="E766" i="4"/>
  <c r="F766" i="4" s="1"/>
  <c r="I766" i="3"/>
  <c r="D766" i="4" s="1"/>
  <c r="P183" i="3"/>
  <c r="Q183" i="3" s="1"/>
  <c r="S764" i="3"/>
  <c r="T764" i="3" s="1"/>
  <c r="U764" i="3"/>
  <c r="K766" i="3"/>
  <c r="L766" i="3" s="1"/>
  <c r="G766" i="3"/>
  <c r="R765" i="3"/>
  <c r="F768" i="3"/>
  <c r="J767" i="3"/>
  <c r="D767" i="3"/>
  <c r="H767" i="3" s="1"/>
  <c r="I767" i="3" l="1"/>
  <c r="D767" i="4" s="1"/>
  <c r="E767" i="4"/>
  <c r="F767" i="4" s="1"/>
  <c r="G767" i="3"/>
  <c r="R766" i="3"/>
  <c r="K767" i="3"/>
  <c r="L767" i="3" s="1"/>
  <c r="L183" i="4"/>
  <c r="V183" i="3"/>
  <c r="J768" i="3"/>
  <c r="K768" i="3" s="1"/>
  <c r="L768" i="3" s="1"/>
  <c r="D768" i="3"/>
  <c r="H768" i="3" s="1"/>
  <c r="F769" i="3"/>
  <c r="S765" i="3"/>
  <c r="T765" i="3" s="1"/>
  <c r="U765" i="3"/>
  <c r="U766" i="3" l="1"/>
  <c r="S766" i="3"/>
  <c r="T766" i="3" s="1"/>
  <c r="D769" i="3"/>
  <c r="H769" i="3" s="1"/>
  <c r="F770" i="3"/>
  <c r="J769" i="3"/>
  <c r="K769" i="3" s="1"/>
  <c r="L769" i="3" s="1"/>
  <c r="X183" i="3"/>
  <c r="Y183" i="3" s="1"/>
  <c r="Z183" i="3" s="1"/>
  <c r="AA183" i="3" s="1"/>
  <c r="AB183" i="3" s="1"/>
  <c r="W183" i="3"/>
  <c r="G768" i="3"/>
  <c r="R767" i="3"/>
  <c r="I768" i="3"/>
  <c r="D768" i="4" s="1"/>
  <c r="E768" i="4"/>
  <c r="F768" i="4" s="1"/>
  <c r="M184" i="3" l="1"/>
  <c r="AC183" i="3"/>
  <c r="AD183" i="3" s="1"/>
  <c r="C183" i="4"/>
  <c r="S767" i="3"/>
  <c r="T767" i="3" s="1"/>
  <c r="U767" i="3"/>
  <c r="G769" i="3"/>
  <c r="R768" i="3"/>
  <c r="F771" i="3"/>
  <c r="J770" i="3"/>
  <c r="D770" i="3"/>
  <c r="H770" i="3" s="1"/>
  <c r="I769" i="3"/>
  <c r="D769" i="4" s="1"/>
  <c r="E769" i="4"/>
  <c r="F769" i="4" s="1"/>
  <c r="I770" i="3" l="1"/>
  <c r="D770" i="4" s="1"/>
  <c r="E770" i="4"/>
  <c r="F770" i="4" s="1"/>
  <c r="S768" i="3"/>
  <c r="T768" i="3" s="1"/>
  <c r="U768" i="3"/>
  <c r="K770" i="3"/>
  <c r="L770" i="3" s="1"/>
  <c r="G770" i="3"/>
  <c r="R769" i="3"/>
  <c r="G183" i="4"/>
  <c r="I183" i="4" s="1"/>
  <c r="J183" i="4" s="1"/>
  <c r="H183" i="4"/>
  <c r="F772" i="3"/>
  <c r="J771" i="3"/>
  <c r="D771" i="3"/>
  <c r="H771" i="3" s="1"/>
  <c r="AI184" i="3"/>
  <c r="O184" i="3"/>
  <c r="N184" i="3"/>
  <c r="I771" i="3" l="1"/>
  <c r="D771" i="4" s="1"/>
  <c r="E771" i="4"/>
  <c r="F771" i="4" s="1"/>
  <c r="K183" i="4"/>
  <c r="M183" i="4"/>
  <c r="K771" i="3"/>
  <c r="L771" i="3" s="1"/>
  <c r="S769" i="3"/>
  <c r="T769" i="3" s="1"/>
  <c r="U769" i="3"/>
  <c r="F773" i="3"/>
  <c r="D772" i="3"/>
  <c r="H772" i="3" s="1"/>
  <c r="J772" i="3"/>
  <c r="G771" i="3"/>
  <c r="R770" i="3"/>
  <c r="P184" i="3"/>
  <c r="Q184" i="3" s="1"/>
  <c r="L184" i="4" l="1"/>
  <c r="V184" i="3"/>
  <c r="E772" i="4"/>
  <c r="F772" i="4" s="1"/>
  <c r="I772" i="3"/>
  <c r="D772" i="4" s="1"/>
  <c r="S770" i="3"/>
  <c r="T770" i="3" s="1"/>
  <c r="U770" i="3"/>
  <c r="G772" i="3"/>
  <c r="R771" i="3"/>
  <c r="F774" i="3"/>
  <c r="J773" i="3"/>
  <c r="K773" i="3" s="1"/>
  <c r="L773" i="3" s="1"/>
  <c r="D773" i="3"/>
  <c r="H773" i="3" s="1"/>
  <c r="K772" i="3"/>
  <c r="L772" i="3" s="1"/>
  <c r="G773" i="3" l="1"/>
  <c r="R772" i="3"/>
  <c r="D774" i="3"/>
  <c r="H774" i="3" s="1"/>
  <c r="F775" i="3"/>
  <c r="J774" i="3"/>
  <c r="K774" i="3" s="1"/>
  <c r="L774" i="3" s="1"/>
  <c r="W184" i="3"/>
  <c r="X184" i="3"/>
  <c r="Y184" i="3" s="1"/>
  <c r="Z184" i="3" s="1"/>
  <c r="AA184" i="3" s="1"/>
  <c r="AB184" i="3" s="1"/>
  <c r="I773" i="3"/>
  <c r="D773" i="4" s="1"/>
  <c r="E773" i="4"/>
  <c r="F773" i="4" s="1"/>
  <c r="U771" i="3"/>
  <c r="S771" i="3"/>
  <c r="T771" i="3" s="1"/>
  <c r="C184" i="4" l="1"/>
  <c r="AC184" i="3"/>
  <c r="AD184" i="3" s="1"/>
  <c r="M185" i="3"/>
  <c r="F776" i="3"/>
  <c r="D775" i="3"/>
  <c r="H775" i="3" s="1"/>
  <c r="J775" i="3"/>
  <c r="K775" i="3" s="1"/>
  <c r="L775" i="3" s="1"/>
  <c r="U772" i="3"/>
  <c r="S772" i="3"/>
  <c r="T772" i="3" s="1"/>
  <c r="E774" i="4"/>
  <c r="F774" i="4" s="1"/>
  <c r="I774" i="3"/>
  <c r="D774" i="4" s="1"/>
  <c r="G774" i="3"/>
  <c r="R773" i="3"/>
  <c r="O185" i="3" l="1"/>
  <c r="N185" i="3"/>
  <c r="P185" i="3" s="1"/>
  <c r="Q185" i="3" s="1"/>
  <c r="AI185" i="3"/>
  <c r="U773" i="3"/>
  <c r="S773" i="3"/>
  <c r="T773" i="3" s="1"/>
  <c r="I775" i="3"/>
  <c r="D775" i="4" s="1"/>
  <c r="E775" i="4"/>
  <c r="F775" i="4" s="1"/>
  <c r="G775" i="3"/>
  <c r="R774" i="3"/>
  <c r="G184" i="4"/>
  <c r="I184" i="4" s="1"/>
  <c r="J184" i="4" s="1"/>
  <c r="H184" i="4"/>
  <c r="F777" i="3"/>
  <c r="D776" i="3"/>
  <c r="H776" i="3" s="1"/>
  <c r="J776" i="3"/>
  <c r="K776" i="3" s="1"/>
  <c r="L776" i="3" s="1"/>
  <c r="I776" i="3" l="1"/>
  <c r="D776" i="4" s="1"/>
  <c r="E776" i="4"/>
  <c r="F776" i="4" s="1"/>
  <c r="K184" i="4"/>
  <c r="M184" i="4"/>
  <c r="L185" i="4"/>
  <c r="V185" i="3"/>
  <c r="J777" i="3"/>
  <c r="K777" i="3" s="1"/>
  <c r="L777" i="3" s="1"/>
  <c r="F778" i="3"/>
  <c r="D777" i="3"/>
  <c r="H777" i="3" s="1"/>
  <c r="U774" i="3"/>
  <c r="S774" i="3"/>
  <c r="T774" i="3" s="1"/>
  <c r="G776" i="3"/>
  <c r="R775" i="3"/>
  <c r="U775" i="3" l="1"/>
  <c r="S775" i="3"/>
  <c r="T775" i="3" s="1"/>
  <c r="E777" i="4"/>
  <c r="F777" i="4" s="1"/>
  <c r="I777" i="3"/>
  <c r="D777" i="4" s="1"/>
  <c r="W185" i="3"/>
  <c r="X185" i="3"/>
  <c r="Y185" i="3" s="1"/>
  <c r="Z185" i="3" s="1"/>
  <c r="AA185" i="3" s="1"/>
  <c r="AB185" i="3" s="1"/>
  <c r="G777" i="3"/>
  <c r="R776" i="3"/>
  <c r="D778" i="3"/>
  <c r="H778" i="3" s="1"/>
  <c r="J778" i="3"/>
  <c r="K778" i="3" s="1"/>
  <c r="L778" i="3" s="1"/>
  <c r="F779" i="3"/>
  <c r="C185" i="4" l="1"/>
  <c r="M186" i="3"/>
  <c r="AC185" i="3"/>
  <c r="AD185" i="3" s="1"/>
  <c r="I778" i="3"/>
  <c r="D778" i="4" s="1"/>
  <c r="E778" i="4"/>
  <c r="F778" i="4" s="1"/>
  <c r="S776" i="3"/>
  <c r="T776" i="3" s="1"/>
  <c r="U776" i="3"/>
  <c r="J779" i="3"/>
  <c r="K779" i="3" s="1"/>
  <c r="L779" i="3" s="1"/>
  <c r="F780" i="3"/>
  <c r="D779" i="3"/>
  <c r="H779" i="3" s="1"/>
  <c r="G778" i="3"/>
  <c r="R777" i="3"/>
  <c r="F781" i="3" l="1"/>
  <c r="D780" i="3"/>
  <c r="H780" i="3" s="1"/>
  <c r="J780" i="3"/>
  <c r="K780" i="3" s="1"/>
  <c r="L780" i="3" s="1"/>
  <c r="U777" i="3"/>
  <c r="S777" i="3"/>
  <c r="T777" i="3" s="1"/>
  <c r="N186" i="3"/>
  <c r="P186" i="3" s="1"/>
  <c r="Q186" i="3" s="1"/>
  <c r="AI186" i="3"/>
  <c r="O186" i="3"/>
  <c r="G779" i="3"/>
  <c r="R778" i="3"/>
  <c r="H185" i="4"/>
  <c r="G185" i="4"/>
  <c r="I185" i="4" s="1"/>
  <c r="J185" i="4" s="1"/>
  <c r="I779" i="3"/>
  <c r="D779" i="4" s="1"/>
  <c r="E779" i="4"/>
  <c r="F779" i="4" s="1"/>
  <c r="U778" i="3" l="1"/>
  <c r="S778" i="3"/>
  <c r="T778" i="3" s="1"/>
  <c r="L186" i="4"/>
  <c r="V186" i="3"/>
  <c r="I780" i="3"/>
  <c r="D780" i="4" s="1"/>
  <c r="E780" i="4"/>
  <c r="F780" i="4" s="1"/>
  <c r="K185" i="4"/>
  <c r="M185" i="4"/>
  <c r="G780" i="3"/>
  <c r="R779" i="3"/>
  <c r="F782" i="3"/>
  <c r="D781" i="3"/>
  <c r="H781" i="3" s="1"/>
  <c r="J781" i="3"/>
  <c r="K781" i="3" s="1"/>
  <c r="L781" i="3" s="1"/>
  <c r="F783" i="3" l="1"/>
  <c r="J782" i="3"/>
  <c r="D782" i="3"/>
  <c r="H782" i="3" s="1"/>
  <c r="S779" i="3"/>
  <c r="T779" i="3" s="1"/>
  <c r="U779" i="3"/>
  <c r="G781" i="3"/>
  <c r="R780" i="3"/>
  <c r="E781" i="4"/>
  <c r="F781" i="4" s="1"/>
  <c r="I781" i="3"/>
  <c r="D781" i="4" s="1"/>
  <c r="W186" i="3"/>
  <c r="X186" i="3" s="1"/>
  <c r="Y186" i="3" s="1"/>
  <c r="Z186" i="3" s="1"/>
  <c r="AA186" i="3" s="1"/>
  <c r="AB186" i="3" s="1"/>
  <c r="M187" i="3" l="1"/>
  <c r="C186" i="4"/>
  <c r="AC186" i="3"/>
  <c r="AD186" i="3" s="1"/>
  <c r="G782" i="3"/>
  <c r="R781" i="3"/>
  <c r="E782" i="4"/>
  <c r="F782" i="4" s="1"/>
  <c r="I782" i="3"/>
  <c r="D782" i="4" s="1"/>
  <c r="K782" i="3"/>
  <c r="L782" i="3" s="1"/>
  <c r="U780" i="3"/>
  <c r="S780" i="3"/>
  <c r="T780" i="3" s="1"/>
  <c r="J783" i="3"/>
  <c r="K783" i="3" s="1"/>
  <c r="L783" i="3" s="1"/>
  <c r="F784" i="3"/>
  <c r="D783" i="3"/>
  <c r="H783" i="3" s="1"/>
  <c r="G783" i="3" l="1"/>
  <c r="R782" i="3"/>
  <c r="I783" i="3"/>
  <c r="D783" i="4" s="1"/>
  <c r="E783" i="4"/>
  <c r="F783" i="4" s="1"/>
  <c r="D784" i="3"/>
  <c r="H784" i="3" s="1"/>
  <c r="F785" i="3"/>
  <c r="J784" i="3"/>
  <c r="H186" i="4"/>
  <c r="G186" i="4"/>
  <c r="I186" i="4" s="1"/>
  <c r="J186" i="4" s="1"/>
  <c r="U781" i="3"/>
  <c r="S781" i="3"/>
  <c r="T781" i="3" s="1"/>
  <c r="N187" i="3"/>
  <c r="P187" i="3" s="1"/>
  <c r="Q187" i="3" s="1"/>
  <c r="O187" i="3"/>
  <c r="AI187" i="3"/>
  <c r="L187" i="4" l="1"/>
  <c r="V187" i="3"/>
  <c r="M186" i="4"/>
  <c r="K186" i="4"/>
  <c r="D785" i="3"/>
  <c r="H785" i="3" s="1"/>
  <c r="F786" i="3"/>
  <c r="J785" i="3"/>
  <c r="K785" i="3" s="1"/>
  <c r="L785" i="3" s="1"/>
  <c r="E784" i="4"/>
  <c r="F784" i="4" s="1"/>
  <c r="I784" i="3"/>
  <c r="D784" i="4" s="1"/>
  <c r="U782" i="3"/>
  <c r="S782" i="3"/>
  <c r="T782" i="3" s="1"/>
  <c r="G784" i="3"/>
  <c r="R783" i="3"/>
  <c r="K784" i="3"/>
  <c r="L784" i="3" s="1"/>
  <c r="U783" i="3" l="1"/>
  <c r="S783" i="3"/>
  <c r="T783" i="3" s="1"/>
  <c r="G785" i="3"/>
  <c r="R784" i="3"/>
  <c r="J786" i="3"/>
  <c r="K786" i="3" s="1"/>
  <c r="L786" i="3" s="1"/>
  <c r="F787" i="3"/>
  <c r="D786" i="3"/>
  <c r="H786" i="3" s="1"/>
  <c r="W187" i="3"/>
  <c r="X187" i="3"/>
  <c r="Y187" i="3" s="1"/>
  <c r="Z187" i="3" s="1"/>
  <c r="AA187" i="3" s="1"/>
  <c r="AB187" i="3" s="1"/>
  <c r="I785" i="3"/>
  <c r="D785" i="4" s="1"/>
  <c r="E785" i="4"/>
  <c r="F785" i="4" s="1"/>
  <c r="C187" i="4" l="1"/>
  <c r="M188" i="3"/>
  <c r="AC187" i="3"/>
  <c r="AD187" i="3" s="1"/>
  <c r="F788" i="3"/>
  <c r="J787" i="3"/>
  <c r="D787" i="3"/>
  <c r="H787" i="3" s="1"/>
  <c r="G786" i="3"/>
  <c r="R785" i="3"/>
  <c r="I786" i="3"/>
  <c r="D786" i="4" s="1"/>
  <c r="E786" i="4"/>
  <c r="F786" i="4" s="1"/>
  <c r="U784" i="3"/>
  <c r="S784" i="3"/>
  <c r="T784" i="3" s="1"/>
  <c r="G787" i="3" l="1"/>
  <c r="R786" i="3"/>
  <c r="J788" i="3"/>
  <c r="K788" i="3" s="1"/>
  <c r="L788" i="3" s="1"/>
  <c r="F789" i="3"/>
  <c r="D788" i="3"/>
  <c r="H788" i="3" s="1"/>
  <c r="E787" i="4"/>
  <c r="F787" i="4" s="1"/>
  <c r="I787" i="3"/>
  <c r="D787" i="4" s="1"/>
  <c r="O188" i="3"/>
  <c r="AI188" i="3"/>
  <c r="N188" i="3"/>
  <c r="P188" i="3" s="1"/>
  <c r="Q188" i="3" s="1"/>
  <c r="S785" i="3"/>
  <c r="T785" i="3" s="1"/>
  <c r="U785" i="3"/>
  <c r="K787" i="3"/>
  <c r="L787" i="3" s="1"/>
  <c r="H187" i="4"/>
  <c r="G187" i="4"/>
  <c r="I187" i="4" s="1"/>
  <c r="J187" i="4" s="1"/>
  <c r="L188" i="4" l="1"/>
  <c r="V188" i="3"/>
  <c r="E788" i="4"/>
  <c r="F788" i="4" s="1"/>
  <c r="I788" i="3"/>
  <c r="D788" i="4" s="1"/>
  <c r="S786" i="3"/>
  <c r="T786" i="3" s="1"/>
  <c r="U786" i="3"/>
  <c r="K187" i="4"/>
  <c r="M187" i="4"/>
  <c r="J789" i="3"/>
  <c r="K789" i="3" s="1"/>
  <c r="L789" i="3" s="1"/>
  <c r="F790" i="3"/>
  <c r="D789" i="3"/>
  <c r="H789" i="3" s="1"/>
  <c r="G788" i="3"/>
  <c r="R787" i="3"/>
  <c r="G789" i="3" l="1"/>
  <c r="R788" i="3"/>
  <c r="E789" i="4"/>
  <c r="F789" i="4" s="1"/>
  <c r="I789" i="3"/>
  <c r="D789" i="4" s="1"/>
  <c r="W188" i="3"/>
  <c r="X188" i="3" s="1"/>
  <c r="Y188" i="3" s="1"/>
  <c r="Z188" i="3" s="1"/>
  <c r="AA188" i="3" s="1"/>
  <c r="AB188" i="3" s="1"/>
  <c r="S787" i="3"/>
  <c r="T787" i="3" s="1"/>
  <c r="U787" i="3"/>
  <c r="F791" i="3"/>
  <c r="J790" i="3"/>
  <c r="K790" i="3" s="1"/>
  <c r="L790" i="3" s="1"/>
  <c r="D790" i="3"/>
  <c r="H790" i="3" s="1"/>
  <c r="C188" i="4" l="1"/>
  <c r="M189" i="3"/>
  <c r="AC188" i="3"/>
  <c r="AD188" i="3" s="1"/>
  <c r="D791" i="3"/>
  <c r="H791" i="3" s="1"/>
  <c r="F792" i="3"/>
  <c r="J791" i="3"/>
  <c r="K791" i="3" s="1"/>
  <c r="L791" i="3" s="1"/>
  <c r="U788" i="3"/>
  <c r="S788" i="3"/>
  <c r="T788" i="3" s="1"/>
  <c r="E790" i="4"/>
  <c r="F790" i="4" s="1"/>
  <c r="I790" i="3"/>
  <c r="D790" i="4" s="1"/>
  <c r="G790" i="3"/>
  <c r="R789" i="3"/>
  <c r="U789" i="3" l="1"/>
  <c r="S789" i="3"/>
  <c r="T789" i="3" s="1"/>
  <c r="F793" i="3"/>
  <c r="J792" i="3"/>
  <c r="D792" i="3"/>
  <c r="H792" i="3" s="1"/>
  <c r="G791" i="3"/>
  <c r="R790" i="3"/>
  <c r="AI189" i="3"/>
  <c r="N189" i="3"/>
  <c r="O189" i="3"/>
  <c r="I791" i="3"/>
  <c r="D791" i="4" s="1"/>
  <c r="E791" i="4"/>
  <c r="F791" i="4" s="1"/>
  <c r="G188" i="4"/>
  <c r="I188" i="4" s="1"/>
  <c r="J188" i="4" s="1"/>
  <c r="H188" i="4"/>
  <c r="M188" i="4" l="1"/>
  <c r="K188" i="4"/>
  <c r="G792" i="3"/>
  <c r="R791" i="3"/>
  <c r="F794" i="3"/>
  <c r="J793" i="3"/>
  <c r="D793" i="3"/>
  <c r="H793" i="3" s="1"/>
  <c r="P189" i="3"/>
  <c r="Q189" i="3" s="1"/>
  <c r="E792" i="4"/>
  <c r="F792" i="4" s="1"/>
  <c r="I792" i="3"/>
  <c r="D792" i="4" s="1"/>
  <c r="S790" i="3"/>
  <c r="T790" i="3" s="1"/>
  <c r="U790" i="3"/>
  <c r="K792" i="3"/>
  <c r="L792" i="3" s="1"/>
  <c r="I793" i="3" l="1"/>
  <c r="D793" i="4" s="1"/>
  <c r="E793" i="4"/>
  <c r="F793" i="4" s="1"/>
  <c r="U791" i="3"/>
  <c r="S791" i="3"/>
  <c r="T791" i="3" s="1"/>
  <c r="G793" i="3"/>
  <c r="R792" i="3"/>
  <c r="K793" i="3"/>
  <c r="L793" i="3" s="1"/>
  <c r="L189" i="4"/>
  <c r="V189" i="3"/>
  <c r="J794" i="3"/>
  <c r="K794" i="3" s="1"/>
  <c r="L794" i="3" s="1"/>
  <c r="D794" i="3"/>
  <c r="H794" i="3" s="1"/>
  <c r="F795" i="3"/>
  <c r="U792" i="3" l="1"/>
  <c r="S792" i="3"/>
  <c r="T792" i="3" s="1"/>
  <c r="W189" i="3"/>
  <c r="X189" i="3"/>
  <c r="Y189" i="3" s="1"/>
  <c r="Z189" i="3" s="1"/>
  <c r="AA189" i="3" s="1"/>
  <c r="AB189" i="3" s="1"/>
  <c r="G794" i="3"/>
  <c r="R793" i="3"/>
  <c r="J795" i="3"/>
  <c r="F796" i="3"/>
  <c r="D795" i="3"/>
  <c r="H795" i="3" s="1"/>
  <c r="I794" i="3"/>
  <c r="D794" i="4" s="1"/>
  <c r="E794" i="4"/>
  <c r="F794" i="4" s="1"/>
  <c r="I795" i="3" l="1"/>
  <c r="D795" i="4" s="1"/>
  <c r="E795" i="4"/>
  <c r="F795" i="4" s="1"/>
  <c r="S793" i="3"/>
  <c r="T793" i="3" s="1"/>
  <c r="U793" i="3"/>
  <c r="G795" i="3"/>
  <c r="R794" i="3"/>
  <c r="D796" i="3"/>
  <c r="H796" i="3" s="1"/>
  <c r="F797" i="3"/>
  <c r="J796" i="3"/>
  <c r="AC189" i="3"/>
  <c r="AD189" i="3" s="1"/>
  <c r="C189" i="4"/>
  <c r="M190" i="3"/>
  <c r="K795" i="3"/>
  <c r="L795" i="3" s="1"/>
  <c r="H189" i="4" l="1"/>
  <c r="G189" i="4"/>
  <c r="I189" i="4" s="1"/>
  <c r="J189" i="4" s="1"/>
  <c r="E796" i="4"/>
  <c r="F796" i="4" s="1"/>
  <c r="I796" i="3"/>
  <c r="D796" i="4" s="1"/>
  <c r="K796" i="3"/>
  <c r="L796" i="3" s="1"/>
  <c r="S794" i="3"/>
  <c r="T794" i="3" s="1"/>
  <c r="U794" i="3"/>
  <c r="AI190" i="3"/>
  <c r="N190" i="3"/>
  <c r="P190" i="3" s="1"/>
  <c r="Q190" i="3" s="1"/>
  <c r="O190" i="3"/>
  <c r="J797" i="3"/>
  <c r="K797" i="3" s="1"/>
  <c r="L797" i="3" s="1"/>
  <c r="F798" i="3"/>
  <c r="D797" i="3"/>
  <c r="H797" i="3" s="1"/>
  <c r="G796" i="3"/>
  <c r="R795" i="3"/>
  <c r="D798" i="3" l="1"/>
  <c r="H798" i="3" s="1"/>
  <c r="J798" i="3"/>
  <c r="K798" i="3" s="1"/>
  <c r="L798" i="3" s="1"/>
  <c r="F799" i="3"/>
  <c r="L190" i="4"/>
  <c r="V190" i="3"/>
  <c r="U795" i="3"/>
  <c r="S795" i="3"/>
  <c r="T795" i="3" s="1"/>
  <c r="G797" i="3"/>
  <c r="R796" i="3"/>
  <c r="K189" i="4"/>
  <c r="M189" i="4"/>
  <c r="E797" i="4"/>
  <c r="F797" i="4" s="1"/>
  <c r="I797" i="3"/>
  <c r="D797" i="4" s="1"/>
  <c r="S796" i="3" l="1"/>
  <c r="T796" i="3" s="1"/>
  <c r="U796" i="3"/>
  <c r="F800" i="3"/>
  <c r="D799" i="3"/>
  <c r="H799" i="3" s="1"/>
  <c r="J799" i="3"/>
  <c r="K799" i="3" s="1"/>
  <c r="L799" i="3" s="1"/>
  <c r="G798" i="3"/>
  <c r="R797" i="3"/>
  <c r="W190" i="3"/>
  <c r="X190" i="3" s="1"/>
  <c r="Y190" i="3" s="1"/>
  <c r="Z190" i="3" s="1"/>
  <c r="AA190" i="3" s="1"/>
  <c r="AB190" i="3" s="1"/>
  <c r="I798" i="3"/>
  <c r="D798" i="4" s="1"/>
  <c r="E798" i="4"/>
  <c r="F798" i="4" s="1"/>
  <c r="C190" i="4" l="1"/>
  <c r="AC190" i="3"/>
  <c r="AD190" i="3" s="1"/>
  <c r="M191" i="3"/>
  <c r="G799" i="3"/>
  <c r="R798" i="3"/>
  <c r="F801" i="3"/>
  <c r="D800" i="3"/>
  <c r="H800" i="3" s="1"/>
  <c r="J800" i="3"/>
  <c r="S797" i="3"/>
  <c r="T797" i="3" s="1"/>
  <c r="U797" i="3"/>
  <c r="I799" i="3"/>
  <c r="D799" i="4" s="1"/>
  <c r="E799" i="4"/>
  <c r="F799" i="4" s="1"/>
  <c r="E800" i="4" l="1"/>
  <c r="F800" i="4" s="1"/>
  <c r="I800" i="3"/>
  <c r="D800" i="4" s="1"/>
  <c r="G800" i="3"/>
  <c r="R799" i="3"/>
  <c r="O191" i="3"/>
  <c r="N191" i="3"/>
  <c r="P191" i="3" s="1"/>
  <c r="Q191" i="3" s="1"/>
  <c r="AI191" i="3"/>
  <c r="J801" i="3"/>
  <c r="K801" i="3" s="1"/>
  <c r="L801" i="3" s="1"/>
  <c r="D801" i="3"/>
  <c r="H801" i="3" s="1"/>
  <c r="F802" i="3"/>
  <c r="K800" i="3"/>
  <c r="L800" i="3" s="1"/>
  <c r="U798" i="3"/>
  <c r="S798" i="3"/>
  <c r="T798" i="3" s="1"/>
  <c r="G190" i="4"/>
  <c r="I190" i="4" s="1"/>
  <c r="J190" i="4" s="1"/>
  <c r="H190" i="4"/>
  <c r="M190" i="4" l="1"/>
  <c r="K190" i="4"/>
  <c r="U799" i="3"/>
  <c r="S799" i="3"/>
  <c r="T799" i="3" s="1"/>
  <c r="J802" i="3"/>
  <c r="D802" i="3"/>
  <c r="H802" i="3" s="1"/>
  <c r="F803" i="3"/>
  <c r="G801" i="3"/>
  <c r="R800" i="3"/>
  <c r="I801" i="3"/>
  <c r="D801" i="4" s="1"/>
  <c r="E801" i="4"/>
  <c r="F801" i="4" s="1"/>
  <c r="L191" i="4"/>
  <c r="V191" i="3"/>
  <c r="W191" i="3" l="1"/>
  <c r="X191" i="3" s="1"/>
  <c r="Y191" i="3" s="1"/>
  <c r="Z191" i="3" s="1"/>
  <c r="AA191" i="3" s="1"/>
  <c r="AB191" i="3" s="1"/>
  <c r="E802" i="4"/>
  <c r="F802" i="4" s="1"/>
  <c r="I802" i="3"/>
  <c r="D802" i="4" s="1"/>
  <c r="S800" i="3"/>
  <c r="T800" i="3" s="1"/>
  <c r="U800" i="3"/>
  <c r="G802" i="3"/>
  <c r="R801" i="3"/>
  <c r="K802" i="3"/>
  <c r="L802" i="3" s="1"/>
  <c r="F804" i="3"/>
  <c r="J803" i="3"/>
  <c r="K803" i="3" s="1"/>
  <c r="L803" i="3" s="1"/>
  <c r="D803" i="3"/>
  <c r="H803" i="3" s="1"/>
  <c r="AC191" i="3" l="1"/>
  <c r="AD191" i="3" s="1"/>
  <c r="C191" i="4"/>
  <c r="M192" i="3"/>
  <c r="G803" i="3"/>
  <c r="R802" i="3"/>
  <c r="J804" i="3"/>
  <c r="K804" i="3" s="1"/>
  <c r="L804" i="3" s="1"/>
  <c r="F805" i="3"/>
  <c r="D804" i="3"/>
  <c r="H804" i="3" s="1"/>
  <c r="E803" i="4"/>
  <c r="F803" i="4" s="1"/>
  <c r="I803" i="3"/>
  <c r="D803" i="4" s="1"/>
  <c r="S801" i="3"/>
  <c r="T801" i="3" s="1"/>
  <c r="U801" i="3"/>
  <c r="J805" i="3" l="1"/>
  <c r="K805" i="3" s="1"/>
  <c r="L805" i="3" s="1"/>
  <c r="F806" i="3"/>
  <c r="D805" i="3"/>
  <c r="H805" i="3" s="1"/>
  <c r="AI192" i="3"/>
  <c r="O192" i="3"/>
  <c r="N192" i="3"/>
  <c r="P192" i="3" s="1"/>
  <c r="Q192" i="3" s="1"/>
  <c r="S802" i="3"/>
  <c r="T802" i="3" s="1"/>
  <c r="U802" i="3"/>
  <c r="G191" i="4"/>
  <c r="I191" i="4" s="1"/>
  <c r="J191" i="4" s="1"/>
  <c r="H191" i="4"/>
  <c r="I804" i="3"/>
  <c r="D804" i="4" s="1"/>
  <c r="E804" i="4"/>
  <c r="F804" i="4" s="1"/>
  <c r="G804" i="3"/>
  <c r="R803" i="3"/>
  <c r="D806" i="3" l="1"/>
  <c r="H806" i="3" s="1"/>
  <c r="F807" i="3"/>
  <c r="J806" i="3"/>
  <c r="S803" i="3"/>
  <c r="T803" i="3" s="1"/>
  <c r="U803" i="3"/>
  <c r="L192" i="4"/>
  <c r="V192" i="3"/>
  <c r="G805" i="3"/>
  <c r="R804" i="3"/>
  <c r="K191" i="4"/>
  <c r="M191" i="4"/>
  <c r="I805" i="3"/>
  <c r="D805" i="4" s="1"/>
  <c r="E805" i="4"/>
  <c r="F805" i="4" s="1"/>
  <c r="S804" i="3" l="1"/>
  <c r="T804" i="3" s="1"/>
  <c r="U804" i="3"/>
  <c r="D807" i="3"/>
  <c r="H807" i="3" s="1"/>
  <c r="F808" i="3"/>
  <c r="J807" i="3"/>
  <c r="G806" i="3"/>
  <c r="R805" i="3"/>
  <c r="E806" i="4"/>
  <c r="F806" i="4" s="1"/>
  <c r="I806" i="3"/>
  <c r="D806" i="4" s="1"/>
  <c r="X192" i="3"/>
  <c r="Y192" i="3" s="1"/>
  <c r="Z192" i="3" s="1"/>
  <c r="AA192" i="3" s="1"/>
  <c r="AB192" i="3" s="1"/>
  <c r="W192" i="3"/>
  <c r="K806" i="3"/>
  <c r="L806" i="3" s="1"/>
  <c r="AC192" i="3" l="1"/>
  <c r="AD192" i="3" s="1"/>
  <c r="C192" i="4"/>
  <c r="M193" i="3"/>
  <c r="S805" i="3"/>
  <c r="T805" i="3" s="1"/>
  <c r="U805" i="3"/>
  <c r="G807" i="3"/>
  <c r="R806" i="3"/>
  <c r="I807" i="3"/>
  <c r="D807" i="4" s="1"/>
  <c r="E807" i="4"/>
  <c r="F807" i="4" s="1"/>
  <c r="K807" i="3"/>
  <c r="L807" i="3" s="1"/>
  <c r="F809" i="3"/>
  <c r="J808" i="3"/>
  <c r="K808" i="3" s="1"/>
  <c r="L808" i="3" s="1"/>
  <c r="D808" i="3"/>
  <c r="H808" i="3" s="1"/>
  <c r="U806" i="3" l="1"/>
  <c r="S806" i="3"/>
  <c r="T806" i="3" s="1"/>
  <c r="AI193" i="3"/>
  <c r="O193" i="3"/>
  <c r="N193" i="3"/>
  <c r="P193" i="3" s="1"/>
  <c r="Q193" i="3" s="1"/>
  <c r="J809" i="3"/>
  <c r="K809" i="3" s="1"/>
  <c r="L809" i="3" s="1"/>
  <c r="D809" i="3"/>
  <c r="H809" i="3" s="1"/>
  <c r="F810" i="3"/>
  <c r="G808" i="3"/>
  <c r="R807" i="3"/>
  <c r="H192" i="4"/>
  <c r="G192" i="4"/>
  <c r="I192" i="4" s="1"/>
  <c r="J192" i="4" s="1"/>
  <c r="I808" i="3"/>
  <c r="D808" i="4" s="1"/>
  <c r="E808" i="4"/>
  <c r="F808" i="4" s="1"/>
  <c r="G809" i="3" l="1"/>
  <c r="R808" i="3"/>
  <c r="K192" i="4"/>
  <c r="M192" i="4"/>
  <c r="F811" i="3"/>
  <c r="D810" i="3"/>
  <c r="H810" i="3" s="1"/>
  <c r="J810" i="3"/>
  <c r="K810" i="3" s="1"/>
  <c r="L810" i="3" s="1"/>
  <c r="L193" i="4"/>
  <c r="V193" i="3"/>
  <c r="U807" i="3"/>
  <c r="S807" i="3"/>
  <c r="T807" i="3" s="1"/>
  <c r="I809" i="3"/>
  <c r="D809" i="4" s="1"/>
  <c r="E809" i="4"/>
  <c r="F809" i="4" s="1"/>
  <c r="W193" i="3" l="1"/>
  <c r="X193" i="3"/>
  <c r="Y193" i="3" s="1"/>
  <c r="Z193" i="3" s="1"/>
  <c r="AA193" i="3" s="1"/>
  <c r="AB193" i="3" s="1"/>
  <c r="E810" i="4"/>
  <c r="F810" i="4" s="1"/>
  <c r="I810" i="3"/>
  <c r="D810" i="4" s="1"/>
  <c r="D811" i="3"/>
  <c r="H811" i="3" s="1"/>
  <c r="J811" i="3"/>
  <c r="F812" i="3"/>
  <c r="S808" i="3"/>
  <c r="T808" i="3" s="1"/>
  <c r="U808" i="3"/>
  <c r="G810" i="3"/>
  <c r="R809" i="3"/>
  <c r="E811" i="4" l="1"/>
  <c r="F811" i="4" s="1"/>
  <c r="I811" i="3"/>
  <c r="D811" i="4" s="1"/>
  <c r="C193" i="4"/>
  <c r="M194" i="3"/>
  <c r="AC193" i="3"/>
  <c r="AD193" i="3" s="1"/>
  <c r="U809" i="3"/>
  <c r="S809" i="3"/>
  <c r="T809" i="3" s="1"/>
  <c r="J812" i="3"/>
  <c r="F813" i="3"/>
  <c r="D812" i="3"/>
  <c r="H812" i="3" s="1"/>
  <c r="G811" i="3"/>
  <c r="R810" i="3"/>
  <c r="K811" i="3"/>
  <c r="L811" i="3" s="1"/>
  <c r="I812" i="3" l="1"/>
  <c r="D812" i="4" s="1"/>
  <c r="E812" i="4"/>
  <c r="F812" i="4" s="1"/>
  <c r="H193" i="4"/>
  <c r="G193" i="4"/>
  <c r="I193" i="4" s="1"/>
  <c r="J193" i="4" s="1"/>
  <c r="S810" i="3"/>
  <c r="T810" i="3" s="1"/>
  <c r="U810" i="3"/>
  <c r="D813" i="3"/>
  <c r="H813" i="3" s="1"/>
  <c r="F814" i="3"/>
  <c r="J813" i="3"/>
  <c r="G812" i="3"/>
  <c r="R811" i="3"/>
  <c r="K812" i="3"/>
  <c r="L812" i="3" s="1"/>
  <c r="N194" i="3"/>
  <c r="P194" i="3" s="1"/>
  <c r="Q194" i="3" s="1"/>
  <c r="AI194" i="3"/>
  <c r="O194" i="3"/>
  <c r="L194" i="4" l="1"/>
  <c r="V194" i="3"/>
  <c r="I813" i="3"/>
  <c r="D813" i="4" s="1"/>
  <c r="E813" i="4"/>
  <c r="F813" i="4" s="1"/>
  <c r="K813" i="3"/>
  <c r="L813" i="3" s="1"/>
  <c r="U811" i="3"/>
  <c r="S811" i="3"/>
  <c r="T811" i="3" s="1"/>
  <c r="J814" i="3"/>
  <c r="K814" i="3" s="1"/>
  <c r="L814" i="3" s="1"/>
  <c r="F815" i="3"/>
  <c r="D814" i="3"/>
  <c r="H814" i="3" s="1"/>
  <c r="G813" i="3"/>
  <c r="R812" i="3"/>
  <c r="M193" i="4"/>
  <c r="K193" i="4"/>
  <c r="J815" i="3" l="1"/>
  <c r="F816" i="3"/>
  <c r="D815" i="3"/>
  <c r="H815" i="3" s="1"/>
  <c r="S812" i="3"/>
  <c r="T812" i="3" s="1"/>
  <c r="U812" i="3"/>
  <c r="G814" i="3"/>
  <c r="R813" i="3"/>
  <c r="W194" i="3"/>
  <c r="X194" i="3" s="1"/>
  <c r="Y194" i="3" s="1"/>
  <c r="Z194" i="3" s="1"/>
  <c r="AA194" i="3" s="1"/>
  <c r="AB194" i="3" s="1"/>
  <c r="I814" i="3"/>
  <c r="D814" i="4" s="1"/>
  <c r="E814" i="4"/>
  <c r="F814" i="4" s="1"/>
  <c r="M195" i="3" l="1"/>
  <c r="AC194" i="3"/>
  <c r="AD194" i="3" s="1"/>
  <c r="C194" i="4"/>
  <c r="E815" i="4"/>
  <c r="F815" i="4" s="1"/>
  <c r="I815" i="3"/>
  <c r="D815" i="4" s="1"/>
  <c r="S813" i="3"/>
  <c r="T813" i="3" s="1"/>
  <c r="U813" i="3"/>
  <c r="D816" i="3"/>
  <c r="H816" i="3" s="1"/>
  <c r="F817" i="3"/>
  <c r="J816" i="3"/>
  <c r="K816" i="3" s="1"/>
  <c r="L816" i="3" s="1"/>
  <c r="G815" i="3"/>
  <c r="R814" i="3"/>
  <c r="K815" i="3"/>
  <c r="L815" i="3" s="1"/>
  <c r="H194" i="4" l="1"/>
  <c r="G194" i="4"/>
  <c r="I194" i="4" s="1"/>
  <c r="J194" i="4" s="1"/>
  <c r="U814" i="3"/>
  <c r="S814" i="3"/>
  <c r="T814" i="3" s="1"/>
  <c r="J817" i="3"/>
  <c r="K817" i="3" s="1"/>
  <c r="L817" i="3" s="1"/>
  <c r="F818" i="3"/>
  <c r="D817" i="3"/>
  <c r="H817" i="3" s="1"/>
  <c r="G816" i="3"/>
  <c r="R815" i="3"/>
  <c r="I816" i="3"/>
  <c r="D816" i="4" s="1"/>
  <c r="E816" i="4"/>
  <c r="F816" i="4" s="1"/>
  <c r="AI195" i="3"/>
  <c r="O195" i="3"/>
  <c r="N195" i="3"/>
  <c r="P195" i="3" s="1"/>
  <c r="Q195" i="3" s="1"/>
  <c r="L195" i="4" l="1"/>
  <c r="V195" i="3"/>
  <c r="I817" i="3"/>
  <c r="D817" i="4" s="1"/>
  <c r="E817" i="4"/>
  <c r="F817" i="4" s="1"/>
  <c r="S815" i="3"/>
  <c r="T815" i="3" s="1"/>
  <c r="U815" i="3"/>
  <c r="F819" i="3"/>
  <c r="D818" i="3"/>
  <c r="H818" i="3" s="1"/>
  <c r="J818" i="3"/>
  <c r="K818" i="3" s="1"/>
  <c r="L818" i="3" s="1"/>
  <c r="G817" i="3"/>
  <c r="R816" i="3"/>
  <c r="K194" i="4"/>
  <c r="M194" i="4"/>
  <c r="J819" i="3" l="1"/>
  <c r="F820" i="3"/>
  <c r="D819" i="3"/>
  <c r="H819" i="3" s="1"/>
  <c r="W195" i="3"/>
  <c r="X195" i="3" s="1"/>
  <c r="Y195" i="3" s="1"/>
  <c r="Z195" i="3" s="1"/>
  <c r="AA195" i="3" s="1"/>
  <c r="AB195" i="3" s="1"/>
  <c r="U816" i="3"/>
  <c r="S816" i="3"/>
  <c r="T816" i="3" s="1"/>
  <c r="G818" i="3"/>
  <c r="R817" i="3"/>
  <c r="E818" i="4"/>
  <c r="F818" i="4" s="1"/>
  <c r="I818" i="3"/>
  <c r="D818" i="4" s="1"/>
  <c r="AC195" i="3" l="1"/>
  <c r="AD195" i="3" s="1"/>
  <c r="C195" i="4"/>
  <c r="M196" i="3"/>
  <c r="U817" i="3"/>
  <c r="S817" i="3"/>
  <c r="T817" i="3" s="1"/>
  <c r="I819" i="3"/>
  <c r="D819" i="4" s="1"/>
  <c r="E819" i="4"/>
  <c r="F819" i="4" s="1"/>
  <c r="G819" i="3"/>
  <c r="R818" i="3"/>
  <c r="J820" i="3"/>
  <c r="K820" i="3" s="1"/>
  <c r="L820" i="3" s="1"/>
  <c r="F821" i="3"/>
  <c r="D820" i="3"/>
  <c r="H820" i="3" s="1"/>
  <c r="K819" i="3"/>
  <c r="L819" i="3" s="1"/>
  <c r="F822" i="3" l="1"/>
  <c r="J821" i="3"/>
  <c r="D821" i="3"/>
  <c r="H821" i="3" s="1"/>
  <c r="G820" i="3"/>
  <c r="R819" i="3"/>
  <c r="N196" i="3"/>
  <c r="AI196" i="3"/>
  <c r="O196" i="3"/>
  <c r="G195" i="4"/>
  <c r="I195" i="4" s="1"/>
  <c r="J195" i="4" s="1"/>
  <c r="H195" i="4"/>
  <c r="I820" i="3"/>
  <c r="D820" i="4" s="1"/>
  <c r="E820" i="4"/>
  <c r="F820" i="4" s="1"/>
  <c r="S818" i="3"/>
  <c r="T818" i="3" s="1"/>
  <c r="U818" i="3"/>
  <c r="I821" i="3" l="1"/>
  <c r="D821" i="4" s="1"/>
  <c r="E821" i="4"/>
  <c r="F821" i="4" s="1"/>
  <c r="K821" i="3"/>
  <c r="L821" i="3" s="1"/>
  <c r="K195" i="4"/>
  <c r="M195" i="4"/>
  <c r="S819" i="3"/>
  <c r="T819" i="3" s="1"/>
  <c r="U819" i="3"/>
  <c r="J822" i="3"/>
  <c r="D822" i="3"/>
  <c r="H822" i="3" s="1"/>
  <c r="F823" i="3"/>
  <c r="P196" i="3"/>
  <c r="Q196" i="3" s="1"/>
  <c r="G821" i="3"/>
  <c r="R820" i="3"/>
  <c r="S820" i="3" l="1"/>
  <c r="T820" i="3" s="1"/>
  <c r="U820" i="3"/>
  <c r="J823" i="3"/>
  <c r="K823" i="3" s="1"/>
  <c r="L823" i="3" s="1"/>
  <c r="D823" i="3"/>
  <c r="H823" i="3" s="1"/>
  <c r="F824" i="3"/>
  <c r="G822" i="3"/>
  <c r="R821" i="3"/>
  <c r="E822" i="4"/>
  <c r="F822" i="4" s="1"/>
  <c r="I822" i="3"/>
  <c r="D822" i="4" s="1"/>
  <c r="L196" i="4"/>
  <c r="C29" i="5" s="1"/>
  <c r="N29" i="5" s="1"/>
  <c r="V196" i="3"/>
  <c r="K822" i="3"/>
  <c r="L822" i="3" s="1"/>
  <c r="W196" i="3" l="1"/>
  <c r="X196" i="3" s="1"/>
  <c r="Y196" i="3" s="1"/>
  <c r="Z196" i="3" s="1"/>
  <c r="AA196" i="3" s="1"/>
  <c r="AB196" i="3" s="1"/>
  <c r="S821" i="3"/>
  <c r="T821" i="3" s="1"/>
  <c r="U821" i="3"/>
  <c r="G823" i="3"/>
  <c r="R822" i="3"/>
  <c r="D824" i="3"/>
  <c r="H824" i="3" s="1"/>
  <c r="F825" i="3"/>
  <c r="J824" i="3"/>
  <c r="K824" i="3" s="1"/>
  <c r="L824" i="3" s="1"/>
  <c r="E823" i="4"/>
  <c r="F823" i="4" s="1"/>
  <c r="I823" i="3"/>
  <c r="D823" i="4" s="1"/>
  <c r="C196" i="4" l="1"/>
  <c r="AC196" i="3"/>
  <c r="AD196" i="3" s="1"/>
  <c r="M197" i="3"/>
  <c r="S822" i="3"/>
  <c r="T822" i="3" s="1"/>
  <c r="U822" i="3"/>
  <c r="F826" i="3"/>
  <c r="J825" i="3"/>
  <c r="D825" i="3"/>
  <c r="H825" i="3" s="1"/>
  <c r="G824" i="3"/>
  <c r="R823" i="3"/>
  <c r="E824" i="4"/>
  <c r="F824" i="4" s="1"/>
  <c r="I824" i="3"/>
  <c r="D824" i="4" s="1"/>
  <c r="G825" i="3" l="1"/>
  <c r="R824" i="3"/>
  <c r="F827" i="3"/>
  <c r="D826" i="3"/>
  <c r="H826" i="3" s="1"/>
  <c r="J826" i="3"/>
  <c r="E825" i="4"/>
  <c r="F825" i="4" s="1"/>
  <c r="I825" i="3"/>
  <c r="D825" i="4" s="1"/>
  <c r="O197" i="3"/>
  <c r="AI197" i="3"/>
  <c r="N197" i="3"/>
  <c r="P197" i="3" s="1"/>
  <c r="Q197" i="3" s="1"/>
  <c r="K825" i="3"/>
  <c r="L825" i="3" s="1"/>
  <c r="S823" i="3"/>
  <c r="T823" i="3" s="1"/>
  <c r="U823" i="3"/>
  <c r="G196" i="4"/>
  <c r="I196" i="4" s="1"/>
  <c r="J196" i="4" s="1"/>
  <c r="H196" i="4"/>
  <c r="L197" i="4" l="1"/>
  <c r="V197" i="3"/>
  <c r="E826" i="4"/>
  <c r="F826" i="4" s="1"/>
  <c r="I826" i="3"/>
  <c r="D826" i="4" s="1"/>
  <c r="F828" i="3"/>
  <c r="D827" i="3"/>
  <c r="H827" i="3" s="1"/>
  <c r="J827" i="3"/>
  <c r="U824" i="3"/>
  <c r="S824" i="3"/>
  <c r="T824" i="3" s="1"/>
  <c r="K196" i="4"/>
  <c r="E29" i="5" s="1"/>
  <c r="D29" i="5"/>
  <c r="M196" i="4"/>
  <c r="K826" i="3"/>
  <c r="L826" i="3" s="1"/>
  <c r="G826" i="3"/>
  <c r="R825" i="3"/>
  <c r="E827" i="4" l="1"/>
  <c r="F827" i="4" s="1"/>
  <c r="I827" i="3"/>
  <c r="D827" i="4" s="1"/>
  <c r="S825" i="3"/>
  <c r="T825" i="3" s="1"/>
  <c r="U825" i="3"/>
  <c r="G827" i="3"/>
  <c r="R826" i="3"/>
  <c r="F829" i="3"/>
  <c r="D828" i="3"/>
  <c r="H828" i="3" s="1"/>
  <c r="J828" i="3"/>
  <c r="K828" i="3" s="1"/>
  <c r="L828" i="3" s="1"/>
  <c r="W197" i="3"/>
  <c r="X197" i="3" s="1"/>
  <c r="Y197" i="3" s="1"/>
  <c r="Z197" i="3" s="1"/>
  <c r="AA197" i="3" s="1"/>
  <c r="AB197" i="3" s="1"/>
  <c r="K827" i="3"/>
  <c r="L827" i="3" s="1"/>
  <c r="AC197" i="3" l="1"/>
  <c r="AD197" i="3" s="1"/>
  <c r="C197" i="4"/>
  <c r="M198" i="3"/>
  <c r="D829" i="3"/>
  <c r="H829" i="3" s="1"/>
  <c r="F830" i="3"/>
  <c r="J829" i="3"/>
  <c r="U826" i="3"/>
  <c r="S826" i="3"/>
  <c r="T826" i="3" s="1"/>
  <c r="E828" i="4"/>
  <c r="F828" i="4" s="1"/>
  <c r="I828" i="3"/>
  <c r="D828" i="4" s="1"/>
  <c r="G828" i="3"/>
  <c r="R827" i="3"/>
  <c r="G829" i="3" l="1"/>
  <c r="R828" i="3"/>
  <c r="E829" i="4"/>
  <c r="F829" i="4" s="1"/>
  <c r="I829" i="3"/>
  <c r="D829" i="4" s="1"/>
  <c r="K829" i="3"/>
  <c r="L829" i="3" s="1"/>
  <c r="AI198" i="3"/>
  <c r="N198" i="3"/>
  <c r="O198" i="3"/>
  <c r="F831" i="3"/>
  <c r="D830" i="3"/>
  <c r="H830" i="3" s="1"/>
  <c r="J830" i="3"/>
  <c r="H197" i="4"/>
  <c r="G197" i="4"/>
  <c r="I197" i="4" s="1"/>
  <c r="J197" i="4" s="1"/>
  <c r="U827" i="3"/>
  <c r="S827" i="3"/>
  <c r="T827" i="3" s="1"/>
  <c r="K197" i="4" l="1"/>
  <c r="M197" i="4"/>
  <c r="E830" i="4"/>
  <c r="F830" i="4" s="1"/>
  <c r="I830" i="3"/>
  <c r="D830" i="4" s="1"/>
  <c r="F832" i="3"/>
  <c r="J831" i="3"/>
  <c r="D831" i="3"/>
  <c r="H831" i="3" s="1"/>
  <c r="K830" i="3"/>
  <c r="L830" i="3" s="1"/>
  <c r="S828" i="3"/>
  <c r="T828" i="3" s="1"/>
  <c r="U828" i="3"/>
  <c r="P198" i="3"/>
  <c r="Q198" i="3" s="1"/>
  <c r="G830" i="3"/>
  <c r="R829" i="3"/>
  <c r="S829" i="3" l="1"/>
  <c r="T829" i="3" s="1"/>
  <c r="U829" i="3"/>
  <c r="I831" i="3"/>
  <c r="D831" i="4" s="1"/>
  <c r="E831" i="4"/>
  <c r="F831" i="4" s="1"/>
  <c r="G831" i="3"/>
  <c r="R830" i="3"/>
  <c r="K831" i="3"/>
  <c r="L831" i="3" s="1"/>
  <c r="L198" i="4"/>
  <c r="V198" i="3"/>
  <c r="D832" i="3"/>
  <c r="H832" i="3" s="1"/>
  <c r="F833" i="3"/>
  <c r="J832" i="3"/>
  <c r="E832" i="4" l="1"/>
  <c r="F832" i="4" s="1"/>
  <c r="I832" i="3"/>
  <c r="D832" i="4" s="1"/>
  <c r="K832" i="3"/>
  <c r="L832" i="3" s="1"/>
  <c r="U830" i="3"/>
  <c r="S830" i="3"/>
  <c r="T830" i="3" s="1"/>
  <c r="D833" i="3"/>
  <c r="H833" i="3" s="1"/>
  <c r="F834" i="3"/>
  <c r="J833" i="3"/>
  <c r="W198" i="3"/>
  <c r="X198" i="3" s="1"/>
  <c r="Y198" i="3" s="1"/>
  <c r="Z198" i="3" s="1"/>
  <c r="AA198" i="3" s="1"/>
  <c r="AB198" i="3" s="1"/>
  <c r="G832" i="3"/>
  <c r="R831" i="3"/>
  <c r="C198" i="4" l="1"/>
  <c r="AC198" i="3"/>
  <c r="AD198" i="3" s="1"/>
  <c r="M199" i="3"/>
  <c r="I833" i="3"/>
  <c r="D833" i="4" s="1"/>
  <c r="E833" i="4"/>
  <c r="F833" i="4" s="1"/>
  <c r="S831" i="3"/>
  <c r="T831" i="3" s="1"/>
  <c r="U831" i="3"/>
  <c r="K833" i="3"/>
  <c r="L833" i="3" s="1"/>
  <c r="G833" i="3"/>
  <c r="R832" i="3"/>
  <c r="J834" i="3"/>
  <c r="K834" i="3" s="1"/>
  <c r="L834" i="3" s="1"/>
  <c r="F835" i="3"/>
  <c r="D834" i="3"/>
  <c r="H834" i="3" s="1"/>
  <c r="U832" i="3" l="1"/>
  <c r="S832" i="3"/>
  <c r="T832" i="3" s="1"/>
  <c r="AI199" i="3"/>
  <c r="O199" i="3"/>
  <c r="N199" i="3"/>
  <c r="P199" i="3" s="1"/>
  <c r="Q199" i="3" s="1"/>
  <c r="E834" i="4"/>
  <c r="F834" i="4" s="1"/>
  <c r="I834" i="3"/>
  <c r="D834" i="4" s="1"/>
  <c r="G834" i="3"/>
  <c r="R833" i="3"/>
  <c r="D835" i="3"/>
  <c r="H835" i="3" s="1"/>
  <c r="J835" i="3"/>
  <c r="F836" i="3"/>
  <c r="H198" i="4"/>
  <c r="G198" i="4"/>
  <c r="I198" i="4" s="1"/>
  <c r="J198" i="4" s="1"/>
  <c r="I835" i="3" l="1"/>
  <c r="D835" i="4" s="1"/>
  <c r="E835" i="4"/>
  <c r="F835" i="4" s="1"/>
  <c r="S833" i="3"/>
  <c r="T833" i="3" s="1"/>
  <c r="U833" i="3"/>
  <c r="L199" i="4"/>
  <c r="V199" i="3"/>
  <c r="M198" i="4"/>
  <c r="K198" i="4"/>
  <c r="D836" i="3"/>
  <c r="H836" i="3" s="1"/>
  <c r="F837" i="3"/>
  <c r="J836" i="3"/>
  <c r="K836" i="3" s="1"/>
  <c r="L836" i="3" s="1"/>
  <c r="G835" i="3"/>
  <c r="R834" i="3"/>
  <c r="K835" i="3"/>
  <c r="L835" i="3" s="1"/>
  <c r="U834" i="3" l="1"/>
  <c r="S834" i="3"/>
  <c r="T834" i="3" s="1"/>
  <c r="F838" i="3"/>
  <c r="D837" i="3"/>
  <c r="H837" i="3" s="1"/>
  <c r="J837" i="3"/>
  <c r="K837" i="3" s="1"/>
  <c r="L837" i="3" s="1"/>
  <c r="G836" i="3"/>
  <c r="R835" i="3"/>
  <c r="I836" i="3"/>
  <c r="D836" i="4" s="1"/>
  <c r="E836" i="4"/>
  <c r="F836" i="4" s="1"/>
  <c r="W199" i="3"/>
  <c r="X199" i="3"/>
  <c r="Y199" i="3" s="1"/>
  <c r="Z199" i="3" s="1"/>
  <c r="AA199" i="3" s="1"/>
  <c r="AB199" i="3" s="1"/>
  <c r="C199" i="4" l="1"/>
  <c r="AC199" i="3"/>
  <c r="AD199" i="3" s="1"/>
  <c r="M200" i="3"/>
  <c r="S835" i="3"/>
  <c r="T835" i="3" s="1"/>
  <c r="U835" i="3"/>
  <c r="G837" i="3"/>
  <c r="R836" i="3"/>
  <c r="E837" i="4"/>
  <c r="F837" i="4" s="1"/>
  <c r="I837" i="3"/>
  <c r="D837" i="4" s="1"/>
  <c r="F839" i="3"/>
  <c r="J838" i="3"/>
  <c r="D838" i="3"/>
  <c r="H838" i="3" s="1"/>
  <c r="E838" i="4" l="1"/>
  <c r="F838" i="4" s="1"/>
  <c r="I838" i="3"/>
  <c r="D838" i="4" s="1"/>
  <c r="G838" i="3"/>
  <c r="R837" i="3"/>
  <c r="N200" i="3"/>
  <c r="O200" i="3"/>
  <c r="AI200" i="3"/>
  <c r="K838" i="3"/>
  <c r="L838" i="3" s="1"/>
  <c r="G199" i="4"/>
  <c r="I199" i="4" s="1"/>
  <c r="J199" i="4" s="1"/>
  <c r="H199" i="4"/>
  <c r="J839" i="3"/>
  <c r="K839" i="3" s="1"/>
  <c r="L839" i="3" s="1"/>
  <c r="F840" i="3"/>
  <c r="D839" i="3"/>
  <c r="H839" i="3" s="1"/>
  <c r="S836" i="3"/>
  <c r="T836" i="3" s="1"/>
  <c r="U836" i="3"/>
  <c r="S837" i="3" l="1"/>
  <c r="T837" i="3" s="1"/>
  <c r="U837" i="3"/>
  <c r="E839" i="4"/>
  <c r="F839" i="4" s="1"/>
  <c r="I839" i="3"/>
  <c r="D839" i="4" s="1"/>
  <c r="G839" i="3"/>
  <c r="R838" i="3"/>
  <c r="M199" i="4"/>
  <c r="K199" i="4"/>
  <c r="J840" i="3"/>
  <c r="K840" i="3" s="1"/>
  <c r="L840" i="3" s="1"/>
  <c r="D840" i="3"/>
  <c r="H840" i="3" s="1"/>
  <c r="F841" i="3"/>
  <c r="P200" i="3"/>
  <c r="Q200" i="3" s="1"/>
  <c r="U838" i="3" l="1"/>
  <c r="S838" i="3"/>
  <c r="T838" i="3" s="1"/>
  <c r="F842" i="3"/>
  <c r="J841" i="3"/>
  <c r="D841" i="3"/>
  <c r="H841" i="3" s="1"/>
  <c r="G840" i="3"/>
  <c r="R839" i="3"/>
  <c r="E840" i="4"/>
  <c r="F840" i="4" s="1"/>
  <c r="I840" i="3"/>
  <c r="D840" i="4" s="1"/>
  <c r="L200" i="4"/>
  <c r="V200" i="3"/>
  <c r="I841" i="3" l="1"/>
  <c r="D841" i="4" s="1"/>
  <c r="E841" i="4"/>
  <c r="F841" i="4" s="1"/>
  <c r="W200" i="3"/>
  <c r="X200" i="3" s="1"/>
  <c r="Y200" i="3" s="1"/>
  <c r="Z200" i="3" s="1"/>
  <c r="AA200" i="3" s="1"/>
  <c r="AB200" i="3" s="1"/>
  <c r="U839" i="3"/>
  <c r="S839" i="3"/>
  <c r="T839" i="3" s="1"/>
  <c r="G841" i="3"/>
  <c r="R840" i="3"/>
  <c r="K841" i="3"/>
  <c r="L841" i="3" s="1"/>
  <c r="D842" i="3"/>
  <c r="H842" i="3" s="1"/>
  <c r="J842" i="3"/>
  <c r="K842" i="3" s="1"/>
  <c r="L842" i="3" s="1"/>
  <c r="F843" i="3"/>
  <c r="AC200" i="3" l="1"/>
  <c r="AD200" i="3" s="1"/>
  <c r="M201" i="3"/>
  <c r="C200" i="4"/>
  <c r="S840" i="3"/>
  <c r="T840" i="3" s="1"/>
  <c r="U840" i="3"/>
  <c r="E842" i="4"/>
  <c r="F842" i="4" s="1"/>
  <c r="I842" i="3"/>
  <c r="D842" i="4" s="1"/>
  <c r="G842" i="3"/>
  <c r="R841" i="3"/>
  <c r="F844" i="3"/>
  <c r="J843" i="3"/>
  <c r="K843" i="3" s="1"/>
  <c r="L843" i="3" s="1"/>
  <c r="D843" i="3"/>
  <c r="H843" i="3" s="1"/>
  <c r="J844" i="3" l="1"/>
  <c r="K844" i="3" s="1"/>
  <c r="L844" i="3" s="1"/>
  <c r="F845" i="3"/>
  <c r="D844" i="3"/>
  <c r="H844" i="3" s="1"/>
  <c r="H200" i="4"/>
  <c r="G200" i="4"/>
  <c r="I200" i="4" s="1"/>
  <c r="J200" i="4" s="1"/>
  <c r="I843" i="3"/>
  <c r="D843" i="4" s="1"/>
  <c r="E843" i="4"/>
  <c r="F843" i="4" s="1"/>
  <c r="S841" i="3"/>
  <c r="T841" i="3" s="1"/>
  <c r="U841" i="3"/>
  <c r="AI201" i="3"/>
  <c r="N201" i="3"/>
  <c r="O201" i="3"/>
  <c r="G843" i="3"/>
  <c r="R842" i="3"/>
  <c r="G844" i="3" l="1"/>
  <c r="R843" i="3"/>
  <c r="J845" i="3"/>
  <c r="K845" i="3" s="1"/>
  <c r="L845" i="3" s="1"/>
  <c r="F846" i="3"/>
  <c r="D845" i="3"/>
  <c r="H845" i="3" s="1"/>
  <c r="M200" i="4"/>
  <c r="K200" i="4"/>
  <c r="P201" i="3"/>
  <c r="Q201" i="3" s="1"/>
  <c r="S842" i="3"/>
  <c r="T842" i="3" s="1"/>
  <c r="U842" i="3"/>
  <c r="E844" i="4"/>
  <c r="F844" i="4" s="1"/>
  <c r="I844" i="3"/>
  <c r="D844" i="4" s="1"/>
  <c r="J846" i="3" l="1"/>
  <c r="F847" i="3"/>
  <c r="D846" i="3"/>
  <c r="H846" i="3" s="1"/>
  <c r="L201" i="4"/>
  <c r="V201" i="3"/>
  <c r="S843" i="3"/>
  <c r="T843" i="3" s="1"/>
  <c r="U843" i="3"/>
  <c r="I845" i="3"/>
  <c r="D845" i="4" s="1"/>
  <c r="E845" i="4"/>
  <c r="F845" i="4" s="1"/>
  <c r="G845" i="3"/>
  <c r="R844" i="3"/>
  <c r="E846" i="4" l="1"/>
  <c r="F846" i="4" s="1"/>
  <c r="I846" i="3"/>
  <c r="D846" i="4" s="1"/>
  <c r="W201" i="3"/>
  <c r="X201" i="3"/>
  <c r="Y201" i="3" s="1"/>
  <c r="Z201" i="3" s="1"/>
  <c r="AA201" i="3" s="1"/>
  <c r="AB201" i="3" s="1"/>
  <c r="F848" i="3"/>
  <c r="J847" i="3"/>
  <c r="D847" i="3"/>
  <c r="H847" i="3" s="1"/>
  <c r="S844" i="3"/>
  <c r="T844" i="3" s="1"/>
  <c r="U844" i="3"/>
  <c r="G846" i="3"/>
  <c r="R845" i="3"/>
  <c r="K846" i="3"/>
  <c r="L846" i="3" s="1"/>
  <c r="U845" i="3" l="1"/>
  <c r="S845" i="3"/>
  <c r="T845" i="3" s="1"/>
  <c r="E847" i="4"/>
  <c r="F847" i="4" s="1"/>
  <c r="I847" i="3"/>
  <c r="D847" i="4" s="1"/>
  <c r="C201" i="4"/>
  <c r="AC201" i="3"/>
  <c r="AD201" i="3" s="1"/>
  <c r="M202" i="3"/>
  <c r="G847" i="3"/>
  <c r="R846" i="3"/>
  <c r="K847" i="3"/>
  <c r="L847" i="3" s="1"/>
  <c r="F849" i="3"/>
  <c r="J848" i="3"/>
  <c r="K848" i="3" s="1"/>
  <c r="L848" i="3" s="1"/>
  <c r="D848" i="3"/>
  <c r="H848" i="3" s="1"/>
  <c r="G848" i="3" l="1"/>
  <c r="R847" i="3"/>
  <c r="AI202" i="3"/>
  <c r="O202" i="3"/>
  <c r="N202" i="3"/>
  <c r="P202" i="3" s="1"/>
  <c r="Q202" i="3" s="1"/>
  <c r="F850" i="3"/>
  <c r="D849" i="3"/>
  <c r="H849" i="3" s="1"/>
  <c r="J849" i="3"/>
  <c r="K849" i="3" s="1"/>
  <c r="L849" i="3" s="1"/>
  <c r="I848" i="3"/>
  <c r="D848" i="4" s="1"/>
  <c r="E848" i="4"/>
  <c r="F848" i="4" s="1"/>
  <c r="S846" i="3"/>
  <c r="T846" i="3" s="1"/>
  <c r="U846" i="3"/>
  <c r="H201" i="4"/>
  <c r="G201" i="4"/>
  <c r="I201" i="4" s="1"/>
  <c r="J201" i="4" s="1"/>
  <c r="L202" i="4" l="1"/>
  <c r="V202" i="3"/>
  <c r="S847" i="3"/>
  <c r="T847" i="3" s="1"/>
  <c r="U847" i="3"/>
  <c r="I849" i="3"/>
  <c r="D849" i="4" s="1"/>
  <c r="E849" i="4"/>
  <c r="F849" i="4" s="1"/>
  <c r="G849" i="3"/>
  <c r="R848" i="3"/>
  <c r="K201" i="4"/>
  <c r="M201" i="4"/>
  <c r="J850" i="3"/>
  <c r="F851" i="3"/>
  <c r="D850" i="3"/>
  <c r="H850" i="3" s="1"/>
  <c r="E850" i="4" l="1"/>
  <c r="F850" i="4" s="1"/>
  <c r="I850" i="3"/>
  <c r="D850" i="4" s="1"/>
  <c r="W202" i="3"/>
  <c r="X202" i="3" s="1"/>
  <c r="Y202" i="3" s="1"/>
  <c r="Z202" i="3" s="1"/>
  <c r="AA202" i="3" s="1"/>
  <c r="AB202" i="3" s="1"/>
  <c r="F852" i="3"/>
  <c r="J851" i="3"/>
  <c r="D851" i="3"/>
  <c r="H851" i="3" s="1"/>
  <c r="S848" i="3"/>
  <c r="T848" i="3" s="1"/>
  <c r="U848" i="3"/>
  <c r="K850" i="3"/>
  <c r="L850" i="3" s="1"/>
  <c r="G850" i="3"/>
  <c r="R849" i="3"/>
  <c r="M203" i="3" l="1"/>
  <c r="C202" i="4"/>
  <c r="AC202" i="3"/>
  <c r="AD202" i="3" s="1"/>
  <c r="G851" i="3"/>
  <c r="R850" i="3"/>
  <c r="E851" i="4"/>
  <c r="F851" i="4" s="1"/>
  <c r="I851" i="3"/>
  <c r="D851" i="4" s="1"/>
  <c r="K851" i="3"/>
  <c r="L851" i="3" s="1"/>
  <c r="S849" i="3"/>
  <c r="T849" i="3" s="1"/>
  <c r="U849" i="3"/>
  <c r="D852" i="3"/>
  <c r="H852" i="3" s="1"/>
  <c r="F853" i="3"/>
  <c r="J852" i="3"/>
  <c r="K852" i="3" s="1"/>
  <c r="L852" i="3" s="1"/>
  <c r="G852" i="3" l="1"/>
  <c r="R851" i="3"/>
  <c r="F854" i="3"/>
  <c r="D853" i="3"/>
  <c r="H853" i="3" s="1"/>
  <c r="J853" i="3"/>
  <c r="K853" i="3" s="1"/>
  <c r="L853" i="3" s="1"/>
  <c r="H202" i="4"/>
  <c r="G202" i="4"/>
  <c r="I202" i="4" s="1"/>
  <c r="J202" i="4" s="1"/>
  <c r="I852" i="3"/>
  <c r="D852" i="4" s="1"/>
  <c r="E852" i="4"/>
  <c r="F852" i="4" s="1"/>
  <c r="S850" i="3"/>
  <c r="T850" i="3" s="1"/>
  <c r="U850" i="3"/>
  <c r="N203" i="3"/>
  <c r="O203" i="3"/>
  <c r="AI203" i="3"/>
  <c r="S851" i="3" l="1"/>
  <c r="T851" i="3" s="1"/>
  <c r="U851" i="3"/>
  <c r="M202" i="4"/>
  <c r="K202" i="4"/>
  <c r="I853" i="3"/>
  <c r="D853" i="4" s="1"/>
  <c r="E853" i="4"/>
  <c r="F853" i="4" s="1"/>
  <c r="G853" i="3"/>
  <c r="R852" i="3"/>
  <c r="P203" i="3"/>
  <c r="Q203" i="3" s="1"/>
  <c r="J854" i="3"/>
  <c r="F855" i="3"/>
  <c r="D854" i="3"/>
  <c r="H854" i="3" s="1"/>
  <c r="I854" i="3" l="1"/>
  <c r="D854" i="4" s="1"/>
  <c r="E854" i="4"/>
  <c r="F854" i="4" s="1"/>
  <c r="L203" i="4"/>
  <c r="V203" i="3"/>
  <c r="F856" i="3"/>
  <c r="D855" i="3"/>
  <c r="H855" i="3" s="1"/>
  <c r="J855" i="3"/>
  <c r="K855" i="3" s="1"/>
  <c r="L855" i="3" s="1"/>
  <c r="U852" i="3"/>
  <c r="S852" i="3"/>
  <c r="T852" i="3" s="1"/>
  <c r="K854" i="3"/>
  <c r="L854" i="3" s="1"/>
  <c r="G854" i="3"/>
  <c r="R853" i="3"/>
  <c r="W203" i="3" l="1"/>
  <c r="X203" i="3" s="1"/>
  <c r="Y203" i="3" s="1"/>
  <c r="Z203" i="3" s="1"/>
  <c r="AA203" i="3" s="1"/>
  <c r="AB203" i="3" s="1"/>
  <c r="I855" i="3"/>
  <c r="D855" i="4" s="1"/>
  <c r="E855" i="4"/>
  <c r="F855" i="4" s="1"/>
  <c r="S853" i="3"/>
  <c r="T853" i="3" s="1"/>
  <c r="U853" i="3"/>
  <c r="F857" i="3"/>
  <c r="D856" i="3"/>
  <c r="H856" i="3" s="1"/>
  <c r="J856" i="3"/>
  <c r="G855" i="3"/>
  <c r="R854" i="3"/>
  <c r="C203" i="4" l="1"/>
  <c r="AC203" i="3"/>
  <c r="AD203" i="3" s="1"/>
  <c r="M204" i="3"/>
  <c r="E856" i="4"/>
  <c r="F856" i="4" s="1"/>
  <c r="I856" i="3"/>
  <c r="D856" i="4" s="1"/>
  <c r="S854" i="3"/>
  <c r="T854" i="3" s="1"/>
  <c r="U854" i="3"/>
  <c r="G856" i="3"/>
  <c r="R855" i="3"/>
  <c r="J857" i="3"/>
  <c r="K857" i="3" s="1"/>
  <c r="L857" i="3" s="1"/>
  <c r="F858" i="3"/>
  <c r="D857" i="3"/>
  <c r="H857" i="3" s="1"/>
  <c r="K856" i="3"/>
  <c r="L856" i="3" s="1"/>
  <c r="J858" i="3" l="1"/>
  <c r="F859" i="3"/>
  <c r="D858" i="3"/>
  <c r="H858" i="3" s="1"/>
  <c r="O204" i="3"/>
  <c r="AI204" i="3"/>
  <c r="N204" i="3"/>
  <c r="I857" i="3"/>
  <c r="D857" i="4" s="1"/>
  <c r="E857" i="4"/>
  <c r="F857" i="4" s="1"/>
  <c r="S855" i="3"/>
  <c r="T855" i="3" s="1"/>
  <c r="U855" i="3"/>
  <c r="G857" i="3"/>
  <c r="R856" i="3"/>
  <c r="H203" i="4"/>
  <c r="G203" i="4"/>
  <c r="I203" i="4" s="1"/>
  <c r="J203" i="4" s="1"/>
  <c r="G858" i="3" l="1"/>
  <c r="R857" i="3"/>
  <c r="E858" i="4"/>
  <c r="F858" i="4" s="1"/>
  <c r="I858" i="3"/>
  <c r="D858" i="4" s="1"/>
  <c r="M203" i="4"/>
  <c r="K203" i="4"/>
  <c r="F860" i="3"/>
  <c r="D859" i="3"/>
  <c r="H859" i="3" s="1"/>
  <c r="J859" i="3"/>
  <c r="K859" i="3" s="1"/>
  <c r="L859" i="3" s="1"/>
  <c r="P204" i="3"/>
  <c r="Q204" i="3" s="1"/>
  <c r="U856" i="3"/>
  <c r="S856" i="3"/>
  <c r="T856" i="3" s="1"/>
  <c r="K858" i="3"/>
  <c r="L858" i="3" s="1"/>
  <c r="L204" i="4" l="1"/>
  <c r="V204" i="3"/>
  <c r="J860" i="3"/>
  <c r="K860" i="3" s="1"/>
  <c r="L860" i="3" s="1"/>
  <c r="F861" i="3"/>
  <c r="D860" i="3"/>
  <c r="H860" i="3" s="1"/>
  <c r="U857" i="3"/>
  <c r="S857" i="3"/>
  <c r="T857" i="3" s="1"/>
  <c r="I859" i="3"/>
  <c r="D859" i="4" s="1"/>
  <c r="E859" i="4"/>
  <c r="F859" i="4" s="1"/>
  <c r="G859" i="3"/>
  <c r="R858" i="3"/>
  <c r="S858" i="3" l="1"/>
  <c r="T858" i="3" s="1"/>
  <c r="U858" i="3"/>
  <c r="E860" i="4"/>
  <c r="F860" i="4" s="1"/>
  <c r="I860" i="3"/>
  <c r="D860" i="4" s="1"/>
  <c r="W204" i="3"/>
  <c r="X204" i="3"/>
  <c r="Y204" i="3" s="1"/>
  <c r="Z204" i="3" s="1"/>
  <c r="AA204" i="3" s="1"/>
  <c r="AB204" i="3" s="1"/>
  <c r="G860" i="3"/>
  <c r="R859" i="3"/>
  <c r="J861" i="3"/>
  <c r="D861" i="3"/>
  <c r="H861" i="3" s="1"/>
  <c r="F862" i="3"/>
  <c r="G861" i="3" l="1"/>
  <c r="R860" i="3"/>
  <c r="E861" i="4"/>
  <c r="F861" i="4" s="1"/>
  <c r="I861" i="3"/>
  <c r="D861" i="4" s="1"/>
  <c r="M205" i="3"/>
  <c r="AC204" i="3"/>
  <c r="AD204" i="3" s="1"/>
  <c r="C204" i="4"/>
  <c r="K861" i="3"/>
  <c r="L861" i="3" s="1"/>
  <c r="J862" i="3"/>
  <c r="D862" i="3"/>
  <c r="S859" i="3"/>
  <c r="T859" i="3" s="1"/>
  <c r="U859" i="3"/>
  <c r="H204" i="4" l="1"/>
  <c r="G204" i="4"/>
  <c r="I204" i="4" s="1"/>
  <c r="J204" i="4" s="1"/>
  <c r="S860" i="3"/>
  <c r="T860" i="3" s="1"/>
  <c r="U860" i="3"/>
  <c r="D864" i="3"/>
  <c r="G23" i="3"/>
  <c r="H862" i="3"/>
  <c r="O205" i="3"/>
  <c r="N205" i="3"/>
  <c r="P205" i="3" s="1"/>
  <c r="Q205" i="3" s="1"/>
  <c r="AI205" i="3"/>
  <c r="G862" i="3"/>
  <c r="R862" i="3" s="1"/>
  <c r="R861" i="3"/>
  <c r="L205" i="4" l="1"/>
  <c r="V205" i="3"/>
  <c r="M204" i="4"/>
  <c r="K204" i="4"/>
  <c r="U861" i="3"/>
  <c r="S861" i="3"/>
  <c r="T861" i="3" s="1"/>
  <c r="U862" i="3"/>
  <c r="S862" i="3"/>
  <c r="T862" i="3" s="1"/>
  <c r="E862" i="4"/>
  <c r="I862" i="3"/>
  <c r="K862" i="3"/>
  <c r="L862" i="3" s="1"/>
  <c r="D884" i="4" l="1"/>
  <c r="D901" i="4"/>
  <c r="D887" i="4"/>
  <c r="D897" i="4"/>
  <c r="D862" i="4"/>
  <c r="D872" i="4"/>
  <c r="D864" i="4"/>
  <c r="D866" i="4"/>
  <c r="D893" i="4"/>
  <c r="D906" i="4"/>
  <c r="D900" i="4"/>
  <c r="D871" i="4"/>
  <c r="D899" i="4"/>
  <c r="D880" i="4"/>
  <c r="D902" i="4"/>
  <c r="D869" i="4"/>
  <c r="D898" i="4"/>
  <c r="D903" i="4"/>
  <c r="D890" i="4"/>
  <c r="D908" i="4"/>
  <c r="D907" i="4"/>
  <c r="D863" i="4"/>
  <c r="D895" i="4"/>
  <c r="D877" i="4"/>
  <c r="D870" i="4"/>
  <c r="D867" i="4"/>
  <c r="D894" i="4"/>
  <c r="D878" i="4"/>
  <c r="D888" i="4"/>
  <c r="D892" i="4"/>
  <c r="D865" i="4"/>
  <c r="D876" i="4"/>
  <c r="D874" i="4"/>
  <c r="D883" i="4"/>
  <c r="D881" i="4"/>
  <c r="D910" i="4"/>
  <c r="D909" i="4"/>
  <c r="D905" i="4"/>
  <c r="D873" i="4"/>
  <c r="D875" i="4"/>
  <c r="D868" i="4"/>
  <c r="D886" i="4"/>
  <c r="D891" i="4"/>
  <c r="D889" i="4"/>
  <c r="D896" i="4"/>
  <c r="D885" i="4"/>
  <c r="D882" i="4"/>
  <c r="D904" i="4"/>
  <c r="D879" i="4"/>
  <c r="E881" i="4"/>
  <c r="E887" i="4"/>
  <c r="E896" i="4"/>
  <c r="E908" i="4"/>
  <c r="E893" i="4"/>
  <c r="E909" i="4"/>
  <c r="E883" i="4"/>
  <c r="E894" i="4"/>
  <c r="E898" i="4"/>
  <c r="E884" i="4"/>
  <c r="E901" i="4"/>
  <c r="E865" i="4"/>
  <c r="E910" i="4"/>
  <c r="E877" i="4"/>
  <c r="E873" i="4"/>
  <c r="E871" i="4"/>
  <c r="E874" i="4"/>
  <c r="E886" i="4"/>
  <c r="E888" i="4"/>
  <c r="E897" i="4"/>
  <c r="E869" i="4"/>
  <c r="E902" i="4"/>
  <c r="E879" i="4"/>
  <c r="E903" i="4"/>
  <c r="E905" i="4"/>
  <c r="E889" i="4"/>
  <c r="E906" i="4"/>
  <c r="E872" i="4"/>
  <c r="E866" i="4"/>
  <c r="E907" i="4"/>
  <c r="E899" i="4"/>
  <c r="E863" i="4"/>
  <c r="E895" i="4"/>
  <c r="E864" i="4"/>
  <c r="E890" i="4"/>
  <c r="E885" i="4"/>
  <c r="E882" i="4"/>
  <c r="E880" i="4"/>
  <c r="E867" i="4"/>
  <c r="E900" i="4"/>
  <c r="E878" i="4"/>
  <c r="E892" i="4"/>
  <c r="E904" i="4"/>
  <c r="E875" i="4"/>
  <c r="E891" i="4"/>
  <c r="E868" i="4"/>
  <c r="E870" i="4"/>
  <c r="E876" i="4"/>
  <c r="F862" i="4"/>
  <c r="D10" i="4" s="1"/>
  <c r="W205" i="3"/>
  <c r="X205" i="3" s="1"/>
  <c r="Y205" i="3" s="1"/>
  <c r="Z205" i="3" s="1"/>
  <c r="AA205" i="3" s="1"/>
  <c r="AB205" i="3" s="1"/>
  <c r="AC205" i="3" l="1"/>
  <c r="AD205" i="3" s="1"/>
  <c r="M206" i="3"/>
  <c r="C205" i="4"/>
  <c r="G205" i="4" l="1"/>
  <c r="I205" i="4" s="1"/>
  <c r="J205" i="4" s="1"/>
  <c r="H205" i="4"/>
  <c r="O206" i="3"/>
  <c r="N206" i="3"/>
  <c r="P206" i="3" s="1"/>
  <c r="Q206" i="3" s="1"/>
  <c r="AI206" i="3"/>
  <c r="L206" i="4" l="1"/>
  <c r="V206" i="3"/>
  <c r="K205" i="4"/>
  <c r="M205" i="4"/>
  <c r="W206" i="3" l="1"/>
  <c r="X206" i="3" s="1"/>
  <c r="Y206" i="3" s="1"/>
  <c r="Z206" i="3" s="1"/>
  <c r="AA206" i="3" s="1"/>
  <c r="AB206" i="3" s="1"/>
  <c r="AC206" i="3" l="1"/>
  <c r="AD206" i="3" s="1"/>
  <c r="M207" i="3"/>
  <c r="C206" i="4"/>
  <c r="G206" i="4" l="1"/>
  <c r="I206" i="4" s="1"/>
  <c r="J206" i="4" s="1"/>
  <c r="H206" i="4"/>
  <c r="AI207" i="3"/>
  <c r="N207" i="3"/>
  <c r="P207" i="3" s="1"/>
  <c r="Q207" i="3" s="1"/>
  <c r="O207" i="3"/>
  <c r="L207" i="4" l="1"/>
  <c r="V207" i="3"/>
  <c r="K206" i="4"/>
  <c r="M206" i="4"/>
  <c r="W207" i="3" l="1"/>
  <c r="X207" i="3"/>
  <c r="Y207" i="3" s="1"/>
  <c r="Z207" i="3" s="1"/>
  <c r="AA207" i="3" s="1"/>
  <c r="AB207" i="3" s="1"/>
  <c r="M208" i="3" l="1"/>
  <c r="AC207" i="3"/>
  <c r="AD207" i="3" s="1"/>
  <c r="C207" i="4"/>
  <c r="H207" i="4" l="1"/>
  <c r="G207" i="4"/>
  <c r="I207" i="4" s="1"/>
  <c r="J207" i="4" s="1"/>
  <c r="N208" i="3"/>
  <c r="O208" i="3"/>
  <c r="AI208" i="3"/>
  <c r="P208" i="3" l="1"/>
  <c r="Q208" i="3" s="1"/>
  <c r="M207" i="4"/>
  <c r="K207" i="4"/>
  <c r="L208" i="4" l="1"/>
  <c r="V208" i="3"/>
  <c r="W208" i="3" l="1"/>
  <c r="X208" i="3" s="1"/>
  <c r="Y208" i="3" s="1"/>
  <c r="Z208" i="3" s="1"/>
  <c r="AA208" i="3" s="1"/>
  <c r="AB208" i="3" s="1"/>
  <c r="M209" i="3" l="1"/>
  <c r="AC208" i="3"/>
  <c r="AD208" i="3" s="1"/>
  <c r="C208" i="4"/>
  <c r="G208" i="4" l="1"/>
  <c r="I208" i="4" s="1"/>
  <c r="J208" i="4" s="1"/>
  <c r="H208" i="4"/>
  <c r="O209" i="3"/>
  <c r="AI209" i="3"/>
  <c r="N209" i="3"/>
  <c r="P209" i="3" l="1"/>
  <c r="Q209" i="3" s="1"/>
  <c r="M208" i="4"/>
  <c r="K208" i="4"/>
  <c r="L209" i="4" l="1"/>
  <c r="V209" i="3"/>
  <c r="W209" i="3" l="1"/>
  <c r="X209" i="3"/>
  <c r="Y209" i="3" s="1"/>
  <c r="Z209" i="3" s="1"/>
  <c r="AA209" i="3" s="1"/>
  <c r="AB209" i="3" s="1"/>
  <c r="AC209" i="3" l="1"/>
  <c r="AD209" i="3" s="1"/>
  <c r="C209" i="4"/>
  <c r="M210" i="3"/>
  <c r="O210" i="3" l="1"/>
  <c r="AI210" i="3"/>
  <c r="N210" i="3"/>
  <c r="P210" i="3" s="1"/>
  <c r="Q210" i="3" s="1"/>
  <c r="G209" i="4"/>
  <c r="I209" i="4" s="1"/>
  <c r="J209" i="4" s="1"/>
  <c r="H209" i="4"/>
  <c r="M209" i="4" l="1"/>
  <c r="K209" i="4"/>
  <c r="L210" i="4"/>
  <c r="V210" i="3"/>
  <c r="W210" i="3" l="1"/>
  <c r="X210" i="3" s="1"/>
  <c r="Y210" i="3" s="1"/>
  <c r="Z210" i="3" s="1"/>
  <c r="AA210" i="3" s="1"/>
  <c r="AB210" i="3" s="1"/>
  <c r="M211" i="3" l="1"/>
  <c r="AC210" i="3"/>
  <c r="AD210" i="3" s="1"/>
  <c r="C210" i="4"/>
  <c r="H210" i="4" l="1"/>
  <c r="G210" i="4"/>
  <c r="I210" i="4" s="1"/>
  <c r="J210" i="4" s="1"/>
  <c r="O211" i="3"/>
  <c r="AI211" i="3"/>
  <c r="N211" i="3"/>
  <c r="M210" i="4" l="1"/>
  <c r="K210" i="4"/>
  <c r="P211" i="3"/>
  <c r="Q211" i="3" s="1"/>
  <c r="L211" i="4" l="1"/>
  <c r="V211" i="3"/>
  <c r="W211" i="3" l="1"/>
  <c r="X211" i="3"/>
  <c r="Y211" i="3" s="1"/>
  <c r="Z211" i="3" s="1"/>
  <c r="AA211" i="3" s="1"/>
  <c r="AB211" i="3" s="1"/>
  <c r="AC211" i="3" l="1"/>
  <c r="AD211" i="3" s="1"/>
  <c r="M212" i="3"/>
  <c r="C211" i="4"/>
  <c r="G211" i="4" l="1"/>
  <c r="I211" i="4" s="1"/>
  <c r="J211" i="4" s="1"/>
  <c r="H211" i="4"/>
  <c r="AI212" i="3"/>
  <c r="N212" i="3"/>
  <c r="P212" i="3" s="1"/>
  <c r="Q212" i="3" s="1"/>
  <c r="O212" i="3"/>
  <c r="L212" i="4" l="1"/>
  <c r="V212" i="3"/>
  <c r="K211" i="4"/>
  <c r="M211" i="4"/>
  <c r="W212" i="3" l="1"/>
  <c r="X212" i="3" s="1"/>
  <c r="Y212" i="3" s="1"/>
  <c r="Z212" i="3" s="1"/>
  <c r="AA212" i="3" s="1"/>
  <c r="AB212" i="3" s="1"/>
  <c r="AC212" i="3" l="1"/>
  <c r="AD212" i="3" s="1"/>
  <c r="C212" i="4"/>
  <c r="M213" i="3"/>
  <c r="N213" i="3" l="1"/>
  <c r="O213" i="3"/>
  <c r="AI213" i="3"/>
  <c r="G212" i="4"/>
  <c r="I212" i="4" s="1"/>
  <c r="J212" i="4" s="1"/>
  <c r="H212" i="4"/>
  <c r="M212" i="4" l="1"/>
  <c r="K212" i="4"/>
  <c r="P213" i="3"/>
  <c r="Q213" i="3" s="1"/>
  <c r="L213" i="4" l="1"/>
  <c r="V213" i="3"/>
  <c r="W213" i="3" l="1"/>
  <c r="X213" i="3"/>
  <c r="Y213" i="3" s="1"/>
  <c r="Z213" i="3" s="1"/>
  <c r="AA213" i="3" s="1"/>
  <c r="AB213" i="3" s="1"/>
  <c r="C213" i="4" l="1"/>
  <c r="AC213" i="3"/>
  <c r="AD213" i="3" s="1"/>
  <c r="M214" i="3"/>
  <c r="N214" i="3" l="1"/>
  <c r="O214" i="3"/>
  <c r="AI214" i="3"/>
  <c r="G213" i="4"/>
  <c r="I213" i="4" s="1"/>
  <c r="J213" i="4" s="1"/>
  <c r="H213" i="4"/>
  <c r="M213" i="4" l="1"/>
  <c r="K213" i="4"/>
  <c r="P214" i="3"/>
  <c r="Q214" i="3" s="1"/>
  <c r="L214" i="4" l="1"/>
  <c r="V214" i="3"/>
  <c r="W214" i="3" l="1"/>
  <c r="X214" i="3"/>
  <c r="Y214" i="3" s="1"/>
  <c r="Z214" i="3" s="1"/>
  <c r="AA214" i="3" s="1"/>
  <c r="AB214" i="3" s="1"/>
  <c r="M215" i="3" l="1"/>
  <c r="AC214" i="3"/>
  <c r="AD214" i="3" s="1"/>
  <c r="C214" i="4"/>
  <c r="G214" i="4" l="1"/>
  <c r="I214" i="4" s="1"/>
  <c r="J214" i="4" s="1"/>
  <c r="H214" i="4"/>
  <c r="AI215" i="3"/>
  <c r="O215" i="3"/>
  <c r="N215" i="3"/>
  <c r="P215" i="3" l="1"/>
  <c r="Q215" i="3" s="1"/>
  <c r="M214" i="4"/>
  <c r="K214" i="4"/>
  <c r="L215" i="4" l="1"/>
  <c r="V215" i="3"/>
  <c r="W215" i="3" l="1"/>
  <c r="X215" i="3" s="1"/>
  <c r="Y215" i="3" s="1"/>
  <c r="Z215" i="3" s="1"/>
  <c r="AA215" i="3" s="1"/>
  <c r="AB215" i="3" s="1"/>
  <c r="M216" i="3" l="1"/>
  <c r="AC215" i="3"/>
  <c r="AD215" i="3" s="1"/>
  <c r="C215" i="4"/>
  <c r="H215" i="4" l="1"/>
  <c r="G215" i="4"/>
  <c r="I215" i="4" s="1"/>
  <c r="J215" i="4" s="1"/>
  <c r="O216" i="3"/>
  <c r="AI216" i="3"/>
  <c r="N216" i="3"/>
  <c r="M215" i="4" l="1"/>
  <c r="K215" i="4"/>
  <c r="P216" i="3"/>
  <c r="Q216" i="3" s="1"/>
  <c r="L216" i="4" l="1"/>
  <c r="V216" i="3"/>
  <c r="W216" i="3" l="1"/>
  <c r="X216" i="3"/>
  <c r="Y216" i="3" s="1"/>
  <c r="Z216" i="3" s="1"/>
  <c r="AA216" i="3" s="1"/>
  <c r="AB216" i="3" s="1"/>
  <c r="M217" i="3" l="1"/>
  <c r="C216" i="4"/>
  <c r="AC216" i="3"/>
  <c r="AD216" i="3" s="1"/>
  <c r="H216" i="4" l="1"/>
  <c r="G216" i="4"/>
  <c r="I216" i="4" s="1"/>
  <c r="J216" i="4" s="1"/>
  <c r="N217" i="3"/>
  <c r="O217" i="3"/>
  <c r="AI217" i="3"/>
  <c r="K216" i="4" l="1"/>
  <c r="M216" i="4"/>
  <c r="P217" i="3"/>
  <c r="Q217" i="3" s="1"/>
  <c r="L217" i="4" l="1"/>
  <c r="V217" i="3"/>
  <c r="W217" i="3" l="1"/>
  <c r="X217" i="3"/>
  <c r="Y217" i="3" s="1"/>
  <c r="Z217" i="3" s="1"/>
  <c r="AA217" i="3" s="1"/>
  <c r="AB217" i="3" s="1"/>
  <c r="C217" i="4" l="1"/>
  <c r="M218" i="3"/>
  <c r="AC217" i="3"/>
  <c r="AD217" i="3" s="1"/>
  <c r="N218" i="3" l="1"/>
  <c r="AI218" i="3"/>
  <c r="O218" i="3"/>
  <c r="G217" i="4"/>
  <c r="I217" i="4" s="1"/>
  <c r="J217" i="4" s="1"/>
  <c r="H217" i="4"/>
  <c r="M217" i="4" l="1"/>
  <c r="K217" i="4"/>
  <c r="P218" i="3"/>
  <c r="Q218" i="3" s="1"/>
  <c r="L218" i="4" l="1"/>
  <c r="V218" i="3"/>
  <c r="W218" i="3" l="1"/>
  <c r="X218" i="3"/>
  <c r="Y218" i="3" s="1"/>
  <c r="Z218" i="3" s="1"/>
  <c r="AA218" i="3" s="1"/>
  <c r="AB218" i="3" s="1"/>
  <c r="AC218" i="3" l="1"/>
  <c r="AD218" i="3" s="1"/>
  <c r="C218" i="4"/>
  <c r="M219" i="3"/>
  <c r="N219" i="3" l="1"/>
  <c r="AI219" i="3"/>
  <c r="O219" i="3"/>
  <c r="G218" i="4"/>
  <c r="I218" i="4" s="1"/>
  <c r="J218" i="4" s="1"/>
  <c r="H218" i="4"/>
  <c r="M218" i="4" l="1"/>
  <c r="K218" i="4"/>
  <c r="P219" i="3"/>
  <c r="Q219" i="3" s="1"/>
  <c r="L219" i="4" l="1"/>
  <c r="V219" i="3"/>
  <c r="W219" i="3" l="1"/>
  <c r="X219" i="3" s="1"/>
  <c r="Y219" i="3" s="1"/>
  <c r="Z219" i="3" s="1"/>
  <c r="AA219" i="3" s="1"/>
  <c r="AB219" i="3" s="1"/>
  <c r="M220" i="3" l="1"/>
  <c r="C219" i="4"/>
  <c r="AC219" i="3"/>
  <c r="AD219" i="3" s="1"/>
  <c r="G219" i="4" l="1"/>
  <c r="I219" i="4" s="1"/>
  <c r="J219" i="4" s="1"/>
  <c r="H219" i="4"/>
  <c r="AI220" i="3"/>
  <c r="O220" i="3"/>
  <c r="N220" i="3"/>
  <c r="P220" i="3" l="1"/>
  <c r="Q220" i="3" s="1"/>
  <c r="M219" i="4"/>
  <c r="K219" i="4"/>
  <c r="L220" i="4" l="1"/>
  <c r="V220" i="3"/>
  <c r="W220" i="3" l="1"/>
  <c r="X220" i="3" s="1"/>
  <c r="Y220" i="3" s="1"/>
  <c r="Z220" i="3" s="1"/>
  <c r="AA220" i="3" s="1"/>
  <c r="AB220" i="3" s="1"/>
  <c r="M221" i="3" l="1"/>
  <c r="C220" i="4"/>
  <c r="AC220" i="3"/>
  <c r="AD220" i="3" s="1"/>
  <c r="H220" i="4" l="1"/>
  <c r="G220" i="4"/>
  <c r="I220" i="4" s="1"/>
  <c r="J220" i="4" s="1"/>
  <c r="AI221" i="3"/>
  <c r="O221" i="3"/>
  <c r="N221" i="3"/>
  <c r="K220" i="4" l="1"/>
  <c r="M220" i="4"/>
  <c r="P221" i="3"/>
  <c r="Q221" i="3" s="1"/>
  <c r="L221" i="4" l="1"/>
  <c r="V221" i="3"/>
  <c r="W221" i="3" l="1"/>
  <c r="X221" i="3"/>
  <c r="Y221" i="3" s="1"/>
  <c r="Z221" i="3" s="1"/>
  <c r="AA221" i="3" s="1"/>
  <c r="AB221" i="3" s="1"/>
  <c r="C221" i="4" l="1"/>
  <c r="M222" i="3"/>
  <c r="AC221" i="3"/>
  <c r="AD221" i="3" s="1"/>
  <c r="AI222" i="3" l="1"/>
  <c r="O222" i="3"/>
  <c r="N222" i="3"/>
  <c r="P222" i="3" s="1"/>
  <c r="Q222" i="3" s="1"/>
  <c r="G221" i="4"/>
  <c r="I221" i="4" s="1"/>
  <c r="J221" i="4" s="1"/>
  <c r="H221" i="4"/>
  <c r="K221" i="4" l="1"/>
  <c r="M221" i="4"/>
  <c r="L222" i="4"/>
  <c r="V222" i="3"/>
  <c r="W222" i="3" l="1"/>
  <c r="X222" i="3"/>
  <c r="Y222" i="3" s="1"/>
  <c r="Z222" i="3" s="1"/>
  <c r="AA222" i="3" s="1"/>
  <c r="AB222" i="3" s="1"/>
  <c r="AC222" i="3" l="1"/>
  <c r="AD222" i="3" s="1"/>
  <c r="C222" i="4"/>
  <c r="M223" i="3"/>
  <c r="N223" i="3" l="1"/>
  <c r="AI223" i="3"/>
  <c r="O223" i="3"/>
  <c r="G222" i="4"/>
  <c r="I222" i="4" s="1"/>
  <c r="J222" i="4" s="1"/>
  <c r="H222" i="4"/>
  <c r="M222" i="4" l="1"/>
  <c r="K222" i="4"/>
  <c r="P223" i="3"/>
  <c r="Q223" i="3" s="1"/>
  <c r="L223" i="4" l="1"/>
  <c r="V223" i="3"/>
  <c r="W223" i="3" l="1"/>
  <c r="X223" i="3" s="1"/>
  <c r="Y223" i="3" s="1"/>
  <c r="Z223" i="3" s="1"/>
  <c r="AA223" i="3" s="1"/>
  <c r="AB223" i="3" s="1"/>
  <c r="M224" i="3" l="1"/>
  <c r="AC223" i="3"/>
  <c r="AD223" i="3" s="1"/>
  <c r="C223" i="4"/>
  <c r="H223" i="4" l="1"/>
  <c r="G223" i="4"/>
  <c r="I223" i="4" s="1"/>
  <c r="J223" i="4" s="1"/>
  <c r="AI224" i="3"/>
  <c r="O224" i="3"/>
  <c r="N224" i="3"/>
  <c r="M223" i="4" l="1"/>
  <c r="K223" i="4"/>
  <c r="P224" i="3"/>
  <c r="Q224" i="3" s="1"/>
  <c r="L224" i="4" l="1"/>
  <c r="V224" i="3"/>
  <c r="W224" i="3" l="1"/>
  <c r="X224" i="3"/>
  <c r="Y224" i="3" s="1"/>
  <c r="Z224" i="3" s="1"/>
  <c r="AA224" i="3" s="1"/>
  <c r="AB224" i="3" s="1"/>
  <c r="M225" i="3" l="1"/>
  <c r="AC224" i="3"/>
  <c r="AD224" i="3" s="1"/>
  <c r="C224" i="4"/>
  <c r="AI225" i="3" l="1"/>
  <c r="N225" i="3"/>
  <c r="O225" i="3"/>
  <c r="H224" i="4"/>
  <c r="G224" i="4"/>
  <c r="I224" i="4" s="1"/>
  <c r="J224" i="4" s="1"/>
  <c r="P225" i="3" l="1"/>
  <c r="Q225" i="3" s="1"/>
  <c r="M224" i="4"/>
  <c r="K224" i="4"/>
  <c r="L225" i="4" l="1"/>
  <c r="V225" i="3"/>
  <c r="W225" i="3" l="1"/>
  <c r="X225" i="3" s="1"/>
  <c r="Y225" i="3" s="1"/>
  <c r="Z225" i="3" s="1"/>
  <c r="AA225" i="3" s="1"/>
  <c r="AB225" i="3" s="1"/>
  <c r="M226" i="3" l="1"/>
  <c r="C225" i="4"/>
  <c r="AC225" i="3"/>
  <c r="AD225" i="3" s="1"/>
  <c r="H225" i="4" l="1"/>
  <c r="G225" i="4"/>
  <c r="I225" i="4" s="1"/>
  <c r="J225" i="4" s="1"/>
  <c r="AI226" i="3"/>
  <c r="O226" i="3"/>
  <c r="N226" i="3"/>
  <c r="M225" i="4" l="1"/>
  <c r="K225" i="4"/>
  <c r="P226" i="3"/>
  <c r="Q226" i="3" s="1"/>
  <c r="L226" i="4" l="1"/>
  <c r="V226" i="3"/>
  <c r="W226" i="3" l="1"/>
  <c r="X226" i="3"/>
  <c r="Y226" i="3" s="1"/>
  <c r="Z226" i="3" s="1"/>
  <c r="AA226" i="3" s="1"/>
  <c r="AB226" i="3" s="1"/>
  <c r="C226" i="4" l="1"/>
  <c r="M227" i="3"/>
  <c r="AC226" i="3"/>
  <c r="AD226" i="3" s="1"/>
  <c r="O227" i="3" l="1"/>
  <c r="N227" i="3"/>
  <c r="P227" i="3" s="1"/>
  <c r="Q227" i="3" s="1"/>
  <c r="AI227" i="3"/>
  <c r="G226" i="4"/>
  <c r="I226" i="4" s="1"/>
  <c r="J226" i="4" s="1"/>
  <c r="H226" i="4"/>
  <c r="K226" i="4" l="1"/>
  <c r="M226" i="4"/>
  <c r="L227" i="4"/>
  <c r="V227" i="3"/>
  <c r="W227" i="3" l="1"/>
  <c r="X227" i="3" s="1"/>
  <c r="Y227" i="3" s="1"/>
  <c r="Z227" i="3" s="1"/>
  <c r="AA227" i="3" s="1"/>
  <c r="AB227" i="3" s="1"/>
  <c r="M228" i="3" l="1"/>
  <c r="AC227" i="3"/>
  <c r="AD227" i="3" s="1"/>
  <c r="C227" i="4"/>
  <c r="H227" i="4" l="1"/>
  <c r="G227" i="4"/>
  <c r="I227" i="4" s="1"/>
  <c r="J227" i="4" s="1"/>
  <c r="N228" i="3"/>
  <c r="O228" i="3"/>
  <c r="AI228" i="3"/>
  <c r="P228" i="3" l="1"/>
  <c r="Q228" i="3" s="1"/>
  <c r="K227" i="4"/>
  <c r="M227" i="4"/>
  <c r="L228" i="4" l="1"/>
  <c r="V228" i="3"/>
  <c r="W228" i="3" l="1"/>
  <c r="X228" i="3" s="1"/>
  <c r="Y228" i="3" s="1"/>
  <c r="Z228" i="3" s="1"/>
  <c r="AA228" i="3" s="1"/>
  <c r="AB228" i="3" s="1"/>
  <c r="AC228" i="3" l="1"/>
  <c r="AD228" i="3" s="1"/>
  <c r="M229" i="3"/>
  <c r="C228" i="4"/>
  <c r="N229" i="3" l="1"/>
  <c r="AI229" i="3"/>
  <c r="O229" i="3"/>
  <c r="G228" i="4"/>
  <c r="I228" i="4" s="1"/>
  <c r="J228" i="4" s="1"/>
  <c r="H228" i="4"/>
  <c r="K228" i="4" l="1"/>
  <c r="M228" i="4"/>
  <c r="P229" i="3"/>
  <c r="Q229" i="3" s="1"/>
  <c r="L229" i="4" l="1"/>
  <c r="V229" i="3"/>
  <c r="W229" i="3" l="1"/>
  <c r="X229" i="3"/>
  <c r="Y229" i="3" s="1"/>
  <c r="Z229" i="3" s="1"/>
  <c r="AA229" i="3" s="1"/>
  <c r="AB229" i="3" s="1"/>
  <c r="C229" i="4" l="1"/>
  <c r="M230" i="3"/>
  <c r="AC229" i="3"/>
  <c r="AD229" i="3" s="1"/>
  <c r="O230" i="3" l="1"/>
  <c r="N230" i="3"/>
  <c r="P230" i="3" s="1"/>
  <c r="Q230" i="3" s="1"/>
  <c r="AI230" i="3"/>
  <c r="G229" i="4"/>
  <c r="I229" i="4" s="1"/>
  <c r="J229" i="4" s="1"/>
  <c r="H229" i="4"/>
  <c r="M229" i="4" l="1"/>
  <c r="K229" i="4"/>
  <c r="L230" i="4"/>
  <c r="V230" i="3"/>
  <c r="W230" i="3" l="1"/>
  <c r="X230" i="3"/>
  <c r="Y230" i="3" s="1"/>
  <c r="Z230" i="3" s="1"/>
  <c r="AA230" i="3" s="1"/>
  <c r="AB230" i="3" s="1"/>
  <c r="M231" i="3" l="1"/>
  <c r="C230" i="4"/>
  <c r="AC230" i="3"/>
  <c r="AD230" i="3" s="1"/>
  <c r="H230" i="4" l="1"/>
  <c r="G230" i="4"/>
  <c r="I230" i="4" s="1"/>
  <c r="J230" i="4" s="1"/>
  <c r="O231" i="3"/>
  <c r="N231" i="3"/>
  <c r="P231" i="3" s="1"/>
  <c r="Q231" i="3" s="1"/>
  <c r="AI231" i="3"/>
  <c r="L231" i="4" l="1"/>
  <c r="V231" i="3"/>
  <c r="M230" i="4"/>
  <c r="K230" i="4"/>
  <c r="W231" i="3" l="1"/>
  <c r="X231" i="3" s="1"/>
  <c r="Y231" i="3" s="1"/>
  <c r="Z231" i="3" s="1"/>
  <c r="AA231" i="3" s="1"/>
  <c r="AB231" i="3" s="1"/>
  <c r="C231" i="4" l="1"/>
  <c r="AC231" i="3"/>
  <c r="AD231" i="3" s="1"/>
  <c r="M232" i="3"/>
  <c r="O232" i="3" l="1"/>
  <c r="N232" i="3"/>
  <c r="P232" i="3" s="1"/>
  <c r="Q232" i="3" s="1"/>
  <c r="AI232" i="3"/>
  <c r="H231" i="4"/>
  <c r="G231" i="4"/>
  <c r="I231" i="4" s="1"/>
  <c r="J231" i="4" s="1"/>
  <c r="L232" i="4" l="1"/>
  <c r="V232" i="3"/>
  <c r="M231" i="4"/>
  <c r="K231" i="4"/>
  <c r="W232" i="3" l="1"/>
  <c r="X232" i="3"/>
  <c r="Y232" i="3" s="1"/>
  <c r="Z232" i="3" s="1"/>
  <c r="AA232" i="3" s="1"/>
  <c r="AB232" i="3" s="1"/>
  <c r="M233" i="3" l="1"/>
  <c r="AC232" i="3"/>
  <c r="AD232" i="3" s="1"/>
  <c r="C232" i="4"/>
  <c r="G232" i="4" l="1"/>
  <c r="I232" i="4" s="1"/>
  <c r="J232" i="4" s="1"/>
  <c r="H232" i="4"/>
  <c r="O233" i="3"/>
  <c r="AI233" i="3"/>
  <c r="N233" i="3"/>
  <c r="P233" i="3" l="1"/>
  <c r="Q233" i="3" s="1"/>
  <c r="M232" i="4"/>
  <c r="K232" i="4"/>
  <c r="L233" i="4" l="1"/>
  <c r="V233" i="3"/>
  <c r="W233" i="3" l="1"/>
  <c r="X233" i="3"/>
  <c r="Y233" i="3" s="1"/>
  <c r="Z233" i="3" s="1"/>
  <c r="AA233" i="3" s="1"/>
  <c r="AB233" i="3" s="1"/>
  <c r="M234" i="3" l="1"/>
  <c r="AC233" i="3"/>
  <c r="AD233" i="3" s="1"/>
  <c r="C233" i="4"/>
  <c r="G233" i="4" l="1"/>
  <c r="I233" i="4" s="1"/>
  <c r="J233" i="4" s="1"/>
  <c r="H233" i="4"/>
  <c r="N234" i="3"/>
  <c r="P234" i="3" s="1"/>
  <c r="Q234" i="3" s="1"/>
  <c r="AI234" i="3"/>
  <c r="O234" i="3"/>
  <c r="L234" i="4" l="1"/>
  <c r="V234" i="3"/>
  <c r="M233" i="4"/>
  <c r="K233" i="4"/>
  <c r="W234" i="3" l="1"/>
  <c r="X234" i="3"/>
  <c r="Y234" i="3" s="1"/>
  <c r="Z234" i="3" s="1"/>
  <c r="AA234" i="3" s="1"/>
  <c r="AB234" i="3" s="1"/>
  <c r="AC234" i="3" l="1"/>
  <c r="AD234" i="3" s="1"/>
  <c r="M235" i="3"/>
  <c r="C234" i="4"/>
  <c r="G234" i="4" l="1"/>
  <c r="I234" i="4" s="1"/>
  <c r="J234" i="4" s="1"/>
  <c r="H234" i="4"/>
  <c r="O235" i="3"/>
  <c r="AI235" i="3"/>
  <c r="N235" i="3"/>
  <c r="P235" i="3" l="1"/>
  <c r="Q235" i="3" s="1"/>
  <c r="K234" i="4"/>
  <c r="M234" i="4"/>
  <c r="L235" i="4" l="1"/>
  <c r="V235" i="3"/>
  <c r="W235" i="3" l="1"/>
  <c r="X235" i="3" s="1"/>
  <c r="Y235" i="3" s="1"/>
  <c r="Z235" i="3" s="1"/>
  <c r="AA235" i="3" s="1"/>
  <c r="AB235" i="3" s="1"/>
  <c r="C235" i="4" l="1"/>
  <c r="M236" i="3"/>
  <c r="AC235" i="3"/>
  <c r="AD235" i="3" s="1"/>
  <c r="N236" i="3" l="1"/>
  <c r="O236" i="3"/>
  <c r="AI236" i="3"/>
  <c r="H235" i="4"/>
  <c r="G235" i="4"/>
  <c r="I235" i="4" s="1"/>
  <c r="J235" i="4" s="1"/>
  <c r="K235" i="4" l="1"/>
  <c r="M235" i="4"/>
  <c r="P236" i="3"/>
  <c r="Q236" i="3" s="1"/>
  <c r="L236" i="4" l="1"/>
  <c r="V236" i="3"/>
  <c r="W236" i="3" l="1"/>
  <c r="X236" i="3"/>
  <c r="Y236" i="3" s="1"/>
  <c r="Z236" i="3" s="1"/>
  <c r="AA236" i="3" s="1"/>
  <c r="AB236" i="3" s="1"/>
  <c r="C236" i="4" l="1"/>
  <c r="M237" i="3"/>
  <c r="AC236" i="3"/>
  <c r="AD236" i="3" s="1"/>
  <c r="N237" i="3" l="1"/>
  <c r="O237" i="3"/>
  <c r="AI237" i="3"/>
  <c r="G236" i="4"/>
  <c r="I236" i="4" s="1"/>
  <c r="J236" i="4" s="1"/>
  <c r="H236" i="4"/>
  <c r="M236" i="4" l="1"/>
  <c r="K236" i="4"/>
  <c r="P237" i="3"/>
  <c r="Q237" i="3" s="1"/>
  <c r="L237" i="4" l="1"/>
  <c r="V237" i="3"/>
  <c r="W237" i="3" l="1"/>
  <c r="X237" i="3" s="1"/>
  <c r="Y237" i="3" s="1"/>
  <c r="Z237" i="3" s="1"/>
  <c r="AA237" i="3" s="1"/>
  <c r="AB237" i="3" s="1"/>
  <c r="C237" i="4" l="1"/>
  <c r="AC237" i="3"/>
  <c r="AD237" i="3" s="1"/>
  <c r="M238" i="3"/>
  <c r="O238" i="3" l="1"/>
  <c r="N238" i="3"/>
  <c r="P238" i="3" s="1"/>
  <c r="Q238" i="3" s="1"/>
  <c r="AI238" i="3"/>
  <c r="H237" i="4"/>
  <c r="G237" i="4"/>
  <c r="I237" i="4" s="1"/>
  <c r="J237" i="4" s="1"/>
  <c r="L238" i="4" l="1"/>
  <c r="C30" i="5" s="1"/>
  <c r="N30" i="5" s="1"/>
  <c r="V238" i="3"/>
  <c r="M237" i="4"/>
  <c r="K237" i="4"/>
  <c r="W238" i="3" l="1"/>
  <c r="X238" i="3" s="1"/>
  <c r="Y238" i="3" s="1"/>
  <c r="Z238" i="3" s="1"/>
  <c r="AA238" i="3" s="1"/>
  <c r="AB238" i="3" s="1"/>
  <c r="C238" i="4" l="1"/>
  <c r="AC238" i="3"/>
  <c r="AD238" i="3" s="1"/>
  <c r="M239" i="3"/>
  <c r="N239" i="3" l="1"/>
  <c r="AI239" i="3"/>
  <c r="O239" i="3"/>
  <c r="H238" i="4"/>
  <c r="G238" i="4"/>
  <c r="I238" i="4" s="1"/>
  <c r="J238" i="4" s="1"/>
  <c r="M238" i="4" l="1"/>
  <c r="D30" i="5"/>
  <c r="K238" i="4"/>
  <c r="E30" i="5" s="1"/>
  <c r="P239" i="3"/>
  <c r="Q239" i="3" s="1"/>
  <c r="L239" i="4" l="1"/>
  <c r="V239" i="3"/>
  <c r="W239" i="3" l="1"/>
  <c r="X239" i="3" s="1"/>
  <c r="Y239" i="3" s="1"/>
  <c r="Z239" i="3" s="1"/>
  <c r="AA239" i="3" s="1"/>
  <c r="AB239" i="3" s="1"/>
  <c r="C239" i="4" l="1"/>
  <c r="AC239" i="3"/>
  <c r="AD239" i="3" s="1"/>
  <c r="M240" i="3"/>
  <c r="O240" i="3" l="1"/>
  <c r="AI240" i="3"/>
  <c r="N240" i="3"/>
  <c r="P240" i="3" s="1"/>
  <c r="Q240" i="3" s="1"/>
  <c r="H239" i="4"/>
  <c r="G239" i="4"/>
  <c r="I239" i="4" s="1"/>
  <c r="J239" i="4" s="1"/>
  <c r="L240" i="4" l="1"/>
  <c r="V240" i="3"/>
  <c r="M239" i="4"/>
  <c r="K239" i="4"/>
  <c r="W240" i="3" l="1"/>
  <c r="X240" i="3"/>
  <c r="Y240" i="3" s="1"/>
  <c r="Z240" i="3" s="1"/>
  <c r="AA240" i="3" s="1"/>
  <c r="AB240" i="3" s="1"/>
  <c r="M241" i="3" l="1"/>
  <c r="C240" i="4"/>
  <c r="AC240" i="3"/>
  <c r="AD240" i="3" s="1"/>
  <c r="G240" i="4" l="1"/>
  <c r="I240" i="4" s="1"/>
  <c r="J240" i="4" s="1"/>
  <c r="H240" i="4"/>
  <c r="O241" i="3"/>
  <c r="AI241" i="3"/>
  <c r="N241" i="3"/>
  <c r="P241" i="3" l="1"/>
  <c r="Q241" i="3" s="1"/>
  <c r="K240" i="4"/>
  <c r="M240" i="4"/>
  <c r="L241" i="4" l="1"/>
  <c r="V241" i="3"/>
  <c r="W241" i="3" l="1"/>
  <c r="X241" i="3" s="1"/>
  <c r="Y241" i="3" s="1"/>
  <c r="Z241" i="3" s="1"/>
  <c r="AA241" i="3" s="1"/>
  <c r="AB241" i="3" s="1"/>
  <c r="AC241" i="3" l="1"/>
  <c r="AD241" i="3" s="1"/>
  <c r="M242" i="3"/>
  <c r="C241" i="4"/>
  <c r="H241" i="4" l="1"/>
  <c r="G241" i="4"/>
  <c r="I241" i="4" s="1"/>
  <c r="J241" i="4" s="1"/>
  <c r="AI242" i="3"/>
  <c r="N242" i="3"/>
  <c r="P242" i="3" s="1"/>
  <c r="Q242" i="3" s="1"/>
  <c r="O242" i="3"/>
  <c r="L242" i="4" l="1"/>
  <c r="V242" i="3"/>
  <c r="K241" i="4"/>
  <c r="M241" i="4"/>
  <c r="W242" i="3" l="1"/>
  <c r="X242" i="3"/>
  <c r="Y242" i="3" s="1"/>
  <c r="Z242" i="3" s="1"/>
  <c r="AA242" i="3" s="1"/>
  <c r="AB242" i="3" s="1"/>
  <c r="M243" i="3" l="1"/>
  <c r="AC242" i="3"/>
  <c r="AD242" i="3" s="1"/>
  <c r="C242" i="4"/>
  <c r="G242" i="4" l="1"/>
  <c r="I242" i="4" s="1"/>
  <c r="J242" i="4" s="1"/>
  <c r="H242" i="4"/>
  <c r="N243" i="3"/>
  <c r="O243" i="3"/>
  <c r="AI243" i="3"/>
  <c r="P243" i="3" l="1"/>
  <c r="Q243" i="3" s="1"/>
  <c r="M242" i="4"/>
  <c r="K242" i="4"/>
  <c r="L243" i="4" l="1"/>
  <c r="V243" i="3"/>
  <c r="W243" i="3" l="1"/>
  <c r="X243" i="3" s="1"/>
  <c r="Y243" i="3" s="1"/>
  <c r="Z243" i="3" s="1"/>
  <c r="AA243" i="3" s="1"/>
  <c r="AB243" i="3" s="1"/>
  <c r="M244" i="3" l="1"/>
  <c r="AC243" i="3"/>
  <c r="AD243" i="3" s="1"/>
  <c r="C243" i="4"/>
  <c r="G243" i="4" l="1"/>
  <c r="I243" i="4" s="1"/>
  <c r="J243" i="4" s="1"/>
  <c r="H243" i="4"/>
  <c r="O244" i="3"/>
  <c r="N244" i="3"/>
  <c r="P244" i="3" s="1"/>
  <c r="Q244" i="3" s="1"/>
  <c r="AI244" i="3"/>
  <c r="L244" i="4" l="1"/>
  <c r="V244" i="3"/>
  <c r="K243" i="4"/>
  <c r="M243" i="4"/>
  <c r="W244" i="3" l="1"/>
  <c r="X244" i="3"/>
  <c r="Y244" i="3" s="1"/>
  <c r="Z244" i="3" s="1"/>
  <c r="AA244" i="3" s="1"/>
  <c r="AB244" i="3" s="1"/>
  <c r="M245" i="3" l="1"/>
  <c r="AC244" i="3"/>
  <c r="AD244" i="3" s="1"/>
  <c r="C244" i="4"/>
  <c r="H244" i="4" l="1"/>
  <c r="G244" i="4"/>
  <c r="I244" i="4" s="1"/>
  <c r="J244" i="4" s="1"/>
  <c r="AI245" i="3"/>
  <c r="O245" i="3"/>
  <c r="N245" i="3"/>
  <c r="K244" i="4" l="1"/>
  <c r="M244" i="4"/>
  <c r="P245" i="3"/>
  <c r="Q245" i="3" s="1"/>
  <c r="L245" i="4" l="1"/>
  <c r="V245" i="3"/>
  <c r="W245" i="3" l="1"/>
  <c r="X245" i="3" s="1"/>
  <c r="Y245" i="3" s="1"/>
  <c r="Z245" i="3" s="1"/>
  <c r="AA245" i="3" s="1"/>
  <c r="AB245" i="3" s="1"/>
  <c r="AC245" i="3" l="1"/>
  <c r="AD245" i="3" s="1"/>
  <c r="M246" i="3"/>
  <c r="C245" i="4"/>
  <c r="G245" i="4" l="1"/>
  <c r="I245" i="4" s="1"/>
  <c r="J245" i="4" s="1"/>
  <c r="H245" i="4"/>
  <c r="AI246" i="3"/>
  <c r="N246" i="3"/>
  <c r="P246" i="3" s="1"/>
  <c r="Q246" i="3" s="1"/>
  <c r="O246" i="3"/>
  <c r="L246" i="4" l="1"/>
  <c r="V246" i="3"/>
  <c r="M245" i="4"/>
  <c r="K245" i="4"/>
  <c r="W246" i="3" l="1"/>
  <c r="X246" i="3"/>
  <c r="Y246" i="3" s="1"/>
  <c r="Z246" i="3" s="1"/>
  <c r="AA246" i="3" s="1"/>
  <c r="AB246" i="3" s="1"/>
  <c r="AC246" i="3" l="1"/>
  <c r="AD246" i="3" s="1"/>
  <c r="M247" i="3"/>
  <c r="C246" i="4"/>
  <c r="G246" i="4" l="1"/>
  <c r="I246" i="4" s="1"/>
  <c r="J246" i="4" s="1"/>
  <c r="H246" i="4"/>
  <c r="O247" i="3"/>
  <c r="N247" i="3"/>
  <c r="P247" i="3" s="1"/>
  <c r="Q247" i="3" s="1"/>
  <c r="AI247" i="3"/>
  <c r="L247" i="4" l="1"/>
  <c r="V247" i="3"/>
  <c r="M246" i="4"/>
  <c r="K246" i="4"/>
  <c r="W247" i="3" l="1"/>
  <c r="X247" i="3" s="1"/>
  <c r="Y247" i="3" s="1"/>
  <c r="Z247" i="3" s="1"/>
  <c r="AA247" i="3" s="1"/>
  <c r="AB247" i="3" s="1"/>
  <c r="AC247" i="3" l="1"/>
  <c r="AD247" i="3" s="1"/>
  <c r="C247" i="4"/>
  <c r="M248" i="3"/>
  <c r="N248" i="3" l="1"/>
  <c r="O248" i="3"/>
  <c r="AI248" i="3"/>
  <c r="H247" i="4"/>
  <c r="G247" i="4"/>
  <c r="I247" i="4" s="1"/>
  <c r="J247" i="4" s="1"/>
  <c r="K247" i="4" l="1"/>
  <c r="M247" i="4"/>
  <c r="P248" i="3"/>
  <c r="Q248" i="3" s="1"/>
  <c r="L248" i="4" l="1"/>
  <c r="V248" i="3"/>
  <c r="W248" i="3" l="1"/>
  <c r="X248" i="3" s="1"/>
  <c r="Y248" i="3" s="1"/>
  <c r="Z248" i="3" s="1"/>
  <c r="AA248" i="3" s="1"/>
  <c r="AB248" i="3" s="1"/>
  <c r="AC248" i="3" l="1"/>
  <c r="AD248" i="3" s="1"/>
  <c r="M249" i="3"/>
  <c r="C248" i="4"/>
  <c r="G248" i="4" l="1"/>
  <c r="I248" i="4" s="1"/>
  <c r="J248" i="4" s="1"/>
  <c r="H248" i="4"/>
  <c r="AI249" i="3"/>
  <c r="N249" i="3"/>
  <c r="P249" i="3" s="1"/>
  <c r="Q249" i="3" s="1"/>
  <c r="O249" i="3"/>
  <c r="L249" i="4" l="1"/>
  <c r="V249" i="3"/>
  <c r="K248" i="4"/>
  <c r="M248" i="4"/>
  <c r="W249" i="3" l="1"/>
  <c r="X249" i="3"/>
  <c r="Y249" i="3" s="1"/>
  <c r="Z249" i="3" s="1"/>
  <c r="AA249" i="3" s="1"/>
  <c r="AB249" i="3" s="1"/>
  <c r="AC249" i="3" l="1"/>
  <c r="AD249" i="3" s="1"/>
  <c r="M250" i="3"/>
  <c r="C249" i="4"/>
  <c r="H249" i="4" l="1"/>
  <c r="G249" i="4"/>
  <c r="I249" i="4" s="1"/>
  <c r="J249" i="4" s="1"/>
  <c r="O250" i="3"/>
  <c r="N250" i="3"/>
  <c r="P250" i="3" s="1"/>
  <c r="Q250" i="3" s="1"/>
  <c r="AI250" i="3"/>
  <c r="L250" i="4" l="1"/>
  <c r="V250" i="3"/>
  <c r="K249" i="4"/>
  <c r="M249" i="4"/>
  <c r="W250" i="3" l="1"/>
  <c r="X250" i="3"/>
  <c r="Y250" i="3" s="1"/>
  <c r="Z250" i="3" s="1"/>
  <c r="AA250" i="3" s="1"/>
  <c r="AB250" i="3" s="1"/>
  <c r="M251" i="3" l="1"/>
  <c r="C250" i="4"/>
  <c r="AC250" i="3"/>
  <c r="AD250" i="3" s="1"/>
  <c r="H250" i="4" l="1"/>
  <c r="G250" i="4"/>
  <c r="I250" i="4" s="1"/>
  <c r="J250" i="4" s="1"/>
  <c r="N251" i="3"/>
  <c r="O251" i="3"/>
  <c r="AI251" i="3"/>
  <c r="P251" i="3" l="1"/>
  <c r="Q251" i="3" s="1"/>
  <c r="M250" i="4"/>
  <c r="K250" i="4"/>
  <c r="L251" i="4" l="1"/>
  <c r="V251" i="3"/>
  <c r="W251" i="3" l="1"/>
  <c r="X251" i="3" s="1"/>
  <c r="Y251" i="3" s="1"/>
  <c r="Z251" i="3" s="1"/>
  <c r="AA251" i="3" s="1"/>
  <c r="AB251" i="3" s="1"/>
  <c r="C251" i="4" l="1"/>
  <c r="AC251" i="3"/>
  <c r="AD251" i="3" s="1"/>
  <c r="M252" i="3"/>
  <c r="N252" i="3" l="1"/>
  <c r="AI252" i="3"/>
  <c r="O252" i="3"/>
  <c r="H251" i="4"/>
  <c r="G251" i="4"/>
  <c r="I251" i="4" s="1"/>
  <c r="J251" i="4" s="1"/>
  <c r="M251" i="4" l="1"/>
  <c r="K251" i="4"/>
  <c r="P252" i="3"/>
  <c r="Q252" i="3" s="1"/>
  <c r="L252" i="4" l="1"/>
  <c r="V252" i="3"/>
  <c r="W252" i="3" l="1"/>
  <c r="X252" i="3"/>
  <c r="Y252" i="3" s="1"/>
  <c r="Z252" i="3" s="1"/>
  <c r="AA252" i="3" s="1"/>
  <c r="AB252" i="3" s="1"/>
  <c r="M253" i="3" l="1"/>
  <c r="AC252" i="3"/>
  <c r="AD252" i="3" s="1"/>
  <c r="C252" i="4"/>
  <c r="H252" i="4" l="1"/>
  <c r="G252" i="4"/>
  <c r="I252" i="4" s="1"/>
  <c r="J252" i="4" s="1"/>
  <c r="AI253" i="3"/>
  <c r="O253" i="3"/>
  <c r="N253" i="3"/>
  <c r="M252" i="4" l="1"/>
  <c r="K252" i="4"/>
  <c r="P253" i="3"/>
  <c r="Q253" i="3" s="1"/>
  <c r="L253" i="4" l="1"/>
  <c r="V253" i="3"/>
  <c r="W253" i="3" l="1"/>
  <c r="X253" i="3"/>
  <c r="Y253" i="3" s="1"/>
  <c r="Z253" i="3" s="1"/>
  <c r="AA253" i="3" s="1"/>
  <c r="AB253" i="3" s="1"/>
  <c r="M254" i="3" l="1"/>
  <c r="AC253" i="3"/>
  <c r="AD253" i="3" s="1"/>
  <c r="C253" i="4"/>
  <c r="H253" i="4" l="1"/>
  <c r="G253" i="4"/>
  <c r="I253" i="4" s="1"/>
  <c r="J253" i="4" s="1"/>
  <c r="AI254" i="3"/>
  <c r="O254" i="3"/>
  <c r="N254" i="3"/>
  <c r="M253" i="4" l="1"/>
  <c r="K253" i="4"/>
  <c r="P254" i="3"/>
  <c r="Q254" i="3" s="1"/>
  <c r="L254" i="4" l="1"/>
  <c r="V254" i="3"/>
  <c r="W254" i="3" l="1"/>
  <c r="X254" i="3"/>
  <c r="Y254" i="3" s="1"/>
  <c r="Z254" i="3" s="1"/>
  <c r="AA254" i="3" s="1"/>
  <c r="AB254" i="3" s="1"/>
  <c r="AC254" i="3" l="1"/>
  <c r="AD254" i="3" s="1"/>
  <c r="C254" i="4"/>
  <c r="M255" i="3"/>
  <c r="N255" i="3" l="1"/>
  <c r="AI255" i="3"/>
  <c r="O255" i="3"/>
  <c r="H254" i="4"/>
  <c r="G254" i="4"/>
  <c r="I254" i="4" s="1"/>
  <c r="J254" i="4" s="1"/>
  <c r="K254" i="4" l="1"/>
  <c r="M254" i="4"/>
  <c r="P255" i="3"/>
  <c r="Q255" i="3" s="1"/>
  <c r="L255" i="4" l="1"/>
  <c r="V255" i="3"/>
  <c r="W255" i="3" l="1"/>
  <c r="X255" i="3" s="1"/>
  <c r="Y255" i="3" s="1"/>
  <c r="Z255" i="3" s="1"/>
  <c r="AA255" i="3" s="1"/>
  <c r="AB255" i="3" s="1"/>
  <c r="C255" i="4" l="1"/>
  <c r="M256" i="3"/>
  <c r="AC255" i="3"/>
  <c r="AD255" i="3" s="1"/>
  <c r="O256" i="3" l="1"/>
  <c r="N256" i="3"/>
  <c r="P256" i="3" s="1"/>
  <c r="Q256" i="3" s="1"/>
  <c r="AI256" i="3"/>
  <c r="H255" i="4"/>
  <c r="G255" i="4"/>
  <c r="I255" i="4" s="1"/>
  <c r="J255" i="4" s="1"/>
  <c r="L256" i="4" l="1"/>
  <c r="V256" i="3"/>
  <c r="K255" i="4"/>
  <c r="M255" i="4"/>
  <c r="W256" i="3" l="1"/>
  <c r="X256" i="3"/>
  <c r="Y256" i="3" s="1"/>
  <c r="Z256" i="3" s="1"/>
  <c r="AA256" i="3" s="1"/>
  <c r="AB256" i="3" s="1"/>
  <c r="AC256" i="3" l="1"/>
  <c r="AD256" i="3" s="1"/>
  <c r="M257" i="3"/>
  <c r="C256" i="4"/>
  <c r="G256" i="4" l="1"/>
  <c r="I256" i="4" s="1"/>
  <c r="J256" i="4" s="1"/>
  <c r="H256" i="4"/>
  <c r="N257" i="3"/>
  <c r="P257" i="3" s="1"/>
  <c r="Q257" i="3" s="1"/>
  <c r="AI257" i="3"/>
  <c r="O257" i="3"/>
  <c r="L257" i="4" l="1"/>
  <c r="V257" i="3"/>
  <c r="M256" i="4"/>
  <c r="K256" i="4"/>
  <c r="W257" i="3" l="1"/>
  <c r="X257" i="3" s="1"/>
  <c r="Y257" i="3" s="1"/>
  <c r="Z257" i="3" s="1"/>
  <c r="AA257" i="3" s="1"/>
  <c r="AB257" i="3" s="1"/>
  <c r="AC257" i="3" l="1"/>
  <c r="AD257" i="3" s="1"/>
  <c r="M258" i="3"/>
  <c r="C257" i="4"/>
  <c r="G257" i="4" l="1"/>
  <c r="I257" i="4" s="1"/>
  <c r="J257" i="4" s="1"/>
  <c r="H257" i="4"/>
  <c r="N258" i="3"/>
  <c r="O258" i="3"/>
  <c r="AI258" i="3"/>
  <c r="P258" i="3" l="1"/>
  <c r="Q258" i="3" s="1"/>
  <c r="K257" i="4"/>
  <c r="M257" i="4"/>
  <c r="L258" i="4" l="1"/>
  <c r="V258" i="3"/>
  <c r="W258" i="3" l="1"/>
  <c r="X258" i="3"/>
  <c r="Y258" i="3" s="1"/>
  <c r="Z258" i="3" s="1"/>
  <c r="AA258" i="3" s="1"/>
  <c r="AB258" i="3" s="1"/>
  <c r="AC258" i="3" l="1"/>
  <c r="AD258" i="3" s="1"/>
  <c r="M259" i="3"/>
  <c r="C258" i="4"/>
  <c r="G258" i="4" l="1"/>
  <c r="I258" i="4" s="1"/>
  <c r="J258" i="4" s="1"/>
  <c r="H258" i="4"/>
  <c r="N259" i="3"/>
  <c r="P259" i="3" s="1"/>
  <c r="Q259" i="3" s="1"/>
  <c r="AI259" i="3"/>
  <c r="O259" i="3"/>
  <c r="L259" i="4" l="1"/>
  <c r="V259" i="3"/>
  <c r="K258" i="4"/>
  <c r="M258" i="4"/>
  <c r="W259" i="3" l="1"/>
  <c r="X259" i="3" s="1"/>
  <c r="Y259" i="3" s="1"/>
  <c r="Z259" i="3" s="1"/>
  <c r="AA259" i="3" s="1"/>
  <c r="AB259" i="3" s="1"/>
  <c r="C259" i="4" l="1"/>
  <c r="AC259" i="3"/>
  <c r="AD259" i="3" s="1"/>
  <c r="M260" i="3"/>
  <c r="N260" i="3" l="1"/>
  <c r="O260" i="3"/>
  <c r="AI260" i="3"/>
  <c r="H259" i="4"/>
  <c r="G259" i="4"/>
  <c r="I259" i="4" s="1"/>
  <c r="J259" i="4" s="1"/>
  <c r="M259" i="4" l="1"/>
  <c r="K259" i="4"/>
  <c r="P260" i="3"/>
  <c r="Q260" i="3" s="1"/>
  <c r="L260" i="4" l="1"/>
  <c r="V260" i="3"/>
  <c r="W260" i="3" l="1"/>
  <c r="X260" i="3"/>
  <c r="Y260" i="3" s="1"/>
  <c r="Z260" i="3" s="1"/>
  <c r="AA260" i="3" s="1"/>
  <c r="AB260" i="3" s="1"/>
  <c r="AC260" i="3" l="1"/>
  <c r="AD260" i="3" s="1"/>
  <c r="M261" i="3"/>
  <c r="C260" i="4"/>
  <c r="H260" i="4" l="1"/>
  <c r="G260" i="4"/>
  <c r="I260" i="4" s="1"/>
  <c r="J260" i="4" s="1"/>
  <c r="AI261" i="3"/>
  <c r="O261" i="3"/>
  <c r="N261" i="3"/>
  <c r="P261" i="3" s="1"/>
  <c r="Q261" i="3" s="1"/>
  <c r="K260" i="4" l="1"/>
  <c r="M260" i="4"/>
  <c r="L261" i="4"/>
  <c r="V261" i="3"/>
  <c r="W261" i="3" l="1"/>
  <c r="X261" i="3" s="1"/>
  <c r="Y261" i="3" s="1"/>
  <c r="Z261" i="3" s="1"/>
  <c r="AA261" i="3" s="1"/>
  <c r="AB261" i="3" s="1"/>
  <c r="C261" i="4" l="1"/>
  <c r="M262" i="3"/>
  <c r="AC261" i="3"/>
  <c r="AD261" i="3" s="1"/>
  <c r="N262" i="3" l="1"/>
  <c r="AI262" i="3"/>
  <c r="O262" i="3"/>
  <c r="G261" i="4"/>
  <c r="I261" i="4" s="1"/>
  <c r="J261" i="4" s="1"/>
  <c r="H261" i="4"/>
  <c r="M261" i="4" l="1"/>
  <c r="K261" i="4"/>
  <c r="P262" i="3"/>
  <c r="Q262" i="3" s="1"/>
  <c r="L262" i="4" l="1"/>
  <c r="V262" i="3"/>
  <c r="W262" i="3" l="1"/>
  <c r="X262" i="3"/>
  <c r="Y262" i="3" s="1"/>
  <c r="Z262" i="3" s="1"/>
  <c r="AA262" i="3" s="1"/>
  <c r="AB262" i="3" s="1"/>
  <c r="AC262" i="3" l="1"/>
  <c r="AD262" i="3" s="1"/>
  <c r="C262" i="4"/>
  <c r="M263" i="3"/>
  <c r="O263" i="3" l="1"/>
  <c r="N263" i="3"/>
  <c r="P263" i="3" s="1"/>
  <c r="Q263" i="3" s="1"/>
  <c r="AI263" i="3"/>
  <c r="G262" i="4"/>
  <c r="I262" i="4" s="1"/>
  <c r="J262" i="4" s="1"/>
  <c r="H262" i="4"/>
  <c r="K262" i="4" l="1"/>
  <c r="M262" i="4"/>
  <c r="L263" i="4"/>
  <c r="V263" i="3"/>
  <c r="W263" i="3" l="1"/>
  <c r="X263" i="3" s="1"/>
  <c r="Y263" i="3" s="1"/>
  <c r="Z263" i="3" s="1"/>
  <c r="AA263" i="3" s="1"/>
  <c r="AB263" i="3" s="1"/>
  <c r="M264" i="3" l="1"/>
  <c r="AC263" i="3"/>
  <c r="AD263" i="3" s="1"/>
  <c r="C263" i="4"/>
  <c r="H263" i="4" l="1"/>
  <c r="G263" i="4"/>
  <c r="I263" i="4" s="1"/>
  <c r="J263" i="4" s="1"/>
  <c r="N264" i="3"/>
  <c r="O264" i="3"/>
  <c r="AI264" i="3"/>
  <c r="P264" i="3" l="1"/>
  <c r="Q264" i="3" s="1"/>
  <c r="M263" i="4"/>
  <c r="K263" i="4"/>
  <c r="L264" i="4" l="1"/>
  <c r="V264" i="3"/>
  <c r="W264" i="3" l="1"/>
  <c r="X264" i="3" s="1"/>
  <c r="Y264" i="3" s="1"/>
  <c r="Z264" i="3" s="1"/>
  <c r="AA264" i="3" s="1"/>
  <c r="AB264" i="3" s="1"/>
  <c r="AC264" i="3" l="1"/>
  <c r="AD264" i="3" s="1"/>
  <c r="C264" i="4"/>
  <c r="M265" i="3"/>
  <c r="AI265" i="3" l="1"/>
  <c r="O265" i="3"/>
  <c r="N265" i="3"/>
  <c r="P265" i="3" s="1"/>
  <c r="Q265" i="3" s="1"/>
  <c r="H264" i="4"/>
  <c r="G264" i="4"/>
  <c r="I264" i="4" s="1"/>
  <c r="J264" i="4" s="1"/>
  <c r="L265" i="4" l="1"/>
  <c r="V265" i="3"/>
  <c r="M264" i="4"/>
  <c r="K264" i="4"/>
  <c r="W265" i="3" l="1"/>
  <c r="X265" i="3"/>
  <c r="Y265" i="3" s="1"/>
  <c r="Z265" i="3" s="1"/>
  <c r="AA265" i="3" s="1"/>
  <c r="AB265" i="3" s="1"/>
  <c r="M266" i="3" l="1"/>
  <c r="AC265" i="3"/>
  <c r="AD265" i="3" s="1"/>
  <c r="C265" i="4"/>
  <c r="H265" i="4" l="1"/>
  <c r="G265" i="4"/>
  <c r="I265" i="4" s="1"/>
  <c r="J265" i="4" s="1"/>
  <c r="N266" i="3"/>
  <c r="O266" i="3"/>
  <c r="AI266" i="3"/>
  <c r="P266" i="3" l="1"/>
  <c r="Q266" i="3" s="1"/>
  <c r="K265" i="4"/>
  <c r="M265" i="4"/>
  <c r="L266" i="4" l="1"/>
  <c r="V266" i="3"/>
  <c r="W266" i="3" l="1"/>
  <c r="X266" i="3"/>
  <c r="Y266" i="3" s="1"/>
  <c r="Z266" i="3" s="1"/>
  <c r="AA266" i="3" s="1"/>
  <c r="AB266" i="3" s="1"/>
  <c r="C266" i="4" l="1"/>
  <c r="M267" i="3"/>
  <c r="AC266" i="3"/>
  <c r="AD266" i="3" s="1"/>
  <c r="O267" i="3" l="1"/>
  <c r="N267" i="3"/>
  <c r="P267" i="3" s="1"/>
  <c r="Q267" i="3" s="1"/>
  <c r="AI267" i="3"/>
  <c r="G266" i="4"/>
  <c r="I266" i="4" s="1"/>
  <c r="J266" i="4" s="1"/>
  <c r="H266" i="4"/>
  <c r="M266" i="4" l="1"/>
  <c r="K266" i="4"/>
  <c r="L267" i="4"/>
  <c r="V267" i="3"/>
  <c r="W267" i="3" l="1"/>
  <c r="X267" i="3" s="1"/>
  <c r="Y267" i="3" s="1"/>
  <c r="Z267" i="3" s="1"/>
  <c r="AA267" i="3" s="1"/>
  <c r="AB267" i="3" s="1"/>
  <c r="M268" i="3" l="1"/>
  <c r="C267" i="4"/>
  <c r="AC267" i="3"/>
  <c r="AD267" i="3" s="1"/>
  <c r="H267" i="4" l="1"/>
  <c r="G267" i="4"/>
  <c r="I267" i="4" s="1"/>
  <c r="J267" i="4" s="1"/>
  <c r="N268" i="3"/>
  <c r="O268" i="3"/>
  <c r="AI268" i="3"/>
  <c r="P268" i="3" l="1"/>
  <c r="Q268" i="3" s="1"/>
  <c r="K267" i="4"/>
  <c r="M267" i="4"/>
  <c r="L268" i="4" l="1"/>
  <c r="V268" i="3"/>
  <c r="W268" i="3" l="1"/>
  <c r="X268" i="3"/>
  <c r="Y268" i="3" s="1"/>
  <c r="Z268" i="3" s="1"/>
  <c r="AA268" i="3" s="1"/>
  <c r="AB268" i="3" s="1"/>
  <c r="M269" i="3" l="1"/>
  <c r="AC268" i="3"/>
  <c r="AD268" i="3" s="1"/>
  <c r="C268" i="4"/>
  <c r="G268" i="4" l="1"/>
  <c r="I268" i="4" s="1"/>
  <c r="J268" i="4" s="1"/>
  <c r="H268" i="4"/>
  <c r="AI269" i="3"/>
  <c r="O269" i="3"/>
  <c r="N269" i="3"/>
  <c r="P269" i="3" l="1"/>
  <c r="Q269" i="3" s="1"/>
  <c r="M268" i="4"/>
  <c r="K268" i="4"/>
  <c r="L269" i="4" l="1"/>
  <c r="V269" i="3"/>
  <c r="W269" i="3" l="1"/>
  <c r="X269" i="3" s="1"/>
  <c r="Y269" i="3" s="1"/>
  <c r="Z269" i="3" s="1"/>
  <c r="AA269" i="3" s="1"/>
  <c r="AB269" i="3" s="1"/>
  <c r="C269" i="4" l="1"/>
  <c r="M270" i="3"/>
  <c r="AC269" i="3"/>
  <c r="AD269" i="3" s="1"/>
  <c r="N270" i="3" l="1"/>
  <c r="AI270" i="3"/>
  <c r="O270" i="3"/>
  <c r="G269" i="4"/>
  <c r="I269" i="4" s="1"/>
  <c r="J269" i="4" s="1"/>
  <c r="H269" i="4"/>
  <c r="K269" i="4" l="1"/>
  <c r="M269" i="4"/>
  <c r="P270" i="3"/>
  <c r="Q270" i="3" s="1"/>
  <c r="L270" i="4" l="1"/>
  <c r="V270" i="3"/>
  <c r="W270" i="3" l="1"/>
  <c r="X270" i="3"/>
  <c r="Y270" i="3" s="1"/>
  <c r="Z270" i="3" s="1"/>
  <c r="AA270" i="3" s="1"/>
  <c r="AB270" i="3" s="1"/>
  <c r="M271" i="3" l="1"/>
  <c r="AC270" i="3"/>
  <c r="AD270" i="3" s="1"/>
  <c r="C270" i="4"/>
  <c r="H270" i="4" l="1"/>
  <c r="G270" i="4"/>
  <c r="I270" i="4" s="1"/>
  <c r="J270" i="4" s="1"/>
  <c r="AI271" i="3"/>
  <c r="N271" i="3"/>
  <c r="P271" i="3" s="1"/>
  <c r="Q271" i="3" s="1"/>
  <c r="O271" i="3"/>
  <c r="L271" i="4" l="1"/>
  <c r="V271" i="3"/>
  <c r="K270" i="4"/>
  <c r="M270" i="4"/>
  <c r="W271" i="3" l="1"/>
  <c r="X271" i="3" s="1"/>
  <c r="Y271" i="3" s="1"/>
  <c r="Z271" i="3" s="1"/>
  <c r="AA271" i="3" s="1"/>
  <c r="AB271" i="3" s="1"/>
  <c r="M272" i="3" l="1"/>
  <c r="AC271" i="3"/>
  <c r="AD271" i="3" s="1"/>
  <c r="C271" i="4"/>
  <c r="G271" i="4" l="1"/>
  <c r="I271" i="4" s="1"/>
  <c r="J271" i="4" s="1"/>
  <c r="H271" i="4"/>
  <c r="N272" i="3"/>
  <c r="P272" i="3" s="1"/>
  <c r="Q272" i="3" s="1"/>
  <c r="AI272" i="3"/>
  <c r="O272" i="3"/>
  <c r="L272" i="4" l="1"/>
  <c r="V272" i="3"/>
  <c r="K271" i="4"/>
  <c r="M271" i="4"/>
  <c r="W272" i="3" l="1"/>
  <c r="X272" i="3"/>
  <c r="Y272" i="3" s="1"/>
  <c r="Z272" i="3" s="1"/>
  <c r="AA272" i="3" s="1"/>
  <c r="AB272" i="3" s="1"/>
  <c r="M273" i="3" l="1"/>
  <c r="C272" i="4"/>
  <c r="AC272" i="3"/>
  <c r="AD272" i="3" s="1"/>
  <c r="H272" i="4" l="1"/>
  <c r="G272" i="4"/>
  <c r="I272" i="4" s="1"/>
  <c r="J272" i="4" s="1"/>
  <c r="AI273" i="3"/>
  <c r="O273" i="3"/>
  <c r="N273" i="3"/>
  <c r="K272" i="4" l="1"/>
  <c r="M272" i="4"/>
  <c r="P273" i="3"/>
  <c r="Q273" i="3" s="1"/>
  <c r="L273" i="4" l="1"/>
  <c r="V273" i="3"/>
  <c r="W273" i="3" l="1"/>
  <c r="X273" i="3"/>
  <c r="Y273" i="3" s="1"/>
  <c r="Z273" i="3" s="1"/>
  <c r="AA273" i="3" s="1"/>
  <c r="AB273" i="3" s="1"/>
  <c r="C273" i="4" l="1"/>
  <c r="AC273" i="3"/>
  <c r="AD273" i="3" s="1"/>
  <c r="M274" i="3"/>
  <c r="O274" i="3" l="1"/>
  <c r="AI274" i="3"/>
  <c r="N274" i="3"/>
  <c r="P274" i="3" s="1"/>
  <c r="Q274" i="3" s="1"/>
  <c r="H273" i="4"/>
  <c r="G273" i="4"/>
  <c r="I273" i="4" s="1"/>
  <c r="J273" i="4" s="1"/>
  <c r="L274" i="4" l="1"/>
  <c r="V274" i="3"/>
  <c r="K273" i="4"/>
  <c r="M273" i="4"/>
  <c r="W274" i="3" l="1"/>
  <c r="X274" i="3"/>
  <c r="Y274" i="3" s="1"/>
  <c r="Z274" i="3" s="1"/>
  <c r="AA274" i="3" s="1"/>
  <c r="AB274" i="3" s="1"/>
  <c r="AC274" i="3" l="1"/>
  <c r="AD274" i="3" s="1"/>
  <c r="M275" i="3"/>
  <c r="C274" i="4"/>
  <c r="G274" i="4" l="1"/>
  <c r="I274" i="4" s="1"/>
  <c r="J274" i="4" s="1"/>
  <c r="H274" i="4"/>
  <c r="AI275" i="3"/>
  <c r="O275" i="3"/>
  <c r="N275" i="3"/>
  <c r="P275" i="3" l="1"/>
  <c r="Q275" i="3" s="1"/>
  <c r="K274" i="4"/>
  <c r="M274" i="4"/>
  <c r="L275" i="4" l="1"/>
  <c r="V275" i="3"/>
  <c r="W275" i="3" l="1"/>
  <c r="X275" i="3" s="1"/>
  <c r="Y275" i="3" s="1"/>
  <c r="Z275" i="3" s="1"/>
  <c r="AA275" i="3" s="1"/>
  <c r="AB275" i="3" s="1"/>
  <c r="M276" i="3" l="1"/>
  <c r="C275" i="4"/>
  <c r="AC275" i="3"/>
  <c r="AD275" i="3" s="1"/>
  <c r="H275" i="4" l="1"/>
  <c r="G275" i="4"/>
  <c r="I275" i="4" s="1"/>
  <c r="J275" i="4" s="1"/>
  <c r="N276" i="3"/>
  <c r="O276" i="3"/>
  <c r="AI276" i="3"/>
  <c r="P276" i="3" l="1"/>
  <c r="Q276" i="3" s="1"/>
  <c r="K275" i="4"/>
  <c r="M275" i="4"/>
  <c r="L276" i="4" l="1"/>
  <c r="V276" i="3"/>
  <c r="W276" i="3" l="1"/>
  <c r="X276" i="3"/>
  <c r="Y276" i="3" s="1"/>
  <c r="Z276" i="3" s="1"/>
  <c r="AA276" i="3" s="1"/>
  <c r="AB276" i="3" s="1"/>
  <c r="AC276" i="3" l="1"/>
  <c r="AD276" i="3" s="1"/>
  <c r="C276" i="4"/>
  <c r="M277" i="3"/>
  <c r="AI277" i="3" l="1"/>
  <c r="O277" i="3"/>
  <c r="N277" i="3"/>
  <c r="P277" i="3" s="1"/>
  <c r="Q277" i="3" s="1"/>
  <c r="H276" i="4"/>
  <c r="G276" i="4"/>
  <c r="I276" i="4" s="1"/>
  <c r="J276" i="4" s="1"/>
  <c r="L277" i="4" l="1"/>
  <c r="V277" i="3"/>
  <c r="K276" i="4"/>
  <c r="M276" i="4"/>
  <c r="W277" i="3" l="1"/>
  <c r="X277" i="3" s="1"/>
  <c r="Y277" i="3" s="1"/>
  <c r="Z277" i="3" s="1"/>
  <c r="AA277" i="3" s="1"/>
  <c r="AB277" i="3" s="1"/>
  <c r="M278" i="3" l="1"/>
  <c r="C277" i="4"/>
  <c r="AC277" i="3"/>
  <c r="AD277" i="3" s="1"/>
  <c r="G277" i="4" l="1"/>
  <c r="I277" i="4" s="1"/>
  <c r="J277" i="4" s="1"/>
  <c r="H277" i="4"/>
  <c r="AI278" i="3"/>
  <c r="N278" i="3"/>
  <c r="P278" i="3" s="1"/>
  <c r="Q278" i="3" s="1"/>
  <c r="O278" i="3"/>
  <c r="L278" i="4" l="1"/>
  <c r="V278" i="3"/>
  <c r="M277" i="4"/>
  <c r="K277" i="4"/>
  <c r="W278" i="3" l="1"/>
  <c r="X278" i="3"/>
  <c r="Y278" i="3" s="1"/>
  <c r="Z278" i="3" s="1"/>
  <c r="AA278" i="3" s="1"/>
  <c r="AB278" i="3" s="1"/>
  <c r="AC278" i="3" l="1"/>
  <c r="AD278" i="3" s="1"/>
  <c r="C278" i="4"/>
  <c r="M279" i="3"/>
  <c r="N279" i="3" l="1"/>
  <c r="O279" i="3"/>
  <c r="AI279" i="3"/>
  <c r="G278" i="4"/>
  <c r="I278" i="4" s="1"/>
  <c r="J278" i="4" s="1"/>
  <c r="H278" i="4"/>
  <c r="K278" i="4" l="1"/>
  <c r="M278" i="4"/>
  <c r="P279" i="3"/>
  <c r="Q279" i="3" s="1"/>
  <c r="L279" i="4" l="1"/>
  <c r="V279" i="3"/>
  <c r="W279" i="3" l="1"/>
  <c r="X279" i="3" s="1"/>
  <c r="Y279" i="3" s="1"/>
  <c r="Z279" i="3" s="1"/>
  <c r="AA279" i="3" s="1"/>
  <c r="AB279" i="3" s="1"/>
  <c r="M280" i="3" l="1"/>
  <c r="C279" i="4"/>
  <c r="AC279" i="3"/>
  <c r="AD279" i="3" s="1"/>
  <c r="H279" i="4" l="1"/>
  <c r="G279" i="4"/>
  <c r="I279" i="4" s="1"/>
  <c r="J279" i="4" s="1"/>
  <c r="AI280" i="3"/>
  <c r="O280" i="3"/>
  <c r="N280" i="3"/>
  <c r="M279" i="4" l="1"/>
  <c r="K279" i="4"/>
  <c r="P280" i="3"/>
  <c r="Q280" i="3" s="1"/>
  <c r="L280" i="4" l="1"/>
  <c r="C31" i="5" s="1"/>
  <c r="N31" i="5" s="1"/>
  <c r="V280" i="3"/>
  <c r="W280" i="3" l="1"/>
  <c r="X280" i="3"/>
  <c r="Y280" i="3" s="1"/>
  <c r="Z280" i="3" s="1"/>
  <c r="AA280" i="3" s="1"/>
  <c r="AB280" i="3" s="1"/>
  <c r="AC280" i="3" l="1"/>
  <c r="AD280" i="3" s="1"/>
  <c r="C280" i="4"/>
  <c r="M281" i="3"/>
  <c r="N281" i="3" l="1"/>
  <c r="O281" i="3"/>
  <c r="AI281" i="3"/>
  <c r="G280" i="4"/>
  <c r="I280" i="4" s="1"/>
  <c r="J280" i="4" s="1"/>
  <c r="H280" i="4"/>
  <c r="K280" i="4" l="1"/>
  <c r="E31" i="5" s="1"/>
  <c r="M280" i="4"/>
  <c r="D31" i="5"/>
  <c r="P281" i="3"/>
  <c r="Q281" i="3" s="1"/>
  <c r="L281" i="4" l="1"/>
  <c r="V281" i="3"/>
  <c r="W281" i="3" l="1"/>
  <c r="X281" i="3" s="1"/>
  <c r="Y281" i="3" s="1"/>
  <c r="Z281" i="3" s="1"/>
  <c r="AA281" i="3" s="1"/>
  <c r="AB281" i="3" s="1"/>
  <c r="C281" i="4" l="1"/>
  <c r="M282" i="3"/>
  <c r="AC281" i="3"/>
  <c r="AD281" i="3" s="1"/>
  <c r="N282" i="3" l="1"/>
  <c r="O282" i="3"/>
  <c r="AI282" i="3"/>
  <c r="G281" i="4"/>
  <c r="I281" i="4" s="1"/>
  <c r="J281" i="4" s="1"/>
  <c r="H281" i="4"/>
  <c r="M281" i="4" l="1"/>
  <c r="K281" i="4"/>
  <c r="P282" i="3"/>
  <c r="Q282" i="3" s="1"/>
  <c r="L282" i="4" l="1"/>
  <c r="V282" i="3"/>
  <c r="W282" i="3" l="1"/>
  <c r="X282" i="3"/>
  <c r="Y282" i="3" s="1"/>
  <c r="Z282" i="3" s="1"/>
  <c r="AA282" i="3" s="1"/>
  <c r="AB282" i="3" s="1"/>
  <c r="M283" i="3" l="1"/>
  <c r="C282" i="4"/>
  <c r="AC282" i="3"/>
  <c r="AD282" i="3" s="1"/>
  <c r="H282" i="4" l="1"/>
  <c r="G282" i="4"/>
  <c r="I282" i="4" s="1"/>
  <c r="J282" i="4" s="1"/>
  <c r="N283" i="3"/>
  <c r="P283" i="3" s="1"/>
  <c r="Q283" i="3" s="1"/>
  <c r="AI283" i="3"/>
  <c r="O283" i="3"/>
  <c r="L283" i="4" l="1"/>
  <c r="V283" i="3"/>
  <c r="K282" i="4"/>
  <c r="M282" i="4"/>
  <c r="W283" i="3" l="1"/>
  <c r="X283" i="3" s="1"/>
  <c r="Y283" i="3" s="1"/>
  <c r="Z283" i="3" s="1"/>
  <c r="AA283" i="3" s="1"/>
  <c r="AB283" i="3" s="1"/>
  <c r="M284" i="3" l="1"/>
  <c r="C283" i="4"/>
  <c r="AC283" i="3"/>
  <c r="AD283" i="3" s="1"/>
  <c r="G283" i="4" l="1"/>
  <c r="I283" i="4" s="1"/>
  <c r="J283" i="4" s="1"/>
  <c r="H283" i="4"/>
  <c r="N284" i="3"/>
  <c r="O284" i="3"/>
  <c r="AI284" i="3"/>
  <c r="P284" i="3" l="1"/>
  <c r="Q284" i="3" s="1"/>
  <c r="K283" i="4"/>
  <c r="M283" i="4"/>
  <c r="L284" i="4" l="1"/>
  <c r="V284" i="3"/>
  <c r="W284" i="3" l="1"/>
  <c r="X284" i="3" s="1"/>
  <c r="Y284" i="3" s="1"/>
  <c r="Z284" i="3" s="1"/>
  <c r="AA284" i="3" s="1"/>
  <c r="AB284" i="3" s="1"/>
  <c r="AC284" i="3" l="1"/>
  <c r="AD284" i="3" s="1"/>
  <c r="M285" i="3"/>
  <c r="C284" i="4"/>
  <c r="G284" i="4" l="1"/>
  <c r="I284" i="4" s="1"/>
  <c r="J284" i="4" s="1"/>
  <c r="H284" i="4"/>
  <c r="AI285" i="3"/>
  <c r="O285" i="3"/>
  <c r="N285" i="3"/>
  <c r="P285" i="3" l="1"/>
  <c r="Q285" i="3" s="1"/>
  <c r="K284" i="4"/>
  <c r="M284" i="4"/>
  <c r="L285" i="4" l="1"/>
  <c r="V285" i="3"/>
  <c r="W285" i="3" l="1"/>
  <c r="X285" i="3"/>
  <c r="Y285" i="3" s="1"/>
  <c r="Z285" i="3" s="1"/>
  <c r="AA285" i="3" s="1"/>
  <c r="AB285" i="3" s="1"/>
  <c r="AC285" i="3" l="1"/>
  <c r="AD285" i="3" s="1"/>
  <c r="C285" i="4"/>
  <c r="M286" i="3"/>
  <c r="O286" i="3" l="1"/>
  <c r="AI286" i="3"/>
  <c r="N286" i="3"/>
  <c r="P286" i="3" s="1"/>
  <c r="Q286" i="3" s="1"/>
  <c r="G285" i="4"/>
  <c r="I285" i="4" s="1"/>
  <c r="J285" i="4" s="1"/>
  <c r="H285" i="4"/>
  <c r="M285" i="4" l="1"/>
  <c r="K285" i="4"/>
  <c r="L286" i="4"/>
  <c r="V286" i="3"/>
  <c r="W286" i="3" l="1"/>
  <c r="X286" i="3"/>
  <c r="Y286" i="3" s="1"/>
  <c r="Z286" i="3" s="1"/>
  <c r="AA286" i="3" s="1"/>
  <c r="AB286" i="3" s="1"/>
  <c r="AC286" i="3" l="1"/>
  <c r="AD286" i="3" s="1"/>
  <c r="M287" i="3"/>
  <c r="C286" i="4"/>
  <c r="G286" i="4" l="1"/>
  <c r="I286" i="4" s="1"/>
  <c r="J286" i="4" s="1"/>
  <c r="H286" i="4"/>
  <c r="AI287" i="3"/>
  <c r="N287" i="3"/>
  <c r="P287" i="3" s="1"/>
  <c r="Q287" i="3" s="1"/>
  <c r="O287" i="3"/>
  <c r="L287" i="4" l="1"/>
  <c r="V287" i="3"/>
  <c r="M286" i="4"/>
  <c r="K286" i="4"/>
  <c r="W287" i="3" l="1"/>
  <c r="X287" i="3" s="1"/>
  <c r="Y287" i="3" s="1"/>
  <c r="Z287" i="3" s="1"/>
  <c r="AA287" i="3" s="1"/>
  <c r="AB287" i="3" s="1"/>
  <c r="C287" i="4" l="1"/>
  <c r="AC287" i="3"/>
  <c r="AD287" i="3" s="1"/>
  <c r="M288" i="3"/>
  <c r="N288" i="3" l="1"/>
  <c r="AI288" i="3"/>
  <c r="O288" i="3"/>
  <c r="H287" i="4"/>
  <c r="G287" i="4"/>
  <c r="I287" i="4" s="1"/>
  <c r="J287" i="4" s="1"/>
  <c r="M287" i="4" l="1"/>
  <c r="K287" i="4"/>
  <c r="P288" i="3"/>
  <c r="Q288" i="3" s="1"/>
  <c r="L288" i="4" l="1"/>
  <c r="V288" i="3"/>
  <c r="W288" i="3" l="1"/>
  <c r="X288" i="3"/>
  <c r="Y288" i="3" s="1"/>
  <c r="Z288" i="3" s="1"/>
  <c r="AA288" i="3" s="1"/>
  <c r="AB288" i="3" s="1"/>
  <c r="C288" i="4" l="1"/>
  <c r="M289" i="3"/>
  <c r="AC288" i="3"/>
  <c r="AD288" i="3" s="1"/>
  <c r="AI289" i="3" l="1"/>
  <c r="N289" i="3"/>
  <c r="O289" i="3"/>
  <c r="G288" i="4"/>
  <c r="I288" i="4" s="1"/>
  <c r="J288" i="4" s="1"/>
  <c r="H288" i="4"/>
  <c r="K288" i="4" l="1"/>
  <c r="M288" i="4"/>
  <c r="P289" i="3"/>
  <c r="Q289" i="3" s="1"/>
  <c r="L289" i="4" l="1"/>
  <c r="V289" i="3"/>
  <c r="W289" i="3" l="1"/>
  <c r="X289" i="3" s="1"/>
  <c r="Y289" i="3" s="1"/>
  <c r="Z289" i="3" s="1"/>
  <c r="AA289" i="3" s="1"/>
  <c r="AB289" i="3" s="1"/>
  <c r="AC289" i="3" l="1"/>
  <c r="AD289" i="3" s="1"/>
  <c r="C289" i="4"/>
  <c r="M290" i="3"/>
  <c r="O290" i="3" l="1"/>
  <c r="AI290" i="3"/>
  <c r="N290" i="3"/>
  <c r="P290" i="3" s="1"/>
  <c r="Q290" i="3" s="1"/>
  <c r="G289" i="4"/>
  <c r="I289" i="4" s="1"/>
  <c r="J289" i="4" s="1"/>
  <c r="H289" i="4"/>
  <c r="K289" i="4" l="1"/>
  <c r="M289" i="4"/>
  <c r="L290" i="4"/>
  <c r="V290" i="3"/>
  <c r="W290" i="3" l="1"/>
  <c r="X290" i="3"/>
  <c r="Y290" i="3" s="1"/>
  <c r="Z290" i="3" s="1"/>
  <c r="AA290" i="3" s="1"/>
  <c r="AB290" i="3" s="1"/>
  <c r="C290" i="4" l="1"/>
  <c r="M291" i="3"/>
  <c r="AC290" i="3"/>
  <c r="AD290" i="3" s="1"/>
  <c r="N291" i="3" l="1"/>
  <c r="O291" i="3"/>
  <c r="AI291" i="3"/>
  <c r="H290" i="4"/>
  <c r="G290" i="4"/>
  <c r="I290" i="4" s="1"/>
  <c r="J290" i="4" s="1"/>
  <c r="M290" i="4" l="1"/>
  <c r="K290" i="4"/>
  <c r="P291" i="3"/>
  <c r="Q291" i="3" s="1"/>
  <c r="L291" i="4" l="1"/>
  <c r="V291" i="3"/>
  <c r="W291" i="3" l="1"/>
  <c r="X291" i="3" s="1"/>
  <c r="Y291" i="3" s="1"/>
  <c r="Z291" i="3" s="1"/>
  <c r="AA291" i="3" s="1"/>
  <c r="AB291" i="3" s="1"/>
  <c r="C291" i="4" l="1"/>
  <c r="M292" i="3"/>
  <c r="AC291" i="3"/>
  <c r="AD291" i="3" s="1"/>
  <c r="O292" i="3" l="1"/>
  <c r="N292" i="3"/>
  <c r="P292" i="3" s="1"/>
  <c r="Q292" i="3" s="1"/>
  <c r="AI292" i="3"/>
  <c r="H291" i="4"/>
  <c r="G291" i="4"/>
  <c r="I291" i="4" s="1"/>
  <c r="J291" i="4" s="1"/>
  <c r="L292" i="4" l="1"/>
  <c r="V292" i="3"/>
  <c r="K291" i="4"/>
  <c r="M291" i="4"/>
  <c r="W292" i="3" l="1"/>
  <c r="X292" i="3"/>
  <c r="Y292" i="3" s="1"/>
  <c r="Z292" i="3" s="1"/>
  <c r="AA292" i="3" s="1"/>
  <c r="AB292" i="3" s="1"/>
  <c r="AC292" i="3" l="1"/>
  <c r="AD292" i="3" s="1"/>
  <c r="C292" i="4"/>
  <c r="M293" i="3"/>
  <c r="AI293" i="3" l="1"/>
  <c r="O293" i="3"/>
  <c r="N293" i="3"/>
  <c r="P293" i="3" s="1"/>
  <c r="Q293" i="3" s="1"/>
  <c r="G292" i="4"/>
  <c r="I292" i="4" s="1"/>
  <c r="J292" i="4" s="1"/>
  <c r="H292" i="4"/>
  <c r="K292" i="4" l="1"/>
  <c r="M292" i="4"/>
  <c r="L293" i="4"/>
  <c r="V293" i="3"/>
  <c r="W293" i="3" l="1"/>
  <c r="X293" i="3" s="1"/>
  <c r="Y293" i="3" s="1"/>
  <c r="Z293" i="3" s="1"/>
  <c r="AA293" i="3" s="1"/>
  <c r="AB293" i="3" s="1"/>
  <c r="AC293" i="3" l="1"/>
  <c r="AD293" i="3" s="1"/>
  <c r="M294" i="3"/>
  <c r="C293" i="4"/>
  <c r="H293" i="4" l="1"/>
  <c r="G293" i="4"/>
  <c r="I293" i="4" s="1"/>
  <c r="J293" i="4" s="1"/>
  <c r="N294" i="3"/>
  <c r="P294" i="3" s="1"/>
  <c r="Q294" i="3" s="1"/>
  <c r="AI294" i="3"/>
  <c r="O294" i="3"/>
  <c r="L294" i="4" l="1"/>
  <c r="V294" i="3"/>
  <c r="K293" i="4"/>
  <c r="M293" i="4"/>
  <c r="W294" i="3" l="1"/>
  <c r="X294" i="3"/>
  <c r="Y294" i="3" s="1"/>
  <c r="Z294" i="3" s="1"/>
  <c r="AA294" i="3" s="1"/>
  <c r="AB294" i="3" s="1"/>
  <c r="M295" i="3" l="1"/>
  <c r="AC294" i="3"/>
  <c r="AD294" i="3" s="1"/>
  <c r="C294" i="4"/>
  <c r="G294" i="4" l="1"/>
  <c r="I294" i="4" s="1"/>
  <c r="J294" i="4" s="1"/>
  <c r="H294" i="4"/>
  <c r="N295" i="3"/>
  <c r="AI295" i="3"/>
  <c r="O295" i="3"/>
  <c r="K294" i="4" l="1"/>
  <c r="M294" i="4"/>
  <c r="P295" i="3"/>
  <c r="Q295" i="3" s="1"/>
  <c r="L295" i="4" l="1"/>
  <c r="V295" i="3"/>
  <c r="W295" i="3" l="1"/>
  <c r="X295" i="3" s="1"/>
  <c r="Y295" i="3" s="1"/>
  <c r="Z295" i="3" s="1"/>
  <c r="AA295" i="3" s="1"/>
  <c r="AB295" i="3" s="1"/>
  <c r="C295" i="4" l="1"/>
  <c r="M296" i="3"/>
  <c r="AC295" i="3"/>
  <c r="AD295" i="3" s="1"/>
  <c r="AI296" i="3" l="1"/>
  <c r="O296" i="3"/>
  <c r="N296" i="3"/>
  <c r="P296" i="3" s="1"/>
  <c r="Q296" i="3" s="1"/>
  <c r="H295" i="4"/>
  <c r="G295" i="4"/>
  <c r="I295" i="4" s="1"/>
  <c r="J295" i="4" s="1"/>
  <c r="L296" i="4" l="1"/>
  <c r="V296" i="3"/>
  <c r="K295" i="4"/>
  <c r="M295" i="4"/>
  <c r="W296" i="3" l="1"/>
  <c r="X296" i="3" s="1"/>
  <c r="Y296" i="3" s="1"/>
  <c r="Z296" i="3" s="1"/>
  <c r="AA296" i="3" s="1"/>
  <c r="AB296" i="3" s="1"/>
  <c r="AC296" i="3" l="1"/>
  <c r="AD296" i="3" s="1"/>
  <c r="M297" i="3"/>
  <c r="C296" i="4"/>
  <c r="H296" i="4" l="1"/>
  <c r="G296" i="4"/>
  <c r="I296" i="4" s="1"/>
  <c r="J296" i="4" s="1"/>
  <c r="AI297" i="3"/>
  <c r="O297" i="3"/>
  <c r="N297" i="3"/>
  <c r="M296" i="4" l="1"/>
  <c r="K296" i="4"/>
  <c r="P297" i="3"/>
  <c r="Q297" i="3" s="1"/>
  <c r="L297" i="4" l="1"/>
  <c r="V297" i="3"/>
  <c r="W297" i="3" l="1"/>
  <c r="X297" i="3" s="1"/>
  <c r="Y297" i="3" s="1"/>
  <c r="Z297" i="3" s="1"/>
  <c r="AA297" i="3" s="1"/>
  <c r="AB297" i="3" s="1"/>
  <c r="AC297" i="3" l="1"/>
  <c r="AD297" i="3" s="1"/>
  <c r="M298" i="3"/>
  <c r="C297" i="4"/>
  <c r="G297" i="4" l="1"/>
  <c r="I297" i="4" s="1"/>
  <c r="J297" i="4" s="1"/>
  <c r="H297" i="4"/>
  <c r="O298" i="3"/>
  <c r="AI298" i="3"/>
  <c r="N298" i="3"/>
  <c r="P298" i="3" l="1"/>
  <c r="Q298" i="3" s="1"/>
  <c r="K297" i="4"/>
  <c r="M297" i="4"/>
  <c r="L298" i="4" l="1"/>
  <c r="V298" i="3"/>
  <c r="W298" i="3" l="1"/>
  <c r="X298" i="3"/>
  <c r="Y298" i="3" s="1"/>
  <c r="Z298" i="3" s="1"/>
  <c r="AA298" i="3" s="1"/>
  <c r="AB298" i="3" s="1"/>
  <c r="C298" i="4" l="1"/>
  <c r="M299" i="3"/>
  <c r="AC298" i="3"/>
  <c r="AD298" i="3" s="1"/>
  <c r="N299" i="3" l="1"/>
  <c r="O299" i="3"/>
  <c r="AI299" i="3"/>
  <c r="G298" i="4"/>
  <c r="I298" i="4" s="1"/>
  <c r="J298" i="4" s="1"/>
  <c r="H298" i="4"/>
  <c r="K298" i="4" l="1"/>
  <c r="M298" i="4"/>
  <c r="P299" i="3"/>
  <c r="Q299" i="3" s="1"/>
  <c r="L299" i="4" l="1"/>
  <c r="V299" i="3"/>
  <c r="W299" i="3" l="1"/>
  <c r="X299" i="3" s="1"/>
  <c r="Y299" i="3" s="1"/>
  <c r="Z299" i="3" s="1"/>
  <c r="AA299" i="3" s="1"/>
  <c r="AB299" i="3" s="1"/>
  <c r="C299" i="4" l="1"/>
  <c r="M300" i="3"/>
  <c r="AC299" i="3"/>
  <c r="AD299" i="3" s="1"/>
  <c r="AI300" i="3" l="1"/>
  <c r="N300" i="3"/>
  <c r="O300" i="3"/>
  <c r="H299" i="4"/>
  <c r="G299" i="4"/>
  <c r="I299" i="4" s="1"/>
  <c r="J299" i="4" s="1"/>
  <c r="P300" i="3" l="1"/>
  <c r="Q300" i="3" s="1"/>
  <c r="K299" i="4"/>
  <c r="M299" i="4"/>
  <c r="L300" i="4" l="1"/>
  <c r="V300" i="3"/>
  <c r="W300" i="3" l="1"/>
  <c r="X300" i="3" s="1"/>
  <c r="Y300" i="3" s="1"/>
  <c r="Z300" i="3" s="1"/>
  <c r="AA300" i="3" s="1"/>
  <c r="AB300" i="3" s="1"/>
  <c r="C300" i="4" l="1"/>
  <c r="AC300" i="3"/>
  <c r="AD300" i="3" s="1"/>
  <c r="M301" i="3"/>
  <c r="N301" i="3" l="1"/>
  <c r="O301" i="3"/>
  <c r="AI301" i="3"/>
  <c r="G300" i="4"/>
  <c r="I300" i="4" s="1"/>
  <c r="J300" i="4" s="1"/>
  <c r="H300" i="4"/>
  <c r="K300" i="4" l="1"/>
  <c r="M300" i="4"/>
  <c r="P301" i="3"/>
  <c r="Q301" i="3" s="1"/>
  <c r="L301" i="4" l="1"/>
  <c r="V301" i="3"/>
  <c r="W301" i="3" l="1"/>
  <c r="X301" i="3"/>
  <c r="Y301" i="3" s="1"/>
  <c r="Z301" i="3" s="1"/>
  <c r="AA301" i="3" s="1"/>
  <c r="AB301" i="3" s="1"/>
  <c r="C301" i="4" l="1"/>
  <c r="AC301" i="3"/>
  <c r="AD301" i="3" s="1"/>
  <c r="M302" i="3"/>
  <c r="AI302" i="3" l="1"/>
  <c r="O302" i="3"/>
  <c r="N302" i="3"/>
  <c r="P302" i="3" s="1"/>
  <c r="Q302" i="3" s="1"/>
  <c r="G301" i="4"/>
  <c r="I301" i="4" s="1"/>
  <c r="J301" i="4" s="1"/>
  <c r="H301" i="4"/>
  <c r="K301" i="4" l="1"/>
  <c r="M301" i="4"/>
  <c r="L302" i="4"/>
  <c r="V302" i="3"/>
  <c r="W302" i="3" l="1"/>
  <c r="X302" i="3"/>
  <c r="Y302" i="3" s="1"/>
  <c r="Z302" i="3" s="1"/>
  <c r="AA302" i="3" s="1"/>
  <c r="AB302" i="3" s="1"/>
  <c r="AC302" i="3" l="1"/>
  <c r="AD302" i="3" s="1"/>
  <c r="M303" i="3"/>
  <c r="C302" i="4"/>
  <c r="G302" i="4" l="1"/>
  <c r="I302" i="4" s="1"/>
  <c r="J302" i="4" s="1"/>
  <c r="H302" i="4"/>
  <c r="O303" i="3"/>
  <c r="N303" i="3"/>
  <c r="P303" i="3" s="1"/>
  <c r="Q303" i="3" s="1"/>
  <c r="AI303" i="3"/>
  <c r="L303" i="4" l="1"/>
  <c r="V303" i="3"/>
  <c r="K302" i="4"/>
  <c r="M302" i="4"/>
  <c r="W303" i="3" l="1"/>
  <c r="X303" i="3" s="1"/>
  <c r="Y303" i="3" s="1"/>
  <c r="Z303" i="3" s="1"/>
  <c r="AA303" i="3" s="1"/>
  <c r="AB303" i="3" s="1"/>
  <c r="C303" i="4" l="1"/>
  <c r="AC303" i="3"/>
  <c r="AD303" i="3" s="1"/>
  <c r="M304" i="3"/>
  <c r="AI304" i="3" l="1"/>
  <c r="N304" i="3"/>
  <c r="O304" i="3"/>
  <c r="G303" i="4"/>
  <c r="I303" i="4" s="1"/>
  <c r="J303" i="4" s="1"/>
  <c r="H303" i="4"/>
  <c r="M303" i="4" l="1"/>
  <c r="K303" i="4"/>
  <c r="P304" i="3"/>
  <c r="Q304" i="3" s="1"/>
  <c r="L304" i="4" l="1"/>
  <c r="V304" i="3"/>
  <c r="W304" i="3" l="1"/>
  <c r="X304" i="3"/>
  <c r="Y304" i="3" s="1"/>
  <c r="Z304" i="3" s="1"/>
  <c r="AA304" i="3" s="1"/>
  <c r="AB304" i="3" s="1"/>
  <c r="AC304" i="3" l="1"/>
  <c r="AD304" i="3" s="1"/>
  <c r="M305" i="3"/>
  <c r="C304" i="4"/>
  <c r="G304" i="4" l="1"/>
  <c r="I304" i="4" s="1"/>
  <c r="J304" i="4" s="1"/>
  <c r="H304" i="4"/>
  <c r="O305" i="3"/>
  <c r="AI305" i="3"/>
  <c r="N305" i="3"/>
  <c r="P305" i="3" l="1"/>
  <c r="Q305" i="3" s="1"/>
  <c r="K304" i="4"/>
  <c r="M304" i="4"/>
  <c r="L305" i="4" l="1"/>
  <c r="V305" i="3"/>
  <c r="W305" i="3" l="1"/>
  <c r="X305" i="3"/>
  <c r="Y305" i="3" s="1"/>
  <c r="Z305" i="3" s="1"/>
  <c r="AA305" i="3" s="1"/>
  <c r="AB305" i="3" s="1"/>
  <c r="C305" i="4" l="1"/>
  <c r="AC305" i="3"/>
  <c r="AD305" i="3" s="1"/>
  <c r="M306" i="3"/>
  <c r="AI306" i="3" l="1"/>
  <c r="O306" i="3"/>
  <c r="N306" i="3"/>
  <c r="P306" i="3" s="1"/>
  <c r="Q306" i="3" s="1"/>
  <c r="G305" i="4"/>
  <c r="I305" i="4" s="1"/>
  <c r="J305" i="4" s="1"/>
  <c r="H305" i="4"/>
  <c r="M305" i="4" l="1"/>
  <c r="K305" i="4"/>
  <c r="L306" i="4"/>
  <c r="V306" i="3"/>
  <c r="W306" i="3" l="1"/>
  <c r="X306" i="3"/>
  <c r="Y306" i="3" s="1"/>
  <c r="Z306" i="3" s="1"/>
  <c r="AA306" i="3" s="1"/>
  <c r="AB306" i="3" s="1"/>
  <c r="M307" i="3" l="1"/>
  <c r="C306" i="4"/>
  <c r="AC306" i="3"/>
  <c r="AD306" i="3" s="1"/>
  <c r="H306" i="4" l="1"/>
  <c r="G306" i="4"/>
  <c r="I306" i="4" s="1"/>
  <c r="J306" i="4" s="1"/>
  <c r="N307" i="3"/>
  <c r="O307" i="3"/>
  <c r="AI307" i="3"/>
  <c r="P307" i="3" l="1"/>
  <c r="Q307" i="3" s="1"/>
  <c r="K306" i="4"/>
  <c r="M306" i="4"/>
  <c r="L307" i="4" l="1"/>
  <c r="V307" i="3"/>
  <c r="W307" i="3" l="1"/>
  <c r="X307" i="3" s="1"/>
  <c r="Y307" i="3" s="1"/>
  <c r="Z307" i="3" s="1"/>
  <c r="AA307" i="3" s="1"/>
  <c r="AB307" i="3" s="1"/>
  <c r="C307" i="4" l="1"/>
  <c r="AC307" i="3"/>
  <c r="AD307" i="3" s="1"/>
  <c r="M308" i="3"/>
  <c r="N308" i="3" l="1"/>
  <c r="AI308" i="3"/>
  <c r="O308" i="3"/>
  <c r="G307" i="4"/>
  <c r="I307" i="4" s="1"/>
  <c r="J307" i="4" s="1"/>
  <c r="H307" i="4"/>
  <c r="M307" i="4" l="1"/>
  <c r="K307" i="4"/>
  <c r="P308" i="3"/>
  <c r="Q308" i="3" s="1"/>
  <c r="L308" i="4" l="1"/>
  <c r="V308" i="3"/>
  <c r="W308" i="3" l="1"/>
  <c r="X308" i="3"/>
  <c r="Y308" i="3" s="1"/>
  <c r="Z308" i="3" s="1"/>
  <c r="AA308" i="3" s="1"/>
  <c r="AB308" i="3" s="1"/>
  <c r="AC308" i="3" l="1"/>
  <c r="AD308" i="3" s="1"/>
  <c r="C308" i="4"/>
  <c r="M309" i="3"/>
  <c r="AI309" i="3" l="1"/>
  <c r="O309" i="3"/>
  <c r="N309" i="3"/>
  <c r="P309" i="3" s="1"/>
  <c r="Q309" i="3" s="1"/>
  <c r="G308" i="4"/>
  <c r="I308" i="4" s="1"/>
  <c r="J308" i="4" s="1"/>
  <c r="H308" i="4"/>
  <c r="M308" i="4" l="1"/>
  <c r="K308" i="4"/>
  <c r="L309" i="4"/>
  <c r="V309" i="3"/>
  <c r="W309" i="3" l="1"/>
  <c r="X309" i="3"/>
  <c r="Y309" i="3" s="1"/>
  <c r="Z309" i="3" s="1"/>
  <c r="AA309" i="3" s="1"/>
  <c r="AB309" i="3" s="1"/>
  <c r="AC309" i="3" l="1"/>
  <c r="AD309" i="3" s="1"/>
  <c r="C309" i="4"/>
  <c r="M310" i="3"/>
  <c r="O310" i="3" l="1"/>
  <c r="N310" i="3"/>
  <c r="P310" i="3" s="1"/>
  <c r="Q310" i="3" s="1"/>
  <c r="AI310" i="3"/>
  <c r="H309" i="4"/>
  <c r="G309" i="4"/>
  <c r="I309" i="4" s="1"/>
  <c r="J309" i="4" s="1"/>
  <c r="L310" i="4" l="1"/>
  <c r="V310" i="3"/>
  <c r="K309" i="4"/>
  <c r="M309" i="4"/>
  <c r="W310" i="3" l="1"/>
  <c r="X310" i="3"/>
  <c r="Y310" i="3" s="1"/>
  <c r="Z310" i="3" s="1"/>
  <c r="AA310" i="3" s="1"/>
  <c r="AB310" i="3" s="1"/>
  <c r="M311" i="3" l="1"/>
  <c r="AC310" i="3"/>
  <c r="AD310" i="3" s="1"/>
  <c r="C310" i="4"/>
  <c r="G310" i="4" l="1"/>
  <c r="I310" i="4" s="1"/>
  <c r="J310" i="4" s="1"/>
  <c r="H310" i="4"/>
  <c r="AI311" i="3"/>
  <c r="N311" i="3"/>
  <c r="P311" i="3" s="1"/>
  <c r="Q311" i="3" s="1"/>
  <c r="O311" i="3"/>
  <c r="L311" i="4" l="1"/>
  <c r="V311" i="3"/>
  <c r="M310" i="4"/>
  <c r="K310" i="4"/>
  <c r="W311" i="3" l="1"/>
  <c r="X311" i="3" s="1"/>
  <c r="Y311" i="3" s="1"/>
  <c r="Z311" i="3" s="1"/>
  <c r="AA311" i="3" s="1"/>
  <c r="AB311" i="3" s="1"/>
  <c r="AC311" i="3" l="1"/>
  <c r="AD311" i="3" s="1"/>
  <c r="M312" i="3"/>
  <c r="C311" i="4"/>
  <c r="G311" i="4" l="1"/>
  <c r="I311" i="4" s="1"/>
  <c r="J311" i="4" s="1"/>
  <c r="H311" i="4"/>
  <c r="N312" i="3"/>
  <c r="O312" i="3"/>
  <c r="AI312" i="3"/>
  <c r="P312" i="3" l="1"/>
  <c r="Q312" i="3" s="1"/>
  <c r="K311" i="4"/>
  <c r="M311" i="4"/>
  <c r="L312" i="4" l="1"/>
  <c r="V312" i="3"/>
  <c r="W312" i="3" l="1"/>
  <c r="X312" i="3"/>
  <c r="Y312" i="3" s="1"/>
  <c r="Z312" i="3" s="1"/>
  <c r="AA312" i="3" s="1"/>
  <c r="AB312" i="3" s="1"/>
  <c r="AC312" i="3" l="1"/>
  <c r="AD312" i="3" s="1"/>
  <c r="C312" i="4"/>
  <c r="M313" i="3"/>
  <c r="AI313" i="3" l="1"/>
  <c r="O313" i="3"/>
  <c r="N313" i="3"/>
  <c r="P313" i="3" s="1"/>
  <c r="Q313" i="3" s="1"/>
  <c r="G312" i="4"/>
  <c r="I312" i="4" s="1"/>
  <c r="J312" i="4" s="1"/>
  <c r="H312" i="4"/>
  <c r="M312" i="4" l="1"/>
  <c r="K312" i="4"/>
  <c r="L313" i="4"/>
  <c r="V313" i="3"/>
  <c r="W313" i="3" l="1"/>
  <c r="X313" i="3" s="1"/>
  <c r="Y313" i="3" s="1"/>
  <c r="Z313" i="3" s="1"/>
  <c r="AA313" i="3" s="1"/>
  <c r="AB313" i="3" s="1"/>
  <c r="C313" i="4" l="1"/>
  <c r="M314" i="3"/>
  <c r="AC313" i="3"/>
  <c r="AD313" i="3" s="1"/>
  <c r="AI314" i="3" l="1"/>
  <c r="N314" i="3"/>
  <c r="O314" i="3"/>
  <c r="H313" i="4"/>
  <c r="G313" i="4"/>
  <c r="I313" i="4" s="1"/>
  <c r="J313" i="4" s="1"/>
  <c r="P314" i="3" l="1"/>
  <c r="Q314" i="3" s="1"/>
  <c r="K313" i="4"/>
  <c r="M313" i="4"/>
  <c r="L314" i="4" l="1"/>
  <c r="V314" i="3"/>
  <c r="W314" i="3" l="1"/>
  <c r="X314" i="3"/>
  <c r="Y314" i="3" s="1"/>
  <c r="Z314" i="3" s="1"/>
  <c r="AA314" i="3" s="1"/>
  <c r="AB314" i="3" s="1"/>
  <c r="AC314" i="3" l="1"/>
  <c r="AD314" i="3" s="1"/>
  <c r="C314" i="4"/>
  <c r="M315" i="3"/>
  <c r="N315" i="3" l="1"/>
  <c r="O315" i="3"/>
  <c r="AI315" i="3"/>
  <c r="G314" i="4"/>
  <c r="I314" i="4" s="1"/>
  <c r="J314" i="4" s="1"/>
  <c r="H314" i="4"/>
  <c r="K314" i="4" l="1"/>
  <c r="M314" i="4"/>
  <c r="P315" i="3"/>
  <c r="Q315" i="3" s="1"/>
  <c r="L315" i="4" l="1"/>
  <c r="V315" i="3"/>
  <c r="W315" i="3" l="1"/>
  <c r="X315" i="3" s="1"/>
  <c r="Y315" i="3" s="1"/>
  <c r="Z315" i="3" s="1"/>
  <c r="AA315" i="3" s="1"/>
  <c r="AB315" i="3" s="1"/>
  <c r="C315" i="4" l="1"/>
  <c r="AC315" i="3"/>
  <c r="AD315" i="3" s="1"/>
  <c r="M316" i="3"/>
  <c r="O316" i="3" l="1"/>
  <c r="N316" i="3"/>
  <c r="P316" i="3" s="1"/>
  <c r="Q316" i="3" s="1"/>
  <c r="AI316" i="3"/>
  <c r="H315" i="4"/>
  <c r="G315" i="4"/>
  <c r="I315" i="4" s="1"/>
  <c r="J315" i="4" s="1"/>
  <c r="L316" i="4" l="1"/>
  <c r="V316" i="3"/>
  <c r="K315" i="4"/>
  <c r="M315" i="4"/>
  <c r="W316" i="3" l="1"/>
  <c r="X316" i="3" s="1"/>
  <c r="Y316" i="3" s="1"/>
  <c r="Z316" i="3" s="1"/>
  <c r="AA316" i="3" s="1"/>
  <c r="AB316" i="3" s="1"/>
  <c r="M317" i="3" l="1"/>
  <c r="C316" i="4"/>
  <c r="AC316" i="3"/>
  <c r="AD316" i="3" s="1"/>
  <c r="G316" i="4" l="1"/>
  <c r="I316" i="4" s="1"/>
  <c r="J316" i="4" s="1"/>
  <c r="H316" i="4"/>
  <c r="AI317" i="3"/>
  <c r="O317" i="3"/>
  <c r="N317" i="3"/>
  <c r="P317" i="3" l="1"/>
  <c r="Q317" i="3" s="1"/>
  <c r="K316" i="4"/>
  <c r="M316" i="4"/>
  <c r="L317" i="4" l="1"/>
  <c r="V317" i="3"/>
  <c r="W317" i="3" l="1"/>
  <c r="X317" i="3"/>
  <c r="Y317" i="3" s="1"/>
  <c r="Z317" i="3" s="1"/>
  <c r="AA317" i="3" s="1"/>
  <c r="AB317" i="3" s="1"/>
  <c r="AC317" i="3" l="1"/>
  <c r="AD317" i="3" s="1"/>
  <c r="M318" i="3"/>
  <c r="C317" i="4"/>
  <c r="G317" i="4" l="1"/>
  <c r="I317" i="4" s="1"/>
  <c r="J317" i="4" s="1"/>
  <c r="H317" i="4"/>
  <c r="N318" i="3"/>
  <c r="O318" i="3"/>
  <c r="AI318" i="3"/>
  <c r="P318" i="3" l="1"/>
  <c r="Q318" i="3" s="1"/>
  <c r="K317" i="4"/>
  <c r="M317" i="4"/>
  <c r="L318" i="4" l="1"/>
  <c r="V318" i="3"/>
  <c r="W318" i="3" l="1"/>
  <c r="X318" i="3"/>
  <c r="Y318" i="3" s="1"/>
  <c r="Z318" i="3" s="1"/>
  <c r="AA318" i="3" s="1"/>
  <c r="AB318" i="3" s="1"/>
  <c r="M319" i="3" l="1"/>
  <c r="AC318" i="3"/>
  <c r="AD318" i="3" s="1"/>
  <c r="C318" i="4"/>
  <c r="G318" i="4" l="1"/>
  <c r="I318" i="4" s="1"/>
  <c r="J318" i="4" s="1"/>
  <c r="H318" i="4"/>
  <c r="N319" i="3"/>
  <c r="P319" i="3" s="1"/>
  <c r="Q319" i="3" s="1"/>
  <c r="AI319" i="3"/>
  <c r="O319" i="3"/>
  <c r="L319" i="4" l="1"/>
  <c r="V319" i="3"/>
  <c r="M318" i="4"/>
  <c r="K318" i="4"/>
  <c r="W319" i="3" l="1"/>
  <c r="X319" i="3" s="1"/>
  <c r="Y319" i="3" s="1"/>
  <c r="Z319" i="3" s="1"/>
  <c r="AA319" i="3" s="1"/>
  <c r="AB319" i="3" s="1"/>
  <c r="M320" i="3" l="1"/>
  <c r="C319" i="4"/>
  <c r="AC319" i="3"/>
  <c r="AD319" i="3" s="1"/>
  <c r="G319" i="4" l="1"/>
  <c r="I319" i="4" s="1"/>
  <c r="J319" i="4" s="1"/>
  <c r="H319" i="4"/>
  <c r="O320" i="3"/>
  <c r="AI320" i="3"/>
  <c r="N320" i="3"/>
  <c r="P320" i="3" l="1"/>
  <c r="Q320" i="3" s="1"/>
  <c r="M319" i="4"/>
  <c r="K319" i="4"/>
  <c r="L320" i="4" l="1"/>
  <c r="V320" i="3"/>
  <c r="W320" i="3" l="1"/>
  <c r="X320" i="3"/>
  <c r="Y320" i="3" s="1"/>
  <c r="Z320" i="3" s="1"/>
  <c r="AA320" i="3" s="1"/>
  <c r="AB320" i="3" s="1"/>
  <c r="AC320" i="3" l="1"/>
  <c r="AD320" i="3" s="1"/>
  <c r="M321" i="3"/>
  <c r="C320" i="4"/>
  <c r="G320" i="4" l="1"/>
  <c r="I320" i="4" s="1"/>
  <c r="J320" i="4" s="1"/>
  <c r="H320" i="4"/>
  <c r="O321" i="3"/>
  <c r="N321" i="3"/>
  <c r="P321" i="3" s="1"/>
  <c r="Q321" i="3" s="1"/>
  <c r="AI321" i="3"/>
  <c r="L321" i="4" l="1"/>
  <c r="V321" i="3"/>
  <c r="M320" i="4"/>
  <c r="K320" i="4"/>
  <c r="W321" i="3" l="1"/>
  <c r="X321" i="3"/>
  <c r="Y321" i="3" s="1"/>
  <c r="Z321" i="3" s="1"/>
  <c r="AA321" i="3" s="1"/>
  <c r="AB321" i="3" s="1"/>
  <c r="M322" i="3" l="1"/>
  <c r="AC321" i="3"/>
  <c r="AD321" i="3" s="1"/>
  <c r="C321" i="4"/>
  <c r="G321" i="4" l="1"/>
  <c r="I321" i="4" s="1"/>
  <c r="J321" i="4" s="1"/>
  <c r="H321" i="4"/>
  <c r="O322" i="3"/>
  <c r="N322" i="3"/>
  <c r="P322" i="3" s="1"/>
  <c r="Q322" i="3" s="1"/>
  <c r="AI322" i="3"/>
  <c r="L322" i="4" l="1"/>
  <c r="C32" i="5" s="1"/>
  <c r="N32" i="5" s="1"/>
  <c r="V322" i="3"/>
  <c r="M321" i="4"/>
  <c r="K321" i="4"/>
  <c r="W322" i="3" l="1"/>
  <c r="X322" i="3"/>
  <c r="Y322" i="3" s="1"/>
  <c r="Z322" i="3" s="1"/>
  <c r="AA322" i="3" s="1"/>
  <c r="AB322" i="3" s="1"/>
  <c r="M323" i="3" l="1"/>
  <c r="C322" i="4"/>
  <c r="AC322" i="3"/>
  <c r="AD322" i="3" s="1"/>
  <c r="G322" i="4" l="1"/>
  <c r="I322" i="4" s="1"/>
  <c r="J322" i="4" s="1"/>
  <c r="H322" i="4"/>
  <c r="AI323" i="3"/>
  <c r="N323" i="3"/>
  <c r="P323" i="3" s="1"/>
  <c r="Q323" i="3" s="1"/>
  <c r="O323" i="3"/>
  <c r="L323" i="4" l="1"/>
  <c r="V323" i="3"/>
  <c r="D32" i="5"/>
  <c r="M322" i="4"/>
  <c r="K322" i="4"/>
  <c r="E32" i="5" s="1"/>
  <c r="W323" i="3" l="1"/>
  <c r="X323" i="3" s="1"/>
  <c r="Y323" i="3" s="1"/>
  <c r="Z323" i="3" s="1"/>
  <c r="AA323" i="3" s="1"/>
  <c r="AB323" i="3" s="1"/>
  <c r="M324" i="3" l="1"/>
  <c r="C323" i="4"/>
  <c r="AC323" i="3"/>
  <c r="AD323" i="3" s="1"/>
  <c r="H323" i="4" l="1"/>
  <c r="G323" i="4"/>
  <c r="I323" i="4" s="1"/>
  <c r="J323" i="4" s="1"/>
  <c r="O324" i="3"/>
  <c r="AI324" i="3"/>
  <c r="N324" i="3"/>
  <c r="K323" i="4" l="1"/>
  <c r="M323" i="4"/>
  <c r="P324" i="3"/>
  <c r="Q324" i="3" s="1"/>
  <c r="L324" i="4" l="1"/>
  <c r="V324" i="3"/>
  <c r="W324" i="3" l="1"/>
  <c r="X324" i="3"/>
  <c r="Y324" i="3" s="1"/>
  <c r="Z324" i="3" s="1"/>
  <c r="AA324" i="3" s="1"/>
  <c r="AB324" i="3" s="1"/>
  <c r="C324" i="4" l="1"/>
  <c r="AC324" i="3"/>
  <c r="AD324" i="3" s="1"/>
  <c r="M325" i="3"/>
  <c r="O325" i="3" l="1"/>
  <c r="AI325" i="3"/>
  <c r="N325" i="3"/>
  <c r="P325" i="3" s="1"/>
  <c r="Q325" i="3" s="1"/>
  <c r="H324" i="4"/>
  <c r="G324" i="4"/>
  <c r="I324" i="4" s="1"/>
  <c r="J324" i="4" s="1"/>
  <c r="L325" i="4" l="1"/>
  <c r="V325" i="3"/>
  <c r="M324" i="4"/>
  <c r="K324" i="4"/>
  <c r="W325" i="3" l="1"/>
  <c r="X325" i="3"/>
  <c r="Y325" i="3" s="1"/>
  <c r="Z325" i="3" s="1"/>
  <c r="AA325" i="3" s="1"/>
  <c r="AB325" i="3" s="1"/>
  <c r="AC325" i="3" l="1"/>
  <c r="AD325" i="3" s="1"/>
  <c r="M326" i="3"/>
  <c r="C325" i="4"/>
  <c r="H325" i="4" l="1"/>
  <c r="G325" i="4"/>
  <c r="I325" i="4" s="1"/>
  <c r="J325" i="4" s="1"/>
  <c r="N326" i="3"/>
  <c r="P326" i="3" s="1"/>
  <c r="Q326" i="3" s="1"/>
  <c r="AI326" i="3"/>
  <c r="O326" i="3"/>
  <c r="L326" i="4" l="1"/>
  <c r="V326" i="3"/>
  <c r="K325" i="4"/>
  <c r="M325" i="4"/>
  <c r="W326" i="3" l="1"/>
  <c r="X326" i="3"/>
  <c r="Y326" i="3" s="1"/>
  <c r="Z326" i="3" s="1"/>
  <c r="AA326" i="3" s="1"/>
  <c r="AB326" i="3" s="1"/>
  <c r="C326" i="4" l="1"/>
  <c r="M327" i="3"/>
  <c r="AC326" i="3"/>
  <c r="AD326" i="3" s="1"/>
  <c r="N327" i="3" l="1"/>
  <c r="O327" i="3"/>
  <c r="AI327" i="3"/>
  <c r="G326" i="4"/>
  <c r="I326" i="4" s="1"/>
  <c r="J326" i="4" s="1"/>
  <c r="H326" i="4"/>
  <c r="K326" i="4" l="1"/>
  <c r="M326" i="4"/>
  <c r="P327" i="3"/>
  <c r="Q327" i="3" s="1"/>
  <c r="L327" i="4" l="1"/>
  <c r="V327" i="3"/>
  <c r="W327" i="3" l="1"/>
  <c r="X327" i="3" s="1"/>
  <c r="Y327" i="3" s="1"/>
  <c r="Z327" i="3" s="1"/>
  <c r="AA327" i="3" s="1"/>
  <c r="AB327" i="3" s="1"/>
  <c r="C327" i="4" l="1"/>
  <c r="AC327" i="3"/>
  <c r="AD327" i="3" s="1"/>
  <c r="M328" i="3"/>
  <c r="O328" i="3" l="1"/>
  <c r="N328" i="3"/>
  <c r="P328" i="3" s="1"/>
  <c r="Q328" i="3" s="1"/>
  <c r="AI328" i="3"/>
  <c r="H327" i="4"/>
  <c r="G327" i="4"/>
  <c r="I327" i="4" s="1"/>
  <c r="J327" i="4" s="1"/>
  <c r="L328" i="4" l="1"/>
  <c r="V328" i="3"/>
  <c r="K327" i="4"/>
  <c r="M327" i="4"/>
  <c r="W328" i="3" l="1"/>
  <c r="X328" i="3" s="1"/>
  <c r="Y328" i="3" s="1"/>
  <c r="Z328" i="3" s="1"/>
  <c r="AA328" i="3" s="1"/>
  <c r="AB328" i="3" s="1"/>
  <c r="C328" i="4" l="1"/>
  <c r="M329" i="3"/>
  <c r="AC328" i="3"/>
  <c r="AD328" i="3" s="1"/>
  <c r="AI329" i="3" l="1"/>
  <c r="O329" i="3"/>
  <c r="N329" i="3"/>
  <c r="P329" i="3" s="1"/>
  <c r="Q329" i="3" s="1"/>
  <c r="G328" i="4"/>
  <c r="I328" i="4" s="1"/>
  <c r="J328" i="4" s="1"/>
  <c r="H328" i="4"/>
  <c r="K328" i="4" l="1"/>
  <c r="M328" i="4"/>
  <c r="L329" i="4"/>
  <c r="V329" i="3"/>
  <c r="W329" i="3" l="1"/>
  <c r="X329" i="3" s="1"/>
  <c r="Y329" i="3" s="1"/>
  <c r="Z329" i="3" s="1"/>
  <c r="AA329" i="3" s="1"/>
  <c r="AB329" i="3" s="1"/>
  <c r="C329" i="4" l="1"/>
  <c r="AC329" i="3"/>
  <c r="AD329" i="3" s="1"/>
  <c r="M330" i="3"/>
  <c r="AI330" i="3" l="1"/>
  <c r="N330" i="3"/>
  <c r="O330" i="3"/>
  <c r="H329" i="4"/>
  <c r="G329" i="4"/>
  <c r="I329" i="4" s="1"/>
  <c r="J329" i="4" s="1"/>
  <c r="P330" i="3" l="1"/>
  <c r="Q330" i="3" s="1"/>
  <c r="M329" i="4"/>
  <c r="K329" i="4"/>
  <c r="L330" i="4" l="1"/>
  <c r="V330" i="3"/>
  <c r="W330" i="3" l="1"/>
  <c r="X330" i="3"/>
  <c r="Y330" i="3" s="1"/>
  <c r="Z330" i="3" s="1"/>
  <c r="AA330" i="3" s="1"/>
  <c r="AB330" i="3" s="1"/>
  <c r="C330" i="4" l="1"/>
  <c r="M331" i="3"/>
  <c r="AC330" i="3"/>
  <c r="AD330" i="3" s="1"/>
  <c r="O331" i="3" l="1"/>
  <c r="AI331" i="3"/>
  <c r="N331" i="3"/>
  <c r="P331" i="3" s="1"/>
  <c r="Q331" i="3" s="1"/>
  <c r="H330" i="4"/>
  <c r="G330" i="4"/>
  <c r="I330" i="4" s="1"/>
  <c r="J330" i="4" s="1"/>
  <c r="L331" i="4" l="1"/>
  <c r="V331" i="3"/>
  <c r="M330" i="4"/>
  <c r="K330" i="4"/>
  <c r="W331" i="3" l="1"/>
  <c r="X331" i="3" s="1"/>
  <c r="Y331" i="3" s="1"/>
  <c r="Z331" i="3" s="1"/>
  <c r="AA331" i="3" s="1"/>
  <c r="AB331" i="3" s="1"/>
  <c r="C331" i="4" l="1"/>
  <c r="M332" i="3"/>
  <c r="AC331" i="3"/>
  <c r="AD331" i="3" s="1"/>
  <c r="O332" i="3" l="1"/>
  <c r="N332" i="3"/>
  <c r="P332" i="3" s="1"/>
  <c r="Q332" i="3" s="1"/>
  <c r="AI332" i="3"/>
  <c r="H331" i="4"/>
  <c r="G331" i="4"/>
  <c r="I331" i="4" s="1"/>
  <c r="J331" i="4" s="1"/>
  <c r="L332" i="4" l="1"/>
  <c r="V332" i="3"/>
  <c r="M331" i="4"/>
  <c r="K331" i="4"/>
  <c r="W332" i="3" l="1"/>
  <c r="X332" i="3"/>
  <c r="Y332" i="3" s="1"/>
  <c r="Z332" i="3" s="1"/>
  <c r="AA332" i="3" s="1"/>
  <c r="AB332" i="3" s="1"/>
  <c r="M333" i="3" l="1"/>
  <c r="C332" i="4"/>
  <c r="AC332" i="3"/>
  <c r="AD332" i="3" s="1"/>
  <c r="H332" i="4" l="1"/>
  <c r="G332" i="4"/>
  <c r="I332" i="4" s="1"/>
  <c r="J332" i="4" s="1"/>
  <c r="O333" i="3"/>
  <c r="AI333" i="3"/>
  <c r="N333" i="3"/>
  <c r="M332" i="4" l="1"/>
  <c r="K332" i="4"/>
  <c r="P333" i="3"/>
  <c r="Q333" i="3" s="1"/>
  <c r="L333" i="4" l="1"/>
  <c r="V333" i="3"/>
  <c r="W333" i="3" l="1"/>
  <c r="X333" i="3" s="1"/>
  <c r="Y333" i="3" s="1"/>
  <c r="Z333" i="3" s="1"/>
  <c r="AA333" i="3" s="1"/>
  <c r="AB333" i="3" s="1"/>
  <c r="M334" i="3" l="1"/>
  <c r="C333" i="4"/>
  <c r="AC333" i="3"/>
  <c r="AD333" i="3" s="1"/>
  <c r="G333" i="4" l="1"/>
  <c r="I333" i="4" s="1"/>
  <c r="J333" i="4" s="1"/>
  <c r="H333" i="4"/>
  <c r="AI334" i="3"/>
  <c r="O334" i="3"/>
  <c r="N334" i="3"/>
  <c r="P334" i="3" l="1"/>
  <c r="Q334" i="3" s="1"/>
  <c r="K333" i="4"/>
  <c r="M333" i="4"/>
  <c r="L334" i="4" l="1"/>
  <c r="V334" i="3"/>
  <c r="W334" i="3" l="1"/>
  <c r="X334" i="3"/>
  <c r="Y334" i="3" s="1"/>
  <c r="Z334" i="3" s="1"/>
  <c r="AA334" i="3" s="1"/>
  <c r="AB334" i="3" s="1"/>
  <c r="AC334" i="3" l="1"/>
  <c r="AD334" i="3" s="1"/>
  <c r="C334" i="4"/>
  <c r="M335" i="3"/>
  <c r="N335" i="3" l="1"/>
  <c r="O335" i="3"/>
  <c r="AI335" i="3"/>
  <c r="G334" i="4"/>
  <c r="I334" i="4" s="1"/>
  <c r="J334" i="4" s="1"/>
  <c r="H334" i="4"/>
  <c r="K334" i="4" l="1"/>
  <c r="M334" i="4"/>
  <c r="P335" i="3"/>
  <c r="Q335" i="3" s="1"/>
  <c r="L335" i="4" l="1"/>
  <c r="V335" i="3"/>
  <c r="W335" i="3" l="1"/>
  <c r="X335" i="3" s="1"/>
  <c r="Y335" i="3" s="1"/>
  <c r="Z335" i="3" s="1"/>
  <c r="AA335" i="3" s="1"/>
  <c r="AB335" i="3" s="1"/>
  <c r="M336" i="3" l="1"/>
  <c r="AC335" i="3"/>
  <c r="AD335" i="3" s="1"/>
  <c r="C335" i="4"/>
  <c r="H335" i="4" l="1"/>
  <c r="G335" i="4"/>
  <c r="I335" i="4" s="1"/>
  <c r="J335" i="4" s="1"/>
  <c r="N336" i="3"/>
  <c r="P336" i="3" s="1"/>
  <c r="Q336" i="3" s="1"/>
  <c r="AI336" i="3"/>
  <c r="O336" i="3"/>
  <c r="L336" i="4" l="1"/>
  <c r="V336" i="3"/>
  <c r="K335" i="4"/>
  <c r="M335" i="4"/>
  <c r="W336" i="3" l="1"/>
  <c r="X336" i="3" s="1"/>
  <c r="Y336" i="3" s="1"/>
  <c r="Z336" i="3" s="1"/>
  <c r="AA336" i="3" s="1"/>
  <c r="AB336" i="3" s="1"/>
  <c r="C336" i="4" l="1"/>
  <c r="M337" i="3"/>
  <c r="AC336" i="3"/>
  <c r="AD336" i="3" s="1"/>
  <c r="N337" i="3" l="1"/>
  <c r="AI337" i="3"/>
  <c r="O337" i="3"/>
  <c r="G336" i="4"/>
  <c r="I336" i="4" s="1"/>
  <c r="J336" i="4" s="1"/>
  <c r="H336" i="4"/>
  <c r="M336" i="4" l="1"/>
  <c r="K336" i="4"/>
  <c r="P337" i="3"/>
  <c r="Q337" i="3" s="1"/>
  <c r="L337" i="4" l="1"/>
  <c r="V337" i="3"/>
  <c r="W337" i="3" l="1"/>
  <c r="X337" i="3"/>
  <c r="Y337" i="3" s="1"/>
  <c r="Z337" i="3" s="1"/>
  <c r="AA337" i="3" s="1"/>
  <c r="AB337" i="3" s="1"/>
  <c r="M338" i="3" l="1"/>
  <c r="AC337" i="3"/>
  <c r="AD337" i="3" s="1"/>
  <c r="C337" i="4"/>
  <c r="G337" i="4" l="1"/>
  <c r="I337" i="4" s="1"/>
  <c r="J337" i="4" s="1"/>
  <c r="H337" i="4"/>
  <c r="AI338" i="3"/>
  <c r="O338" i="3"/>
  <c r="N338" i="3"/>
  <c r="P338" i="3" l="1"/>
  <c r="Q338" i="3" s="1"/>
  <c r="M337" i="4"/>
  <c r="K337" i="4"/>
  <c r="L338" i="4" l="1"/>
  <c r="V338" i="3"/>
  <c r="W338" i="3" l="1"/>
  <c r="X338" i="3"/>
  <c r="Y338" i="3" s="1"/>
  <c r="Z338" i="3" s="1"/>
  <c r="AA338" i="3" s="1"/>
  <c r="AB338" i="3" s="1"/>
  <c r="AC338" i="3" l="1"/>
  <c r="AD338" i="3" s="1"/>
  <c r="M339" i="3"/>
  <c r="C338" i="4"/>
  <c r="G338" i="4" l="1"/>
  <c r="I338" i="4" s="1"/>
  <c r="J338" i="4" s="1"/>
  <c r="H338" i="4"/>
  <c r="AI339" i="3"/>
  <c r="N339" i="3"/>
  <c r="P339" i="3" s="1"/>
  <c r="Q339" i="3" s="1"/>
  <c r="O339" i="3"/>
  <c r="L339" i="4" l="1"/>
  <c r="V339" i="3"/>
  <c r="M338" i="4"/>
  <c r="K338" i="4"/>
  <c r="W339" i="3" l="1"/>
  <c r="X339" i="3" s="1"/>
  <c r="Y339" i="3" s="1"/>
  <c r="Z339" i="3" s="1"/>
  <c r="AA339" i="3" s="1"/>
  <c r="AB339" i="3" s="1"/>
  <c r="M340" i="3" l="1"/>
  <c r="C339" i="4"/>
  <c r="AC339" i="3"/>
  <c r="AD339" i="3" s="1"/>
  <c r="H339" i="4" l="1"/>
  <c r="G339" i="4"/>
  <c r="I339" i="4" s="1"/>
  <c r="J339" i="4" s="1"/>
  <c r="O340" i="3"/>
  <c r="AI340" i="3"/>
  <c r="N340" i="3"/>
  <c r="M339" i="4" l="1"/>
  <c r="K339" i="4"/>
  <c r="P340" i="3"/>
  <c r="Q340" i="3" s="1"/>
  <c r="L340" i="4" l="1"/>
  <c r="V340" i="3"/>
  <c r="W340" i="3" l="1"/>
  <c r="X340" i="3"/>
  <c r="Y340" i="3" s="1"/>
  <c r="Z340" i="3" s="1"/>
  <c r="AA340" i="3" s="1"/>
  <c r="AB340" i="3" s="1"/>
  <c r="M341" i="3" l="1"/>
  <c r="C340" i="4"/>
  <c r="AC340" i="3"/>
  <c r="AD340" i="3" s="1"/>
  <c r="G340" i="4" l="1"/>
  <c r="I340" i="4" s="1"/>
  <c r="J340" i="4" s="1"/>
  <c r="H340" i="4"/>
  <c r="AI341" i="3"/>
  <c r="O341" i="3"/>
  <c r="N341" i="3"/>
  <c r="P341" i="3" l="1"/>
  <c r="Q341" i="3" s="1"/>
  <c r="M340" i="4"/>
  <c r="K340" i="4"/>
  <c r="L341" i="4" l="1"/>
  <c r="V341" i="3"/>
  <c r="W341" i="3" l="1"/>
  <c r="X341" i="3"/>
  <c r="Y341" i="3" s="1"/>
  <c r="Z341" i="3" s="1"/>
  <c r="AA341" i="3" s="1"/>
  <c r="AB341" i="3" s="1"/>
  <c r="C341" i="4" l="1"/>
  <c r="M342" i="3"/>
  <c r="AC341" i="3"/>
  <c r="AD341" i="3" s="1"/>
  <c r="AI342" i="3" l="1"/>
  <c r="O342" i="3"/>
  <c r="N342" i="3"/>
  <c r="P342" i="3" s="1"/>
  <c r="Q342" i="3" s="1"/>
  <c r="G341" i="4"/>
  <c r="I341" i="4" s="1"/>
  <c r="J341" i="4" s="1"/>
  <c r="H341" i="4"/>
  <c r="M341" i="4" l="1"/>
  <c r="K341" i="4"/>
  <c r="L342" i="4"/>
  <c r="V342" i="3"/>
  <c r="W342" i="3" l="1"/>
  <c r="X342" i="3"/>
  <c r="Y342" i="3" s="1"/>
  <c r="Z342" i="3" s="1"/>
  <c r="AA342" i="3" s="1"/>
  <c r="AB342" i="3" s="1"/>
  <c r="M343" i="3" l="1"/>
  <c r="C342" i="4"/>
  <c r="AC342" i="3"/>
  <c r="AD342" i="3" s="1"/>
  <c r="H342" i="4" l="1"/>
  <c r="G342" i="4"/>
  <c r="I342" i="4" s="1"/>
  <c r="J342" i="4" s="1"/>
  <c r="AI343" i="3"/>
  <c r="N343" i="3"/>
  <c r="P343" i="3" s="1"/>
  <c r="Q343" i="3" s="1"/>
  <c r="O343" i="3"/>
  <c r="L343" i="4" l="1"/>
  <c r="V343" i="3"/>
  <c r="K342" i="4"/>
  <c r="M342" i="4"/>
  <c r="W343" i="3" l="1"/>
  <c r="X343" i="3" s="1"/>
  <c r="Y343" i="3" s="1"/>
  <c r="Z343" i="3" s="1"/>
  <c r="AA343" i="3" s="1"/>
  <c r="AB343" i="3" s="1"/>
  <c r="M344" i="3" l="1"/>
  <c r="AC343" i="3"/>
  <c r="AD343" i="3" s="1"/>
  <c r="C343" i="4"/>
  <c r="H343" i="4" l="1"/>
  <c r="G343" i="4"/>
  <c r="I343" i="4" s="1"/>
  <c r="J343" i="4" s="1"/>
  <c r="N344" i="3"/>
  <c r="O344" i="3"/>
  <c r="AI344" i="3"/>
  <c r="P344" i="3" l="1"/>
  <c r="Q344" i="3" s="1"/>
  <c r="K343" i="4"/>
  <c r="M343" i="4"/>
  <c r="L344" i="4" l="1"/>
  <c r="V344" i="3"/>
  <c r="W344" i="3" l="1"/>
  <c r="X344" i="3"/>
  <c r="Y344" i="3" s="1"/>
  <c r="Z344" i="3" s="1"/>
  <c r="AA344" i="3" s="1"/>
  <c r="AB344" i="3" s="1"/>
  <c r="C344" i="4" l="1"/>
  <c r="M345" i="3"/>
  <c r="AC344" i="3"/>
  <c r="AD344" i="3" s="1"/>
  <c r="O345" i="3" l="1"/>
  <c r="N345" i="3"/>
  <c r="P345" i="3" s="1"/>
  <c r="Q345" i="3" s="1"/>
  <c r="AI345" i="3"/>
  <c r="H344" i="4"/>
  <c r="G344" i="4"/>
  <c r="I344" i="4" s="1"/>
  <c r="J344" i="4" s="1"/>
  <c r="L345" i="4" l="1"/>
  <c r="V345" i="3"/>
  <c r="K344" i="4"/>
  <c r="M344" i="4"/>
  <c r="W345" i="3" l="1"/>
  <c r="X345" i="3"/>
  <c r="Y345" i="3" s="1"/>
  <c r="Z345" i="3" s="1"/>
  <c r="AA345" i="3" s="1"/>
  <c r="AB345" i="3" s="1"/>
  <c r="AC345" i="3" l="1"/>
  <c r="AD345" i="3" s="1"/>
  <c r="M346" i="3"/>
  <c r="C345" i="4"/>
  <c r="H345" i="4" l="1"/>
  <c r="G345" i="4"/>
  <c r="I345" i="4" s="1"/>
  <c r="J345" i="4" s="1"/>
  <c r="N346" i="3"/>
  <c r="P346" i="3" s="1"/>
  <c r="Q346" i="3" s="1"/>
  <c r="AI346" i="3"/>
  <c r="O346" i="3"/>
  <c r="L346" i="4" l="1"/>
  <c r="V346" i="3"/>
  <c r="K345" i="4"/>
  <c r="M345" i="4"/>
  <c r="W346" i="3" l="1"/>
  <c r="X346" i="3"/>
  <c r="Y346" i="3" s="1"/>
  <c r="Z346" i="3" s="1"/>
  <c r="AA346" i="3" s="1"/>
  <c r="AB346" i="3" s="1"/>
  <c r="AC346" i="3" l="1"/>
  <c r="AD346" i="3" s="1"/>
  <c r="M347" i="3"/>
  <c r="C346" i="4"/>
  <c r="G346" i="4" l="1"/>
  <c r="I346" i="4" s="1"/>
  <c r="J346" i="4" s="1"/>
  <c r="H346" i="4"/>
  <c r="AI347" i="3"/>
  <c r="N347" i="3"/>
  <c r="P347" i="3" s="1"/>
  <c r="Q347" i="3" s="1"/>
  <c r="O347" i="3"/>
  <c r="L347" i="4" l="1"/>
  <c r="V347" i="3"/>
  <c r="K346" i="4"/>
  <c r="M346" i="4"/>
  <c r="W347" i="3" l="1"/>
  <c r="X347" i="3" s="1"/>
  <c r="Y347" i="3" s="1"/>
  <c r="Z347" i="3" s="1"/>
  <c r="AA347" i="3" s="1"/>
  <c r="AB347" i="3" s="1"/>
  <c r="C347" i="4" l="1"/>
  <c r="AC347" i="3"/>
  <c r="AD347" i="3" s="1"/>
  <c r="M348" i="3"/>
  <c r="N348" i="3" l="1"/>
  <c r="O348" i="3"/>
  <c r="AI348" i="3"/>
  <c r="H347" i="4"/>
  <c r="G347" i="4"/>
  <c r="I347" i="4" s="1"/>
  <c r="J347" i="4" s="1"/>
  <c r="M347" i="4" l="1"/>
  <c r="K347" i="4"/>
  <c r="P348" i="3"/>
  <c r="Q348" i="3" s="1"/>
  <c r="L348" i="4" l="1"/>
  <c r="V348" i="3"/>
  <c r="W348" i="3" l="1"/>
  <c r="X348" i="3"/>
  <c r="Y348" i="3" s="1"/>
  <c r="Z348" i="3" s="1"/>
  <c r="AA348" i="3" s="1"/>
  <c r="AB348" i="3" s="1"/>
  <c r="M349" i="3" l="1"/>
  <c r="AC348" i="3"/>
  <c r="AD348" i="3" s="1"/>
  <c r="C348" i="4"/>
  <c r="H348" i="4" l="1"/>
  <c r="G348" i="4"/>
  <c r="I348" i="4" s="1"/>
  <c r="J348" i="4" s="1"/>
  <c r="N349" i="3"/>
  <c r="O349" i="3"/>
  <c r="AI349" i="3"/>
  <c r="P349" i="3" l="1"/>
  <c r="Q349" i="3" s="1"/>
  <c r="M348" i="4"/>
  <c r="K348" i="4"/>
  <c r="L349" i="4" l="1"/>
  <c r="V349" i="3"/>
  <c r="W349" i="3" l="1"/>
  <c r="X349" i="3" s="1"/>
  <c r="Y349" i="3" s="1"/>
  <c r="Z349" i="3" s="1"/>
  <c r="AA349" i="3" s="1"/>
  <c r="AB349" i="3" s="1"/>
  <c r="M350" i="3" l="1"/>
  <c r="C349" i="4"/>
  <c r="AC349" i="3"/>
  <c r="AD349" i="3" s="1"/>
  <c r="G349" i="4" l="1"/>
  <c r="I349" i="4" s="1"/>
  <c r="J349" i="4" s="1"/>
  <c r="H349" i="4"/>
  <c r="O350" i="3"/>
  <c r="AI350" i="3"/>
  <c r="N350" i="3"/>
  <c r="P350" i="3" l="1"/>
  <c r="Q350" i="3" s="1"/>
  <c r="M349" i="4"/>
  <c r="K349" i="4"/>
  <c r="L350" i="4" l="1"/>
  <c r="V350" i="3"/>
  <c r="W350" i="3" l="1"/>
  <c r="X350" i="3"/>
  <c r="Y350" i="3" s="1"/>
  <c r="Z350" i="3" s="1"/>
  <c r="AA350" i="3" s="1"/>
  <c r="AB350" i="3" s="1"/>
  <c r="AC350" i="3" l="1"/>
  <c r="AD350" i="3" s="1"/>
  <c r="C350" i="4"/>
  <c r="M351" i="3"/>
  <c r="AI351" i="3" l="1"/>
  <c r="N351" i="3"/>
  <c r="O351" i="3"/>
  <c r="G350" i="4"/>
  <c r="I350" i="4" s="1"/>
  <c r="J350" i="4" s="1"/>
  <c r="H350" i="4"/>
  <c r="K350" i="4" l="1"/>
  <c r="M350" i="4"/>
  <c r="P351" i="3"/>
  <c r="Q351" i="3" s="1"/>
  <c r="L351" i="4" l="1"/>
  <c r="V351" i="3"/>
  <c r="W351" i="3" l="1"/>
  <c r="X351" i="3" s="1"/>
  <c r="Y351" i="3" s="1"/>
  <c r="Z351" i="3" s="1"/>
  <c r="AA351" i="3" s="1"/>
  <c r="AB351" i="3" s="1"/>
  <c r="M352" i="3" l="1"/>
  <c r="C351" i="4"/>
  <c r="AC351" i="3"/>
  <c r="AD351" i="3" s="1"/>
  <c r="G351" i="4" l="1"/>
  <c r="I351" i="4" s="1"/>
  <c r="J351" i="4" s="1"/>
  <c r="H351" i="4"/>
  <c r="AI352" i="3"/>
  <c r="N352" i="3"/>
  <c r="P352" i="3" s="1"/>
  <c r="Q352" i="3" s="1"/>
  <c r="O352" i="3"/>
  <c r="L352" i="4" l="1"/>
  <c r="V352" i="3"/>
  <c r="K351" i="4"/>
  <c r="M351" i="4"/>
  <c r="W352" i="3" l="1"/>
  <c r="X352" i="3" s="1"/>
  <c r="Y352" i="3" s="1"/>
  <c r="Z352" i="3" s="1"/>
  <c r="AA352" i="3" s="1"/>
  <c r="AB352" i="3" s="1"/>
  <c r="M353" i="3" l="1"/>
  <c r="C352" i="4"/>
  <c r="AC352" i="3"/>
  <c r="AD352" i="3" s="1"/>
  <c r="H352" i="4" l="1"/>
  <c r="G352" i="4"/>
  <c r="I352" i="4" s="1"/>
  <c r="J352" i="4" s="1"/>
  <c r="O353" i="3"/>
  <c r="AI353" i="3"/>
  <c r="N353" i="3"/>
  <c r="M352" i="4" l="1"/>
  <c r="K352" i="4"/>
  <c r="P353" i="3"/>
  <c r="Q353" i="3" s="1"/>
  <c r="L353" i="4" l="1"/>
  <c r="V353" i="3"/>
  <c r="W353" i="3" l="1"/>
  <c r="X353" i="3"/>
  <c r="Y353" i="3" s="1"/>
  <c r="Z353" i="3" s="1"/>
  <c r="AA353" i="3" s="1"/>
  <c r="AB353" i="3" s="1"/>
  <c r="M354" i="3" l="1"/>
  <c r="C353" i="4"/>
  <c r="AC353" i="3"/>
  <c r="AD353" i="3" s="1"/>
  <c r="H353" i="4" l="1"/>
  <c r="G353" i="4"/>
  <c r="I353" i="4" s="1"/>
  <c r="J353" i="4" s="1"/>
  <c r="AI354" i="3"/>
  <c r="N354" i="3"/>
  <c r="P354" i="3" s="1"/>
  <c r="Q354" i="3" s="1"/>
  <c r="O354" i="3"/>
  <c r="L354" i="4" l="1"/>
  <c r="V354" i="3"/>
  <c r="K353" i="4"/>
  <c r="M353" i="4"/>
  <c r="W354" i="3" l="1"/>
  <c r="X354" i="3"/>
  <c r="Y354" i="3" s="1"/>
  <c r="Z354" i="3" s="1"/>
  <c r="AA354" i="3" s="1"/>
  <c r="AB354" i="3" s="1"/>
  <c r="C354" i="4" l="1"/>
  <c r="M355" i="3"/>
  <c r="AC354" i="3"/>
  <c r="AD354" i="3" s="1"/>
  <c r="N355" i="3" l="1"/>
  <c r="AI355" i="3"/>
  <c r="O355" i="3"/>
  <c r="G354" i="4"/>
  <c r="I354" i="4" s="1"/>
  <c r="J354" i="4" s="1"/>
  <c r="H354" i="4"/>
  <c r="K354" i="4" l="1"/>
  <c r="M354" i="4"/>
  <c r="P355" i="3"/>
  <c r="Q355" i="3" s="1"/>
  <c r="L355" i="4" l="1"/>
  <c r="V355" i="3"/>
  <c r="W355" i="3" l="1"/>
  <c r="X355" i="3" s="1"/>
  <c r="Y355" i="3" s="1"/>
  <c r="Z355" i="3" s="1"/>
  <c r="AA355" i="3" s="1"/>
  <c r="AB355" i="3" s="1"/>
  <c r="M356" i="3" l="1"/>
  <c r="AC355" i="3"/>
  <c r="AD355" i="3" s="1"/>
  <c r="C355" i="4"/>
  <c r="G355" i="4" l="1"/>
  <c r="I355" i="4" s="1"/>
  <c r="J355" i="4" s="1"/>
  <c r="H355" i="4"/>
  <c r="AI356" i="3"/>
  <c r="N356" i="3"/>
  <c r="P356" i="3" s="1"/>
  <c r="Q356" i="3" s="1"/>
  <c r="O356" i="3"/>
  <c r="L356" i="4" l="1"/>
  <c r="V356" i="3"/>
  <c r="K355" i="4"/>
  <c r="M355" i="4"/>
  <c r="W356" i="3" l="1"/>
  <c r="X356" i="3"/>
  <c r="Y356" i="3" s="1"/>
  <c r="Z356" i="3" s="1"/>
  <c r="AA356" i="3" s="1"/>
  <c r="AB356" i="3" s="1"/>
  <c r="C356" i="4" l="1"/>
  <c r="AC356" i="3"/>
  <c r="AD356" i="3" s="1"/>
  <c r="M357" i="3"/>
  <c r="O357" i="3" l="1"/>
  <c r="AI357" i="3"/>
  <c r="N357" i="3"/>
  <c r="P357" i="3" s="1"/>
  <c r="Q357" i="3" s="1"/>
  <c r="G356" i="4"/>
  <c r="I356" i="4" s="1"/>
  <c r="J356" i="4" s="1"/>
  <c r="H356" i="4"/>
  <c r="K356" i="4" l="1"/>
  <c r="M356" i="4"/>
  <c r="L357" i="4"/>
  <c r="V357" i="3"/>
  <c r="W357" i="3" l="1"/>
  <c r="X357" i="3"/>
  <c r="Y357" i="3" s="1"/>
  <c r="Z357" i="3" s="1"/>
  <c r="AA357" i="3" s="1"/>
  <c r="AB357" i="3" s="1"/>
  <c r="M358" i="3" l="1"/>
  <c r="C357" i="4"/>
  <c r="AC357" i="3"/>
  <c r="AD357" i="3" s="1"/>
  <c r="G357" i="4" l="1"/>
  <c r="I357" i="4" s="1"/>
  <c r="J357" i="4" s="1"/>
  <c r="H357" i="4"/>
  <c r="AI358" i="3"/>
  <c r="O358" i="3"/>
  <c r="N358" i="3"/>
  <c r="P358" i="3" l="1"/>
  <c r="Q358" i="3" s="1"/>
  <c r="M357" i="4"/>
  <c r="K357" i="4"/>
  <c r="L358" i="4" l="1"/>
  <c r="V358" i="3"/>
  <c r="W358" i="3" l="1"/>
  <c r="X358" i="3"/>
  <c r="Y358" i="3" s="1"/>
  <c r="Z358" i="3" s="1"/>
  <c r="AA358" i="3" s="1"/>
  <c r="AB358" i="3" s="1"/>
  <c r="C358" i="4" l="1"/>
  <c r="M359" i="3"/>
  <c r="AC358" i="3"/>
  <c r="AD358" i="3" s="1"/>
  <c r="AI359" i="3" l="1"/>
  <c r="O359" i="3"/>
  <c r="N359" i="3"/>
  <c r="P359" i="3" s="1"/>
  <c r="Q359" i="3" s="1"/>
  <c r="H358" i="4"/>
  <c r="G358" i="4"/>
  <c r="I358" i="4" s="1"/>
  <c r="J358" i="4" s="1"/>
  <c r="L359" i="4" l="1"/>
  <c r="V359" i="3"/>
  <c r="K358" i="4"/>
  <c r="M358" i="4"/>
  <c r="W359" i="3" l="1"/>
  <c r="X359" i="3" s="1"/>
  <c r="Y359" i="3" s="1"/>
  <c r="Z359" i="3" s="1"/>
  <c r="AA359" i="3" s="1"/>
  <c r="AB359" i="3" s="1"/>
  <c r="C359" i="4" l="1"/>
  <c r="AC359" i="3"/>
  <c r="AD359" i="3" s="1"/>
  <c r="M360" i="3"/>
  <c r="N360" i="3" l="1"/>
  <c r="AI360" i="3"/>
  <c r="O360" i="3"/>
  <c r="G359" i="4"/>
  <c r="I359" i="4" s="1"/>
  <c r="J359" i="4" s="1"/>
  <c r="H359" i="4"/>
  <c r="M359" i="4" l="1"/>
  <c r="K359" i="4"/>
  <c r="P360" i="3"/>
  <c r="Q360" i="3" s="1"/>
  <c r="L360" i="4" l="1"/>
  <c r="V360" i="3"/>
  <c r="W360" i="3" l="1"/>
  <c r="X360" i="3" s="1"/>
  <c r="Y360" i="3" s="1"/>
  <c r="Z360" i="3" s="1"/>
  <c r="AA360" i="3" s="1"/>
  <c r="AB360" i="3" s="1"/>
  <c r="M361" i="3" l="1"/>
  <c r="AC360" i="3"/>
  <c r="AD360" i="3" s="1"/>
  <c r="C360" i="4"/>
  <c r="H360" i="4" l="1"/>
  <c r="G360" i="4"/>
  <c r="I360" i="4" s="1"/>
  <c r="J360" i="4" s="1"/>
  <c r="AI361" i="3"/>
  <c r="O361" i="3"/>
  <c r="N361" i="3"/>
  <c r="K360" i="4" l="1"/>
  <c r="M360" i="4"/>
  <c r="P361" i="3"/>
  <c r="Q361" i="3" s="1"/>
  <c r="L361" i="4" l="1"/>
  <c r="V361" i="3"/>
  <c r="W361" i="3" l="1"/>
  <c r="X361" i="3"/>
  <c r="Y361" i="3" s="1"/>
  <c r="Z361" i="3" s="1"/>
  <c r="AA361" i="3" s="1"/>
  <c r="AB361" i="3" s="1"/>
  <c r="C361" i="4" l="1"/>
  <c r="AC361" i="3"/>
  <c r="AD361" i="3" s="1"/>
  <c r="M362" i="3"/>
  <c r="AI362" i="3" l="1"/>
  <c r="N362" i="3"/>
  <c r="O362" i="3"/>
  <c r="G361" i="4"/>
  <c r="I361" i="4" s="1"/>
  <c r="J361" i="4" s="1"/>
  <c r="H361" i="4"/>
  <c r="K361" i="4" l="1"/>
  <c r="M361" i="4"/>
  <c r="P362" i="3"/>
  <c r="Q362" i="3" s="1"/>
  <c r="L362" i="4" l="1"/>
  <c r="V362" i="3"/>
  <c r="W362" i="3" l="1"/>
  <c r="X362" i="3"/>
  <c r="Y362" i="3" s="1"/>
  <c r="Z362" i="3" s="1"/>
  <c r="AA362" i="3" s="1"/>
  <c r="AB362" i="3" s="1"/>
  <c r="AC362" i="3" l="1"/>
  <c r="AD362" i="3" s="1"/>
  <c r="C362" i="4"/>
  <c r="M363" i="3"/>
  <c r="N363" i="3" l="1"/>
  <c r="AI363" i="3"/>
  <c r="O363" i="3"/>
  <c r="G362" i="4"/>
  <c r="I362" i="4" s="1"/>
  <c r="J362" i="4" s="1"/>
  <c r="H362" i="4"/>
  <c r="M362" i="4" l="1"/>
  <c r="K362" i="4"/>
  <c r="P363" i="3"/>
  <c r="Q363" i="3" s="1"/>
  <c r="L363" i="4" l="1"/>
  <c r="V363" i="3"/>
  <c r="W363" i="3" l="1"/>
  <c r="X363" i="3" s="1"/>
  <c r="Y363" i="3" s="1"/>
  <c r="Z363" i="3" s="1"/>
  <c r="AA363" i="3" s="1"/>
  <c r="AB363" i="3" s="1"/>
  <c r="M364" i="3" l="1"/>
  <c r="C363" i="4"/>
  <c r="AC363" i="3"/>
  <c r="AD363" i="3" s="1"/>
  <c r="H363" i="4" l="1"/>
  <c r="G363" i="4"/>
  <c r="I363" i="4" s="1"/>
  <c r="J363" i="4" s="1"/>
  <c r="AI364" i="3"/>
  <c r="N364" i="3"/>
  <c r="P364" i="3" s="1"/>
  <c r="Q364" i="3" s="1"/>
  <c r="O364" i="3"/>
  <c r="L364" i="4" l="1"/>
  <c r="C33" i="5" s="1"/>
  <c r="N33" i="5" s="1"/>
  <c r="V364" i="3"/>
  <c r="M363" i="4"/>
  <c r="K363" i="4"/>
  <c r="W364" i="3" l="1"/>
  <c r="X364" i="3"/>
  <c r="Y364" i="3" s="1"/>
  <c r="Z364" i="3" s="1"/>
  <c r="AA364" i="3" s="1"/>
  <c r="AB364" i="3" s="1"/>
  <c r="M365" i="3" l="1"/>
  <c r="AC364" i="3"/>
  <c r="AD364" i="3" s="1"/>
  <c r="C364" i="4"/>
  <c r="G364" i="4" l="1"/>
  <c r="I364" i="4" s="1"/>
  <c r="J364" i="4" s="1"/>
  <c r="H364" i="4"/>
  <c r="AI365" i="3"/>
  <c r="N365" i="3"/>
  <c r="P365" i="3" s="1"/>
  <c r="Q365" i="3" s="1"/>
  <c r="O365" i="3"/>
  <c r="L365" i="4" l="1"/>
  <c r="V365" i="3"/>
  <c r="M364" i="4"/>
  <c r="K364" i="4"/>
  <c r="E33" i="5" s="1"/>
  <c r="D33" i="5"/>
  <c r="W365" i="3" l="1"/>
  <c r="X365" i="3"/>
  <c r="Y365" i="3" s="1"/>
  <c r="Z365" i="3" s="1"/>
  <c r="AA365" i="3" s="1"/>
  <c r="AB365" i="3" s="1"/>
  <c r="C365" i="4" l="1"/>
  <c r="AC365" i="3"/>
  <c r="AD365" i="3" s="1"/>
  <c r="M366" i="3"/>
  <c r="N366" i="3" l="1"/>
  <c r="AI366" i="3"/>
  <c r="O366" i="3"/>
  <c r="H365" i="4"/>
  <c r="G365" i="4"/>
  <c r="I365" i="4" s="1"/>
  <c r="J365" i="4" s="1"/>
  <c r="M365" i="4" l="1"/>
  <c r="K365" i="4"/>
  <c r="P366" i="3"/>
  <c r="Q366" i="3" s="1"/>
  <c r="L366" i="4" l="1"/>
  <c r="V366" i="3"/>
  <c r="W366" i="3" l="1"/>
  <c r="X366" i="3"/>
  <c r="Y366" i="3" s="1"/>
  <c r="Z366" i="3" s="1"/>
  <c r="AA366" i="3" s="1"/>
  <c r="AB366" i="3" s="1"/>
  <c r="AC366" i="3" l="1"/>
  <c r="AD366" i="3" s="1"/>
  <c r="C366" i="4"/>
  <c r="M367" i="3"/>
  <c r="N367" i="3" l="1"/>
  <c r="AI367" i="3"/>
  <c r="O367" i="3"/>
  <c r="G366" i="4"/>
  <c r="I366" i="4" s="1"/>
  <c r="J366" i="4" s="1"/>
  <c r="H366" i="4"/>
  <c r="M366" i="4" l="1"/>
  <c r="K366" i="4"/>
  <c r="P367" i="3"/>
  <c r="Q367" i="3" s="1"/>
  <c r="L367" i="4" l="1"/>
  <c r="V367" i="3"/>
  <c r="W367" i="3" l="1"/>
  <c r="X367" i="3" s="1"/>
  <c r="Y367" i="3" s="1"/>
  <c r="Z367" i="3" s="1"/>
  <c r="AA367" i="3" s="1"/>
  <c r="AB367" i="3" s="1"/>
  <c r="C367" i="4" l="1"/>
  <c r="M368" i="3"/>
  <c r="AC367" i="3"/>
  <c r="AD367" i="3" s="1"/>
  <c r="O368" i="3" l="1"/>
  <c r="AI368" i="3"/>
  <c r="N368" i="3"/>
  <c r="P368" i="3" s="1"/>
  <c r="Q368" i="3" s="1"/>
  <c r="H367" i="4"/>
  <c r="G367" i="4"/>
  <c r="I367" i="4" s="1"/>
  <c r="J367" i="4" s="1"/>
  <c r="L368" i="4" l="1"/>
  <c r="V368" i="3"/>
  <c r="M367" i="4"/>
  <c r="K367" i="4"/>
  <c r="W368" i="3" l="1"/>
  <c r="X368" i="3" s="1"/>
  <c r="Y368" i="3" s="1"/>
  <c r="Z368" i="3" s="1"/>
  <c r="AA368" i="3" s="1"/>
  <c r="AB368" i="3" s="1"/>
  <c r="C368" i="4" l="1"/>
  <c r="AC368" i="3"/>
  <c r="AD368" i="3" s="1"/>
  <c r="M369" i="3"/>
  <c r="O369" i="3" l="1"/>
  <c r="AI369" i="3"/>
  <c r="N369" i="3"/>
  <c r="P369" i="3" s="1"/>
  <c r="Q369" i="3" s="1"/>
  <c r="H368" i="4"/>
  <c r="G368" i="4"/>
  <c r="I368" i="4" s="1"/>
  <c r="J368" i="4" s="1"/>
  <c r="L369" i="4" l="1"/>
  <c r="V369" i="3"/>
  <c r="K368" i="4"/>
  <c r="M368" i="4"/>
  <c r="W369" i="3" l="1"/>
  <c r="X369" i="3" s="1"/>
  <c r="Y369" i="3" s="1"/>
  <c r="Z369" i="3" s="1"/>
  <c r="AA369" i="3" s="1"/>
  <c r="AB369" i="3" s="1"/>
  <c r="C369" i="4" l="1"/>
  <c r="M370" i="3"/>
  <c r="AC369" i="3"/>
  <c r="AD369" i="3" s="1"/>
  <c r="AI370" i="3" l="1"/>
  <c r="N370" i="3"/>
  <c r="O370" i="3"/>
  <c r="G369" i="4"/>
  <c r="I369" i="4" s="1"/>
  <c r="J369" i="4" s="1"/>
  <c r="H369" i="4"/>
  <c r="M369" i="4" l="1"/>
  <c r="K369" i="4"/>
  <c r="P370" i="3"/>
  <c r="Q370" i="3" s="1"/>
  <c r="L370" i="4" l="1"/>
  <c r="V370" i="3"/>
  <c r="W370" i="3" l="1"/>
  <c r="X370" i="3"/>
  <c r="Y370" i="3" s="1"/>
  <c r="Z370" i="3" s="1"/>
  <c r="AA370" i="3" s="1"/>
  <c r="AB370" i="3" s="1"/>
  <c r="C370" i="4" l="1"/>
  <c r="AC370" i="3"/>
  <c r="AD370" i="3" s="1"/>
  <c r="M371" i="3"/>
  <c r="N371" i="3" l="1"/>
  <c r="AI371" i="3"/>
  <c r="O371" i="3"/>
  <c r="H370" i="4"/>
  <c r="G370" i="4"/>
  <c r="I370" i="4" s="1"/>
  <c r="J370" i="4" s="1"/>
  <c r="M370" i="4" l="1"/>
  <c r="K370" i="4"/>
  <c r="P371" i="3"/>
  <c r="Q371" i="3" s="1"/>
  <c r="L371" i="4" l="1"/>
  <c r="V371" i="3"/>
  <c r="W371" i="3" l="1"/>
  <c r="X371" i="3" s="1"/>
  <c r="Y371" i="3" s="1"/>
  <c r="Z371" i="3" s="1"/>
  <c r="AA371" i="3" s="1"/>
  <c r="AB371" i="3" s="1"/>
  <c r="C371" i="4" l="1"/>
  <c r="AC371" i="3"/>
  <c r="AD371" i="3" s="1"/>
  <c r="M372" i="3"/>
  <c r="O372" i="3" l="1"/>
  <c r="N372" i="3"/>
  <c r="P372" i="3" s="1"/>
  <c r="Q372" i="3" s="1"/>
  <c r="AI372" i="3"/>
  <c r="H371" i="4"/>
  <c r="G371" i="4"/>
  <c r="I371" i="4" s="1"/>
  <c r="J371" i="4" s="1"/>
  <c r="L372" i="4" l="1"/>
  <c r="V372" i="3"/>
  <c r="K371" i="4"/>
  <c r="M371" i="4"/>
  <c r="W372" i="3" l="1"/>
  <c r="X372" i="3" s="1"/>
  <c r="Y372" i="3" s="1"/>
  <c r="Z372" i="3" s="1"/>
  <c r="AA372" i="3" s="1"/>
  <c r="AB372" i="3" s="1"/>
  <c r="M373" i="3" l="1"/>
  <c r="C372" i="4"/>
  <c r="AC372" i="3"/>
  <c r="AD372" i="3" s="1"/>
  <c r="G372" i="4" l="1"/>
  <c r="I372" i="4" s="1"/>
  <c r="J372" i="4" s="1"/>
  <c r="H372" i="4"/>
  <c r="O373" i="3"/>
  <c r="AI373" i="3"/>
  <c r="N373" i="3"/>
  <c r="P373" i="3" l="1"/>
  <c r="Q373" i="3" s="1"/>
  <c r="M372" i="4"/>
  <c r="K372" i="4"/>
  <c r="L373" i="4" l="1"/>
  <c r="V373" i="3"/>
  <c r="W373" i="3" l="1"/>
  <c r="X373" i="3"/>
  <c r="Y373" i="3" s="1"/>
  <c r="Z373" i="3" s="1"/>
  <c r="AA373" i="3" s="1"/>
  <c r="AB373" i="3" s="1"/>
  <c r="AC373" i="3" l="1"/>
  <c r="AD373" i="3" s="1"/>
  <c r="M374" i="3"/>
  <c r="C373" i="4"/>
  <c r="G373" i="4" l="1"/>
  <c r="I373" i="4" s="1"/>
  <c r="J373" i="4" s="1"/>
  <c r="H373" i="4"/>
  <c r="AI374" i="3"/>
  <c r="N374" i="3"/>
  <c r="P374" i="3" s="1"/>
  <c r="Q374" i="3" s="1"/>
  <c r="O374" i="3"/>
  <c r="L374" i="4" l="1"/>
  <c r="V374" i="3"/>
  <c r="K373" i="4"/>
  <c r="M373" i="4"/>
  <c r="W374" i="3" l="1"/>
  <c r="X374" i="3"/>
  <c r="Y374" i="3" s="1"/>
  <c r="Z374" i="3" s="1"/>
  <c r="AA374" i="3" s="1"/>
  <c r="AB374" i="3" s="1"/>
  <c r="AC374" i="3" l="1"/>
  <c r="AD374" i="3" s="1"/>
  <c r="M375" i="3"/>
  <c r="C374" i="4"/>
  <c r="H374" i="4" l="1"/>
  <c r="G374" i="4"/>
  <c r="I374" i="4" s="1"/>
  <c r="J374" i="4" s="1"/>
  <c r="N375" i="3"/>
  <c r="O375" i="3"/>
  <c r="AI375" i="3"/>
  <c r="P375" i="3" l="1"/>
  <c r="Q375" i="3" s="1"/>
  <c r="K374" i="4"/>
  <c r="M374" i="4"/>
  <c r="L375" i="4" l="1"/>
  <c r="V375" i="3"/>
  <c r="W375" i="3" l="1"/>
  <c r="X375" i="3" s="1"/>
  <c r="Y375" i="3" s="1"/>
  <c r="Z375" i="3" s="1"/>
  <c r="AA375" i="3" s="1"/>
  <c r="AB375" i="3" s="1"/>
  <c r="M376" i="3" l="1"/>
  <c r="AC375" i="3"/>
  <c r="AD375" i="3" s="1"/>
  <c r="C375" i="4"/>
  <c r="G375" i="4" l="1"/>
  <c r="I375" i="4" s="1"/>
  <c r="J375" i="4" s="1"/>
  <c r="H375" i="4"/>
  <c r="AI376" i="3"/>
  <c r="N376" i="3"/>
  <c r="P376" i="3" s="1"/>
  <c r="Q376" i="3" s="1"/>
  <c r="O376" i="3"/>
  <c r="L376" i="4" l="1"/>
  <c r="V376" i="3"/>
  <c r="K375" i="4"/>
  <c r="M375" i="4"/>
  <c r="W376" i="3" l="1"/>
  <c r="X376" i="3"/>
  <c r="Y376" i="3" s="1"/>
  <c r="Z376" i="3" s="1"/>
  <c r="AA376" i="3" s="1"/>
  <c r="AB376" i="3" s="1"/>
  <c r="C376" i="4" l="1"/>
  <c r="M377" i="3"/>
  <c r="AC376" i="3"/>
  <c r="AD376" i="3" s="1"/>
  <c r="O377" i="3" l="1"/>
  <c r="AI377" i="3"/>
  <c r="N377" i="3"/>
  <c r="P377" i="3" s="1"/>
  <c r="Q377" i="3" s="1"/>
  <c r="G376" i="4"/>
  <c r="I376" i="4" s="1"/>
  <c r="J376" i="4" s="1"/>
  <c r="H376" i="4"/>
  <c r="K376" i="4" l="1"/>
  <c r="M376" i="4"/>
  <c r="L377" i="4"/>
  <c r="V377" i="3"/>
  <c r="W377" i="3" l="1"/>
  <c r="X377" i="3"/>
  <c r="Y377" i="3" s="1"/>
  <c r="Z377" i="3" s="1"/>
  <c r="AA377" i="3" s="1"/>
  <c r="AB377" i="3" s="1"/>
  <c r="AC377" i="3" l="1"/>
  <c r="AD377" i="3" s="1"/>
  <c r="M378" i="3"/>
  <c r="C377" i="4"/>
  <c r="G377" i="4" l="1"/>
  <c r="I377" i="4" s="1"/>
  <c r="J377" i="4" s="1"/>
  <c r="H377" i="4"/>
  <c r="AI378" i="3"/>
  <c r="N378" i="3"/>
  <c r="P378" i="3" s="1"/>
  <c r="Q378" i="3" s="1"/>
  <c r="O378" i="3"/>
  <c r="L378" i="4" l="1"/>
  <c r="V378" i="3"/>
  <c r="K377" i="4"/>
  <c r="M377" i="4"/>
  <c r="W378" i="3" l="1"/>
  <c r="X378" i="3"/>
  <c r="Y378" i="3" s="1"/>
  <c r="Z378" i="3" s="1"/>
  <c r="AA378" i="3" s="1"/>
  <c r="AB378" i="3" s="1"/>
  <c r="M379" i="3" l="1"/>
  <c r="C378" i="4"/>
  <c r="AC378" i="3"/>
  <c r="AD378" i="3" s="1"/>
  <c r="H378" i="4" l="1"/>
  <c r="G378" i="4"/>
  <c r="I378" i="4" s="1"/>
  <c r="J378" i="4" s="1"/>
  <c r="AI379" i="3"/>
  <c r="N379" i="3"/>
  <c r="P379" i="3" s="1"/>
  <c r="Q379" i="3" s="1"/>
  <c r="O379" i="3"/>
  <c r="L379" i="4" l="1"/>
  <c r="V379" i="3"/>
  <c r="K378" i="4"/>
  <c r="M378" i="4"/>
  <c r="W379" i="3" l="1"/>
  <c r="X379" i="3" s="1"/>
  <c r="Y379" i="3" s="1"/>
  <c r="Z379" i="3" s="1"/>
  <c r="AA379" i="3" s="1"/>
  <c r="AB379" i="3" s="1"/>
  <c r="C379" i="4" l="1"/>
  <c r="AC379" i="3"/>
  <c r="AD379" i="3" s="1"/>
  <c r="M380" i="3"/>
  <c r="AI380" i="3" l="1"/>
  <c r="O380" i="3"/>
  <c r="N380" i="3"/>
  <c r="P380" i="3" s="1"/>
  <c r="Q380" i="3" s="1"/>
  <c r="H379" i="4"/>
  <c r="G379" i="4"/>
  <c r="I379" i="4" s="1"/>
  <c r="J379" i="4" s="1"/>
  <c r="L380" i="4" l="1"/>
  <c r="V380" i="3"/>
  <c r="K379" i="4"/>
  <c r="M379" i="4"/>
  <c r="W380" i="3" l="1"/>
  <c r="X380" i="3"/>
  <c r="Y380" i="3" s="1"/>
  <c r="Z380" i="3" s="1"/>
  <c r="AA380" i="3" s="1"/>
  <c r="AB380" i="3" s="1"/>
  <c r="C380" i="4" l="1"/>
  <c r="M381" i="3"/>
  <c r="AC380" i="3"/>
  <c r="AD380" i="3" s="1"/>
  <c r="AI381" i="3" l="1"/>
  <c r="O381" i="3"/>
  <c r="N381" i="3"/>
  <c r="P381" i="3" s="1"/>
  <c r="Q381" i="3" s="1"/>
  <c r="G380" i="4"/>
  <c r="I380" i="4" s="1"/>
  <c r="J380" i="4" s="1"/>
  <c r="H380" i="4"/>
  <c r="K380" i="4" l="1"/>
  <c r="M380" i="4"/>
  <c r="L381" i="4"/>
  <c r="V381" i="3"/>
  <c r="X381" i="3" l="1"/>
  <c r="Y381" i="3" s="1"/>
  <c r="Z381" i="3" s="1"/>
  <c r="AA381" i="3" s="1"/>
  <c r="AB381" i="3" s="1"/>
  <c r="W381" i="3"/>
  <c r="AC381" i="3" l="1"/>
  <c r="AD381" i="3" s="1"/>
  <c r="M382" i="3"/>
  <c r="C381" i="4"/>
  <c r="G381" i="4" l="1"/>
  <c r="I381" i="4" s="1"/>
  <c r="J381" i="4" s="1"/>
  <c r="H381" i="4"/>
  <c r="O382" i="3"/>
  <c r="AI382" i="3"/>
  <c r="N382" i="3"/>
  <c r="P382" i="3" l="1"/>
  <c r="Q382" i="3" s="1"/>
  <c r="M381" i="4"/>
  <c r="K381" i="4"/>
  <c r="L382" i="4" l="1"/>
  <c r="V382" i="3"/>
  <c r="W382" i="3" l="1"/>
  <c r="X382" i="3"/>
  <c r="Y382" i="3" s="1"/>
  <c r="Z382" i="3" s="1"/>
  <c r="AA382" i="3" s="1"/>
  <c r="AB382" i="3" s="1"/>
  <c r="AC382" i="3" l="1"/>
  <c r="AD382" i="3" s="1"/>
  <c r="C382" i="4"/>
  <c r="M383" i="3"/>
  <c r="AI383" i="3" l="1"/>
  <c r="O383" i="3"/>
  <c r="N383" i="3"/>
  <c r="P383" i="3" s="1"/>
  <c r="Q383" i="3" s="1"/>
  <c r="H382" i="4"/>
  <c r="G382" i="4"/>
  <c r="I382" i="4" s="1"/>
  <c r="J382" i="4" s="1"/>
  <c r="L383" i="4" l="1"/>
  <c r="V383" i="3"/>
  <c r="M382" i="4"/>
  <c r="K382" i="4"/>
  <c r="W383" i="3" l="1"/>
  <c r="X383" i="3" s="1"/>
  <c r="Y383" i="3" s="1"/>
  <c r="Z383" i="3" s="1"/>
  <c r="AA383" i="3" s="1"/>
  <c r="AB383" i="3" s="1"/>
  <c r="C383" i="4" l="1"/>
  <c r="M384" i="3"/>
  <c r="AC383" i="3"/>
  <c r="AD383" i="3" s="1"/>
  <c r="O384" i="3" l="1"/>
  <c r="AI384" i="3"/>
  <c r="N384" i="3"/>
  <c r="P384" i="3" s="1"/>
  <c r="Q384" i="3" s="1"/>
  <c r="H383" i="4"/>
  <c r="G383" i="4"/>
  <c r="I383" i="4" s="1"/>
  <c r="J383" i="4" s="1"/>
  <c r="L384" i="4" l="1"/>
  <c r="V384" i="3"/>
  <c r="K383" i="4"/>
  <c r="M383" i="4"/>
  <c r="W384" i="3" l="1"/>
  <c r="X384" i="3"/>
  <c r="Y384" i="3" s="1"/>
  <c r="Z384" i="3" s="1"/>
  <c r="AA384" i="3" s="1"/>
  <c r="AB384" i="3" s="1"/>
  <c r="C384" i="4" l="1"/>
  <c r="AC384" i="3"/>
  <c r="AD384" i="3" s="1"/>
  <c r="M385" i="3"/>
  <c r="O385" i="3" l="1"/>
  <c r="AI385" i="3"/>
  <c r="N385" i="3"/>
  <c r="P385" i="3" s="1"/>
  <c r="Q385" i="3" s="1"/>
  <c r="G384" i="4"/>
  <c r="I384" i="4" s="1"/>
  <c r="J384" i="4" s="1"/>
  <c r="H384" i="4"/>
  <c r="M384" i="4" l="1"/>
  <c r="K384" i="4"/>
  <c r="L385" i="4"/>
  <c r="V385" i="3"/>
  <c r="W385" i="3" l="1"/>
  <c r="X385" i="3" s="1"/>
  <c r="Y385" i="3" s="1"/>
  <c r="Z385" i="3" s="1"/>
  <c r="AA385" i="3" s="1"/>
  <c r="AB385" i="3" s="1"/>
  <c r="AC385" i="3" l="1"/>
  <c r="AD385" i="3" s="1"/>
  <c r="M386" i="3"/>
  <c r="C385" i="4"/>
  <c r="H385" i="4" l="1"/>
  <c r="G385" i="4"/>
  <c r="I385" i="4" s="1"/>
  <c r="J385" i="4" s="1"/>
  <c r="AI386" i="3"/>
  <c r="N386" i="3"/>
  <c r="P386" i="3" s="1"/>
  <c r="Q386" i="3" s="1"/>
  <c r="O386" i="3"/>
  <c r="L386" i="4" l="1"/>
  <c r="V386" i="3"/>
  <c r="K385" i="4"/>
  <c r="M385" i="4"/>
  <c r="W386" i="3" l="1"/>
  <c r="X386" i="3"/>
  <c r="Y386" i="3" s="1"/>
  <c r="Z386" i="3" s="1"/>
  <c r="AA386" i="3" s="1"/>
  <c r="AB386" i="3" s="1"/>
  <c r="M387" i="3" l="1"/>
  <c r="C386" i="4"/>
  <c r="AC386" i="3"/>
  <c r="AD386" i="3" s="1"/>
  <c r="N387" i="3" l="1"/>
  <c r="O387" i="3"/>
  <c r="AI387" i="3"/>
  <c r="G386" i="4"/>
  <c r="I386" i="4" s="1"/>
  <c r="J386" i="4" s="1"/>
  <c r="H386" i="4"/>
  <c r="M386" i="4" l="1"/>
  <c r="K386" i="4"/>
  <c r="P387" i="3"/>
  <c r="Q387" i="3" s="1"/>
  <c r="L387" i="4" l="1"/>
  <c r="V387" i="3"/>
  <c r="W387" i="3" l="1"/>
  <c r="X387" i="3" s="1"/>
  <c r="Y387" i="3" s="1"/>
  <c r="Z387" i="3" s="1"/>
  <c r="AA387" i="3" s="1"/>
  <c r="AB387" i="3" s="1"/>
  <c r="M388" i="3" l="1"/>
  <c r="C387" i="4"/>
  <c r="AC387" i="3"/>
  <c r="AD387" i="3" s="1"/>
  <c r="G387" i="4" l="1"/>
  <c r="I387" i="4" s="1"/>
  <c r="J387" i="4" s="1"/>
  <c r="H387" i="4"/>
  <c r="N388" i="3"/>
  <c r="O388" i="3"/>
  <c r="AI388" i="3"/>
  <c r="P388" i="3" l="1"/>
  <c r="Q388" i="3" s="1"/>
  <c r="K387" i="4"/>
  <c r="M387" i="4"/>
  <c r="L388" i="4" l="1"/>
  <c r="V388" i="3"/>
  <c r="W388" i="3" l="1"/>
  <c r="X388" i="3" s="1"/>
  <c r="Y388" i="3" s="1"/>
  <c r="Z388" i="3" s="1"/>
  <c r="AA388" i="3" s="1"/>
  <c r="AB388" i="3" s="1"/>
  <c r="M389" i="3" l="1"/>
  <c r="C388" i="4"/>
  <c r="AC388" i="3"/>
  <c r="AD388" i="3" s="1"/>
  <c r="H388" i="4" l="1"/>
  <c r="G388" i="4"/>
  <c r="I388" i="4" s="1"/>
  <c r="J388" i="4" s="1"/>
  <c r="N389" i="3"/>
  <c r="O389" i="3"/>
  <c r="AI389" i="3"/>
  <c r="P389" i="3" l="1"/>
  <c r="Q389" i="3" s="1"/>
  <c r="M388" i="4"/>
  <c r="K388" i="4"/>
  <c r="L389" i="4" l="1"/>
  <c r="V389" i="3"/>
  <c r="W389" i="3" l="1"/>
  <c r="X389" i="3"/>
  <c r="Y389" i="3" s="1"/>
  <c r="Z389" i="3" s="1"/>
  <c r="AA389" i="3" s="1"/>
  <c r="AB389" i="3" s="1"/>
  <c r="AC389" i="3" l="1"/>
  <c r="AD389" i="3" s="1"/>
  <c r="C389" i="4"/>
  <c r="M390" i="3"/>
  <c r="AI390" i="3" l="1"/>
  <c r="O390" i="3"/>
  <c r="N390" i="3"/>
  <c r="P390" i="3" s="1"/>
  <c r="Q390" i="3" s="1"/>
  <c r="H389" i="4"/>
  <c r="G389" i="4"/>
  <c r="I389" i="4" s="1"/>
  <c r="J389" i="4" s="1"/>
  <c r="L390" i="4" l="1"/>
  <c r="V390" i="3"/>
  <c r="M389" i="4"/>
  <c r="K389" i="4"/>
  <c r="W390" i="3" l="1"/>
  <c r="X390" i="3"/>
  <c r="Y390" i="3" s="1"/>
  <c r="Z390" i="3" s="1"/>
  <c r="AA390" i="3" s="1"/>
  <c r="AB390" i="3" s="1"/>
  <c r="AC390" i="3" l="1"/>
  <c r="AD390" i="3" s="1"/>
  <c r="M391" i="3"/>
  <c r="C390" i="4"/>
  <c r="G390" i="4" l="1"/>
  <c r="I390" i="4" s="1"/>
  <c r="J390" i="4" s="1"/>
  <c r="H390" i="4"/>
  <c r="N391" i="3"/>
  <c r="O391" i="3"/>
  <c r="AI391" i="3"/>
  <c r="K390" i="4" l="1"/>
  <c r="M390" i="4"/>
  <c r="P391" i="3"/>
  <c r="Q391" i="3" s="1"/>
  <c r="L391" i="4" l="1"/>
  <c r="V391" i="3"/>
  <c r="W391" i="3" l="1"/>
  <c r="X391" i="3" s="1"/>
  <c r="Y391" i="3" s="1"/>
  <c r="Z391" i="3" s="1"/>
  <c r="AA391" i="3" s="1"/>
  <c r="AB391" i="3" s="1"/>
  <c r="M392" i="3" l="1"/>
  <c r="AC391" i="3"/>
  <c r="AD391" i="3" s="1"/>
  <c r="C391" i="4"/>
  <c r="H391" i="4" l="1"/>
  <c r="G391" i="4"/>
  <c r="I391" i="4" s="1"/>
  <c r="J391" i="4" s="1"/>
  <c r="O392" i="3"/>
  <c r="AI392" i="3"/>
  <c r="N392" i="3"/>
  <c r="M391" i="4" l="1"/>
  <c r="K391" i="4"/>
  <c r="P392" i="3"/>
  <c r="Q392" i="3" s="1"/>
  <c r="L392" i="4" l="1"/>
  <c r="V392" i="3"/>
  <c r="W392" i="3" l="1"/>
  <c r="X392" i="3"/>
  <c r="Y392" i="3" s="1"/>
  <c r="Z392" i="3" s="1"/>
  <c r="AA392" i="3" s="1"/>
  <c r="AB392" i="3" s="1"/>
  <c r="AC392" i="3" l="1"/>
  <c r="AD392" i="3" s="1"/>
  <c r="M393" i="3"/>
  <c r="C392" i="4"/>
  <c r="H392" i="4" l="1"/>
  <c r="G392" i="4"/>
  <c r="I392" i="4" s="1"/>
  <c r="J392" i="4" s="1"/>
  <c r="AI393" i="3"/>
  <c r="N393" i="3"/>
  <c r="P393" i="3" s="1"/>
  <c r="Q393" i="3" s="1"/>
  <c r="O393" i="3"/>
  <c r="L393" i="4" l="1"/>
  <c r="V393" i="3"/>
  <c r="K392" i="4"/>
  <c r="M392" i="4"/>
  <c r="W393" i="3" l="1"/>
  <c r="X393" i="3"/>
  <c r="Y393" i="3" s="1"/>
  <c r="Z393" i="3" s="1"/>
  <c r="AA393" i="3" s="1"/>
  <c r="AB393" i="3" s="1"/>
  <c r="M394" i="3" l="1"/>
  <c r="C393" i="4"/>
  <c r="AC393" i="3"/>
  <c r="AD393" i="3" s="1"/>
  <c r="H393" i="4" l="1"/>
  <c r="G393" i="4"/>
  <c r="I393" i="4" s="1"/>
  <c r="J393" i="4" s="1"/>
  <c r="AI394" i="3"/>
  <c r="O394" i="3"/>
  <c r="N394" i="3"/>
  <c r="K393" i="4" l="1"/>
  <c r="M393" i="4"/>
  <c r="P394" i="3"/>
  <c r="Q394" i="3" s="1"/>
  <c r="L394" i="4" l="1"/>
  <c r="V394" i="3"/>
  <c r="W394" i="3" l="1"/>
  <c r="X394" i="3"/>
  <c r="Y394" i="3" s="1"/>
  <c r="Z394" i="3" s="1"/>
  <c r="AA394" i="3" s="1"/>
  <c r="AB394" i="3" s="1"/>
  <c r="AC394" i="3" l="1"/>
  <c r="AD394" i="3" s="1"/>
  <c r="M395" i="3"/>
  <c r="C394" i="4"/>
  <c r="H394" i="4" l="1"/>
  <c r="G394" i="4"/>
  <c r="I394" i="4" s="1"/>
  <c r="J394" i="4" s="1"/>
  <c r="AI395" i="3"/>
  <c r="O395" i="3"/>
  <c r="N395" i="3"/>
  <c r="M394" i="4" l="1"/>
  <c r="K394" i="4"/>
  <c r="P395" i="3"/>
  <c r="Q395" i="3" s="1"/>
  <c r="L395" i="4" l="1"/>
  <c r="V395" i="3"/>
  <c r="W395" i="3" l="1"/>
  <c r="X395" i="3" s="1"/>
  <c r="Y395" i="3" s="1"/>
  <c r="Z395" i="3" s="1"/>
  <c r="AA395" i="3" s="1"/>
  <c r="AB395" i="3" s="1"/>
  <c r="M396" i="3" l="1"/>
  <c r="C395" i="4"/>
  <c r="AC395" i="3"/>
  <c r="AD395" i="3" s="1"/>
  <c r="H395" i="4" l="1"/>
  <c r="G395" i="4"/>
  <c r="I395" i="4" s="1"/>
  <c r="J395" i="4" s="1"/>
  <c r="N396" i="3"/>
  <c r="P396" i="3" s="1"/>
  <c r="Q396" i="3" s="1"/>
  <c r="AI396" i="3"/>
  <c r="O396" i="3"/>
  <c r="L396" i="4" l="1"/>
  <c r="V396" i="3"/>
  <c r="M395" i="4"/>
  <c r="K395" i="4"/>
  <c r="W396" i="3" l="1"/>
  <c r="X396" i="3" s="1"/>
  <c r="Y396" i="3" s="1"/>
  <c r="Z396" i="3" s="1"/>
  <c r="AA396" i="3" s="1"/>
  <c r="AB396" i="3" s="1"/>
  <c r="C396" i="4" l="1"/>
  <c r="M397" i="3"/>
  <c r="AC396" i="3"/>
  <c r="AD396" i="3" s="1"/>
  <c r="AI397" i="3" l="1"/>
  <c r="N397" i="3"/>
  <c r="O397" i="3"/>
  <c r="G396" i="4"/>
  <c r="I396" i="4" s="1"/>
  <c r="J396" i="4" s="1"/>
  <c r="H396" i="4"/>
  <c r="M396" i="4" l="1"/>
  <c r="K396" i="4"/>
  <c r="P397" i="3"/>
  <c r="Q397" i="3" s="1"/>
  <c r="L397" i="4" l="1"/>
  <c r="V397" i="3"/>
  <c r="W397" i="3" l="1"/>
  <c r="X397" i="3"/>
  <c r="Y397" i="3" s="1"/>
  <c r="Z397" i="3" s="1"/>
  <c r="AA397" i="3" s="1"/>
  <c r="AB397" i="3" s="1"/>
  <c r="M398" i="3" l="1"/>
  <c r="AC397" i="3"/>
  <c r="AD397" i="3" s="1"/>
  <c r="C397" i="4"/>
  <c r="H397" i="4" l="1"/>
  <c r="G397" i="4"/>
  <c r="I397" i="4" s="1"/>
  <c r="J397" i="4" s="1"/>
  <c r="AI398" i="3"/>
  <c r="N398" i="3"/>
  <c r="P398" i="3" s="1"/>
  <c r="Q398" i="3" s="1"/>
  <c r="O398" i="3"/>
  <c r="L398" i="4" l="1"/>
  <c r="V398" i="3"/>
  <c r="K397" i="4"/>
  <c r="M397" i="4"/>
  <c r="W398" i="3" l="1"/>
  <c r="X398" i="3"/>
  <c r="Y398" i="3" s="1"/>
  <c r="Z398" i="3" s="1"/>
  <c r="AA398" i="3" s="1"/>
  <c r="AB398" i="3" s="1"/>
  <c r="C398" i="4" l="1"/>
  <c r="M399" i="3"/>
  <c r="AC398" i="3"/>
  <c r="AD398" i="3" s="1"/>
  <c r="N399" i="3" l="1"/>
  <c r="AI399" i="3"/>
  <c r="O399" i="3"/>
  <c r="H398" i="4"/>
  <c r="G398" i="4"/>
  <c r="I398" i="4" s="1"/>
  <c r="J398" i="4" s="1"/>
  <c r="K398" i="4" l="1"/>
  <c r="M398" i="4"/>
  <c r="P399" i="3"/>
  <c r="Q399" i="3" s="1"/>
  <c r="L399" i="4" l="1"/>
  <c r="V399" i="3"/>
  <c r="W399" i="3" l="1"/>
  <c r="X399" i="3" s="1"/>
  <c r="Y399" i="3" s="1"/>
  <c r="Z399" i="3" s="1"/>
  <c r="AA399" i="3" s="1"/>
  <c r="AB399" i="3" s="1"/>
  <c r="C399" i="4" l="1"/>
  <c r="M400" i="3"/>
  <c r="AC399" i="3"/>
  <c r="AD399" i="3" s="1"/>
  <c r="O400" i="3" l="1"/>
  <c r="AI400" i="3"/>
  <c r="N400" i="3"/>
  <c r="P400" i="3" s="1"/>
  <c r="Q400" i="3" s="1"/>
  <c r="H399" i="4"/>
  <c r="G399" i="4"/>
  <c r="I399" i="4" s="1"/>
  <c r="J399" i="4" s="1"/>
  <c r="L400" i="4" l="1"/>
  <c r="V400" i="3"/>
  <c r="M399" i="4"/>
  <c r="K399" i="4"/>
  <c r="W400" i="3" l="1"/>
  <c r="X400" i="3" s="1"/>
  <c r="Y400" i="3" s="1"/>
  <c r="Z400" i="3" s="1"/>
  <c r="AA400" i="3" s="1"/>
  <c r="AB400" i="3" s="1"/>
  <c r="C400" i="4" l="1"/>
  <c r="M401" i="3"/>
  <c r="AC400" i="3"/>
  <c r="AD400" i="3" s="1"/>
  <c r="O401" i="3" l="1"/>
  <c r="AI401" i="3"/>
  <c r="N401" i="3"/>
  <c r="P401" i="3" s="1"/>
  <c r="Q401" i="3" s="1"/>
  <c r="G400" i="4"/>
  <c r="I400" i="4" s="1"/>
  <c r="J400" i="4" s="1"/>
  <c r="H400" i="4"/>
  <c r="M400" i="4" l="1"/>
  <c r="K400" i="4"/>
  <c r="L401" i="4"/>
  <c r="V401" i="3"/>
  <c r="W401" i="3" l="1"/>
  <c r="X401" i="3" s="1"/>
  <c r="Y401" i="3" s="1"/>
  <c r="Z401" i="3" s="1"/>
  <c r="AA401" i="3" s="1"/>
  <c r="AB401" i="3" s="1"/>
  <c r="AC401" i="3" l="1"/>
  <c r="AD401" i="3" s="1"/>
  <c r="C401" i="4"/>
  <c r="M402" i="3"/>
  <c r="AI402" i="3" l="1"/>
  <c r="O402" i="3"/>
  <c r="N402" i="3"/>
  <c r="P402" i="3" s="1"/>
  <c r="Q402" i="3" s="1"/>
  <c r="G401" i="4"/>
  <c r="I401" i="4" s="1"/>
  <c r="J401" i="4" s="1"/>
  <c r="H401" i="4"/>
  <c r="M401" i="4" l="1"/>
  <c r="K401" i="4"/>
  <c r="L402" i="4"/>
  <c r="V402" i="3"/>
  <c r="W402" i="3" l="1"/>
  <c r="X402" i="3"/>
  <c r="Y402" i="3" s="1"/>
  <c r="Z402" i="3" s="1"/>
  <c r="AA402" i="3" s="1"/>
  <c r="AB402" i="3" s="1"/>
  <c r="C402" i="4" l="1"/>
  <c r="AC402" i="3"/>
  <c r="AD402" i="3" s="1"/>
  <c r="M403" i="3"/>
  <c r="O403" i="3" l="1"/>
  <c r="N403" i="3"/>
  <c r="P403" i="3" s="1"/>
  <c r="Q403" i="3" s="1"/>
  <c r="AI403" i="3"/>
  <c r="H402" i="4"/>
  <c r="G402" i="4"/>
  <c r="I402" i="4" s="1"/>
  <c r="J402" i="4" s="1"/>
  <c r="L403" i="4" l="1"/>
  <c r="V403" i="3"/>
  <c r="K402" i="4"/>
  <c r="M402" i="4"/>
  <c r="W403" i="3" l="1"/>
  <c r="X403" i="3" s="1"/>
  <c r="Y403" i="3" s="1"/>
  <c r="Z403" i="3" s="1"/>
  <c r="AA403" i="3" s="1"/>
  <c r="AB403" i="3" s="1"/>
  <c r="C403" i="4" l="1"/>
  <c r="AC403" i="3"/>
  <c r="AD403" i="3" s="1"/>
  <c r="M404" i="3"/>
  <c r="O404" i="3" l="1"/>
  <c r="AI404" i="3"/>
  <c r="N404" i="3"/>
  <c r="P404" i="3" s="1"/>
  <c r="Q404" i="3" s="1"/>
  <c r="G403" i="4"/>
  <c r="I403" i="4" s="1"/>
  <c r="J403" i="4" s="1"/>
  <c r="H403" i="4"/>
  <c r="K403" i="4" l="1"/>
  <c r="M403" i="4"/>
  <c r="L404" i="4"/>
  <c r="V404" i="3"/>
  <c r="W404" i="3" l="1"/>
  <c r="X404" i="3" s="1"/>
  <c r="Y404" i="3" s="1"/>
  <c r="Z404" i="3" s="1"/>
  <c r="AA404" i="3" s="1"/>
  <c r="AB404" i="3" s="1"/>
  <c r="M405" i="3" l="1"/>
  <c r="C404" i="4"/>
  <c r="AC404" i="3"/>
  <c r="AD404" i="3" s="1"/>
  <c r="G404" i="4" l="1"/>
  <c r="I404" i="4" s="1"/>
  <c r="J404" i="4" s="1"/>
  <c r="H404" i="4"/>
  <c r="O405" i="3"/>
  <c r="N405" i="3"/>
  <c r="P405" i="3" s="1"/>
  <c r="Q405" i="3" s="1"/>
  <c r="AI405" i="3"/>
  <c r="L405" i="4" l="1"/>
  <c r="V405" i="3"/>
  <c r="K404" i="4"/>
  <c r="M404" i="4"/>
  <c r="W405" i="3" l="1"/>
  <c r="X405" i="3"/>
  <c r="Y405" i="3" s="1"/>
  <c r="Z405" i="3" s="1"/>
  <c r="AA405" i="3" s="1"/>
  <c r="AB405" i="3" s="1"/>
  <c r="C405" i="4" l="1"/>
  <c r="M406" i="3"/>
  <c r="AC405" i="3"/>
  <c r="AD405" i="3" s="1"/>
  <c r="AI406" i="3" l="1"/>
  <c r="O406" i="3"/>
  <c r="N406" i="3"/>
  <c r="P406" i="3" s="1"/>
  <c r="Q406" i="3" s="1"/>
  <c r="G405" i="4"/>
  <c r="I405" i="4" s="1"/>
  <c r="J405" i="4" s="1"/>
  <c r="H405" i="4"/>
  <c r="M405" i="4" l="1"/>
  <c r="K405" i="4"/>
  <c r="L406" i="4"/>
  <c r="C34" i="5" s="1"/>
  <c r="N34" i="5" s="1"/>
  <c r="V406" i="3"/>
  <c r="W406" i="3" l="1"/>
  <c r="X406" i="3" s="1"/>
  <c r="Y406" i="3" s="1"/>
  <c r="Z406" i="3" s="1"/>
  <c r="AA406" i="3" s="1"/>
  <c r="AB406" i="3" s="1"/>
  <c r="M407" i="3" l="1"/>
  <c r="C406" i="4"/>
  <c r="AC406" i="3"/>
  <c r="AD406" i="3" s="1"/>
  <c r="G406" i="4" l="1"/>
  <c r="I406" i="4" s="1"/>
  <c r="J406" i="4" s="1"/>
  <c r="H406" i="4"/>
  <c r="N407" i="3"/>
  <c r="O407" i="3"/>
  <c r="AI407" i="3"/>
  <c r="P407" i="3" l="1"/>
  <c r="Q407" i="3" s="1"/>
  <c r="M406" i="4"/>
  <c r="K406" i="4"/>
  <c r="E34" i="5" s="1"/>
  <c r="D34" i="5"/>
  <c r="L407" i="4" l="1"/>
  <c r="V407" i="3"/>
  <c r="W407" i="3" l="1"/>
  <c r="X407" i="3" s="1"/>
  <c r="Y407" i="3" s="1"/>
  <c r="Z407" i="3" s="1"/>
  <c r="AA407" i="3" s="1"/>
  <c r="AB407" i="3" s="1"/>
  <c r="M408" i="3" l="1"/>
  <c r="AC407" i="3"/>
  <c r="AD407" i="3" s="1"/>
  <c r="C407" i="4"/>
  <c r="H407" i="4" l="1"/>
  <c r="G407" i="4"/>
  <c r="I407" i="4" s="1"/>
  <c r="J407" i="4" s="1"/>
  <c r="AI408" i="3"/>
  <c r="O408" i="3"/>
  <c r="N408" i="3"/>
  <c r="K407" i="4" l="1"/>
  <c r="M407" i="4"/>
  <c r="P408" i="3"/>
  <c r="Q408" i="3" s="1"/>
  <c r="L408" i="4" l="1"/>
  <c r="V408" i="3"/>
  <c r="W408" i="3" l="1"/>
  <c r="X408" i="3" s="1"/>
  <c r="Y408" i="3" s="1"/>
  <c r="Z408" i="3" s="1"/>
  <c r="AA408" i="3" s="1"/>
  <c r="AB408" i="3" s="1"/>
  <c r="C408" i="4" l="1"/>
  <c r="M409" i="3"/>
  <c r="AC408" i="3"/>
  <c r="AD408" i="3" s="1"/>
  <c r="N409" i="3" l="1"/>
  <c r="O409" i="3"/>
  <c r="AI409" i="3"/>
  <c r="G408" i="4"/>
  <c r="I408" i="4" s="1"/>
  <c r="J408" i="4" s="1"/>
  <c r="H408" i="4"/>
  <c r="M408" i="4" l="1"/>
  <c r="K408" i="4"/>
  <c r="P409" i="3"/>
  <c r="Q409" i="3" s="1"/>
  <c r="L409" i="4" l="1"/>
  <c r="V409" i="3"/>
  <c r="W409" i="3" l="1"/>
  <c r="X409" i="3"/>
  <c r="Y409" i="3" s="1"/>
  <c r="Z409" i="3" s="1"/>
  <c r="AA409" i="3" s="1"/>
  <c r="AB409" i="3" s="1"/>
  <c r="C409" i="4" l="1"/>
  <c r="AC409" i="3"/>
  <c r="AD409" i="3" s="1"/>
  <c r="M410" i="3"/>
  <c r="N410" i="3" l="1"/>
  <c r="AI410" i="3"/>
  <c r="O410" i="3"/>
  <c r="G409" i="4"/>
  <c r="I409" i="4" s="1"/>
  <c r="J409" i="4" s="1"/>
  <c r="H409" i="4"/>
  <c r="M409" i="4" l="1"/>
  <c r="K409" i="4"/>
  <c r="P410" i="3"/>
  <c r="Q410" i="3" s="1"/>
  <c r="L410" i="4" l="1"/>
  <c r="V410" i="3"/>
  <c r="W410" i="3" l="1"/>
  <c r="X410" i="3"/>
  <c r="Y410" i="3" s="1"/>
  <c r="Z410" i="3" s="1"/>
  <c r="AA410" i="3" s="1"/>
  <c r="AB410" i="3" s="1"/>
  <c r="M411" i="3" l="1"/>
  <c r="C410" i="4"/>
  <c r="AC410" i="3"/>
  <c r="AD410" i="3" s="1"/>
  <c r="G410" i="4" l="1"/>
  <c r="I410" i="4" s="1"/>
  <c r="J410" i="4" s="1"/>
  <c r="H410" i="4"/>
  <c r="N411" i="3"/>
  <c r="P411" i="3" s="1"/>
  <c r="Q411" i="3" s="1"/>
  <c r="AI411" i="3"/>
  <c r="O411" i="3"/>
  <c r="L411" i="4" l="1"/>
  <c r="V411" i="3"/>
  <c r="M410" i="4"/>
  <c r="K410" i="4"/>
  <c r="W411" i="3" l="1"/>
  <c r="X411" i="3" s="1"/>
  <c r="Y411" i="3" s="1"/>
  <c r="Z411" i="3" s="1"/>
  <c r="AA411" i="3" s="1"/>
  <c r="AB411" i="3" s="1"/>
  <c r="M412" i="3" l="1"/>
  <c r="C411" i="4"/>
  <c r="AC411" i="3"/>
  <c r="AD411" i="3" s="1"/>
  <c r="H411" i="4" l="1"/>
  <c r="G411" i="4"/>
  <c r="I411" i="4" s="1"/>
  <c r="J411" i="4" s="1"/>
  <c r="N412" i="3"/>
  <c r="P412" i="3" s="1"/>
  <c r="Q412" i="3" s="1"/>
  <c r="AI412" i="3"/>
  <c r="O412" i="3"/>
  <c r="L412" i="4" l="1"/>
  <c r="V412" i="3"/>
  <c r="M411" i="4"/>
  <c r="K411" i="4"/>
  <c r="W412" i="3" l="1"/>
  <c r="X412" i="3"/>
  <c r="Y412" i="3" s="1"/>
  <c r="Z412" i="3" s="1"/>
  <c r="AA412" i="3" s="1"/>
  <c r="AB412" i="3" s="1"/>
  <c r="C412" i="4" l="1"/>
  <c r="M413" i="3"/>
  <c r="AC412" i="3"/>
  <c r="AD412" i="3" s="1"/>
  <c r="AI413" i="3" l="1"/>
  <c r="O413" i="3"/>
  <c r="N413" i="3"/>
  <c r="P413" i="3" s="1"/>
  <c r="Q413" i="3" s="1"/>
  <c r="G412" i="4"/>
  <c r="I412" i="4" s="1"/>
  <c r="J412" i="4" s="1"/>
  <c r="H412" i="4"/>
  <c r="K412" i="4" l="1"/>
  <c r="M412" i="4"/>
  <c r="L413" i="4"/>
  <c r="V413" i="3"/>
  <c r="W413" i="3" l="1"/>
  <c r="X413" i="3" s="1"/>
  <c r="Y413" i="3" s="1"/>
  <c r="Z413" i="3" s="1"/>
  <c r="AA413" i="3" s="1"/>
  <c r="AB413" i="3" s="1"/>
  <c r="M414" i="3" l="1"/>
  <c r="AC413" i="3"/>
  <c r="AD413" i="3" s="1"/>
  <c r="C413" i="4"/>
  <c r="G413" i="4" l="1"/>
  <c r="I413" i="4" s="1"/>
  <c r="J413" i="4" s="1"/>
  <c r="H413" i="4"/>
  <c r="AI414" i="3"/>
  <c r="O414" i="3"/>
  <c r="N414" i="3"/>
  <c r="P414" i="3" l="1"/>
  <c r="Q414" i="3" s="1"/>
  <c r="M413" i="4"/>
  <c r="K413" i="4"/>
  <c r="L414" i="4" l="1"/>
  <c r="V414" i="3"/>
  <c r="W414" i="3" l="1"/>
  <c r="X414" i="3"/>
  <c r="Y414" i="3" s="1"/>
  <c r="Z414" i="3" s="1"/>
  <c r="AA414" i="3" s="1"/>
  <c r="AB414" i="3" s="1"/>
  <c r="AC414" i="3" l="1"/>
  <c r="AD414" i="3" s="1"/>
  <c r="C414" i="4"/>
  <c r="M415" i="3"/>
  <c r="AI415" i="3" l="1"/>
  <c r="N415" i="3"/>
  <c r="O415" i="3"/>
  <c r="H414" i="4"/>
  <c r="G414" i="4"/>
  <c r="I414" i="4" s="1"/>
  <c r="J414" i="4" s="1"/>
  <c r="P415" i="3" l="1"/>
  <c r="Q415" i="3" s="1"/>
  <c r="K414" i="4"/>
  <c r="M414" i="4"/>
  <c r="L415" i="4" l="1"/>
  <c r="V415" i="3"/>
  <c r="W415" i="3" l="1"/>
  <c r="X415" i="3" s="1"/>
  <c r="Y415" i="3" s="1"/>
  <c r="Z415" i="3" s="1"/>
  <c r="AA415" i="3" s="1"/>
  <c r="AB415" i="3" s="1"/>
  <c r="M416" i="3" l="1"/>
  <c r="C415" i="4"/>
  <c r="AC415" i="3"/>
  <c r="AD415" i="3" s="1"/>
  <c r="G415" i="4" l="1"/>
  <c r="I415" i="4" s="1"/>
  <c r="J415" i="4" s="1"/>
  <c r="H415" i="4"/>
  <c r="N416" i="3"/>
  <c r="O416" i="3"/>
  <c r="AI416" i="3"/>
  <c r="P416" i="3" l="1"/>
  <c r="Q416" i="3" s="1"/>
  <c r="M415" i="4"/>
  <c r="K415" i="4"/>
  <c r="L416" i="4" l="1"/>
  <c r="V416" i="3"/>
  <c r="W416" i="3" l="1"/>
  <c r="X416" i="3"/>
  <c r="Y416" i="3" s="1"/>
  <c r="Z416" i="3" s="1"/>
  <c r="AA416" i="3" s="1"/>
  <c r="AB416" i="3" s="1"/>
  <c r="C416" i="4" l="1"/>
  <c r="M417" i="3"/>
  <c r="AC416" i="3"/>
  <c r="AD416" i="3" s="1"/>
  <c r="N417" i="3" l="1"/>
  <c r="O417" i="3"/>
  <c r="AI417" i="3"/>
  <c r="G416" i="4"/>
  <c r="I416" i="4" s="1"/>
  <c r="J416" i="4" s="1"/>
  <c r="H416" i="4"/>
  <c r="M416" i="4" l="1"/>
  <c r="K416" i="4"/>
  <c r="P417" i="3"/>
  <c r="Q417" i="3" s="1"/>
  <c r="L417" i="4" l="1"/>
  <c r="V417" i="3"/>
  <c r="W417" i="3" l="1"/>
  <c r="X417" i="3"/>
  <c r="Y417" i="3" s="1"/>
  <c r="Z417" i="3" s="1"/>
  <c r="AA417" i="3" s="1"/>
  <c r="AB417" i="3" s="1"/>
  <c r="M418" i="3" l="1"/>
  <c r="C417" i="4"/>
  <c r="AC417" i="3"/>
  <c r="AD417" i="3" s="1"/>
  <c r="G417" i="4" l="1"/>
  <c r="I417" i="4" s="1"/>
  <c r="J417" i="4" s="1"/>
  <c r="H417" i="4"/>
  <c r="N418" i="3"/>
  <c r="P418" i="3" s="1"/>
  <c r="Q418" i="3" s="1"/>
  <c r="AI418" i="3"/>
  <c r="O418" i="3"/>
  <c r="L418" i="4" l="1"/>
  <c r="V418" i="3"/>
  <c r="M417" i="4"/>
  <c r="K417" i="4"/>
  <c r="W418" i="3" l="1"/>
  <c r="X418" i="3"/>
  <c r="Y418" i="3" s="1"/>
  <c r="Z418" i="3" s="1"/>
  <c r="AA418" i="3" s="1"/>
  <c r="AB418" i="3" s="1"/>
  <c r="AC418" i="3" l="1"/>
  <c r="AD418" i="3" s="1"/>
  <c r="M419" i="3"/>
  <c r="C418" i="4"/>
  <c r="G418" i="4" l="1"/>
  <c r="I418" i="4" s="1"/>
  <c r="J418" i="4" s="1"/>
  <c r="H418" i="4"/>
  <c r="AI419" i="3"/>
  <c r="N419" i="3"/>
  <c r="P419" i="3" s="1"/>
  <c r="Q419" i="3" s="1"/>
  <c r="O419" i="3"/>
  <c r="L419" i="4" l="1"/>
  <c r="V419" i="3"/>
  <c r="M418" i="4"/>
  <c r="K418" i="4"/>
  <c r="W419" i="3" l="1"/>
  <c r="X419" i="3" s="1"/>
  <c r="Y419" i="3" s="1"/>
  <c r="Z419" i="3" s="1"/>
  <c r="AA419" i="3" s="1"/>
  <c r="AB419" i="3" s="1"/>
  <c r="AC419" i="3" l="1"/>
  <c r="AD419" i="3" s="1"/>
  <c r="M420" i="3"/>
  <c r="C419" i="4"/>
  <c r="H419" i="4" l="1"/>
  <c r="G419" i="4"/>
  <c r="I419" i="4" s="1"/>
  <c r="J419" i="4" s="1"/>
  <c r="O420" i="3"/>
  <c r="N420" i="3"/>
  <c r="P420" i="3" s="1"/>
  <c r="Q420" i="3" s="1"/>
  <c r="AI420" i="3"/>
  <c r="L420" i="4" l="1"/>
  <c r="V420" i="3"/>
  <c r="M419" i="4"/>
  <c r="K419" i="4"/>
  <c r="W420" i="3" l="1"/>
  <c r="X420" i="3"/>
  <c r="Y420" i="3" s="1"/>
  <c r="Z420" i="3" s="1"/>
  <c r="AA420" i="3" s="1"/>
  <c r="AB420" i="3" s="1"/>
  <c r="C420" i="4" l="1"/>
  <c r="AC420" i="3"/>
  <c r="AD420" i="3" s="1"/>
  <c r="M421" i="3"/>
  <c r="N421" i="3" l="1"/>
  <c r="AI421" i="3"/>
  <c r="O421" i="3"/>
  <c r="G420" i="4"/>
  <c r="I420" i="4" s="1"/>
  <c r="J420" i="4" s="1"/>
  <c r="H420" i="4"/>
  <c r="M420" i="4" l="1"/>
  <c r="K420" i="4"/>
  <c r="P421" i="3"/>
  <c r="Q421" i="3" s="1"/>
  <c r="L421" i="4" l="1"/>
  <c r="V421" i="3"/>
  <c r="W421" i="3" l="1"/>
  <c r="X421" i="3" s="1"/>
  <c r="Y421" i="3" s="1"/>
  <c r="Z421" i="3" s="1"/>
  <c r="AA421" i="3" s="1"/>
  <c r="AB421" i="3" s="1"/>
  <c r="AC421" i="3" l="1"/>
  <c r="AD421" i="3" s="1"/>
  <c r="M422" i="3"/>
  <c r="C421" i="4"/>
  <c r="G421" i="4" l="1"/>
  <c r="I421" i="4" s="1"/>
  <c r="J421" i="4" s="1"/>
  <c r="H421" i="4"/>
  <c r="AI422" i="3"/>
  <c r="N422" i="3"/>
  <c r="P422" i="3" s="1"/>
  <c r="Q422" i="3" s="1"/>
  <c r="O422" i="3"/>
  <c r="L422" i="4" l="1"/>
  <c r="V422" i="3"/>
  <c r="K421" i="4"/>
  <c r="M421" i="4"/>
  <c r="W422" i="3" l="1"/>
  <c r="X422" i="3"/>
  <c r="Y422" i="3" s="1"/>
  <c r="Z422" i="3" s="1"/>
  <c r="AA422" i="3" s="1"/>
  <c r="AB422" i="3" s="1"/>
  <c r="AC422" i="3" l="1"/>
  <c r="AD422" i="3" s="1"/>
  <c r="C422" i="4"/>
  <c r="M423" i="3"/>
  <c r="N423" i="3" l="1"/>
  <c r="AI423" i="3"/>
  <c r="O423" i="3"/>
  <c r="H422" i="4"/>
  <c r="G422" i="4"/>
  <c r="I422" i="4" s="1"/>
  <c r="J422" i="4" s="1"/>
  <c r="M422" i="4" l="1"/>
  <c r="K422" i="4"/>
  <c r="P423" i="3"/>
  <c r="Q423" i="3" s="1"/>
  <c r="L423" i="4" l="1"/>
  <c r="V423" i="3"/>
  <c r="W423" i="3" l="1"/>
  <c r="X423" i="3" s="1"/>
  <c r="Y423" i="3" s="1"/>
  <c r="Z423" i="3" s="1"/>
  <c r="AA423" i="3" s="1"/>
  <c r="AB423" i="3" s="1"/>
  <c r="AC423" i="3" l="1"/>
  <c r="AD423" i="3" s="1"/>
  <c r="M424" i="3"/>
  <c r="C423" i="4"/>
  <c r="G423" i="4" l="1"/>
  <c r="I423" i="4" s="1"/>
  <c r="J423" i="4" s="1"/>
  <c r="H423" i="4"/>
  <c r="N424" i="3"/>
  <c r="O424" i="3"/>
  <c r="AI424" i="3"/>
  <c r="P424" i="3" l="1"/>
  <c r="Q424" i="3" s="1"/>
  <c r="M423" i="4"/>
  <c r="K423" i="4"/>
  <c r="L424" i="4" l="1"/>
  <c r="V424" i="3"/>
  <c r="W424" i="3" l="1"/>
  <c r="X424" i="3" s="1"/>
  <c r="Y424" i="3" s="1"/>
  <c r="Z424" i="3" s="1"/>
  <c r="AA424" i="3" s="1"/>
  <c r="AB424" i="3" s="1"/>
  <c r="C424" i="4" l="1"/>
  <c r="AC424" i="3"/>
  <c r="AD424" i="3" s="1"/>
  <c r="M425" i="3"/>
  <c r="N425" i="3" l="1"/>
  <c r="O425" i="3"/>
  <c r="AI425" i="3"/>
  <c r="G424" i="4"/>
  <c r="I424" i="4" s="1"/>
  <c r="J424" i="4" s="1"/>
  <c r="H424" i="4"/>
  <c r="K424" i="4" l="1"/>
  <c r="M424" i="4"/>
  <c r="P425" i="3"/>
  <c r="Q425" i="3" s="1"/>
  <c r="L425" i="4" l="1"/>
  <c r="V425" i="3"/>
  <c r="W425" i="3" l="1"/>
  <c r="X425" i="3"/>
  <c r="Y425" i="3" s="1"/>
  <c r="Z425" i="3" s="1"/>
  <c r="AA425" i="3" s="1"/>
  <c r="AB425" i="3" s="1"/>
  <c r="AC425" i="3" l="1"/>
  <c r="AD425" i="3" s="1"/>
  <c r="C425" i="4"/>
  <c r="M426" i="3"/>
  <c r="O426" i="3" l="1"/>
  <c r="N426" i="3"/>
  <c r="P426" i="3" s="1"/>
  <c r="Q426" i="3" s="1"/>
  <c r="AI426" i="3"/>
  <c r="G425" i="4"/>
  <c r="I425" i="4" s="1"/>
  <c r="J425" i="4" s="1"/>
  <c r="H425" i="4"/>
  <c r="K425" i="4" l="1"/>
  <c r="M425" i="4"/>
  <c r="L426" i="4"/>
  <c r="V426" i="3"/>
  <c r="W426" i="3" l="1"/>
  <c r="X426" i="3"/>
  <c r="Y426" i="3" s="1"/>
  <c r="Z426" i="3" s="1"/>
  <c r="AA426" i="3" s="1"/>
  <c r="AB426" i="3" s="1"/>
  <c r="C426" i="4" l="1"/>
  <c r="M427" i="3"/>
  <c r="AC426" i="3"/>
  <c r="AD426" i="3" s="1"/>
  <c r="O427" i="3" l="1"/>
  <c r="AI427" i="3"/>
  <c r="N427" i="3"/>
  <c r="P427" i="3" s="1"/>
  <c r="Q427" i="3" s="1"/>
  <c r="G426" i="4"/>
  <c r="I426" i="4" s="1"/>
  <c r="J426" i="4" s="1"/>
  <c r="H426" i="4"/>
  <c r="K426" i="4" l="1"/>
  <c r="M426" i="4"/>
  <c r="L427" i="4"/>
  <c r="V427" i="3"/>
  <c r="W427" i="3" l="1"/>
  <c r="X427" i="3" s="1"/>
  <c r="Y427" i="3" s="1"/>
  <c r="Z427" i="3" s="1"/>
  <c r="AA427" i="3" s="1"/>
  <c r="AB427" i="3" s="1"/>
  <c r="M428" i="3" l="1"/>
  <c r="C427" i="4"/>
  <c r="AC427" i="3"/>
  <c r="AD427" i="3" s="1"/>
  <c r="H427" i="4" l="1"/>
  <c r="G427" i="4"/>
  <c r="I427" i="4" s="1"/>
  <c r="J427" i="4" s="1"/>
  <c r="AI428" i="3"/>
  <c r="O428" i="3"/>
  <c r="N428" i="3"/>
  <c r="K427" i="4" l="1"/>
  <c r="M427" i="4"/>
  <c r="P428" i="3"/>
  <c r="Q428" i="3" s="1"/>
  <c r="L428" i="4" l="1"/>
  <c r="V428" i="3"/>
  <c r="W428" i="3" l="1"/>
  <c r="X428" i="3"/>
  <c r="Y428" i="3" s="1"/>
  <c r="Z428" i="3" s="1"/>
  <c r="AA428" i="3" s="1"/>
  <c r="AB428" i="3" s="1"/>
  <c r="C428" i="4" l="1"/>
  <c r="AC428" i="3"/>
  <c r="AD428" i="3" s="1"/>
  <c r="M429" i="3"/>
  <c r="N429" i="3" l="1"/>
  <c r="O429" i="3"/>
  <c r="AI429" i="3"/>
  <c r="H428" i="4"/>
  <c r="G428" i="4"/>
  <c r="I428" i="4" s="1"/>
  <c r="J428" i="4" s="1"/>
  <c r="K428" i="4" l="1"/>
  <c r="M428" i="4"/>
  <c r="P429" i="3"/>
  <c r="Q429" i="3" s="1"/>
  <c r="L429" i="4" l="1"/>
  <c r="V429" i="3"/>
  <c r="W429" i="3" l="1"/>
  <c r="X429" i="3"/>
  <c r="Y429" i="3" s="1"/>
  <c r="Z429" i="3" s="1"/>
  <c r="AA429" i="3" s="1"/>
  <c r="AB429" i="3" s="1"/>
  <c r="M430" i="3" l="1"/>
  <c r="AC429" i="3"/>
  <c r="AD429" i="3" s="1"/>
  <c r="C429" i="4"/>
  <c r="G429" i="4" l="1"/>
  <c r="I429" i="4" s="1"/>
  <c r="J429" i="4" s="1"/>
  <c r="H429" i="4"/>
  <c r="AI430" i="3"/>
  <c r="O430" i="3"/>
  <c r="N430" i="3"/>
  <c r="P430" i="3" l="1"/>
  <c r="Q430" i="3" s="1"/>
  <c r="M429" i="4"/>
  <c r="K429" i="4"/>
  <c r="L430" i="4" l="1"/>
  <c r="V430" i="3"/>
  <c r="W430" i="3" l="1"/>
  <c r="X430" i="3"/>
  <c r="Y430" i="3" s="1"/>
  <c r="Z430" i="3" s="1"/>
  <c r="AA430" i="3" s="1"/>
  <c r="AB430" i="3" s="1"/>
  <c r="M431" i="3" l="1"/>
  <c r="C430" i="4"/>
  <c r="AC430" i="3"/>
  <c r="AD430" i="3" s="1"/>
  <c r="G430" i="4" l="1"/>
  <c r="I430" i="4" s="1"/>
  <c r="J430" i="4" s="1"/>
  <c r="H430" i="4"/>
  <c r="AI431" i="3"/>
  <c r="O431" i="3"/>
  <c r="N431" i="3"/>
  <c r="P431" i="3" l="1"/>
  <c r="Q431" i="3" s="1"/>
  <c r="M430" i="4"/>
  <c r="K430" i="4"/>
  <c r="L431" i="4" l="1"/>
  <c r="V431" i="3"/>
  <c r="W431" i="3" l="1"/>
  <c r="X431" i="3" s="1"/>
  <c r="Y431" i="3" s="1"/>
  <c r="Z431" i="3" s="1"/>
  <c r="AA431" i="3" s="1"/>
  <c r="AB431" i="3" s="1"/>
  <c r="M432" i="3" l="1"/>
  <c r="C431" i="4"/>
  <c r="AC431" i="3"/>
  <c r="AD431" i="3" s="1"/>
  <c r="H431" i="4" l="1"/>
  <c r="G431" i="4"/>
  <c r="I431" i="4" s="1"/>
  <c r="J431" i="4" s="1"/>
  <c r="N432" i="3"/>
  <c r="P432" i="3" s="1"/>
  <c r="Q432" i="3" s="1"/>
  <c r="AI432" i="3"/>
  <c r="O432" i="3"/>
  <c r="L432" i="4" l="1"/>
  <c r="V432" i="3"/>
  <c r="K431" i="4"/>
  <c r="M431" i="4"/>
  <c r="W432" i="3" l="1"/>
  <c r="X432" i="3" s="1"/>
  <c r="Y432" i="3" s="1"/>
  <c r="Z432" i="3" s="1"/>
  <c r="AA432" i="3" s="1"/>
  <c r="AB432" i="3" s="1"/>
  <c r="C432" i="4" l="1"/>
  <c r="M433" i="3"/>
  <c r="AC432" i="3"/>
  <c r="AD432" i="3" s="1"/>
  <c r="N433" i="3" l="1"/>
  <c r="O433" i="3"/>
  <c r="AI433" i="3"/>
  <c r="H432" i="4"/>
  <c r="G432" i="4"/>
  <c r="I432" i="4" s="1"/>
  <c r="J432" i="4" s="1"/>
  <c r="K432" i="4" l="1"/>
  <c r="M432" i="4"/>
  <c r="P433" i="3"/>
  <c r="Q433" i="3" s="1"/>
  <c r="L433" i="4" l="1"/>
  <c r="V433" i="3"/>
  <c r="W433" i="3" l="1"/>
  <c r="X433" i="3"/>
  <c r="Y433" i="3" s="1"/>
  <c r="Z433" i="3" s="1"/>
  <c r="AA433" i="3" s="1"/>
  <c r="AB433" i="3" s="1"/>
  <c r="AC433" i="3" l="1"/>
  <c r="AD433" i="3" s="1"/>
  <c r="M434" i="3"/>
  <c r="C433" i="4"/>
  <c r="G433" i="4" l="1"/>
  <c r="I433" i="4" s="1"/>
  <c r="J433" i="4" s="1"/>
  <c r="H433" i="4"/>
  <c r="O434" i="3"/>
  <c r="N434" i="3"/>
  <c r="P434" i="3" s="1"/>
  <c r="Q434" i="3" s="1"/>
  <c r="AI434" i="3"/>
  <c r="L434" i="4" l="1"/>
  <c r="V434" i="3"/>
  <c r="K433" i="4"/>
  <c r="M433" i="4"/>
  <c r="W434" i="3" l="1"/>
  <c r="X434" i="3"/>
  <c r="Y434" i="3" s="1"/>
  <c r="Z434" i="3" s="1"/>
  <c r="AA434" i="3" s="1"/>
  <c r="AB434" i="3" s="1"/>
  <c r="M435" i="3" l="1"/>
  <c r="AC434" i="3"/>
  <c r="AD434" i="3" s="1"/>
  <c r="C434" i="4"/>
  <c r="G434" i="4" l="1"/>
  <c r="I434" i="4" s="1"/>
  <c r="J434" i="4" s="1"/>
  <c r="H434" i="4"/>
  <c r="O435" i="3"/>
  <c r="N435" i="3"/>
  <c r="P435" i="3" s="1"/>
  <c r="Q435" i="3" s="1"/>
  <c r="AI435" i="3"/>
  <c r="L435" i="4" l="1"/>
  <c r="V435" i="3"/>
  <c r="M434" i="4"/>
  <c r="K434" i="4"/>
  <c r="W435" i="3" l="1"/>
  <c r="X435" i="3" s="1"/>
  <c r="Y435" i="3" s="1"/>
  <c r="Z435" i="3" s="1"/>
  <c r="AA435" i="3" s="1"/>
  <c r="AB435" i="3" s="1"/>
  <c r="M436" i="3" l="1"/>
  <c r="C435" i="4"/>
  <c r="AC435" i="3"/>
  <c r="AD435" i="3" s="1"/>
  <c r="H435" i="4" l="1"/>
  <c r="G435" i="4"/>
  <c r="I435" i="4" s="1"/>
  <c r="J435" i="4" s="1"/>
  <c r="AI436" i="3"/>
  <c r="O436" i="3"/>
  <c r="N436" i="3"/>
  <c r="M435" i="4" l="1"/>
  <c r="K435" i="4"/>
  <c r="P436" i="3"/>
  <c r="Q436" i="3" s="1"/>
  <c r="L436" i="4" l="1"/>
  <c r="V436" i="3"/>
  <c r="W436" i="3" l="1"/>
  <c r="X436" i="3" s="1"/>
  <c r="Y436" i="3" s="1"/>
  <c r="Z436" i="3" s="1"/>
  <c r="AA436" i="3" s="1"/>
  <c r="AB436" i="3" s="1"/>
  <c r="C436" i="4" l="1"/>
  <c r="M437" i="3"/>
  <c r="AC436" i="3"/>
  <c r="AD436" i="3" s="1"/>
  <c r="N437" i="3" l="1"/>
  <c r="O437" i="3"/>
  <c r="AI437" i="3"/>
  <c r="G436" i="4"/>
  <c r="I436" i="4" s="1"/>
  <c r="J436" i="4" s="1"/>
  <c r="H436" i="4"/>
  <c r="K436" i="4" l="1"/>
  <c r="M436" i="4"/>
  <c r="P437" i="3"/>
  <c r="Q437" i="3" s="1"/>
  <c r="L437" i="4" l="1"/>
  <c r="V437" i="3"/>
  <c r="W437" i="3" l="1"/>
  <c r="X437" i="3" s="1"/>
  <c r="Y437" i="3" s="1"/>
  <c r="Z437" i="3" s="1"/>
  <c r="AA437" i="3" s="1"/>
  <c r="AB437" i="3" s="1"/>
  <c r="C437" i="4" l="1"/>
  <c r="M438" i="3"/>
  <c r="AC437" i="3"/>
  <c r="AD437" i="3" s="1"/>
  <c r="AI438" i="3" l="1"/>
  <c r="O438" i="3"/>
  <c r="N438" i="3"/>
  <c r="P438" i="3" s="1"/>
  <c r="Q438" i="3" s="1"/>
  <c r="H437" i="4"/>
  <c r="G437" i="4"/>
  <c r="I437" i="4" s="1"/>
  <c r="J437" i="4" s="1"/>
  <c r="L438" i="4" l="1"/>
  <c r="V438" i="3"/>
  <c r="M437" i="4"/>
  <c r="K437" i="4"/>
  <c r="W438" i="3" l="1"/>
  <c r="X438" i="3" s="1"/>
  <c r="Y438" i="3" s="1"/>
  <c r="Z438" i="3" s="1"/>
  <c r="AA438" i="3" s="1"/>
  <c r="AB438" i="3" s="1"/>
  <c r="C438" i="4" l="1"/>
  <c r="AC438" i="3"/>
  <c r="AD438" i="3" s="1"/>
  <c r="M439" i="3"/>
  <c r="O439" i="3" l="1"/>
  <c r="N439" i="3"/>
  <c r="P439" i="3" s="1"/>
  <c r="Q439" i="3" s="1"/>
  <c r="AI439" i="3"/>
  <c r="H438" i="4"/>
  <c r="G438" i="4"/>
  <c r="I438" i="4" s="1"/>
  <c r="J438" i="4" s="1"/>
  <c r="L439" i="4" l="1"/>
  <c r="V439" i="3"/>
  <c r="M438" i="4"/>
  <c r="K438" i="4"/>
  <c r="W439" i="3" l="1"/>
  <c r="X439" i="3" s="1"/>
  <c r="Y439" i="3" s="1"/>
  <c r="Z439" i="3" s="1"/>
  <c r="AA439" i="3" s="1"/>
  <c r="AB439" i="3" s="1"/>
  <c r="C439" i="4" l="1"/>
  <c r="M440" i="3"/>
  <c r="AC439" i="3"/>
  <c r="AD439" i="3" s="1"/>
  <c r="AI440" i="3" l="1"/>
  <c r="N440" i="3"/>
  <c r="O440" i="3"/>
  <c r="H439" i="4"/>
  <c r="G439" i="4"/>
  <c r="I439" i="4" s="1"/>
  <c r="J439" i="4" s="1"/>
  <c r="P440" i="3" l="1"/>
  <c r="Q440" i="3" s="1"/>
  <c r="M439" i="4"/>
  <c r="K439" i="4"/>
  <c r="L440" i="4" l="1"/>
  <c r="V440" i="3"/>
  <c r="W440" i="3" l="1"/>
  <c r="X440" i="3" s="1"/>
  <c r="Y440" i="3" s="1"/>
  <c r="Z440" i="3" s="1"/>
  <c r="AA440" i="3" s="1"/>
  <c r="AB440" i="3" s="1"/>
  <c r="AC440" i="3" l="1"/>
  <c r="AD440" i="3" s="1"/>
  <c r="C440" i="4"/>
  <c r="M441" i="3"/>
  <c r="N441" i="3" l="1"/>
  <c r="AI441" i="3"/>
  <c r="O441" i="3"/>
  <c r="H440" i="4"/>
  <c r="G440" i="4"/>
  <c r="I440" i="4" s="1"/>
  <c r="J440" i="4" s="1"/>
  <c r="M440" i="4" l="1"/>
  <c r="K440" i="4"/>
  <c r="P441" i="3"/>
  <c r="Q441" i="3" s="1"/>
  <c r="L441" i="4" l="1"/>
  <c r="V441" i="3"/>
  <c r="W441" i="3" l="1"/>
  <c r="X441" i="3"/>
  <c r="Y441" i="3" s="1"/>
  <c r="Z441" i="3" s="1"/>
  <c r="AA441" i="3" s="1"/>
  <c r="AB441" i="3" s="1"/>
  <c r="C441" i="4" l="1"/>
  <c r="AC441" i="3"/>
  <c r="AD441" i="3" s="1"/>
  <c r="M442" i="3"/>
  <c r="AI442" i="3" l="1"/>
  <c r="O442" i="3"/>
  <c r="N442" i="3"/>
  <c r="P442" i="3" s="1"/>
  <c r="Q442" i="3" s="1"/>
  <c r="G441" i="4"/>
  <c r="I441" i="4" s="1"/>
  <c r="J441" i="4" s="1"/>
  <c r="H441" i="4"/>
  <c r="K441" i="4" l="1"/>
  <c r="M441" i="4"/>
  <c r="L442" i="4"/>
  <c r="V442" i="3"/>
  <c r="W442" i="3" l="1"/>
  <c r="X442" i="3"/>
  <c r="Y442" i="3" s="1"/>
  <c r="Z442" i="3" s="1"/>
  <c r="AA442" i="3" s="1"/>
  <c r="AB442" i="3" s="1"/>
  <c r="C442" i="4" l="1"/>
  <c r="M443" i="3"/>
  <c r="AC442" i="3"/>
  <c r="AD442" i="3" s="1"/>
  <c r="AI443" i="3" l="1"/>
  <c r="N443" i="3"/>
  <c r="O443" i="3"/>
  <c r="G442" i="4"/>
  <c r="I442" i="4" s="1"/>
  <c r="J442" i="4" s="1"/>
  <c r="H442" i="4"/>
  <c r="M442" i="4" l="1"/>
  <c r="K442" i="4"/>
  <c r="P443" i="3"/>
  <c r="Q443" i="3" s="1"/>
  <c r="L443" i="4" l="1"/>
  <c r="V443" i="3"/>
  <c r="W443" i="3" l="1"/>
  <c r="X443" i="3" s="1"/>
  <c r="Y443" i="3" s="1"/>
  <c r="Z443" i="3" s="1"/>
  <c r="AA443" i="3" s="1"/>
  <c r="AB443" i="3" s="1"/>
  <c r="C443" i="4" l="1"/>
  <c r="AC443" i="3"/>
  <c r="AD443" i="3" s="1"/>
  <c r="M444" i="3"/>
  <c r="O444" i="3" l="1"/>
  <c r="AI444" i="3"/>
  <c r="N444" i="3"/>
  <c r="P444" i="3" s="1"/>
  <c r="Q444" i="3" s="1"/>
  <c r="H443" i="4"/>
  <c r="G443" i="4"/>
  <c r="I443" i="4" s="1"/>
  <c r="J443" i="4" s="1"/>
  <c r="L444" i="4" l="1"/>
  <c r="V444" i="3"/>
  <c r="K443" i="4"/>
  <c r="M443" i="4"/>
  <c r="W444" i="3" l="1"/>
  <c r="X444" i="3"/>
  <c r="Y444" i="3" s="1"/>
  <c r="Z444" i="3" s="1"/>
  <c r="AA444" i="3" s="1"/>
  <c r="AB444" i="3" s="1"/>
  <c r="C444" i="4" l="1"/>
  <c r="M445" i="3"/>
  <c r="AC444" i="3"/>
  <c r="AD444" i="3" s="1"/>
  <c r="O445" i="3" l="1"/>
  <c r="AI445" i="3"/>
  <c r="N445" i="3"/>
  <c r="P445" i="3" s="1"/>
  <c r="Q445" i="3" s="1"/>
  <c r="H444" i="4"/>
  <c r="G444" i="4"/>
  <c r="I444" i="4" s="1"/>
  <c r="J444" i="4" s="1"/>
  <c r="L445" i="4" l="1"/>
  <c r="V445" i="3"/>
  <c r="M444" i="4"/>
  <c r="K444" i="4"/>
  <c r="W445" i="3" l="1"/>
  <c r="X445" i="3" s="1"/>
  <c r="Y445" i="3" s="1"/>
  <c r="Z445" i="3" s="1"/>
  <c r="AA445" i="3" s="1"/>
  <c r="AB445" i="3" s="1"/>
  <c r="M446" i="3" l="1"/>
  <c r="C445" i="4"/>
  <c r="AC445" i="3"/>
  <c r="AD445" i="3" s="1"/>
  <c r="H445" i="4" l="1"/>
  <c r="G445" i="4"/>
  <c r="I445" i="4" s="1"/>
  <c r="J445" i="4" s="1"/>
  <c r="AI446" i="3"/>
  <c r="O446" i="3"/>
  <c r="N446" i="3"/>
  <c r="K445" i="4" l="1"/>
  <c r="M445" i="4"/>
  <c r="P446" i="3"/>
  <c r="Q446" i="3" s="1"/>
  <c r="L446" i="4" l="1"/>
  <c r="V446" i="3"/>
  <c r="W446" i="3" l="1"/>
  <c r="X446" i="3"/>
  <c r="Y446" i="3" s="1"/>
  <c r="Z446" i="3" s="1"/>
  <c r="AA446" i="3" s="1"/>
  <c r="AB446" i="3" s="1"/>
  <c r="M447" i="3" l="1"/>
  <c r="AC446" i="3"/>
  <c r="AD446" i="3" s="1"/>
  <c r="C446" i="4"/>
  <c r="H446" i="4" l="1"/>
  <c r="G446" i="4"/>
  <c r="I446" i="4" s="1"/>
  <c r="J446" i="4" s="1"/>
  <c r="AI447" i="3"/>
  <c r="O447" i="3"/>
  <c r="N447" i="3"/>
  <c r="M446" i="4" l="1"/>
  <c r="K446" i="4"/>
  <c r="P447" i="3"/>
  <c r="Q447" i="3" s="1"/>
  <c r="L447" i="4" l="1"/>
  <c r="V447" i="3"/>
  <c r="W447" i="3" l="1"/>
  <c r="X447" i="3" s="1"/>
  <c r="Y447" i="3" s="1"/>
  <c r="Z447" i="3" s="1"/>
  <c r="AA447" i="3" s="1"/>
  <c r="AB447" i="3" s="1"/>
  <c r="C447" i="4" l="1"/>
  <c r="M448" i="3"/>
  <c r="AC447" i="3"/>
  <c r="AD447" i="3" s="1"/>
  <c r="O448" i="3" l="1"/>
  <c r="N448" i="3"/>
  <c r="P448" i="3" s="1"/>
  <c r="Q448" i="3" s="1"/>
  <c r="AI448" i="3"/>
  <c r="G447" i="4"/>
  <c r="I447" i="4" s="1"/>
  <c r="J447" i="4" s="1"/>
  <c r="H447" i="4"/>
  <c r="M447" i="4" l="1"/>
  <c r="K447" i="4"/>
  <c r="L448" i="4"/>
  <c r="C35" i="5" s="1"/>
  <c r="N35" i="5" s="1"/>
  <c r="V448" i="3"/>
  <c r="W448" i="3" l="1"/>
  <c r="X448" i="3"/>
  <c r="Y448" i="3" s="1"/>
  <c r="Z448" i="3" s="1"/>
  <c r="AA448" i="3" s="1"/>
  <c r="AB448" i="3" s="1"/>
  <c r="AC448" i="3" l="1"/>
  <c r="AD448" i="3" s="1"/>
  <c r="M449" i="3"/>
  <c r="C448" i="4"/>
  <c r="G448" i="4" l="1"/>
  <c r="I448" i="4" s="1"/>
  <c r="J448" i="4" s="1"/>
  <c r="H448" i="4"/>
  <c r="O449" i="3"/>
  <c r="AI449" i="3"/>
  <c r="N449" i="3"/>
  <c r="P449" i="3" l="1"/>
  <c r="Q449" i="3" s="1"/>
  <c r="M448" i="4"/>
  <c r="K448" i="4"/>
  <c r="E35" i="5" s="1"/>
  <c r="D35" i="5"/>
  <c r="L449" i="4" l="1"/>
  <c r="V449" i="3"/>
  <c r="W449" i="3" l="1"/>
  <c r="X449" i="3" s="1"/>
  <c r="Y449" i="3" s="1"/>
  <c r="Z449" i="3" s="1"/>
  <c r="AA449" i="3" s="1"/>
  <c r="AB449" i="3" s="1"/>
  <c r="AC449" i="3" l="1"/>
  <c r="AD449" i="3" s="1"/>
  <c r="C449" i="4"/>
  <c r="M450" i="3"/>
  <c r="AI450" i="3" l="1"/>
  <c r="N450" i="3"/>
  <c r="O450" i="3"/>
  <c r="G449" i="4"/>
  <c r="I449" i="4" s="1"/>
  <c r="J449" i="4" s="1"/>
  <c r="H449" i="4"/>
  <c r="K449" i="4" l="1"/>
  <c r="M449" i="4"/>
  <c r="P450" i="3"/>
  <c r="Q450" i="3" s="1"/>
  <c r="L450" i="4" l="1"/>
  <c r="V450" i="3"/>
  <c r="W450" i="3" l="1"/>
  <c r="X450" i="3"/>
  <c r="Y450" i="3" s="1"/>
  <c r="Z450" i="3" s="1"/>
  <c r="AA450" i="3" s="1"/>
  <c r="AB450" i="3" s="1"/>
  <c r="AC450" i="3" l="1"/>
  <c r="AD450" i="3" s="1"/>
  <c r="C450" i="4"/>
  <c r="M451" i="3"/>
  <c r="AI451" i="3" l="1"/>
  <c r="O451" i="3"/>
  <c r="N451" i="3"/>
  <c r="P451" i="3" s="1"/>
  <c r="Q451" i="3" s="1"/>
  <c r="H450" i="4"/>
  <c r="G450" i="4"/>
  <c r="I450" i="4" s="1"/>
  <c r="J450" i="4" s="1"/>
  <c r="L451" i="4" l="1"/>
  <c r="V451" i="3"/>
  <c r="M450" i="4"/>
  <c r="K450" i="4"/>
  <c r="W451" i="3" l="1"/>
  <c r="X451" i="3" s="1"/>
  <c r="Y451" i="3" s="1"/>
  <c r="Z451" i="3" s="1"/>
  <c r="AA451" i="3" s="1"/>
  <c r="AB451" i="3" s="1"/>
  <c r="M452" i="3" l="1"/>
  <c r="AC451" i="3"/>
  <c r="AD451" i="3" s="1"/>
  <c r="C451" i="4"/>
  <c r="G451" i="4" l="1"/>
  <c r="I451" i="4" s="1"/>
  <c r="J451" i="4" s="1"/>
  <c r="H451" i="4"/>
  <c r="AI452" i="3"/>
  <c r="N452" i="3"/>
  <c r="P452" i="3" s="1"/>
  <c r="Q452" i="3" s="1"/>
  <c r="O452" i="3"/>
  <c r="L452" i="4" l="1"/>
  <c r="V452" i="3"/>
  <c r="K451" i="4"/>
  <c r="M451" i="4"/>
  <c r="W452" i="3" l="1"/>
  <c r="X452" i="3"/>
  <c r="Y452" i="3" s="1"/>
  <c r="Z452" i="3" s="1"/>
  <c r="AA452" i="3" s="1"/>
  <c r="AB452" i="3" s="1"/>
  <c r="C452" i="4" l="1"/>
  <c r="M453" i="3"/>
  <c r="AC452" i="3"/>
  <c r="AD452" i="3" s="1"/>
  <c r="O453" i="3" l="1"/>
  <c r="N453" i="3"/>
  <c r="P453" i="3" s="1"/>
  <c r="Q453" i="3" s="1"/>
  <c r="AI453" i="3"/>
  <c r="G452" i="4"/>
  <c r="I452" i="4" s="1"/>
  <c r="J452" i="4" s="1"/>
  <c r="H452" i="4"/>
  <c r="K452" i="4" l="1"/>
  <c r="M452" i="4"/>
  <c r="L453" i="4"/>
  <c r="V453" i="3"/>
  <c r="W453" i="3" l="1"/>
  <c r="X453" i="3"/>
  <c r="Y453" i="3" s="1"/>
  <c r="Z453" i="3" s="1"/>
  <c r="AA453" i="3" s="1"/>
  <c r="AB453" i="3" s="1"/>
  <c r="C453" i="4" l="1"/>
  <c r="AC453" i="3"/>
  <c r="AD453" i="3" s="1"/>
  <c r="M454" i="3"/>
  <c r="O454" i="3" l="1"/>
  <c r="AI454" i="3"/>
  <c r="N454" i="3"/>
  <c r="P454" i="3" s="1"/>
  <c r="Q454" i="3" s="1"/>
  <c r="G453" i="4"/>
  <c r="I453" i="4" s="1"/>
  <c r="J453" i="4" s="1"/>
  <c r="H453" i="4"/>
  <c r="M453" i="4" l="1"/>
  <c r="K453" i="4"/>
  <c r="L454" i="4"/>
  <c r="V454" i="3"/>
  <c r="W454" i="3" l="1"/>
  <c r="X454" i="3"/>
  <c r="Y454" i="3" s="1"/>
  <c r="Z454" i="3" s="1"/>
  <c r="AA454" i="3" s="1"/>
  <c r="AB454" i="3" s="1"/>
  <c r="AC454" i="3" l="1"/>
  <c r="AD454" i="3" s="1"/>
  <c r="C454" i="4"/>
  <c r="M455" i="3"/>
  <c r="AI455" i="3" l="1"/>
  <c r="O455" i="3"/>
  <c r="N455" i="3"/>
  <c r="P455" i="3" s="1"/>
  <c r="Q455" i="3" s="1"/>
  <c r="H454" i="4"/>
  <c r="G454" i="4"/>
  <c r="I454" i="4" s="1"/>
  <c r="J454" i="4" s="1"/>
  <c r="L455" i="4" l="1"/>
  <c r="V455" i="3"/>
  <c r="K454" i="4"/>
  <c r="M454" i="4"/>
  <c r="W455" i="3" l="1"/>
  <c r="X455" i="3" s="1"/>
  <c r="Y455" i="3" s="1"/>
  <c r="Z455" i="3" s="1"/>
  <c r="AA455" i="3" s="1"/>
  <c r="AB455" i="3" s="1"/>
  <c r="M456" i="3" l="1"/>
  <c r="C455" i="4"/>
  <c r="AC455" i="3"/>
  <c r="AD455" i="3" s="1"/>
  <c r="H455" i="4" l="1"/>
  <c r="G455" i="4"/>
  <c r="I455" i="4" s="1"/>
  <c r="J455" i="4" s="1"/>
  <c r="AI456" i="3"/>
  <c r="N456" i="3"/>
  <c r="P456" i="3" s="1"/>
  <c r="Q456" i="3" s="1"/>
  <c r="O456" i="3"/>
  <c r="L456" i="4" l="1"/>
  <c r="V456" i="3"/>
  <c r="M455" i="4"/>
  <c r="K455" i="4"/>
  <c r="W456" i="3" l="1"/>
  <c r="X456" i="3"/>
  <c r="Y456" i="3" s="1"/>
  <c r="Z456" i="3" s="1"/>
  <c r="AA456" i="3" s="1"/>
  <c r="AB456" i="3" s="1"/>
  <c r="C456" i="4" l="1"/>
  <c r="AC456" i="3"/>
  <c r="AD456" i="3" s="1"/>
  <c r="M457" i="3"/>
  <c r="O457" i="3" l="1"/>
  <c r="N457" i="3"/>
  <c r="P457" i="3" s="1"/>
  <c r="Q457" i="3" s="1"/>
  <c r="AI457" i="3"/>
  <c r="H456" i="4"/>
  <c r="G456" i="4"/>
  <c r="I456" i="4" s="1"/>
  <c r="J456" i="4" s="1"/>
  <c r="L457" i="4" l="1"/>
  <c r="V457" i="3"/>
  <c r="M456" i="4"/>
  <c r="K456" i="4"/>
  <c r="W457" i="3" l="1"/>
  <c r="X457" i="3" s="1"/>
  <c r="Y457" i="3" s="1"/>
  <c r="Z457" i="3" s="1"/>
  <c r="AA457" i="3" s="1"/>
  <c r="AB457" i="3" s="1"/>
  <c r="AC457" i="3" l="1"/>
  <c r="AD457" i="3" s="1"/>
  <c r="C457" i="4"/>
  <c r="M458" i="3"/>
  <c r="AI458" i="3" l="1"/>
  <c r="N458" i="3"/>
  <c r="O458" i="3"/>
  <c r="H457" i="4"/>
  <c r="G457" i="4"/>
  <c r="I457" i="4" s="1"/>
  <c r="J457" i="4" s="1"/>
  <c r="P458" i="3" l="1"/>
  <c r="Q458" i="3" s="1"/>
  <c r="M457" i="4"/>
  <c r="K457" i="4"/>
  <c r="L458" i="4" l="1"/>
  <c r="V458" i="3"/>
  <c r="W458" i="3" l="1"/>
  <c r="X458" i="3"/>
  <c r="Y458" i="3" s="1"/>
  <c r="Z458" i="3" s="1"/>
  <c r="AA458" i="3" s="1"/>
  <c r="AB458" i="3" s="1"/>
  <c r="C458" i="4" l="1"/>
  <c r="M459" i="3"/>
  <c r="AC458" i="3"/>
  <c r="AD458" i="3" s="1"/>
  <c r="AI459" i="3" l="1"/>
  <c r="N459" i="3"/>
  <c r="O459" i="3"/>
  <c r="G458" i="4"/>
  <c r="I458" i="4" s="1"/>
  <c r="J458" i="4" s="1"/>
  <c r="H458" i="4"/>
  <c r="M458" i="4" l="1"/>
  <c r="K458" i="4"/>
  <c r="P459" i="3"/>
  <c r="Q459" i="3" s="1"/>
  <c r="L459" i="4" l="1"/>
  <c r="V459" i="3"/>
  <c r="X459" i="3" l="1"/>
  <c r="Y459" i="3" s="1"/>
  <c r="Z459" i="3" s="1"/>
  <c r="AA459" i="3" s="1"/>
  <c r="AB459" i="3" s="1"/>
  <c r="W459" i="3"/>
  <c r="AC459" i="3" l="1"/>
  <c r="AD459" i="3" s="1"/>
  <c r="M460" i="3"/>
  <c r="C459" i="4"/>
  <c r="G459" i="4" l="1"/>
  <c r="I459" i="4" s="1"/>
  <c r="J459" i="4" s="1"/>
  <c r="H459" i="4"/>
  <c r="AI460" i="3"/>
  <c r="O460" i="3"/>
  <c r="N460" i="3"/>
  <c r="P460" i="3" s="1"/>
  <c r="Q460" i="3" s="1"/>
  <c r="L460" i="4" l="1"/>
  <c r="V460" i="3"/>
  <c r="K459" i="4"/>
  <c r="M459" i="4"/>
  <c r="W460" i="3" l="1"/>
  <c r="X460" i="3" s="1"/>
  <c r="Y460" i="3" s="1"/>
  <c r="Z460" i="3" s="1"/>
  <c r="AA460" i="3" s="1"/>
  <c r="AB460" i="3" s="1"/>
  <c r="C460" i="4" l="1"/>
  <c r="M461" i="3"/>
  <c r="AC460" i="3"/>
  <c r="AD460" i="3" s="1"/>
  <c r="O461" i="3" l="1"/>
  <c r="AI461" i="3"/>
  <c r="N461" i="3"/>
  <c r="P461" i="3" s="1"/>
  <c r="Q461" i="3" s="1"/>
  <c r="G460" i="4"/>
  <c r="I460" i="4" s="1"/>
  <c r="J460" i="4" s="1"/>
  <c r="H460" i="4"/>
  <c r="K460" i="4" l="1"/>
  <c r="M460" i="4"/>
  <c r="L461" i="4"/>
  <c r="V461" i="3"/>
  <c r="W461" i="3" l="1"/>
  <c r="X461" i="3"/>
  <c r="Y461" i="3" s="1"/>
  <c r="Z461" i="3" s="1"/>
  <c r="AA461" i="3" s="1"/>
  <c r="AB461" i="3" s="1"/>
  <c r="AC461" i="3" l="1"/>
  <c r="AD461" i="3" s="1"/>
  <c r="M462" i="3"/>
  <c r="C461" i="4"/>
  <c r="G461" i="4" l="1"/>
  <c r="I461" i="4" s="1"/>
  <c r="J461" i="4" s="1"/>
  <c r="H461" i="4"/>
  <c r="AI462" i="3"/>
  <c r="O462" i="3"/>
  <c r="N462" i="3"/>
  <c r="P462" i="3" l="1"/>
  <c r="Q462" i="3" s="1"/>
  <c r="K461" i="4"/>
  <c r="M461" i="4"/>
  <c r="L462" i="4" l="1"/>
  <c r="V462" i="3"/>
  <c r="W462" i="3" l="1"/>
  <c r="X462" i="3"/>
  <c r="Y462" i="3" s="1"/>
  <c r="Z462" i="3" s="1"/>
  <c r="AA462" i="3" s="1"/>
  <c r="AB462" i="3" s="1"/>
  <c r="M463" i="3" l="1"/>
  <c r="C462" i="4"/>
  <c r="AC462" i="3"/>
  <c r="AD462" i="3" s="1"/>
  <c r="G462" i="4" l="1"/>
  <c r="I462" i="4" s="1"/>
  <c r="J462" i="4" s="1"/>
  <c r="H462" i="4"/>
  <c r="O463" i="3"/>
  <c r="AI463" i="3"/>
  <c r="N463" i="3"/>
  <c r="P463" i="3" l="1"/>
  <c r="Q463" i="3" s="1"/>
  <c r="K462" i="4"/>
  <c r="M462" i="4"/>
  <c r="L463" i="4" l="1"/>
  <c r="V463" i="3"/>
  <c r="W463" i="3" l="1"/>
  <c r="X463" i="3" s="1"/>
  <c r="Y463" i="3" s="1"/>
  <c r="Z463" i="3" s="1"/>
  <c r="AA463" i="3" s="1"/>
  <c r="AB463" i="3" s="1"/>
  <c r="C463" i="4" l="1"/>
  <c r="AC463" i="3"/>
  <c r="AD463" i="3" s="1"/>
  <c r="M464" i="3"/>
  <c r="N464" i="3" l="1"/>
  <c r="O464" i="3"/>
  <c r="AI464" i="3"/>
  <c r="H463" i="4"/>
  <c r="G463" i="4"/>
  <c r="I463" i="4" s="1"/>
  <c r="J463" i="4" s="1"/>
  <c r="M463" i="4" l="1"/>
  <c r="K463" i="4"/>
  <c r="P464" i="3"/>
  <c r="Q464" i="3" s="1"/>
  <c r="L464" i="4" l="1"/>
  <c r="V464" i="3"/>
  <c r="W464" i="3" l="1"/>
  <c r="X464" i="3"/>
  <c r="Y464" i="3" s="1"/>
  <c r="Z464" i="3" s="1"/>
  <c r="AA464" i="3" s="1"/>
  <c r="AB464" i="3" s="1"/>
  <c r="AC464" i="3" l="1"/>
  <c r="AD464" i="3" s="1"/>
  <c r="M465" i="3"/>
  <c r="C464" i="4"/>
  <c r="H464" i="4" l="1"/>
  <c r="G464" i="4"/>
  <c r="I464" i="4" s="1"/>
  <c r="J464" i="4" s="1"/>
  <c r="AI465" i="3"/>
  <c r="O465" i="3"/>
  <c r="N465" i="3"/>
  <c r="K464" i="4" l="1"/>
  <c r="M464" i="4"/>
  <c r="P465" i="3"/>
  <c r="Q465" i="3" s="1"/>
  <c r="L465" i="4" l="1"/>
  <c r="V465" i="3"/>
  <c r="W465" i="3" l="1"/>
  <c r="X465" i="3"/>
  <c r="Y465" i="3" s="1"/>
  <c r="Z465" i="3" s="1"/>
  <c r="AA465" i="3" s="1"/>
  <c r="AB465" i="3" s="1"/>
  <c r="C465" i="4" l="1"/>
  <c r="M466" i="3"/>
  <c r="AC465" i="3"/>
  <c r="AD465" i="3" s="1"/>
  <c r="AI466" i="3" l="1"/>
  <c r="O466" i="3"/>
  <c r="N466" i="3"/>
  <c r="P466" i="3" s="1"/>
  <c r="Q466" i="3" s="1"/>
  <c r="H465" i="4"/>
  <c r="G465" i="4"/>
  <c r="I465" i="4" s="1"/>
  <c r="J465" i="4" s="1"/>
  <c r="L466" i="4" l="1"/>
  <c r="V466" i="3"/>
  <c r="M465" i="4"/>
  <c r="K465" i="4"/>
  <c r="W466" i="3" l="1"/>
  <c r="X466" i="3"/>
  <c r="Y466" i="3" s="1"/>
  <c r="Z466" i="3" s="1"/>
  <c r="AA466" i="3" s="1"/>
  <c r="AB466" i="3" s="1"/>
  <c r="AC466" i="3" l="1"/>
  <c r="AD466" i="3" s="1"/>
  <c r="M467" i="3"/>
  <c r="C466" i="4"/>
  <c r="H466" i="4" l="1"/>
  <c r="G466" i="4"/>
  <c r="I466" i="4" s="1"/>
  <c r="J466" i="4" s="1"/>
  <c r="AI467" i="3"/>
  <c r="O467" i="3"/>
  <c r="N467" i="3"/>
  <c r="K466" i="4" l="1"/>
  <c r="M466" i="4"/>
  <c r="P467" i="3"/>
  <c r="Q467" i="3" s="1"/>
  <c r="L467" i="4" l="1"/>
  <c r="V467" i="3"/>
  <c r="W467" i="3" l="1"/>
  <c r="X467" i="3" s="1"/>
  <c r="Y467" i="3" s="1"/>
  <c r="Z467" i="3" s="1"/>
  <c r="AA467" i="3" s="1"/>
  <c r="AB467" i="3" s="1"/>
  <c r="M468" i="3" l="1"/>
  <c r="AC467" i="3"/>
  <c r="AD467" i="3" s="1"/>
  <c r="C467" i="4"/>
  <c r="H467" i="4" l="1"/>
  <c r="G467" i="4"/>
  <c r="I467" i="4" s="1"/>
  <c r="J467" i="4" s="1"/>
  <c r="N468" i="3"/>
  <c r="P468" i="3" s="1"/>
  <c r="Q468" i="3" s="1"/>
  <c r="AI468" i="3"/>
  <c r="O468" i="3"/>
  <c r="L468" i="4" l="1"/>
  <c r="V468" i="3"/>
  <c r="M467" i="4"/>
  <c r="K467" i="4"/>
  <c r="W468" i="3" l="1"/>
  <c r="X468" i="3" s="1"/>
  <c r="Y468" i="3" s="1"/>
  <c r="Z468" i="3" s="1"/>
  <c r="AA468" i="3" s="1"/>
  <c r="AB468" i="3" s="1"/>
  <c r="C468" i="4" l="1"/>
  <c r="AC468" i="3"/>
  <c r="AD468" i="3" s="1"/>
  <c r="M469" i="3"/>
  <c r="AI469" i="3" l="1"/>
  <c r="O469" i="3"/>
  <c r="N469" i="3"/>
  <c r="P469" i="3" s="1"/>
  <c r="Q469" i="3" s="1"/>
  <c r="G468" i="4"/>
  <c r="I468" i="4" s="1"/>
  <c r="J468" i="4" s="1"/>
  <c r="H468" i="4"/>
  <c r="K468" i="4" l="1"/>
  <c r="M468" i="4"/>
  <c r="L469" i="4"/>
  <c r="V469" i="3"/>
  <c r="W469" i="3" l="1"/>
  <c r="X469" i="3"/>
  <c r="Y469" i="3" s="1"/>
  <c r="Z469" i="3" s="1"/>
  <c r="AA469" i="3" s="1"/>
  <c r="AB469" i="3" s="1"/>
  <c r="AC469" i="3" l="1"/>
  <c r="AD469" i="3" s="1"/>
  <c r="C469" i="4"/>
  <c r="M470" i="3"/>
  <c r="N470" i="3" l="1"/>
  <c r="O470" i="3"/>
  <c r="AI470" i="3"/>
  <c r="H469" i="4"/>
  <c r="G469" i="4"/>
  <c r="I469" i="4" s="1"/>
  <c r="J469" i="4" s="1"/>
  <c r="M469" i="4" l="1"/>
  <c r="K469" i="4"/>
  <c r="P470" i="3"/>
  <c r="Q470" i="3" s="1"/>
  <c r="L470" i="4" l="1"/>
  <c r="V470" i="3"/>
  <c r="W470" i="3" l="1"/>
  <c r="X470" i="3"/>
  <c r="Y470" i="3" s="1"/>
  <c r="Z470" i="3" s="1"/>
  <c r="AA470" i="3" s="1"/>
  <c r="AB470" i="3" s="1"/>
  <c r="M471" i="3" l="1"/>
  <c r="AC470" i="3"/>
  <c r="AD470" i="3" s="1"/>
  <c r="C470" i="4"/>
  <c r="N471" i="3" l="1"/>
  <c r="O471" i="3"/>
  <c r="AI471" i="3"/>
  <c r="H470" i="4"/>
  <c r="G470" i="4"/>
  <c r="I470" i="4" s="1"/>
  <c r="J470" i="4" s="1"/>
  <c r="K470" i="4" l="1"/>
  <c r="M470" i="4"/>
  <c r="P471" i="3"/>
  <c r="Q471" i="3" s="1"/>
  <c r="L471" i="4" l="1"/>
  <c r="V471" i="3"/>
  <c r="W471" i="3" l="1"/>
  <c r="X471" i="3" s="1"/>
  <c r="Y471" i="3" s="1"/>
  <c r="Z471" i="3" s="1"/>
  <c r="AA471" i="3" s="1"/>
  <c r="AB471" i="3" s="1"/>
  <c r="AC471" i="3" l="1"/>
  <c r="AD471" i="3" s="1"/>
  <c r="M472" i="3"/>
  <c r="C471" i="4"/>
  <c r="H471" i="4" l="1"/>
  <c r="G471" i="4"/>
  <c r="I471" i="4" s="1"/>
  <c r="J471" i="4" s="1"/>
  <c r="O472" i="3"/>
  <c r="AI472" i="3"/>
  <c r="N472" i="3"/>
  <c r="K471" i="4" l="1"/>
  <c r="M471" i="4"/>
  <c r="P472" i="3"/>
  <c r="Q472" i="3" s="1"/>
  <c r="L472" i="4" l="1"/>
  <c r="V472" i="3"/>
  <c r="W472" i="3" l="1"/>
  <c r="X472" i="3" s="1"/>
  <c r="Y472" i="3" s="1"/>
  <c r="Z472" i="3" s="1"/>
  <c r="AA472" i="3" s="1"/>
  <c r="AB472" i="3" s="1"/>
  <c r="M473" i="3" l="1"/>
  <c r="C472" i="4"/>
  <c r="AC472" i="3"/>
  <c r="AD472" i="3" s="1"/>
  <c r="G472" i="4" l="1"/>
  <c r="I472" i="4" s="1"/>
  <c r="J472" i="4" s="1"/>
  <c r="H472" i="4"/>
  <c r="N473" i="3"/>
  <c r="O473" i="3"/>
  <c r="AI473" i="3"/>
  <c r="P473" i="3" l="1"/>
  <c r="Q473" i="3" s="1"/>
  <c r="K472" i="4"/>
  <c r="M472" i="4"/>
  <c r="L473" i="4" l="1"/>
  <c r="V473" i="3"/>
  <c r="W473" i="3" l="1"/>
  <c r="X473" i="3" s="1"/>
  <c r="Y473" i="3" s="1"/>
  <c r="Z473" i="3" s="1"/>
  <c r="AA473" i="3" s="1"/>
  <c r="AB473" i="3" s="1"/>
  <c r="M474" i="3" l="1"/>
  <c r="C473" i="4"/>
  <c r="AC473" i="3"/>
  <c r="AD473" i="3" s="1"/>
  <c r="G473" i="4" l="1"/>
  <c r="I473" i="4" s="1"/>
  <c r="J473" i="4" s="1"/>
  <c r="H473" i="4"/>
  <c r="AI474" i="3"/>
  <c r="O474" i="3"/>
  <c r="N474" i="3"/>
  <c r="P474" i="3" l="1"/>
  <c r="Q474" i="3" s="1"/>
  <c r="M473" i="4"/>
  <c r="K473" i="4"/>
  <c r="L474" i="4" l="1"/>
  <c r="V474" i="3"/>
  <c r="W474" i="3" l="1"/>
  <c r="X474" i="3"/>
  <c r="Y474" i="3" s="1"/>
  <c r="Z474" i="3" s="1"/>
  <c r="AA474" i="3" s="1"/>
  <c r="AB474" i="3" s="1"/>
  <c r="C474" i="4" l="1"/>
  <c r="AC474" i="3"/>
  <c r="AD474" i="3" s="1"/>
  <c r="M475" i="3"/>
  <c r="AI475" i="3" l="1"/>
  <c r="N475" i="3"/>
  <c r="O475" i="3"/>
  <c r="H474" i="4"/>
  <c r="G474" i="4"/>
  <c r="I474" i="4" s="1"/>
  <c r="J474" i="4" s="1"/>
  <c r="P475" i="3" l="1"/>
  <c r="Q475" i="3" s="1"/>
  <c r="M474" i="4"/>
  <c r="K474" i="4"/>
  <c r="L475" i="4" l="1"/>
  <c r="V475" i="3"/>
  <c r="W475" i="3" l="1"/>
  <c r="X475" i="3" s="1"/>
  <c r="Y475" i="3" s="1"/>
  <c r="Z475" i="3" s="1"/>
  <c r="AA475" i="3" s="1"/>
  <c r="AB475" i="3" s="1"/>
  <c r="C475" i="4" l="1"/>
  <c r="M476" i="3"/>
  <c r="AC475" i="3"/>
  <c r="AD475" i="3" s="1"/>
  <c r="O476" i="3" l="1"/>
  <c r="AI476" i="3"/>
  <c r="N476" i="3"/>
  <c r="P476" i="3" s="1"/>
  <c r="Q476" i="3" s="1"/>
  <c r="G475" i="4"/>
  <c r="I475" i="4" s="1"/>
  <c r="J475" i="4" s="1"/>
  <c r="H475" i="4"/>
  <c r="K475" i="4" l="1"/>
  <c r="M475" i="4"/>
  <c r="L476" i="4"/>
  <c r="V476" i="3"/>
  <c r="W476" i="3" l="1"/>
  <c r="X476" i="3" s="1"/>
  <c r="Y476" i="3" s="1"/>
  <c r="Z476" i="3" s="1"/>
  <c r="AA476" i="3" s="1"/>
  <c r="AB476" i="3" s="1"/>
  <c r="C476" i="4" l="1"/>
  <c r="AC476" i="3"/>
  <c r="AD476" i="3" s="1"/>
  <c r="M477" i="3"/>
  <c r="N477" i="3" l="1"/>
  <c r="AI477" i="3"/>
  <c r="O477" i="3"/>
  <c r="H476" i="4"/>
  <c r="G476" i="4"/>
  <c r="I476" i="4" s="1"/>
  <c r="J476" i="4" s="1"/>
  <c r="M476" i="4" l="1"/>
  <c r="K476" i="4"/>
  <c r="P477" i="3"/>
  <c r="Q477" i="3" s="1"/>
  <c r="L477" i="4" l="1"/>
  <c r="V477" i="3"/>
  <c r="W477" i="3" l="1"/>
  <c r="X477" i="3"/>
  <c r="Y477" i="3" s="1"/>
  <c r="Z477" i="3" s="1"/>
  <c r="AA477" i="3" s="1"/>
  <c r="AB477" i="3" s="1"/>
  <c r="AC477" i="3" l="1"/>
  <c r="AD477" i="3" s="1"/>
  <c r="M478" i="3"/>
  <c r="C477" i="4"/>
  <c r="G477" i="4" l="1"/>
  <c r="I477" i="4" s="1"/>
  <c r="J477" i="4" s="1"/>
  <c r="H477" i="4"/>
  <c r="AI478" i="3"/>
  <c r="O478" i="3"/>
  <c r="N478" i="3"/>
  <c r="P478" i="3" l="1"/>
  <c r="Q478" i="3" s="1"/>
  <c r="K477" i="4"/>
  <c r="M477" i="4"/>
  <c r="L478" i="4" l="1"/>
  <c r="V478" i="3"/>
  <c r="W478" i="3" l="1"/>
  <c r="X478" i="3"/>
  <c r="Y478" i="3" s="1"/>
  <c r="Z478" i="3" s="1"/>
  <c r="AA478" i="3" s="1"/>
  <c r="AB478" i="3" s="1"/>
  <c r="AC478" i="3" l="1"/>
  <c r="AD478" i="3" s="1"/>
  <c r="M479" i="3"/>
  <c r="C478" i="4"/>
  <c r="H478" i="4" l="1"/>
  <c r="G478" i="4"/>
  <c r="I478" i="4" s="1"/>
  <c r="J478" i="4" s="1"/>
  <c r="AI479" i="3"/>
  <c r="O479" i="3"/>
  <c r="N479" i="3"/>
  <c r="K478" i="4" l="1"/>
  <c r="M478" i="4"/>
  <c r="P479" i="3"/>
  <c r="Q479" i="3" s="1"/>
  <c r="L479" i="4" l="1"/>
  <c r="V479" i="3"/>
  <c r="W479" i="3" l="1"/>
  <c r="X479" i="3" s="1"/>
  <c r="Y479" i="3" s="1"/>
  <c r="Z479" i="3" s="1"/>
  <c r="AA479" i="3" s="1"/>
  <c r="AB479" i="3" s="1"/>
  <c r="M480" i="3" l="1"/>
  <c r="C479" i="4"/>
  <c r="AC479" i="3"/>
  <c r="AD479" i="3" s="1"/>
  <c r="AI480" i="3" l="1"/>
  <c r="O480" i="3"/>
  <c r="N480" i="3"/>
  <c r="P480" i="3" s="1"/>
  <c r="Q480" i="3" s="1"/>
  <c r="H479" i="4"/>
  <c r="G479" i="4"/>
  <c r="I479" i="4" s="1"/>
  <c r="J479" i="4" s="1"/>
  <c r="L480" i="4" l="1"/>
  <c r="V480" i="3"/>
  <c r="K479" i="4"/>
  <c r="M479" i="4"/>
  <c r="W480" i="3" l="1"/>
  <c r="X480" i="3" s="1"/>
  <c r="Y480" i="3" s="1"/>
  <c r="Z480" i="3" s="1"/>
  <c r="AA480" i="3" s="1"/>
  <c r="AB480" i="3" s="1"/>
  <c r="M481" i="3" l="1"/>
  <c r="AC480" i="3"/>
  <c r="AD480" i="3" s="1"/>
  <c r="C480" i="4"/>
  <c r="G480" i="4" l="1"/>
  <c r="I480" i="4" s="1"/>
  <c r="J480" i="4" s="1"/>
  <c r="H480" i="4"/>
  <c r="AI481" i="3"/>
  <c r="O481" i="3"/>
  <c r="N481" i="3"/>
  <c r="P481" i="3" l="1"/>
  <c r="Q481" i="3" s="1"/>
  <c r="K480" i="4"/>
  <c r="M480" i="4"/>
  <c r="L481" i="4" l="1"/>
  <c r="V481" i="3"/>
  <c r="W481" i="3" l="1"/>
  <c r="X481" i="3"/>
  <c r="Y481" i="3" s="1"/>
  <c r="Z481" i="3" s="1"/>
  <c r="AA481" i="3" s="1"/>
  <c r="AB481" i="3" s="1"/>
  <c r="C481" i="4" l="1"/>
  <c r="AC481" i="3"/>
  <c r="AD481" i="3" s="1"/>
  <c r="M482" i="3"/>
  <c r="AI482" i="3" l="1"/>
  <c r="O482" i="3"/>
  <c r="N482" i="3"/>
  <c r="P482" i="3" s="1"/>
  <c r="Q482" i="3" s="1"/>
  <c r="H481" i="4"/>
  <c r="G481" i="4"/>
  <c r="I481" i="4" s="1"/>
  <c r="J481" i="4" s="1"/>
  <c r="L482" i="4" l="1"/>
  <c r="V482" i="3"/>
  <c r="M481" i="4"/>
  <c r="K481" i="4"/>
  <c r="W482" i="3" l="1"/>
  <c r="X482" i="3"/>
  <c r="Y482" i="3" s="1"/>
  <c r="Z482" i="3" s="1"/>
  <c r="AA482" i="3" s="1"/>
  <c r="AB482" i="3" s="1"/>
  <c r="C482" i="4" l="1"/>
  <c r="AC482" i="3"/>
  <c r="AD482" i="3" s="1"/>
  <c r="M483" i="3"/>
  <c r="AI483" i="3" l="1"/>
  <c r="O483" i="3"/>
  <c r="N483" i="3"/>
  <c r="P483" i="3" s="1"/>
  <c r="Q483" i="3" s="1"/>
  <c r="H482" i="4"/>
  <c r="G482" i="4"/>
  <c r="I482" i="4" s="1"/>
  <c r="J482" i="4" s="1"/>
  <c r="L483" i="4" l="1"/>
  <c r="V483" i="3"/>
  <c r="K482" i="4"/>
  <c r="M482" i="4"/>
  <c r="W483" i="3" l="1"/>
  <c r="X483" i="3" s="1"/>
  <c r="Y483" i="3" s="1"/>
  <c r="Z483" i="3" s="1"/>
  <c r="AA483" i="3" s="1"/>
  <c r="AB483" i="3" s="1"/>
  <c r="M484" i="3" l="1"/>
  <c r="C483" i="4"/>
  <c r="AC483" i="3"/>
  <c r="AD483" i="3" s="1"/>
  <c r="G483" i="4" l="1"/>
  <c r="I483" i="4" s="1"/>
  <c r="J483" i="4" s="1"/>
  <c r="H483" i="4"/>
  <c r="AI484" i="3"/>
  <c r="O484" i="3"/>
  <c r="N484" i="3"/>
  <c r="P484" i="3" l="1"/>
  <c r="Q484" i="3" s="1"/>
  <c r="M483" i="4"/>
  <c r="K483" i="4"/>
  <c r="L484" i="4" l="1"/>
  <c r="V484" i="3"/>
  <c r="W484" i="3" l="1"/>
  <c r="X484" i="3" s="1"/>
  <c r="Y484" i="3" s="1"/>
  <c r="Z484" i="3" s="1"/>
  <c r="AA484" i="3" s="1"/>
  <c r="AB484" i="3" s="1"/>
  <c r="C484" i="4" l="1"/>
  <c r="AC484" i="3"/>
  <c r="AD484" i="3" s="1"/>
  <c r="M485" i="3"/>
  <c r="O485" i="3" l="1"/>
  <c r="N485" i="3"/>
  <c r="P485" i="3" s="1"/>
  <c r="Q485" i="3" s="1"/>
  <c r="AI485" i="3"/>
  <c r="G484" i="4"/>
  <c r="I484" i="4" s="1"/>
  <c r="J484" i="4" s="1"/>
  <c r="H484" i="4"/>
  <c r="K484" i="4" l="1"/>
  <c r="M484" i="4"/>
  <c r="L485" i="4"/>
  <c r="V485" i="3"/>
  <c r="W485" i="3" l="1"/>
  <c r="X485" i="3" s="1"/>
  <c r="Y485" i="3" s="1"/>
  <c r="Z485" i="3" s="1"/>
  <c r="AA485" i="3" s="1"/>
  <c r="AB485" i="3" s="1"/>
  <c r="M486" i="3" l="1"/>
  <c r="C485" i="4"/>
  <c r="AC485" i="3"/>
  <c r="AD485" i="3" s="1"/>
  <c r="G485" i="4" l="1"/>
  <c r="I485" i="4" s="1"/>
  <c r="J485" i="4" s="1"/>
  <c r="H485" i="4"/>
  <c r="AI486" i="3"/>
  <c r="N486" i="3"/>
  <c r="P486" i="3" s="1"/>
  <c r="Q486" i="3" s="1"/>
  <c r="O486" i="3"/>
  <c r="L486" i="4" l="1"/>
  <c r="V486" i="3"/>
  <c r="M485" i="4"/>
  <c r="K485" i="4"/>
  <c r="W486" i="3" l="1"/>
  <c r="X486" i="3"/>
  <c r="Y486" i="3" s="1"/>
  <c r="Z486" i="3" s="1"/>
  <c r="AA486" i="3" s="1"/>
  <c r="AB486" i="3" s="1"/>
  <c r="C486" i="4" l="1"/>
  <c r="AC486" i="3"/>
  <c r="AD486" i="3" s="1"/>
  <c r="M487" i="3"/>
  <c r="AI487" i="3" l="1"/>
  <c r="N487" i="3"/>
  <c r="O487" i="3"/>
  <c r="H486" i="4"/>
  <c r="G486" i="4"/>
  <c r="I486" i="4" s="1"/>
  <c r="J486" i="4" s="1"/>
  <c r="P487" i="3" l="1"/>
  <c r="Q487" i="3" s="1"/>
  <c r="M486" i="4"/>
  <c r="K486" i="4"/>
  <c r="L487" i="4" l="1"/>
  <c r="V487" i="3"/>
  <c r="W487" i="3" l="1"/>
  <c r="X487" i="3" s="1"/>
  <c r="Y487" i="3" s="1"/>
  <c r="Z487" i="3" s="1"/>
  <c r="AA487" i="3" s="1"/>
  <c r="AB487" i="3" s="1"/>
  <c r="M488" i="3" l="1"/>
  <c r="C487" i="4"/>
  <c r="AC487" i="3"/>
  <c r="AD487" i="3" s="1"/>
  <c r="H487" i="4" l="1"/>
  <c r="G487" i="4"/>
  <c r="I487" i="4" s="1"/>
  <c r="J487" i="4" s="1"/>
  <c r="AI488" i="3"/>
  <c r="O488" i="3"/>
  <c r="N488" i="3"/>
  <c r="K487" i="4" l="1"/>
  <c r="M487" i="4"/>
  <c r="P488" i="3"/>
  <c r="Q488" i="3" s="1"/>
  <c r="L488" i="4" l="1"/>
  <c r="V488" i="3"/>
  <c r="X488" i="3" l="1"/>
  <c r="Y488" i="3" s="1"/>
  <c r="Z488" i="3" s="1"/>
  <c r="AA488" i="3" s="1"/>
  <c r="AB488" i="3" s="1"/>
  <c r="W488" i="3"/>
  <c r="C488" i="4" l="1"/>
  <c r="M489" i="3"/>
  <c r="AC488" i="3"/>
  <c r="AD488" i="3" s="1"/>
  <c r="O489" i="3" l="1"/>
  <c r="N489" i="3"/>
  <c r="P489" i="3" s="1"/>
  <c r="Q489" i="3" s="1"/>
  <c r="AI489" i="3"/>
  <c r="H488" i="4"/>
  <c r="G488" i="4"/>
  <c r="I488" i="4" s="1"/>
  <c r="J488" i="4" s="1"/>
  <c r="L489" i="4" l="1"/>
  <c r="V489" i="3"/>
  <c r="K488" i="4"/>
  <c r="M488" i="4"/>
  <c r="W489" i="3" l="1"/>
  <c r="X489" i="3"/>
  <c r="Y489" i="3" s="1"/>
  <c r="Z489" i="3" s="1"/>
  <c r="AA489" i="3" s="1"/>
  <c r="AB489" i="3" s="1"/>
  <c r="AC489" i="3" l="1"/>
  <c r="AD489" i="3" s="1"/>
  <c r="M490" i="3"/>
  <c r="C489" i="4"/>
  <c r="H489" i="4" l="1"/>
  <c r="G489" i="4"/>
  <c r="I489" i="4" s="1"/>
  <c r="J489" i="4" s="1"/>
  <c r="AI490" i="3"/>
  <c r="N490" i="3"/>
  <c r="P490" i="3" s="1"/>
  <c r="Q490" i="3" s="1"/>
  <c r="O490" i="3"/>
  <c r="L490" i="4" l="1"/>
  <c r="C36" i="5" s="1"/>
  <c r="N36" i="5" s="1"/>
  <c r="V490" i="3"/>
  <c r="K489" i="4"/>
  <c r="M489" i="4"/>
  <c r="W490" i="3" l="1"/>
  <c r="X490" i="3" s="1"/>
  <c r="Y490" i="3" s="1"/>
  <c r="Z490" i="3" s="1"/>
  <c r="AA490" i="3" s="1"/>
  <c r="AB490" i="3" s="1"/>
  <c r="M491" i="3" l="1"/>
  <c r="C490" i="4"/>
  <c r="AC490" i="3"/>
  <c r="AD490" i="3" s="1"/>
  <c r="H490" i="4" l="1"/>
  <c r="G490" i="4"/>
  <c r="I490" i="4" s="1"/>
  <c r="J490" i="4" s="1"/>
  <c r="N491" i="3"/>
  <c r="P491" i="3" s="1"/>
  <c r="Q491" i="3" s="1"/>
  <c r="AI491" i="3"/>
  <c r="O491" i="3"/>
  <c r="L491" i="4" l="1"/>
  <c r="V491" i="3"/>
  <c r="M490" i="4"/>
  <c r="D36" i="5"/>
  <c r="K490" i="4"/>
  <c r="E36" i="5" s="1"/>
  <c r="W491" i="3" l="1"/>
  <c r="X491" i="3" s="1"/>
  <c r="Y491" i="3" s="1"/>
  <c r="Z491" i="3" s="1"/>
  <c r="AA491" i="3" s="1"/>
  <c r="AB491" i="3" s="1"/>
  <c r="C491" i="4" l="1"/>
  <c r="M492" i="3"/>
  <c r="AC491" i="3"/>
  <c r="AD491" i="3" s="1"/>
  <c r="AI492" i="3" l="1"/>
  <c r="N492" i="3"/>
  <c r="O492" i="3"/>
  <c r="G491" i="4"/>
  <c r="I491" i="4" s="1"/>
  <c r="J491" i="4" s="1"/>
  <c r="H491" i="4"/>
  <c r="K491" i="4" l="1"/>
  <c r="M491" i="4"/>
  <c r="P492" i="3"/>
  <c r="Q492" i="3" s="1"/>
  <c r="L492" i="4" l="1"/>
  <c r="V492" i="3"/>
  <c r="W492" i="3" l="1"/>
  <c r="X492" i="3" s="1"/>
  <c r="Y492" i="3" s="1"/>
  <c r="Z492" i="3" s="1"/>
  <c r="AA492" i="3" s="1"/>
  <c r="AB492" i="3" s="1"/>
  <c r="C492" i="4" l="1"/>
  <c r="M493" i="3"/>
  <c r="AC492" i="3"/>
  <c r="AD492" i="3" s="1"/>
  <c r="N493" i="3" l="1"/>
  <c r="P493" i="3" s="1"/>
  <c r="Q493" i="3" s="1"/>
  <c r="O493" i="3"/>
  <c r="AI493" i="3"/>
  <c r="G492" i="4"/>
  <c r="I492" i="4" s="1"/>
  <c r="J492" i="4" s="1"/>
  <c r="H492" i="4"/>
  <c r="L493" i="4" l="1"/>
  <c r="V493" i="3"/>
  <c r="K492" i="4"/>
  <c r="M492" i="4"/>
  <c r="W493" i="3" l="1"/>
  <c r="X493" i="3"/>
  <c r="Y493" i="3" s="1"/>
  <c r="Z493" i="3" s="1"/>
  <c r="AA493" i="3" s="1"/>
  <c r="AB493" i="3" s="1"/>
  <c r="M494" i="3" l="1"/>
  <c r="C493" i="4"/>
  <c r="AC493" i="3"/>
  <c r="AD493" i="3" s="1"/>
  <c r="H493" i="4" l="1"/>
  <c r="G493" i="4"/>
  <c r="I493" i="4" s="1"/>
  <c r="J493" i="4" s="1"/>
  <c r="AI494" i="3"/>
  <c r="O494" i="3"/>
  <c r="N494" i="3"/>
  <c r="M493" i="4" l="1"/>
  <c r="K493" i="4"/>
  <c r="P494" i="3"/>
  <c r="Q494" i="3" s="1"/>
  <c r="L494" i="4" l="1"/>
  <c r="V494" i="3"/>
  <c r="W494" i="3" l="1"/>
  <c r="X494" i="3"/>
  <c r="Y494" i="3" s="1"/>
  <c r="Z494" i="3" s="1"/>
  <c r="AA494" i="3" s="1"/>
  <c r="AB494" i="3" s="1"/>
  <c r="AC494" i="3" l="1"/>
  <c r="AD494" i="3" s="1"/>
  <c r="C494" i="4"/>
  <c r="M495" i="3"/>
  <c r="AI495" i="3" l="1"/>
  <c r="O495" i="3"/>
  <c r="N495" i="3"/>
  <c r="P495" i="3" s="1"/>
  <c r="Q495" i="3" s="1"/>
  <c r="H494" i="4"/>
  <c r="G494" i="4"/>
  <c r="I494" i="4" s="1"/>
  <c r="J494" i="4" s="1"/>
  <c r="L495" i="4" l="1"/>
  <c r="V495" i="3"/>
  <c r="M494" i="4"/>
  <c r="K494" i="4"/>
  <c r="X495" i="3" l="1"/>
  <c r="Y495" i="3" s="1"/>
  <c r="Z495" i="3" s="1"/>
  <c r="AA495" i="3" s="1"/>
  <c r="AB495" i="3" s="1"/>
  <c r="W495" i="3"/>
  <c r="M496" i="3" l="1"/>
  <c r="C495" i="4"/>
  <c r="AC495" i="3"/>
  <c r="AD495" i="3" s="1"/>
  <c r="G495" i="4" l="1"/>
  <c r="I495" i="4" s="1"/>
  <c r="J495" i="4" s="1"/>
  <c r="H495" i="4"/>
  <c r="AI496" i="3"/>
  <c r="O496" i="3"/>
  <c r="N496" i="3"/>
  <c r="P496" i="3" l="1"/>
  <c r="Q496" i="3" s="1"/>
  <c r="M495" i="4"/>
  <c r="K495" i="4"/>
  <c r="L496" i="4" l="1"/>
  <c r="V496" i="3"/>
  <c r="W496" i="3" l="1"/>
  <c r="X496" i="3"/>
  <c r="Y496" i="3" s="1"/>
  <c r="Z496" i="3" s="1"/>
  <c r="AA496" i="3" s="1"/>
  <c r="AB496" i="3" s="1"/>
  <c r="M497" i="3" l="1"/>
  <c r="C496" i="4"/>
  <c r="AC496" i="3"/>
  <c r="AD496" i="3" s="1"/>
  <c r="G496" i="4" l="1"/>
  <c r="I496" i="4" s="1"/>
  <c r="J496" i="4" s="1"/>
  <c r="H496" i="4"/>
  <c r="N497" i="3"/>
  <c r="O497" i="3"/>
  <c r="AI497" i="3"/>
  <c r="P497" i="3" l="1"/>
  <c r="Q497" i="3" s="1"/>
  <c r="K496" i="4"/>
  <c r="M496" i="4"/>
  <c r="L497" i="4" l="1"/>
  <c r="V497" i="3"/>
  <c r="W497" i="3" l="1"/>
  <c r="X497" i="3" s="1"/>
  <c r="Y497" i="3" s="1"/>
  <c r="Z497" i="3" s="1"/>
  <c r="AA497" i="3" s="1"/>
  <c r="AB497" i="3" s="1"/>
  <c r="AC497" i="3" l="1"/>
  <c r="AD497" i="3" s="1"/>
  <c r="M498" i="3"/>
  <c r="C497" i="4"/>
  <c r="AI498" i="3" l="1"/>
  <c r="N498" i="3"/>
  <c r="O498" i="3"/>
  <c r="H497" i="4"/>
  <c r="G497" i="4"/>
  <c r="I497" i="4" s="1"/>
  <c r="J497" i="4" s="1"/>
  <c r="P498" i="3" l="1"/>
  <c r="Q498" i="3" s="1"/>
  <c r="K497" i="4"/>
  <c r="M497" i="4"/>
  <c r="L498" i="4" l="1"/>
  <c r="V498" i="3"/>
  <c r="W498" i="3" l="1"/>
  <c r="X498" i="3"/>
  <c r="Y498" i="3" s="1"/>
  <c r="Z498" i="3" s="1"/>
  <c r="AA498" i="3" s="1"/>
  <c r="AB498" i="3" s="1"/>
  <c r="C498" i="4" l="1"/>
  <c r="AC498" i="3"/>
  <c r="AD498" i="3" s="1"/>
  <c r="M499" i="3"/>
  <c r="N499" i="3" l="1"/>
  <c r="AI499" i="3"/>
  <c r="O499" i="3"/>
  <c r="G498" i="4"/>
  <c r="I498" i="4" s="1"/>
  <c r="J498" i="4" s="1"/>
  <c r="H498" i="4"/>
  <c r="K498" i="4" l="1"/>
  <c r="M498" i="4"/>
  <c r="P499" i="3"/>
  <c r="Q499" i="3" s="1"/>
  <c r="L499" i="4" l="1"/>
  <c r="V499" i="3"/>
  <c r="W499" i="3" l="1"/>
  <c r="X499" i="3" s="1"/>
  <c r="Y499" i="3" s="1"/>
  <c r="Z499" i="3" s="1"/>
  <c r="AA499" i="3" s="1"/>
  <c r="AB499" i="3" s="1"/>
  <c r="C499" i="4" l="1"/>
  <c r="AC499" i="3"/>
  <c r="AD499" i="3" s="1"/>
  <c r="M500" i="3"/>
  <c r="N500" i="3" l="1"/>
  <c r="AI500" i="3"/>
  <c r="O500" i="3"/>
  <c r="H499" i="4"/>
  <c r="G499" i="4"/>
  <c r="I499" i="4" s="1"/>
  <c r="J499" i="4" s="1"/>
  <c r="M499" i="4" l="1"/>
  <c r="K499" i="4"/>
  <c r="P500" i="3"/>
  <c r="Q500" i="3" s="1"/>
  <c r="L500" i="4" l="1"/>
  <c r="V500" i="3"/>
  <c r="W500" i="3" l="1"/>
  <c r="X500" i="3"/>
  <c r="Y500" i="3" s="1"/>
  <c r="Z500" i="3" s="1"/>
  <c r="AA500" i="3" s="1"/>
  <c r="AB500" i="3" s="1"/>
  <c r="AC500" i="3" l="1"/>
  <c r="AD500" i="3" s="1"/>
  <c r="M501" i="3"/>
  <c r="C500" i="4"/>
  <c r="G500" i="4" l="1"/>
  <c r="I500" i="4" s="1"/>
  <c r="J500" i="4" s="1"/>
  <c r="H500" i="4"/>
  <c r="AI501" i="3"/>
  <c r="O501" i="3"/>
  <c r="N501" i="3"/>
  <c r="P501" i="3" l="1"/>
  <c r="Q501" i="3" s="1"/>
  <c r="K500" i="4"/>
  <c r="M500" i="4"/>
  <c r="L501" i="4" l="1"/>
  <c r="V501" i="3"/>
  <c r="W501" i="3" l="1"/>
  <c r="X501" i="3" s="1"/>
  <c r="Y501" i="3" s="1"/>
  <c r="Z501" i="3" s="1"/>
  <c r="AA501" i="3" s="1"/>
  <c r="AB501" i="3" s="1"/>
  <c r="AC501" i="3" l="1"/>
  <c r="AD501" i="3" s="1"/>
  <c r="M502" i="3"/>
  <c r="C501" i="4"/>
  <c r="G501" i="4" l="1"/>
  <c r="I501" i="4" s="1"/>
  <c r="J501" i="4" s="1"/>
  <c r="H501" i="4"/>
  <c r="O502" i="3"/>
  <c r="N502" i="3"/>
  <c r="P502" i="3" s="1"/>
  <c r="Q502" i="3" s="1"/>
  <c r="AI502" i="3"/>
  <c r="L502" i="4" l="1"/>
  <c r="V502" i="3"/>
  <c r="K501" i="4"/>
  <c r="M501" i="4"/>
  <c r="W502" i="3" l="1"/>
  <c r="X502" i="3"/>
  <c r="Y502" i="3" s="1"/>
  <c r="Z502" i="3" s="1"/>
  <c r="AA502" i="3" s="1"/>
  <c r="AB502" i="3" s="1"/>
  <c r="M503" i="3" l="1"/>
  <c r="C502" i="4"/>
  <c r="AC502" i="3"/>
  <c r="AD502" i="3" s="1"/>
  <c r="H502" i="4" l="1"/>
  <c r="G502" i="4"/>
  <c r="I502" i="4" s="1"/>
  <c r="J502" i="4" s="1"/>
  <c r="AI503" i="3"/>
  <c r="O503" i="3"/>
  <c r="N503" i="3"/>
  <c r="M502" i="4" l="1"/>
  <c r="K502" i="4"/>
  <c r="P503" i="3"/>
  <c r="Q503" i="3" s="1"/>
  <c r="L503" i="4" l="1"/>
  <c r="V503" i="3"/>
  <c r="W503" i="3" l="1"/>
  <c r="X503" i="3" s="1"/>
  <c r="Y503" i="3" s="1"/>
  <c r="Z503" i="3" s="1"/>
  <c r="AA503" i="3" s="1"/>
  <c r="AB503" i="3" s="1"/>
  <c r="AC503" i="3" l="1"/>
  <c r="AD503" i="3" s="1"/>
  <c r="C503" i="4"/>
  <c r="M504" i="3"/>
  <c r="AI504" i="3" l="1"/>
  <c r="O504" i="3"/>
  <c r="N504" i="3"/>
  <c r="P504" i="3" s="1"/>
  <c r="Q504" i="3" s="1"/>
  <c r="H503" i="4"/>
  <c r="G503" i="4"/>
  <c r="I503" i="4" s="1"/>
  <c r="J503" i="4" s="1"/>
  <c r="L504" i="4" l="1"/>
  <c r="V504" i="3"/>
  <c r="K503" i="4"/>
  <c r="M503" i="4"/>
  <c r="W504" i="3" l="1"/>
  <c r="X504" i="3" s="1"/>
  <c r="Y504" i="3" s="1"/>
  <c r="Z504" i="3" s="1"/>
  <c r="AA504" i="3" s="1"/>
  <c r="AB504" i="3" s="1"/>
  <c r="C504" i="4" l="1"/>
  <c r="AC504" i="3"/>
  <c r="AD504" i="3" s="1"/>
  <c r="M505" i="3"/>
  <c r="AI505" i="3" l="1"/>
  <c r="N505" i="3"/>
  <c r="O505" i="3"/>
  <c r="G504" i="4"/>
  <c r="I504" i="4" s="1"/>
  <c r="J504" i="4" s="1"/>
  <c r="H504" i="4"/>
  <c r="M504" i="4" l="1"/>
  <c r="K504" i="4"/>
  <c r="P505" i="3"/>
  <c r="Q505" i="3" s="1"/>
  <c r="L505" i="4" l="1"/>
  <c r="V505" i="3"/>
  <c r="W505" i="3" l="1"/>
  <c r="X505" i="3"/>
  <c r="Y505" i="3" s="1"/>
  <c r="Z505" i="3" s="1"/>
  <c r="AA505" i="3" s="1"/>
  <c r="AB505" i="3" s="1"/>
  <c r="AC505" i="3" l="1"/>
  <c r="AD505" i="3" s="1"/>
  <c r="C505" i="4"/>
  <c r="M506" i="3"/>
  <c r="AI506" i="3" l="1"/>
  <c r="N506" i="3"/>
  <c r="O506" i="3"/>
  <c r="H505" i="4"/>
  <c r="G505" i="4"/>
  <c r="I505" i="4" s="1"/>
  <c r="J505" i="4" s="1"/>
  <c r="P506" i="3" l="1"/>
  <c r="Q506" i="3" s="1"/>
  <c r="M505" i="4"/>
  <c r="K505" i="4"/>
  <c r="L506" i="4" l="1"/>
  <c r="V506" i="3"/>
  <c r="W506" i="3" l="1"/>
  <c r="X506" i="3"/>
  <c r="Y506" i="3" s="1"/>
  <c r="Z506" i="3" s="1"/>
  <c r="AA506" i="3" s="1"/>
  <c r="AB506" i="3" s="1"/>
  <c r="M507" i="3" l="1"/>
  <c r="C506" i="4"/>
  <c r="AC506" i="3"/>
  <c r="AD506" i="3" s="1"/>
  <c r="H506" i="4" l="1"/>
  <c r="G506" i="4"/>
  <c r="I506" i="4" s="1"/>
  <c r="J506" i="4" s="1"/>
  <c r="N507" i="3"/>
  <c r="P507" i="3" s="1"/>
  <c r="Q507" i="3" s="1"/>
  <c r="AI507" i="3"/>
  <c r="O507" i="3"/>
  <c r="L507" i="4" l="1"/>
  <c r="V507" i="3"/>
  <c r="M506" i="4"/>
  <c r="K506" i="4"/>
  <c r="W507" i="3" l="1"/>
  <c r="X507" i="3" s="1"/>
  <c r="Y507" i="3" s="1"/>
  <c r="Z507" i="3" s="1"/>
  <c r="AA507" i="3" s="1"/>
  <c r="AB507" i="3" s="1"/>
  <c r="C507" i="4" l="1"/>
  <c r="M508" i="3"/>
  <c r="AC507" i="3"/>
  <c r="AD507" i="3" s="1"/>
  <c r="AI508" i="3" l="1"/>
  <c r="O508" i="3"/>
  <c r="N508" i="3"/>
  <c r="P508" i="3" s="1"/>
  <c r="Q508" i="3" s="1"/>
  <c r="H507" i="4"/>
  <c r="G507" i="4"/>
  <c r="I507" i="4" s="1"/>
  <c r="J507" i="4" s="1"/>
  <c r="L508" i="4" l="1"/>
  <c r="V508" i="3"/>
  <c r="M507" i="4"/>
  <c r="K507" i="4"/>
  <c r="W508" i="3" l="1"/>
  <c r="X508" i="3"/>
  <c r="Y508" i="3" s="1"/>
  <c r="Z508" i="3" s="1"/>
  <c r="AA508" i="3" s="1"/>
  <c r="AB508" i="3" s="1"/>
  <c r="C508" i="4" l="1"/>
  <c r="AC508" i="3"/>
  <c r="AD508" i="3" s="1"/>
  <c r="M509" i="3"/>
  <c r="O509" i="3" l="1"/>
  <c r="N509" i="3"/>
  <c r="P509" i="3" s="1"/>
  <c r="Q509" i="3" s="1"/>
  <c r="AI509" i="3"/>
  <c r="H508" i="4"/>
  <c r="G508" i="4"/>
  <c r="I508" i="4" s="1"/>
  <c r="J508" i="4" s="1"/>
  <c r="L509" i="4" l="1"/>
  <c r="V509" i="3"/>
  <c r="M508" i="4"/>
  <c r="K508" i="4"/>
  <c r="W509" i="3" l="1"/>
  <c r="X509" i="3"/>
  <c r="Y509" i="3" s="1"/>
  <c r="Z509" i="3" s="1"/>
  <c r="AA509" i="3" s="1"/>
  <c r="AB509" i="3" s="1"/>
  <c r="C509" i="4" l="1"/>
  <c r="AC509" i="3"/>
  <c r="AD509" i="3" s="1"/>
  <c r="M510" i="3"/>
  <c r="AI510" i="3" l="1"/>
  <c r="N510" i="3"/>
  <c r="O510" i="3"/>
  <c r="G509" i="4"/>
  <c r="I509" i="4" s="1"/>
  <c r="J509" i="4" s="1"/>
  <c r="H509" i="4"/>
  <c r="K509" i="4" l="1"/>
  <c r="M509" i="4"/>
  <c r="P510" i="3"/>
  <c r="Q510" i="3" s="1"/>
  <c r="L510" i="4" l="1"/>
  <c r="V510" i="3"/>
  <c r="W510" i="3" l="1"/>
  <c r="X510" i="3"/>
  <c r="Y510" i="3" s="1"/>
  <c r="Z510" i="3" s="1"/>
  <c r="AA510" i="3" s="1"/>
  <c r="AB510" i="3" s="1"/>
  <c r="AC510" i="3" l="1"/>
  <c r="AD510" i="3" s="1"/>
  <c r="M511" i="3"/>
  <c r="C510" i="4"/>
  <c r="H510" i="4" l="1"/>
  <c r="G510" i="4"/>
  <c r="I510" i="4" s="1"/>
  <c r="J510" i="4" s="1"/>
  <c r="O511" i="3"/>
  <c r="AI511" i="3"/>
  <c r="N511" i="3"/>
  <c r="M510" i="4" l="1"/>
  <c r="K510" i="4"/>
  <c r="P511" i="3"/>
  <c r="Q511" i="3" s="1"/>
  <c r="L511" i="4" l="1"/>
  <c r="V511" i="3"/>
  <c r="W511" i="3" l="1"/>
  <c r="X511" i="3" s="1"/>
  <c r="Y511" i="3" s="1"/>
  <c r="Z511" i="3" s="1"/>
  <c r="AA511" i="3" s="1"/>
  <c r="AB511" i="3" s="1"/>
  <c r="C511" i="4" l="1"/>
  <c r="AC511" i="3"/>
  <c r="AD511" i="3" s="1"/>
  <c r="M512" i="3"/>
  <c r="AI512" i="3" l="1"/>
  <c r="O512" i="3"/>
  <c r="N512" i="3"/>
  <c r="P512" i="3" s="1"/>
  <c r="Q512" i="3" s="1"/>
  <c r="H511" i="4"/>
  <c r="G511" i="4"/>
  <c r="I511" i="4" s="1"/>
  <c r="J511" i="4" s="1"/>
  <c r="L512" i="4" l="1"/>
  <c r="V512" i="3"/>
  <c r="K511" i="4"/>
  <c r="M511" i="4"/>
  <c r="W512" i="3" l="1"/>
  <c r="X512" i="3"/>
  <c r="Y512" i="3" s="1"/>
  <c r="Z512" i="3" s="1"/>
  <c r="AA512" i="3" s="1"/>
  <c r="AB512" i="3" s="1"/>
  <c r="C512" i="4" l="1"/>
  <c r="M513" i="3"/>
  <c r="AC512" i="3"/>
  <c r="AD512" i="3" s="1"/>
  <c r="N513" i="3" l="1"/>
  <c r="O513" i="3"/>
  <c r="AI513" i="3"/>
  <c r="G512" i="4"/>
  <c r="I512" i="4" s="1"/>
  <c r="J512" i="4" s="1"/>
  <c r="H512" i="4"/>
  <c r="K512" i="4" l="1"/>
  <c r="M512" i="4"/>
  <c r="P513" i="3"/>
  <c r="Q513" i="3" s="1"/>
  <c r="L513" i="4" l="1"/>
  <c r="V513" i="3"/>
  <c r="W513" i="3" l="1"/>
  <c r="X513" i="3"/>
  <c r="Y513" i="3" s="1"/>
  <c r="Z513" i="3" s="1"/>
  <c r="AA513" i="3" s="1"/>
  <c r="AB513" i="3" s="1"/>
  <c r="C513" i="4" l="1"/>
  <c r="AC513" i="3"/>
  <c r="AD513" i="3" s="1"/>
  <c r="M514" i="3"/>
  <c r="N514" i="3" l="1"/>
  <c r="AI514" i="3"/>
  <c r="O514" i="3"/>
  <c r="H513" i="4"/>
  <c r="G513" i="4"/>
  <c r="I513" i="4" s="1"/>
  <c r="J513" i="4" s="1"/>
  <c r="M513" i="4" l="1"/>
  <c r="K513" i="4"/>
  <c r="P514" i="3"/>
  <c r="Q514" i="3" s="1"/>
  <c r="L514" i="4" l="1"/>
  <c r="V514" i="3"/>
  <c r="W514" i="3" l="1"/>
  <c r="X514" i="3"/>
  <c r="Y514" i="3" s="1"/>
  <c r="Z514" i="3" s="1"/>
  <c r="AA514" i="3" s="1"/>
  <c r="AB514" i="3" s="1"/>
  <c r="C514" i="4" l="1"/>
  <c r="AC514" i="3"/>
  <c r="AD514" i="3" s="1"/>
  <c r="M515" i="3"/>
  <c r="AI515" i="3" l="1"/>
  <c r="O515" i="3"/>
  <c r="N515" i="3"/>
  <c r="P515" i="3" s="1"/>
  <c r="Q515" i="3" s="1"/>
  <c r="H514" i="4"/>
  <c r="G514" i="4"/>
  <c r="I514" i="4" s="1"/>
  <c r="J514" i="4" s="1"/>
  <c r="L515" i="4" l="1"/>
  <c r="V515" i="3"/>
  <c r="M514" i="4"/>
  <c r="K514" i="4"/>
  <c r="W515" i="3" l="1"/>
  <c r="X515" i="3" s="1"/>
  <c r="Y515" i="3" s="1"/>
  <c r="Z515" i="3" s="1"/>
  <c r="AA515" i="3" s="1"/>
  <c r="AB515" i="3" s="1"/>
  <c r="AC515" i="3" l="1"/>
  <c r="AD515" i="3" s="1"/>
  <c r="M516" i="3"/>
  <c r="C515" i="4"/>
  <c r="H515" i="4" l="1"/>
  <c r="G515" i="4"/>
  <c r="I515" i="4" s="1"/>
  <c r="J515" i="4" s="1"/>
  <c r="O516" i="3"/>
  <c r="N516" i="3"/>
  <c r="P516" i="3" s="1"/>
  <c r="Q516" i="3" s="1"/>
  <c r="AI516" i="3"/>
  <c r="L516" i="4" l="1"/>
  <c r="V516" i="3"/>
  <c r="K515" i="4"/>
  <c r="M515" i="4"/>
  <c r="W516" i="3" l="1"/>
  <c r="X516" i="3"/>
  <c r="Y516" i="3" s="1"/>
  <c r="Z516" i="3" s="1"/>
  <c r="AA516" i="3" s="1"/>
  <c r="AB516" i="3" s="1"/>
  <c r="AC516" i="3" l="1"/>
  <c r="AD516" i="3" s="1"/>
  <c r="C516" i="4"/>
  <c r="M517" i="3"/>
  <c r="AI517" i="3" l="1"/>
  <c r="O517" i="3"/>
  <c r="N517" i="3"/>
  <c r="P517" i="3" s="1"/>
  <c r="Q517" i="3" s="1"/>
  <c r="H516" i="4"/>
  <c r="G516" i="4"/>
  <c r="I516" i="4" s="1"/>
  <c r="J516" i="4" s="1"/>
  <c r="L517" i="4" l="1"/>
  <c r="V517" i="3"/>
  <c r="M516" i="4"/>
  <c r="K516" i="4"/>
  <c r="W517" i="3" l="1"/>
  <c r="X517" i="3" s="1"/>
  <c r="Y517" i="3" s="1"/>
  <c r="Z517" i="3" s="1"/>
  <c r="AA517" i="3" s="1"/>
  <c r="AB517" i="3" s="1"/>
  <c r="C517" i="4" l="1"/>
  <c r="M518" i="3"/>
  <c r="AC517" i="3"/>
  <c r="AD517" i="3" s="1"/>
  <c r="N518" i="3" l="1"/>
  <c r="O518" i="3"/>
  <c r="AI518" i="3"/>
  <c r="G517" i="4"/>
  <c r="I517" i="4" s="1"/>
  <c r="J517" i="4" s="1"/>
  <c r="H517" i="4"/>
  <c r="M517" i="4" l="1"/>
  <c r="K517" i="4"/>
  <c r="P518" i="3"/>
  <c r="Q518" i="3" s="1"/>
  <c r="L518" i="4" l="1"/>
  <c r="V518" i="3"/>
  <c r="W518" i="3" l="1"/>
  <c r="X518" i="3"/>
  <c r="Y518" i="3" s="1"/>
  <c r="Z518" i="3" s="1"/>
  <c r="AA518" i="3" s="1"/>
  <c r="AB518" i="3" s="1"/>
  <c r="M519" i="3" l="1"/>
  <c r="AC518" i="3"/>
  <c r="AD518" i="3" s="1"/>
  <c r="C518" i="4"/>
  <c r="G518" i="4" l="1"/>
  <c r="I518" i="4" s="1"/>
  <c r="J518" i="4" s="1"/>
  <c r="H518" i="4"/>
  <c r="N519" i="3"/>
  <c r="P519" i="3" s="1"/>
  <c r="Q519" i="3" s="1"/>
  <c r="AI519" i="3"/>
  <c r="O519" i="3"/>
  <c r="L519" i="4" l="1"/>
  <c r="V519" i="3"/>
  <c r="K518" i="4"/>
  <c r="M518" i="4"/>
  <c r="W519" i="3" l="1"/>
  <c r="X519" i="3" s="1"/>
  <c r="Y519" i="3" s="1"/>
  <c r="Z519" i="3" s="1"/>
  <c r="AA519" i="3" s="1"/>
  <c r="AB519" i="3" s="1"/>
  <c r="AC519" i="3" l="1"/>
  <c r="AD519" i="3" s="1"/>
  <c r="C519" i="4"/>
  <c r="M520" i="3"/>
  <c r="AI520" i="3" l="1"/>
  <c r="N520" i="3"/>
  <c r="O520" i="3"/>
  <c r="H519" i="4"/>
  <c r="G519" i="4"/>
  <c r="I519" i="4" s="1"/>
  <c r="J519" i="4" s="1"/>
  <c r="P520" i="3" l="1"/>
  <c r="Q520" i="3" s="1"/>
  <c r="M519" i="4"/>
  <c r="K519" i="4"/>
  <c r="L520" i="4" l="1"/>
  <c r="V520" i="3"/>
  <c r="W520" i="3" l="1"/>
  <c r="X520" i="3" s="1"/>
  <c r="Y520" i="3" s="1"/>
  <c r="Z520" i="3" s="1"/>
  <c r="AA520" i="3" s="1"/>
  <c r="AB520" i="3" s="1"/>
  <c r="C520" i="4" l="1"/>
  <c r="M521" i="3"/>
  <c r="AC520" i="3"/>
  <c r="AD520" i="3" s="1"/>
  <c r="N521" i="3" l="1"/>
  <c r="AI521" i="3"/>
  <c r="O521" i="3"/>
  <c r="H520" i="4"/>
  <c r="G520" i="4"/>
  <c r="I520" i="4" s="1"/>
  <c r="J520" i="4" s="1"/>
  <c r="K520" i="4" l="1"/>
  <c r="M520" i="4"/>
  <c r="P521" i="3"/>
  <c r="Q521" i="3" s="1"/>
  <c r="L521" i="4" l="1"/>
  <c r="V521" i="3"/>
  <c r="W521" i="3" l="1"/>
  <c r="X521" i="3"/>
  <c r="Y521" i="3" s="1"/>
  <c r="Z521" i="3" s="1"/>
  <c r="AA521" i="3" s="1"/>
  <c r="AB521" i="3" s="1"/>
  <c r="AC521" i="3" l="1"/>
  <c r="AD521" i="3" s="1"/>
  <c r="M522" i="3"/>
  <c r="C521" i="4"/>
  <c r="G521" i="4" l="1"/>
  <c r="I521" i="4" s="1"/>
  <c r="J521" i="4" s="1"/>
  <c r="H521" i="4"/>
  <c r="N522" i="3"/>
  <c r="O522" i="3"/>
  <c r="AI522" i="3"/>
  <c r="P522" i="3" l="1"/>
  <c r="Q522" i="3" s="1"/>
  <c r="M521" i="4"/>
  <c r="K521" i="4"/>
  <c r="L522" i="4" l="1"/>
  <c r="V522" i="3"/>
  <c r="W522" i="3" l="1"/>
  <c r="X522" i="3"/>
  <c r="Y522" i="3" s="1"/>
  <c r="Z522" i="3" s="1"/>
  <c r="AA522" i="3" s="1"/>
  <c r="AB522" i="3" s="1"/>
  <c r="C522" i="4" l="1"/>
  <c r="M523" i="3"/>
  <c r="AC522" i="3"/>
  <c r="AD522" i="3" s="1"/>
  <c r="O523" i="3" l="1"/>
  <c r="N523" i="3"/>
  <c r="P523" i="3" s="1"/>
  <c r="Q523" i="3" s="1"/>
  <c r="AI523" i="3"/>
  <c r="H522" i="4"/>
  <c r="G522" i="4"/>
  <c r="I522" i="4" s="1"/>
  <c r="J522" i="4" s="1"/>
  <c r="L523" i="4" l="1"/>
  <c r="V523" i="3"/>
  <c r="K522" i="4"/>
  <c r="M522" i="4"/>
  <c r="W523" i="3" l="1"/>
  <c r="X523" i="3" s="1"/>
  <c r="Y523" i="3" s="1"/>
  <c r="Z523" i="3" s="1"/>
  <c r="AA523" i="3" s="1"/>
  <c r="AB523" i="3" s="1"/>
  <c r="C523" i="4" l="1"/>
  <c r="AC523" i="3"/>
  <c r="AD523" i="3" s="1"/>
  <c r="M524" i="3"/>
  <c r="AI524" i="3" l="1"/>
  <c r="O524" i="3"/>
  <c r="N524" i="3"/>
  <c r="P524" i="3" s="1"/>
  <c r="Q524" i="3" s="1"/>
  <c r="H523" i="4"/>
  <c r="G523" i="4"/>
  <c r="I523" i="4" s="1"/>
  <c r="J523" i="4" s="1"/>
  <c r="L524" i="4" l="1"/>
  <c r="V524" i="3"/>
  <c r="M523" i="4"/>
  <c r="K523" i="4"/>
  <c r="W524" i="3" l="1"/>
  <c r="X524" i="3"/>
  <c r="Y524" i="3" s="1"/>
  <c r="Z524" i="3" s="1"/>
  <c r="AA524" i="3" s="1"/>
  <c r="AB524" i="3" s="1"/>
  <c r="M525" i="3" l="1"/>
  <c r="C524" i="4"/>
  <c r="AC524" i="3"/>
  <c r="AD524" i="3" s="1"/>
  <c r="G524" i="4" l="1"/>
  <c r="I524" i="4" s="1"/>
  <c r="J524" i="4" s="1"/>
  <c r="H524" i="4"/>
  <c r="O525" i="3"/>
  <c r="N525" i="3"/>
  <c r="P525" i="3" s="1"/>
  <c r="Q525" i="3" s="1"/>
  <c r="AI525" i="3"/>
  <c r="L525" i="4" l="1"/>
  <c r="V525" i="3"/>
  <c r="M524" i="4"/>
  <c r="K524" i="4"/>
  <c r="W525" i="3" l="1"/>
  <c r="X525" i="3"/>
  <c r="Y525" i="3" s="1"/>
  <c r="Z525" i="3" s="1"/>
  <c r="AA525" i="3" s="1"/>
  <c r="AB525" i="3" s="1"/>
  <c r="C525" i="4" l="1"/>
  <c r="AC525" i="3"/>
  <c r="AD525" i="3" s="1"/>
  <c r="M526" i="3"/>
  <c r="N526" i="3" l="1"/>
  <c r="AI526" i="3"/>
  <c r="O526" i="3"/>
  <c r="G525" i="4"/>
  <c r="I525" i="4" s="1"/>
  <c r="J525" i="4" s="1"/>
  <c r="H525" i="4"/>
  <c r="M525" i="4" l="1"/>
  <c r="K525" i="4"/>
  <c r="P526" i="3"/>
  <c r="Q526" i="3" s="1"/>
  <c r="L526" i="4" l="1"/>
  <c r="V526" i="3"/>
  <c r="W526" i="3" l="1"/>
  <c r="X526" i="3"/>
  <c r="Y526" i="3" s="1"/>
  <c r="Z526" i="3" s="1"/>
  <c r="AA526" i="3" s="1"/>
  <c r="AB526" i="3" s="1"/>
  <c r="AC526" i="3" l="1"/>
  <c r="AD526" i="3" s="1"/>
  <c r="M527" i="3"/>
  <c r="C526" i="4"/>
  <c r="G526" i="4" l="1"/>
  <c r="I526" i="4" s="1"/>
  <c r="J526" i="4" s="1"/>
  <c r="H526" i="4"/>
  <c r="N527" i="3"/>
  <c r="O527" i="3"/>
  <c r="AI527" i="3"/>
  <c r="P527" i="3" l="1"/>
  <c r="Q527" i="3" s="1"/>
  <c r="K526" i="4"/>
  <c r="M526" i="4"/>
  <c r="L527" i="4" l="1"/>
  <c r="V527" i="3"/>
  <c r="W527" i="3" l="1"/>
  <c r="X527" i="3" s="1"/>
  <c r="Y527" i="3" s="1"/>
  <c r="Z527" i="3" s="1"/>
  <c r="AA527" i="3" s="1"/>
  <c r="AB527" i="3" s="1"/>
  <c r="C527" i="4" l="1"/>
  <c r="AC527" i="3"/>
  <c r="AD527" i="3" s="1"/>
  <c r="M528" i="3"/>
  <c r="AI528" i="3" l="1"/>
  <c r="O528" i="3"/>
  <c r="N528" i="3"/>
  <c r="P528" i="3" s="1"/>
  <c r="Q528" i="3" s="1"/>
  <c r="H527" i="4"/>
  <c r="G527" i="4"/>
  <c r="I527" i="4" s="1"/>
  <c r="J527" i="4" s="1"/>
  <c r="L528" i="4" l="1"/>
  <c r="V528" i="3"/>
  <c r="K527" i="4"/>
  <c r="M527" i="4"/>
  <c r="W528" i="3" l="1"/>
  <c r="X528" i="3" s="1"/>
  <c r="Y528" i="3" s="1"/>
  <c r="Z528" i="3" s="1"/>
  <c r="AA528" i="3" s="1"/>
  <c r="AB528" i="3" s="1"/>
  <c r="C528" i="4" l="1"/>
  <c r="AC528" i="3"/>
  <c r="AD528" i="3" s="1"/>
  <c r="M529" i="3"/>
  <c r="N529" i="3" l="1"/>
  <c r="O529" i="3"/>
  <c r="AI529" i="3"/>
  <c r="H528" i="4"/>
  <c r="G528" i="4"/>
  <c r="I528" i="4" s="1"/>
  <c r="J528" i="4" s="1"/>
  <c r="K528" i="4" l="1"/>
  <c r="M528" i="4"/>
  <c r="P529" i="3"/>
  <c r="Q529" i="3" s="1"/>
  <c r="L529" i="4" l="1"/>
  <c r="V529" i="3"/>
  <c r="W529" i="3" l="1"/>
  <c r="X529" i="3"/>
  <c r="Y529" i="3" s="1"/>
  <c r="Z529" i="3" s="1"/>
  <c r="AA529" i="3" s="1"/>
  <c r="AB529" i="3" s="1"/>
  <c r="AC529" i="3" l="1"/>
  <c r="AD529" i="3" s="1"/>
  <c r="M530" i="3"/>
  <c r="C529" i="4"/>
  <c r="H529" i="4" l="1"/>
  <c r="G529" i="4"/>
  <c r="I529" i="4" s="1"/>
  <c r="J529" i="4" s="1"/>
  <c r="AI530" i="3"/>
  <c r="O530" i="3"/>
  <c r="N530" i="3"/>
  <c r="M529" i="4" l="1"/>
  <c r="K529" i="4"/>
  <c r="P530" i="3"/>
  <c r="Q530" i="3" s="1"/>
  <c r="L530" i="4" l="1"/>
  <c r="V530" i="3"/>
  <c r="W530" i="3" l="1"/>
  <c r="X530" i="3"/>
  <c r="Y530" i="3" s="1"/>
  <c r="Z530" i="3" s="1"/>
  <c r="AA530" i="3" s="1"/>
  <c r="AB530" i="3" s="1"/>
  <c r="M531" i="3" l="1"/>
  <c r="AC530" i="3"/>
  <c r="AD530" i="3" s="1"/>
  <c r="C530" i="4"/>
  <c r="G530" i="4" l="1"/>
  <c r="I530" i="4" s="1"/>
  <c r="J530" i="4" s="1"/>
  <c r="H530" i="4"/>
  <c r="N531" i="3"/>
  <c r="O531" i="3"/>
  <c r="AI531" i="3"/>
  <c r="P531" i="3" l="1"/>
  <c r="Q531" i="3" s="1"/>
  <c r="K530" i="4"/>
  <c r="M530" i="4"/>
  <c r="L531" i="4" l="1"/>
  <c r="V531" i="3"/>
  <c r="W531" i="3" l="1"/>
  <c r="X531" i="3" s="1"/>
  <c r="Y531" i="3" s="1"/>
  <c r="Z531" i="3" s="1"/>
  <c r="AA531" i="3" s="1"/>
  <c r="AB531" i="3" s="1"/>
  <c r="C531" i="4" l="1"/>
  <c r="M532" i="3"/>
  <c r="AC531" i="3"/>
  <c r="AD531" i="3" s="1"/>
  <c r="N532" i="3" l="1"/>
  <c r="AI532" i="3"/>
  <c r="O532" i="3"/>
  <c r="H531" i="4"/>
  <c r="G531" i="4"/>
  <c r="I531" i="4" s="1"/>
  <c r="J531" i="4" s="1"/>
  <c r="M531" i="4" l="1"/>
  <c r="K531" i="4"/>
  <c r="P532" i="3"/>
  <c r="Q532" i="3" s="1"/>
  <c r="L532" i="4" l="1"/>
  <c r="C37" i="5" s="1"/>
  <c r="N37" i="5" s="1"/>
  <c r="V532" i="3"/>
  <c r="W532" i="3" l="1"/>
  <c r="X532" i="3"/>
  <c r="Y532" i="3" s="1"/>
  <c r="Z532" i="3" s="1"/>
  <c r="AA532" i="3" s="1"/>
  <c r="AB532" i="3" s="1"/>
  <c r="AC532" i="3" l="1"/>
  <c r="AD532" i="3" s="1"/>
  <c r="C532" i="4"/>
  <c r="M533" i="3"/>
  <c r="O533" i="3" l="1"/>
  <c r="AI533" i="3"/>
  <c r="N533" i="3"/>
  <c r="P533" i="3" s="1"/>
  <c r="Q533" i="3" s="1"/>
  <c r="H532" i="4"/>
  <c r="G532" i="4"/>
  <c r="I532" i="4" s="1"/>
  <c r="J532" i="4" s="1"/>
  <c r="L533" i="4" l="1"/>
  <c r="V533" i="3"/>
  <c r="D37" i="5"/>
  <c r="K532" i="4"/>
  <c r="E37" i="5" s="1"/>
  <c r="M532" i="4"/>
  <c r="W533" i="3" l="1"/>
  <c r="X533" i="3"/>
  <c r="Y533" i="3" s="1"/>
  <c r="Z533" i="3" s="1"/>
  <c r="AA533" i="3" s="1"/>
  <c r="AB533" i="3" s="1"/>
  <c r="M534" i="3" l="1"/>
  <c r="C533" i="4"/>
  <c r="AC533" i="3"/>
  <c r="AD533" i="3" s="1"/>
  <c r="H533" i="4" l="1"/>
  <c r="G533" i="4"/>
  <c r="I533" i="4" s="1"/>
  <c r="J533" i="4" s="1"/>
  <c r="N534" i="3"/>
  <c r="P534" i="3" s="1"/>
  <c r="Q534" i="3" s="1"/>
  <c r="AI534" i="3"/>
  <c r="O534" i="3"/>
  <c r="L534" i="4" l="1"/>
  <c r="V534" i="3"/>
  <c r="K533" i="4"/>
  <c r="M533" i="4"/>
  <c r="W534" i="3" l="1"/>
  <c r="X534" i="3"/>
  <c r="Y534" i="3" s="1"/>
  <c r="Z534" i="3" s="1"/>
  <c r="AA534" i="3" s="1"/>
  <c r="AB534" i="3" s="1"/>
  <c r="M535" i="3" l="1"/>
  <c r="AC534" i="3"/>
  <c r="AD534" i="3" s="1"/>
  <c r="C534" i="4"/>
  <c r="G534" i="4" l="1"/>
  <c r="I534" i="4" s="1"/>
  <c r="J534" i="4" s="1"/>
  <c r="H534" i="4"/>
  <c r="N535" i="3"/>
  <c r="P535" i="3" s="1"/>
  <c r="Q535" i="3" s="1"/>
  <c r="AI535" i="3"/>
  <c r="O535" i="3"/>
  <c r="L535" i="4" l="1"/>
  <c r="V535" i="3"/>
  <c r="M534" i="4"/>
  <c r="K534" i="4"/>
  <c r="W535" i="3" l="1"/>
  <c r="X535" i="3" s="1"/>
  <c r="Y535" i="3" s="1"/>
  <c r="Z535" i="3" s="1"/>
  <c r="AA535" i="3" s="1"/>
  <c r="AB535" i="3" s="1"/>
  <c r="C535" i="4" l="1"/>
  <c r="M536" i="3"/>
  <c r="AC535" i="3"/>
  <c r="AD535" i="3" s="1"/>
  <c r="O536" i="3" l="1"/>
  <c r="N536" i="3"/>
  <c r="P536" i="3" s="1"/>
  <c r="Q536" i="3" s="1"/>
  <c r="AI536" i="3"/>
  <c r="H535" i="4"/>
  <c r="G535" i="4"/>
  <c r="I535" i="4" s="1"/>
  <c r="J535" i="4" s="1"/>
  <c r="L536" i="4" l="1"/>
  <c r="V536" i="3"/>
  <c r="K535" i="4"/>
  <c r="M535" i="4"/>
  <c r="W536" i="3" l="1"/>
  <c r="X536" i="3"/>
  <c r="Y536" i="3" s="1"/>
  <c r="Z536" i="3" s="1"/>
  <c r="AA536" i="3" s="1"/>
  <c r="AB536" i="3" s="1"/>
  <c r="AC536" i="3" l="1"/>
  <c r="AD536" i="3" s="1"/>
  <c r="M537" i="3"/>
  <c r="C536" i="4"/>
  <c r="H536" i="4" l="1"/>
  <c r="G536" i="4"/>
  <c r="I536" i="4" s="1"/>
  <c r="J536" i="4" s="1"/>
  <c r="AI537" i="3"/>
  <c r="O537" i="3"/>
  <c r="N537" i="3"/>
  <c r="M536" i="4" l="1"/>
  <c r="K536" i="4"/>
  <c r="P537" i="3"/>
  <c r="Q537" i="3" s="1"/>
  <c r="L537" i="4" l="1"/>
  <c r="V537" i="3"/>
  <c r="W537" i="3" l="1"/>
  <c r="X537" i="3" s="1"/>
  <c r="Y537" i="3" s="1"/>
  <c r="Z537" i="3" s="1"/>
  <c r="AA537" i="3" s="1"/>
  <c r="AB537" i="3" s="1"/>
  <c r="M538" i="3" l="1"/>
  <c r="C537" i="4"/>
  <c r="AC537" i="3"/>
  <c r="AD537" i="3" s="1"/>
  <c r="H537" i="4" l="1"/>
  <c r="G537" i="4"/>
  <c r="I537" i="4" s="1"/>
  <c r="J537" i="4" s="1"/>
  <c r="AI538" i="3"/>
  <c r="O538" i="3"/>
  <c r="N538" i="3"/>
  <c r="M537" i="4" l="1"/>
  <c r="K537" i="4"/>
  <c r="P538" i="3"/>
  <c r="Q538" i="3" s="1"/>
  <c r="L538" i="4" l="1"/>
  <c r="V538" i="3"/>
  <c r="W538" i="3" l="1"/>
  <c r="X538" i="3"/>
  <c r="Y538" i="3" s="1"/>
  <c r="Z538" i="3" s="1"/>
  <c r="AA538" i="3" s="1"/>
  <c r="AB538" i="3" s="1"/>
  <c r="AC538" i="3" l="1"/>
  <c r="AD538" i="3" s="1"/>
  <c r="M539" i="3"/>
  <c r="C538" i="4"/>
  <c r="H538" i="4" l="1"/>
  <c r="G538" i="4"/>
  <c r="I538" i="4" s="1"/>
  <c r="J538" i="4" s="1"/>
  <c r="AI539" i="3"/>
  <c r="N539" i="3"/>
  <c r="P539" i="3" s="1"/>
  <c r="Q539" i="3" s="1"/>
  <c r="O539" i="3"/>
  <c r="L539" i="4" l="1"/>
  <c r="V539" i="3"/>
  <c r="M538" i="4"/>
  <c r="K538" i="4"/>
  <c r="W539" i="3" l="1"/>
  <c r="X539" i="3" s="1"/>
  <c r="Y539" i="3" s="1"/>
  <c r="Z539" i="3" s="1"/>
  <c r="AA539" i="3" s="1"/>
  <c r="AB539" i="3" s="1"/>
  <c r="AC539" i="3" l="1"/>
  <c r="AD539" i="3" s="1"/>
  <c r="C539" i="4"/>
  <c r="M540" i="3"/>
  <c r="AI540" i="3" l="1"/>
  <c r="N540" i="3"/>
  <c r="O540" i="3"/>
  <c r="H539" i="4"/>
  <c r="G539" i="4"/>
  <c r="I539" i="4" s="1"/>
  <c r="J539" i="4" s="1"/>
  <c r="P540" i="3" l="1"/>
  <c r="Q540" i="3" s="1"/>
  <c r="M539" i="4"/>
  <c r="K539" i="4"/>
  <c r="L540" i="4" l="1"/>
  <c r="V540" i="3"/>
  <c r="W540" i="3" l="1"/>
  <c r="X540" i="3" s="1"/>
  <c r="Y540" i="3" s="1"/>
  <c r="Z540" i="3" s="1"/>
  <c r="AA540" i="3" s="1"/>
  <c r="AB540" i="3" s="1"/>
  <c r="M541" i="3" l="1"/>
  <c r="AC540" i="3"/>
  <c r="AD540" i="3" s="1"/>
  <c r="C540" i="4"/>
  <c r="H540" i="4" l="1"/>
  <c r="G540" i="4"/>
  <c r="I540" i="4" s="1"/>
  <c r="J540" i="4" s="1"/>
  <c r="O541" i="3"/>
  <c r="AI541" i="3"/>
  <c r="N541" i="3"/>
  <c r="M540" i="4" l="1"/>
  <c r="K540" i="4"/>
  <c r="P541" i="3"/>
  <c r="Q541" i="3" s="1"/>
  <c r="L541" i="4" l="1"/>
  <c r="V541" i="3"/>
  <c r="W541" i="3" l="1"/>
  <c r="X541" i="3"/>
  <c r="Y541" i="3" s="1"/>
  <c r="Z541" i="3" s="1"/>
  <c r="AA541" i="3" s="1"/>
  <c r="AB541" i="3" s="1"/>
  <c r="C541" i="4" l="1"/>
  <c r="M542" i="3"/>
  <c r="AC541" i="3"/>
  <c r="AD541" i="3" s="1"/>
  <c r="O542" i="3" l="1"/>
  <c r="AI542" i="3"/>
  <c r="N542" i="3"/>
  <c r="P542" i="3" s="1"/>
  <c r="Q542" i="3" s="1"/>
  <c r="G541" i="4"/>
  <c r="I541" i="4" s="1"/>
  <c r="J541" i="4" s="1"/>
  <c r="H541" i="4"/>
  <c r="M541" i="4" l="1"/>
  <c r="K541" i="4"/>
  <c r="L542" i="4"/>
  <c r="V542" i="3"/>
  <c r="W542" i="3" l="1"/>
  <c r="X542" i="3"/>
  <c r="Y542" i="3" s="1"/>
  <c r="Z542" i="3" s="1"/>
  <c r="AA542" i="3" s="1"/>
  <c r="AB542" i="3" s="1"/>
  <c r="C542" i="4" l="1"/>
  <c r="M543" i="3"/>
  <c r="AC542" i="3"/>
  <c r="AD542" i="3" s="1"/>
  <c r="N543" i="3" l="1"/>
  <c r="O543" i="3"/>
  <c r="AI543" i="3"/>
  <c r="G542" i="4"/>
  <c r="I542" i="4" s="1"/>
  <c r="J542" i="4" s="1"/>
  <c r="H542" i="4"/>
  <c r="K542" i="4" l="1"/>
  <c r="M542" i="4"/>
  <c r="P543" i="3"/>
  <c r="Q543" i="3" s="1"/>
  <c r="L543" i="4" l="1"/>
  <c r="V543" i="3"/>
  <c r="W543" i="3" l="1"/>
  <c r="X543" i="3" s="1"/>
  <c r="Y543" i="3" s="1"/>
  <c r="Z543" i="3" s="1"/>
  <c r="AA543" i="3" s="1"/>
  <c r="AB543" i="3" s="1"/>
  <c r="C543" i="4" l="1"/>
  <c r="M544" i="3"/>
  <c r="AC543" i="3"/>
  <c r="AD543" i="3" s="1"/>
  <c r="N544" i="3" l="1"/>
  <c r="O544" i="3"/>
  <c r="AI544" i="3"/>
  <c r="H543" i="4"/>
  <c r="G543" i="4"/>
  <c r="I543" i="4" s="1"/>
  <c r="J543" i="4" s="1"/>
  <c r="M543" i="4" l="1"/>
  <c r="K543" i="4"/>
  <c r="P544" i="3"/>
  <c r="Q544" i="3" s="1"/>
  <c r="L544" i="4" l="1"/>
  <c r="V544" i="3"/>
  <c r="W544" i="3" l="1"/>
  <c r="X544" i="3"/>
  <c r="Y544" i="3" s="1"/>
  <c r="Z544" i="3" s="1"/>
  <c r="AA544" i="3" s="1"/>
  <c r="AB544" i="3" s="1"/>
  <c r="C544" i="4" l="1"/>
  <c r="M545" i="3"/>
  <c r="AC544" i="3"/>
  <c r="AD544" i="3" s="1"/>
  <c r="N545" i="3" l="1"/>
  <c r="O545" i="3"/>
  <c r="AI545" i="3"/>
  <c r="H544" i="4"/>
  <c r="G544" i="4"/>
  <c r="I544" i="4" s="1"/>
  <c r="J544" i="4" s="1"/>
  <c r="M544" i="4" l="1"/>
  <c r="K544" i="4"/>
  <c r="P545" i="3"/>
  <c r="Q545" i="3" s="1"/>
  <c r="L545" i="4" l="1"/>
  <c r="V545" i="3"/>
  <c r="W545" i="3" l="1"/>
  <c r="X545" i="3"/>
  <c r="Y545" i="3" s="1"/>
  <c r="Z545" i="3" s="1"/>
  <c r="AA545" i="3" s="1"/>
  <c r="AB545" i="3" s="1"/>
  <c r="C545" i="4" l="1"/>
  <c r="AC545" i="3"/>
  <c r="AD545" i="3" s="1"/>
  <c r="M546" i="3"/>
  <c r="AI546" i="3" l="1"/>
  <c r="N546" i="3"/>
  <c r="O546" i="3"/>
  <c r="G545" i="4"/>
  <c r="I545" i="4" s="1"/>
  <c r="J545" i="4" s="1"/>
  <c r="H545" i="4"/>
  <c r="M545" i="4" l="1"/>
  <c r="K545" i="4"/>
  <c r="P546" i="3"/>
  <c r="Q546" i="3" s="1"/>
  <c r="L546" i="4" l="1"/>
  <c r="V546" i="3"/>
  <c r="W546" i="3" l="1"/>
  <c r="X546" i="3"/>
  <c r="Y546" i="3" s="1"/>
  <c r="Z546" i="3" s="1"/>
  <c r="AA546" i="3" s="1"/>
  <c r="AB546" i="3" s="1"/>
  <c r="AC546" i="3" l="1"/>
  <c r="AD546" i="3" s="1"/>
  <c r="C546" i="4"/>
  <c r="M547" i="3"/>
  <c r="N547" i="3" l="1"/>
  <c r="O547" i="3"/>
  <c r="AI547" i="3"/>
  <c r="H546" i="4"/>
  <c r="G546" i="4"/>
  <c r="I546" i="4" s="1"/>
  <c r="J546" i="4" s="1"/>
  <c r="K546" i="4" l="1"/>
  <c r="M546" i="4"/>
  <c r="P547" i="3"/>
  <c r="Q547" i="3" s="1"/>
  <c r="L547" i="4" l="1"/>
  <c r="V547" i="3"/>
  <c r="W547" i="3" l="1"/>
  <c r="X547" i="3" s="1"/>
  <c r="Y547" i="3" s="1"/>
  <c r="Z547" i="3" s="1"/>
  <c r="AA547" i="3" s="1"/>
  <c r="AB547" i="3" s="1"/>
  <c r="M548" i="3" l="1"/>
  <c r="AC547" i="3"/>
  <c r="AD547" i="3" s="1"/>
  <c r="C547" i="4"/>
  <c r="H547" i="4" l="1"/>
  <c r="G547" i="4"/>
  <c r="I547" i="4" s="1"/>
  <c r="J547" i="4" s="1"/>
  <c r="N548" i="3"/>
  <c r="P548" i="3" s="1"/>
  <c r="Q548" i="3" s="1"/>
  <c r="AI548" i="3"/>
  <c r="O548" i="3"/>
  <c r="L548" i="4" l="1"/>
  <c r="V548" i="3"/>
  <c r="M547" i="4"/>
  <c r="K547" i="4"/>
  <c r="W548" i="3" l="1"/>
  <c r="X548" i="3"/>
  <c r="Y548" i="3" s="1"/>
  <c r="Z548" i="3" s="1"/>
  <c r="AA548" i="3" s="1"/>
  <c r="AB548" i="3" s="1"/>
  <c r="C548" i="4" l="1"/>
  <c r="M549" i="3"/>
  <c r="AC548" i="3"/>
  <c r="AD548" i="3" s="1"/>
  <c r="N549" i="3" l="1"/>
  <c r="AI549" i="3"/>
  <c r="O549" i="3"/>
  <c r="G548" i="4"/>
  <c r="I548" i="4" s="1"/>
  <c r="J548" i="4" s="1"/>
  <c r="H548" i="4"/>
  <c r="M548" i="4" l="1"/>
  <c r="K548" i="4"/>
  <c r="P549" i="3"/>
  <c r="Q549" i="3" s="1"/>
  <c r="L549" i="4" l="1"/>
  <c r="V549" i="3"/>
  <c r="W549" i="3" l="1"/>
  <c r="X549" i="3"/>
  <c r="Y549" i="3" s="1"/>
  <c r="Z549" i="3" s="1"/>
  <c r="AA549" i="3" s="1"/>
  <c r="AB549" i="3" s="1"/>
  <c r="AC549" i="3" l="1"/>
  <c r="AD549" i="3" s="1"/>
  <c r="C549" i="4"/>
  <c r="M550" i="3"/>
  <c r="N550" i="3" l="1"/>
  <c r="AI550" i="3"/>
  <c r="O550" i="3"/>
  <c r="G549" i="4"/>
  <c r="I549" i="4" s="1"/>
  <c r="J549" i="4" s="1"/>
  <c r="H549" i="4"/>
  <c r="K549" i="4" l="1"/>
  <c r="M549" i="4"/>
  <c r="P550" i="3"/>
  <c r="Q550" i="3" s="1"/>
  <c r="L550" i="4" l="1"/>
  <c r="V550" i="3"/>
  <c r="W550" i="3" l="1"/>
  <c r="X550" i="3"/>
  <c r="Y550" i="3" s="1"/>
  <c r="Z550" i="3" s="1"/>
  <c r="AA550" i="3" s="1"/>
  <c r="AB550" i="3" s="1"/>
  <c r="AC550" i="3" l="1"/>
  <c r="AD550" i="3" s="1"/>
  <c r="C550" i="4"/>
  <c r="M551" i="3"/>
  <c r="O551" i="3" l="1"/>
  <c r="AI551" i="3"/>
  <c r="N551" i="3"/>
  <c r="P551" i="3" s="1"/>
  <c r="Q551" i="3" s="1"/>
  <c r="H550" i="4"/>
  <c r="G550" i="4"/>
  <c r="I550" i="4" s="1"/>
  <c r="J550" i="4" s="1"/>
  <c r="L551" i="4" l="1"/>
  <c r="V551" i="3"/>
  <c r="M550" i="4"/>
  <c r="K550" i="4"/>
  <c r="W551" i="3" l="1"/>
  <c r="X551" i="3" s="1"/>
  <c r="Y551" i="3" s="1"/>
  <c r="Z551" i="3" s="1"/>
  <c r="AA551" i="3" s="1"/>
  <c r="AB551" i="3" s="1"/>
  <c r="C551" i="4" l="1"/>
  <c r="AC551" i="3"/>
  <c r="AD551" i="3" s="1"/>
  <c r="M552" i="3"/>
  <c r="N552" i="3" l="1"/>
  <c r="O552" i="3"/>
  <c r="AI552" i="3"/>
  <c r="H551" i="4"/>
  <c r="G551" i="4"/>
  <c r="I551" i="4" s="1"/>
  <c r="J551" i="4" s="1"/>
  <c r="M551" i="4" l="1"/>
  <c r="K551" i="4"/>
  <c r="P552" i="3"/>
  <c r="Q552" i="3" s="1"/>
  <c r="L552" i="4" l="1"/>
  <c r="V552" i="3"/>
  <c r="W552" i="3" l="1"/>
  <c r="X552" i="3"/>
  <c r="Y552" i="3" s="1"/>
  <c r="Z552" i="3" s="1"/>
  <c r="AA552" i="3" s="1"/>
  <c r="AB552" i="3" s="1"/>
  <c r="C552" i="4" l="1"/>
  <c r="AC552" i="3"/>
  <c r="AD552" i="3" s="1"/>
  <c r="M553" i="3"/>
  <c r="N553" i="3" l="1"/>
  <c r="O553" i="3"/>
  <c r="AI553" i="3"/>
  <c r="G552" i="4"/>
  <c r="I552" i="4" s="1"/>
  <c r="J552" i="4" s="1"/>
  <c r="H552" i="4"/>
  <c r="K552" i="4" l="1"/>
  <c r="M552" i="4"/>
  <c r="P553" i="3"/>
  <c r="Q553" i="3" s="1"/>
  <c r="L553" i="4" l="1"/>
  <c r="V553" i="3"/>
  <c r="W553" i="3" l="1"/>
  <c r="X553" i="3" s="1"/>
  <c r="Y553" i="3" s="1"/>
  <c r="Z553" i="3" s="1"/>
  <c r="AA553" i="3" s="1"/>
  <c r="AB553" i="3" s="1"/>
  <c r="AC553" i="3" l="1"/>
  <c r="AD553" i="3" s="1"/>
  <c r="M554" i="3"/>
  <c r="C553" i="4"/>
  <c r="G553" i="4" l="1"/>
  <c r="I553" i="4" s="1"/>
  <c r="J553" i="4" s="1"/>
  <c r="H553" i="4"/>
  <c r="AI554" i="3"/>
  <c r="O554" i="3"/>
  <c r="N554" i="3"/>
  <c r="P554" i="3" l="1"/>
  <c r="Q554" i="3" s="1"/>
  <c r="M553" i="4"/>
  <c r="K553" i="4"/>
  <c r="L554" i="4" l="1"/>
  <c r="V554" i="3"/>
  <c r="W554" i="3" l="1"/>
  <c r="X554" i="3"/>
  <c r="Y554" i="3" s="1"/>
  <c r="Z554" i="3" s="1"/>
  <c r="AA554" i="3" s="1"/>
  <c r="AB554" i="3" s="1"/>
  <c r="C554" i="4" l="1"/>
  <c r="AC554" i="3"/>
  <c r="AD554" i="3" s="1"/>
  <c r="M555" i="3"/>
  <c r="O555" i="3" l="1"/>
  <c r="N555" i="3"/>
  <c r="P555" i="3" s="1"/>
  <c r="Q555" i="3" s="1"/>
  <c r="AI555" i="3"/>
  <c r="G554" i="4"/>
  <c r="I554" i="4" s="1"/>
  <c r="J554" i="4" s="1"/>
  <c r="H554" i="4"/>
  <c r="K554" i="4" l="1"/>
  <c r="M554" i="4"/>
  <c r="L555" i="4"/>
  <c r="V555" i="3"/>
  <c r="W555" i="3" l="1"/>
  <c r="X555" i="3" s="1"/>
  <c r="Y555" i="3" s="1"/>
  <c r="Z555" i="3" s="1"/>
  <c r="AA555" i="3" s="1"/>
  <c r="AB555" i="3" s="1"/>
  <c r="M556" i="3" l="1"/>
  <c r="C555" i="4"/>
  <c r="AC555" i="3"/>
  <c r="AD555" i="3" s="1"/>
  <c r="G555" i="4" l="1"/>
  <c r="I555" i="4" s="1"/>
  <c r="J555" i="4" s="1"/>
  <c r="H555" i="4"/>
  <c r="AI556" i="3"/>
  <c r="O556" i="3"/>
  <c r="N556" i="3"/>
  <c r="P556" i="3" l="1"/>
  <c r="Q556" i="3" s="1"/>
  <c r="K555" i="4"/>
  <c r="M555" i="4"/>
  <c r="L556" i="4" l="1"/>
  <c r="V556" i="3"/>
  <c r="W556" i="3" l="1"/>
  <c r="X556" i="3" s="1"/>
  <c r="Y556" i="3" s="1"/>
  <c r="Z556" i="3" s="1"/>
  <c r="AA556" i="3" s="1"/>
  <c r="AB556" i="3" s="1"/>
  <c r="C556" i="4" l="1"/>
  <c r="AC556" i="3"/>
  <c r="AD556" i="3" s="1"/>
  <c r="M557" i="3"/>
  <c r="N557" i="3" l="1"/>
  <c r="O557" i="3"/>
  <c r="AI557" i="3"/>
  <c r="H556" i="4"/>
  <c r="G556" i="4"/>
  <c r="I556" i="4" s="1"/>
  <c r="J556" i="4" s="1"/>
  <c r="K556" i="4" l="1"/>
  <c r="M556" i="4"/>
  <c r="P557" i="3"/>
  <c r="Q557" i="3" s="1"/>
  <c r="L557" i="4" l="1"/>
  <c r="V557" i="3"/>
  <c r="W557" i="3" l="1"/>
  <c r="X557" i="3"/>
  <c r="Y557" i="3" s="1"/>
  <c r="Z557" i="3" s="1"/>
  <c r="AA557" i="3" s="1"/>
  <c r="AB557" i="3" s="1"/>
  <c r="AC557" i="3" l="1"/>
  <c r="AD557" i="3" s="1"/>
  <c r="M558" i="3"/>
  <c r="C557" i="4"/>
  <c r="G557" i="4" l="1"/>
  <c r="I557" i="4" s="1"/>
  <c r="J557" i="4" s="1"/>
  <c r="H557" i="4"/>
  <c r="N558" i="3"/>
  <c r="O558" i="3"/>
  <c r="AI558" i="3"/>
  <c r="P558" i="3" l="1"/>
  <c r="Q558" i="3" s="1"/>
  <c r="K557" i="4"/>
  <c r="M557" i="4"/>
  <c r="L558" i="4" l="1"/>
  <c r="V558" i="3"/>
  <c r="W558" i="3" l="1"/>
  <c r="X558" i="3"/>
  <c r="Y558" i="3" s="1"/>
  <c r="Z558" i="3" s="1"/>
  <c r="AA558" i="3" s="1"/>
  <c r="AB558" i="3" s="1"/>
  <c r="AC558" i="3" l="1"/>
  <c r="AD558" i="3" s="1"/>
  <c r="C558" i="4"/>
  <c r="M559" i="3"/>
  <c r="N559" i="3" l="1"/>
  <c r="AI559" i="3"/>
  <c r="O559" i="3"/>
  <c r="H558" i="4"/>
  <c r="G558" i="4"/>
  <c r="I558" i="4" s="1"/>
  <c r="J558" i="4" s="1"/>
  <c r="K558" i="4" l="1"/>
  <c r="M558" i="4"/>
  <c r="P559" i="3"/>
  <c r="Q559" i="3" s="1"/>
  <c r="L559" i="4" l="1"/>
  <c r="V559" i="3"/>
  <c r="W559" i="3" l="1"/>
  <c r="X559" i="3" s="1"/>
  <c r="Y559" i="3" s="1"/>
  <c r="Z559" i="3" s="1"/>
  <c r="AA559" i="3" s="1"/>
  <c r="AB559" i="3" s="1"/>
  <c r="M560" i="3" l="1"/>
  <c r="C559" i="4"/>
  <c r="AC559" i="3"/>
  <c r="AD559" i="3" s="1"/>
  <c r="G559" i="4" l="1"/>
  <c r="I559" i="4" s="1"/>
  <c r="J559" i="4" s="1"/>
  <c r="H559" i="4"/>
  <c r="O560" i="3"/>
  <c r="AI560" i="3"/>
  <c r="N560" i="3"/>
  <c r="P560" i="3" l="1"/>
  <c r="Q560" i="3" s="1"/>
  <c r="K559" i="4"/>
  <c r="M559" i="4"/>
  <c r="L560" i="4" l="1"/>
  <c r="V560" i="3"/>
  <c r="W560" i="3" l="1"/>
  <c r="X560" i="3"/>
  <c r="Y560" i="3" s="1"/>
  <c r="Z560" i="3" s="1"/>
  <c r="AA560" i="3" s="1"/>
  <c r="AB560" i="3" s="1"/>
  <c r="C560" i="4" l="1"/>
  <c r="AC560" i="3"/>
  <c r="AD560" i="3" s="1"/>
  <c r="M561" i="3"/>
  <c r="O561" i="3" l="1"/>
  <c r="N561" i="3"/>
  <c r="P561" i="3" s="1"/>
  <c r="Q561" i="3" s="1"/>
  <c r="AI561" i="3"/>
  <c r="G560" i="4"/>
  <c r="I560" i="4" s="1"/>
  <c r="J560" i="4" s="1"/>
  <c r="H560" i="4"/>
  <c r="K560" i="4" l="1"/>
  <c r="M560" i="4"/>
  <c r="L561" i="4"/>
  <c r="V561" i="3"/>
  <c r="W561" i="3" l="1"/>
  <c r="X561" i="3"/>
  <c r="Y561" i="3" s="1"/>
  <c r="Z561" i="3" s="1"/>
  <c r="AA561" i="3" s="1"/>
  <c r="AB561" i="3" s="1"/>
  <c r="C561" i="4" l="1"/>
  <c r="AC561" i="3"/>
  <c r="AD561" i="3" s="1"/>
  <c r="M562" i="3"/>
  <c r="AI562" i="3" l="1"/>
  <c r="O562" i="3"/>
  <c r="N562" i="3"/>
  <c r="P562" i="3" s="1"/>
  <c r="Q562" i="3" s="1"/>
  <c r="G561" i="4"/>
  <c r="I561" i="4" s="1"/>
  <c r="J561" i="4" s="1"/>
  <c r="H561" i="4"/>
  <c r="M561" i="4" l="1"/>
  <c r="K561" i="4"/>
  <c r="L562" i="4"/>
  <c r="V562" i="3"/>
  <c r="W562" i="3" l="1"/>
  <c r="X562" i="3"/>
  <c r="Y562" i="3" s="1"/>
  <c r="Z562" i="3" s="1"/>
  <c r="AA562" i="3" s="1"/>
  <c r="AB562" i="3" s="1"/>
  <c r="AC562" i="3" l="1"/>
  <c r="AD562" i="3" s="1"/>
  <c r="C562" i="4"/>
  <c r="M563" i="3"/>
  <c r="N563" i="3" l="1"/>
  <c r="AI563" i="3"/>
  <c r="O563" i="3"/>
  <c r="H562" i="4"/>
  <c r="G562" i="4"/>
  <c r="I562" i="4" s="1"/>
  <c r="J562" i="4" s="1"/>
  <c r="M562" i="4" l="1"/>
  <c r="K562" i="4"/>
  <c r="P563" i="3"/>
  <c r="Q563" i="3" s="1"/>
  <c r="L563" i="4" l="1"/>
  <c r="V563" i="3"/>
  <c r="W563" i="3" l="1"/>
  <c r="X563" i="3" s="1"/>
  <c r="Y563" i="3" s="1"/>
  <c r="Z563" i="3" s="1"/>
  <c r="AA563" i="3" s="1"/>
  <c r="AB563" i="3" s="1"/>
  <c r="M564" i="3" l="1"/>
  <c r="AC563" i="3"/>
  <c r="AD563" i="3" s="1"/>
  <c r="C563" i="4"/>
  <c r="G563" i="4" l="1"/>
  <c r="I563" i="4" s="1"/>
  <c r="J563" i="4" s="1"/>
  <c r="H563" i="4"/>
  <c r="O564" i="3"/>
  <c r="AI564" i="3"/>
  <c r="N564" i="3"/>
  <c r="P564" i="3" l="1"/>
  <c r="Q564" i="3" s="1"/>
  <c r="M563" i="4"/>
  <c r="K563" i="4"/>
  <c r="L564" i="4" l="1"/>
  <c r="V564" i="3"/>
  <c r="W564" i="3" l="1"/>
  <c r="X564" i="3" s="1"/>
  <c r="Y564" i="3" s="1"/>
  <c r="Z564" i="3" s="1"/>
  <c r="AA564" i="3" s="1"/>
  <c r="AB564" i="3" s="1"/>
  <c r="C564" i="4" l="1"/>
  <c r="M565" i="3"/>
  <c r="AC564" i="3"/>
  <c r="AD564" i="3" s="1"/>
  <c r="N565" i="3" l="1"/>
  <c r="O565" i="3"/>
  <c r="AI565" i="3"/>
  <c r="H564" i="4"/>
  <c r="G564" i="4"/>
  <c r="I564" i="4" s="1"/>
  <c r="J564" i="4" s="1"/>
  <c r="K564" i="4" l="1"/>
  <c r="M564" i="4"/>
  <c r="P565" i="3"/>
  <c r="Q565" i="3" s="1"/>
  <c r="L565" i="4" l="1"/>
  <c r="V565" i="3"/>
  <c r="W565" i="3" l="1"/>
  <c r="X565" i="3"/>
  <c r="Y565" i="3" s="1"/>
  <c r="Z565" i="3" s="1"/>
  <c r="AA565" i="3" s="1"/>
  <c r="AB565" i="3" s="1"/>
  <c r="C565" i="4" l="1"/>
  <c r="AC565" i="3"/>
  <c r="AD565" i="3" s="1"/>
  <c r="M566" i="3"/>
  <c r="AI566" i="3" l="1"/>
  <c r="O566" i="3"/>
  <c r="N566" i="3"/>
  <c r="P566" i="3" s="1"/>
  <c r="Q566" i="3" s="1"/>
  <c r="H565" i="4"/>
  <c r="G565" i="4"/>
  <c r="I565" i="4" s="1"/>
  <c r="J565" i="4" s="1"/>
  <c r="L566" i="4" l="1"/>
  <c r="V566" i="3"/>
  <c r="K565" i="4"/>
  <c r="M565" i="4"/>
  <c r="W566" i="3" l="1"/>
  <c r="X566" i="3"/>
  <c r="Y566" i="3" s="1"/>
  <c r="Z566" i="3" s="1"/>
  <c r="AA566" i="3" s="1"/>
  <c r="AB566" i="3" s="1"/>
  <c r="M567" i="3" l="1"/>
  <c r="AC566" i="3"/>
  <c r="AD566" i="3" s="1"/>
  <c r="C566" i="4"/>
  <c r="G566" i="4" l="1"/>
  <c r="I566" i="4" s="1"/>
  <c r="J566" i="4" s="1"/>
  <c r="H566" i="4"/>
  <c r="AI567" i="3"/>
  <c r="N567" i="3"/>
  <c r="P567" i="3" s="1"/>
  <c r="Q567" i="3" s="1"/>
  <c r="O567" i="3"/>
  <c r="L567" i="4" l="1"/>
  <c r="V567" i="3"/>
  <c r="M566" i="4"/>
  <c r="K566" i="4"/>
  <c r="W567" i="3" l="1"/>
  <c r="X567" i="3" s="1"/>
  <c r="Y567" i="3" s="1"/>
  <c r="Z567" i="3" s="1"/>
  <c r="AA567" i="3" s="1"/>
  <c r="AB567" i="3" s="1"/>
  <c r="M568" i="3" l="1"/>
  <c r="C567" i="4"/>
  <c r="AC567" i="3"/>
  <c r="AD567" i="3" s="1"/>
  <c r="H567" i="4" l="1"/>
  <c r="G567" i="4"/>
  <c r="I567" i="4" s="1"/>
  <c r="J567" i="4" s="1"/>
  <c r="AI568" i="3"/>
  <c r="O568" i="3"/>
  <c r="N568" i="3"/>
  <c r="M567" i="4" l="1"/>
  <c r="K567" i="4"/>
  <c r="P568" i="3"/>
  <c r="Q568" i="3" s="1"/>
  <c r="L568" i="4" l="1"/>
  <c r="V568" i="3"/>
  <c r="W568" i="3" l="1"/>
  <c r="X568" i="3" s="1"/>
  <c r="Y568" i="3" s="1"/>
  <c r="Z568" i="3" s="1"/>
  <c r="AA568" i="3" s="1"/>
  <c r="AB568" i="3" s="1"/>
  <c r="AC568" i="3" l="1"/>
  <c r="AD568" i="3" s="1"/>
  <c r="M569" i="3"/>
  <c r="C568" i="4"/>
  <c r="G568" i="4" l="1"/>
  <c r="I568" i="4" s="1"/>
  <c r="J568" i="4" s="1"/>
  <c r="H568" i="4"/>
  <c r="O569" i="3"/>
  <c r="AI569" i="3"/>
  <c r="N569" i="3"/>
  <c r="P569" i="3" l="1"/>
  <c r="Q569" i="3" s="1"/>
  <c r="K568" i="4"/>
  <c r="M568" i="4"/>
  <c r="L569" i="4" l="1"/>
  <c r="V569" i="3"/>
  <c r="W569" i="3" l="1"/>
  <c r="X569" i="3" s="1"/>
  <c r="Y569" i="3" s="1"/>
  <c r="Z569" i="3" s="1"/>
  <c r="AA569" i="3" s="1"/>
  <c r="AB569" i="3" s="1"/>
  <c r="M570" i="3" l="1"/>
  <c r="C569" i="4"/>
  <c r="AC569" i="3"/>
  <c r="AD569" i="3" s="1"/>
  <c r="H569" i="4" l="1"/>
  <c r="G569" i="4"/>
  <c r="I569" i="4" s="1"/>
  <c r="J569" i="4" s="1"/>
  <c r="AI570" i="3"/>
  <c r="N570" i="3"/>
  <c r="P570" i="3" s="1"/>
  <c r="Q570" i="3" s="1"/>
  <c r="O570" i="3"/>
  <c r="L570" i="4" l="1"/>
  <c r="V570" i="3"/>
  <c r="M569" i="4"/>
  <c r="K569" i="4"/>
  <c r="W570" i="3" l="1"/>
  <c r="X570" i="3"/>
  <c r="Y570" i="3" s="1"/>
  <c r="Z570" i="3" s="1"/>
  <c r="AA570" i="3" s="1"/>
  <c r="AB570" i="3" s="1"/>
  <c r="C570" i="4" l="1"/>
  <c r="AC570" i="3"/>
  <c r="AD570" i="3" s="1"/>
  <c r="M571" i="3"/>
  <c r="AI571" i="3" l="1"/>
  <c r="N571" i="3"/>
  <c r="O571" i="3"/>
  <c r="H570" i="4"/>
  <c r="G570" i="4"/>
  <c r="I570" i="4" s="1"/>
  <c r="J570" i="4" s="1"/>
  <c r="P571" i="3" l="1"/>
  <c r="Q571" i="3" s="1"/>
  <c r="M570" i="4"/>
  <c r="K570" i="4"/>
  <c r="L571" i="4" l="1"/>
  <c r="V571" i="3"/>
  <c r="W571" i="3" l="1"/>
  <c r="X571" i="3" s="1"/>
  <c r="Y571" i="3" s="1"/>
  <c r="Z571" i="3" s="1"/>
  <c r="AA571" i="3" s="1"/>
  <c r="AB571" i="3" s="1"/>
  <c r="AC571" i="3" l="1"/>
  <c r="AD571" i="3" s="1"/>
  <c r="M572" i="3"/>
  <c r="C571" i="4"/>
  <c r="G571" i="4" l="1"/>
  <c r="I571" i="4" s="1"/>
  <c r="J571" i="4" s="1"/>
  <c r="H571" i="4"/>
  <c r="AI572" i="3"/>
  <c r="O572" i="3"/>
  <c r="N572" i="3"/>
  <c r="P572" i="3" l="1"/>
  <c r="Q572" i="3" s="1"/>
  <c r="M571" i="4"/>
  <c r="K571" i="4"/>
  <c r="L572" i="4" l="1"/>
  <c r="V572" i="3"/>
  <c r="W572" i="3" l="1"/>
  <c r="X572" i="3" s="1"/>
  <c r="Y572" i="3" s="1"/>
  <c r="Z572" i="3" s="1"/>
  <c r="AA572" i="3" s="1"/>
  <c r="AB572" i="3" s="1"/>
  <c r="M573" i="3" l="1"/>
  <c r="AC572" i="3"/>
  <c r="AD572" i="3" s="1"/>
  <c r="C572" i="4"/>
  <c r="H572" i="4" l="1"/>
  <c r="G572" i="4"/>
  <c r="I572" i="4" s="1"/>
  <c r="J572" i="4" s="1"/>
  <c r="O573" i="3"/>
  <c r="N573" i="3"/>
  <c r="P573" i="3" s="1"/>
  <c r="Q573" i="3" s="1"/>
  <c r="AI573" i="3"/>
  <c r="L573" i="4" l="1"/>
  <c r="V573" i="3"/>
  <c r="K572" i="4"/>
  <c r="M572" i="4"/>
  <c r="W573" i="3" l="1"/>
  <c r="X573" i="3"/>
  <c r="Y573" i="3" s="1"/>
  <c r="Z573" i="3" s="1"/>
  <c r="AA573" i="3" s="1"/>
  <c r="AB573" i="3" s="1"/>
  <c r="C573" i="4" l="1"/>
  <c r="M574" i="3"/>
  <c r="AC573" i="3"/>
  <c r="AD573" i="3" s="1"/>
  <c r="O574" i="3" l="1"/>
  <c r="N574" i="3"/>
  <c r="P574" i="3" s="1"/>
  <c r="Q574" i="3" s="1"/>
  <c r="AI574" i="3"/>
  <c r="G573" i="4"/>
  <c r="I573" i="4" s="1"/>
  <c r="J573" i="4" s="1"/>
  <c r="H573" i="4"/>
  <c r="M573" i="4" l="1"/>
  <c r="K573" i="4"/>
  <c r="L574" i="4"/>
  <c r="C38" i="5" s="1"/>
  <c r="N38" i="5" s="1"/>
  <c r="V574" i="3"/>
  <c r="W574" i="3" l="1"/>
  <c r="X574" i="3" s="1"/>
  <c r="Y574" i="3" s="1"/>
  <c r="Z574" i="3" s="1"/>
  <c r="AA574" i="3" s="1"/>
  <c r="AB574" i="3" s="1"/>
  <c r="M575" i="3" l="1"/>
  <c r="C574" i="4"/>
  <c r="AC574" i="3"/>
  <c r="AD574" i="3" s="1"/>
  <c r="H574" i="4" l="1"/>
  <c r="G574" i="4"/>
  <c r="I574" i="4" s="1"/>
  <c r="J574" i="4" s="1"/>
  <c r="AI575" i="3"/>
  <c r="O575" i="3"/>
  <c r="N575" i="3"/>
  <c r="K574" i="4" l="1"/>
  <c r="E38" i="5" s="1"/>
  <c r="M574" i="4"/>
  <c r="D38" i="5"/>
  <c r="P575" i="3"/>
  <c r="Q575" i="3" s="1"/>
  <c r="L575" i="4" l="1"/>
  <c r="V575" i="3"/>
  <c r="W575" i="3" l="1"/>
  <c r="X575" i="3" s="1"/>
  <c r="Y575" i="3" s="1"/>
  <c r="Z575" i="3" s="1"/>
  <c r="AA575" i="3" s="1"/>
  <c r="AB575" i="3" s="1"/>
  <c r="C575" i="4" l="1"/>
  <c r="M576" i="3"/>
  <c r="AC575" i="3"/>
  <c r="AD575" i="3" s="1"/>
  <c r="AI576" i="3" l="1"/>
  <c r="N576" i="3"/>
  <c r="O576" i="3"/>
  <c r="H575" i="4"/>
  <c r="G575" i="4"/>
  <c r="I575" i="4" s="1"/>
  <c r="J575" i="4" s="1"/>
  <c r="P576" i="3" l="1"/>
  <c r="Q576" i="3" s="1"/>
  <c r="M575" i="4"/>
  <c r="K575" i="4"/>
  <c r="L576" i="4" l="1"/>
  <c r="V576" i="3"/>
  <c r="W576" i="3" l="1"/>
  <c r="X576" i="3" s="1"/>
  <c r="Y576" i="3" s="1"/>
  <c r="Z576" i="3" s="1"/>
  <c r="AA576" i="3" s="1"/>
  <c r="AB576" i="3" s="1"/>
  <c r="M577" i="3" l="1"/>
  <c r="AC576" i="3"/>
  <c r="AD576" i="3" s="1"/>
  <c r="C576" i="4"/>
  <c r="H576" i="4" l="1"/>
  <c r="G576" i="4"/>
  <c r="I576" i="4" s="1"/>
  <c r="J576" i="4" s="1"/>
  <c r="N577" i="3"/>
  <c r="P577" i="3" s="1"/>
  <c r="Q577" i="3" s="1"/>
  <c r="AI577" i="3"/>
  <c r="O577" i="3"/>
  <c r="L577" i="4" l="1"/>
  <c r="V577" i="3"/>
  <c r="M576" i="4"/>
  <c r="K576" i="4"/>
  <c r="W577" i="3" l="1"/>
  <c r="X577" i="3"/>
  <c r="Y577" i="3" s="1"/>
  <c r="Z577" i="3" s="1"/>
  <c r="AA577" i="3" s="1"/>
  <c r="AB577" i="3" s="1"/>
  <c r="AC577" i="3" l="1"/>
  <c r="AD577" i="3" s="1"/>
  <c r="M578" i="3"/>
  <c r="C577" i="4"/>
  <c r="G577" i="4" l="1"/>
  <c r="I577" i="4" s="1"/>
  <c r="J577" i="4" s="1"/>
  <c r="H577" i="4"/>
  <c r="N578" i="3"/>
  <c r="P578" i="3" s="1"/>
  <c r="Q578" i="3" s="1"/>
  <c r="AI578" i="3"/>
  <c r="O578" i="3"/>
  <c r="L578" i="4" l="1"/>
  <c r="V578" i="3"/>
  <c r="M577" i="4"/>
  <c r="K577" i="4"/>
  <c r="W578" i="3" l="1"/>
  <c r="X578" i="3"/>
  <c r="Y578" i="3" s="1"/>
  <c r="Z578" i="3" s="1"/>
  <c r="AA578" i="3" s="1"/>
  <c r="AB578" i="3" s="1"/>
  <c r="M579" i="3" l="1"/>
  <c r="AC578" i="3"/>
  <c r="AD578" i="3" s="1"/>
  <c r="C578" i="4"/>
  <c r="H578" i="4" l="1"/>
  <c r="G578" i="4"/>
  <c r="I578" i="4" s="1"/>
  <c r="J578" i="4" s="1"/>
  <c r="O579" i="3"/>
  <c r="N579" i="3"/>
  <c r="P579" i="3" s="1"/>
  <c r="Q579" i="3" s="1"/>
  <c r="AI579" i="3"/>
  <c r="L579" i="4" l="1"/>
  <c r="V579" i="3"/>
  <c r="K578" i="4"/>
  <c r="M578" i="4"/>
  <c r="W579" i="3" l="1"/>
  <c r="X579" i="3" s="1"/>
  <c r="Y579" i="3" s="1"/>
  <c r="Z579" i="3" s="1"/>
  <c r="AA579" i="3" s="1"/>
  <c r="AB579" i="3" s="1"/>
  <c r="C579" i="4" l="1"/>
  <c r="M580" i="3"/>
  <c r="AC579" i="3"/>
  <c r="AD579" i="3" s="1"/>
  <c r="O580" i="3" l="1"/>
  <c r="AI580" i="3"/>
  <c r="N580" i="3"/>
  <c r="P580" i="3" s="1"/>
  <c r="Q580" i="3" s="1"/>
  <c r="H579" i="4"/>
  <c r="G579" i="4"/>
  <c r="I579" i="4" s="1"/>
  <c r="J579" i="4" s="1"/>
  <c r="L580" i="4" l="1"/>
  <c r="V580" i="3"/>
  <c r="M579" i="4"/>
  <c r="K579" i="4"/>
  <c r="W580" i="3" l="1"/>
  <c r="X580" i="3"/>
  <c r="Y580" i="3" s="1"/>
  <c r="Z580" i="3" s="1"/>
  <c r="AA580" i="3" s="1"/>
  <c r="AB580" i="3" s="1"/>
  <c r="C580" i="4" l="1"/>
  <c r="M581" i="3"/>
  <c r="AC580" i="3"/>
  <c r="AD580" i="3" s="1"/>
  <c r="N581" i="3" l="1"/>
  <c r="AI581" i="3"/>
  <c r="O581" i="3"/>
  <c r="H580" i="4"/>
  <c r="G580" i="4"/>
  <c r="I580" i="4" s="1"/>
  <c r="J580" i="4" s="1"/>
  <c r="M580" i="4" l="1"/>
  <c r="K580" i="4"/>
  <c r="P581" i="3"/>
  <c r="Q581" i="3" s="1"/>
  <c r="L581" i="4" l="1"/>
  <c r="V581" i="3"/>
  <c r="W581" i="3" l="1"/>
  <c r="X581" i="3"/>
  <c r="Y581" i="3" s="1"/>
  <c r="Z581" i="3" s="1"/>
  <c r="AA581" i="3" s="1"/>
  <c r="AB581" i="3" s="1"/>
  <c r="M582" i="3" l="1"/>
  <c r="C581" i="4"/>
  <c r="AC581" i="3"/>
  <c r="AD581" i="3" s="1"/>
  <c r="G581" i="4" l="1"/>
  <c r="I581" i="4" s="1"/>
  <c r="J581" i="4" s="1"/>
  <c r="H581" i="4"/>
  <c r="AI582" i="3"/>
  <c r="N582" i="3"/>
  <c r="P582" i="3" s="1"/>
  <c r="Q582" i="3" s="1"/>
  <c r="O582" i="3"/>
  <c r="L582" i="4" l="1"/>
  <c r="V582" i="3"/>
  <c r="M581" i="4"/>
  <c r="K581" i="4"/>
  <c r="W582" i="3" l="1"/>
  <c r="X582" i="3"/>
  <c r="Y582" i="3" s="1"/>
  <c r="Z582" i="3" s="1"/>
  <c r="AA582" i="3" s="1"/>
  <c r="AB582" i="3" s="1"/>
  <c r="C582" i="4" l="1"/>
  <c r="AC582" i="3"/>
  <c r="AD582" i="3" s="1"/>
  <c r="M583" i="3"/>
  <c r="AI583" i="3" l="1"/>
  <c r="N583" i="3"/>
  <c r="O583" i="3"/>
  <c r="H582" i="4"/>
  <c r="G582" i="4"/>
  <c r="I582" i="4" s="1"/>
  <c r="J582" i="4" s="1"/>
  <c r="P583" i="3" l="1"/>
  <c r="Q583" i="3" s="1"/>
  <c r="K582" i="4"/>
  <c r="M582" i="4"/>
  <c r="L583" i="4" l="1"/>
  <c r="V583" i="3"/>
  <c r="W583" i="3" l="1"/>
  <c r="X583" i="3" s="1"/>
  <c r="Y583" i="3" s="1"/>
  <c r="Z583" i="3" s="1"/>
  <c r="AA583" i="3" s="1"/>
  <c r="AB583" i="3" s="1"/>
  <c r="M584" i="3" l="1"/>
  <c r="C583" i="4"/>
  <c r="AC583" i="3"/>
  <c r="AD583" i="3" s="1"/>
  <c r="G583" i="4" l="1"/>
  <c r="I583" i="4" s="1"/>
  <c r="J583" i="4" s="1"/>
  <c r="H583" i="4"/>
  <c r="N584" i="3"/>
  <c r="O584" i="3"/>
  <c r="AI584" i="3"/>
  <c r="P584" i="3" l="1"/>
  <c r="Q584" i="3" s="1"/>
  <c r="M583" i="4"/>
  <c r="K583" i="4"/>
  <c r="L584" i="4" l="1"/>
  <c r="V584" i="3"/>
  <c r="W584" i="3" l="1"/>
  <c r="X584" i="3"/>
  <c r="Y584" i="3" s="1"/>
  <c r="Z584" i="3" s="1"/>
  <c r="AA584" i="3" s="1"/>
  <c r="AB584" i="3" s="1"/>
  <c r="C584" i="4" l="1"/>
  <c r="M585" i="3"/>
  <c r="AC584" i="3"/>
  <c r="AD584" i="3" s="1"/>
  <c r="O585" i="3" l="1"/>
  <c r="AI585" i="3"/>
  <c r="N585" i="3"/>
  <c r="P585" i="3" s="1"/>
  <c r="Q585" i="3" s="1"/>
  <c r="H584" i="4"/>
  <c r="G584" i="4"/>
  <c r="I584" i="4" s="1"/>
  <c r="J584" i="4" s="1"/>
  <c r="L585" i="4" l="1"/>
  <c r="V585" i="3"/>
  <c r="M584" i="4"/>
  <c r="K584" i="4"/>
  <c r="W585" i="3" l="1"/>
  <c r="X585" i="3"/>
  <c r="Y585" i="3" s="1"/>
  <c r="Z585" i="3" s="1"/>
  <c r="AA585" i="3" s="1"/>
  <c r="AB585" i="3" s="1"/>
  <c r="M586" i="3" l="1"/>
  <c r="AC585" i="3"/>
  <c r="AD585" i="3" s="1"/>
  <c r="C585" i="4"/>
  <c r="G585" i="4" l="1"/>
  <c r="I585" i="4" s="1"/>
  <c r="J585" i="4" s="1"/>
  <c r="H585" i="4"/>
  <c r="AI586" i="3"/>
  <c r="O586" i="3"/>
  <c r="N586" i="3"/>
  <c r="P586" i="3" l="1"/>
  <c r="Q586" i="3" s="1"/>
  <c r="K585" i="4"/>
  <c r="M585" i="4"/>
  <c r="L586" i="4" l="1"/>
  <c r="V586" i="3"/>
  <c r="W586" i="3" l="1"/>
  <c r="X586" i="3"/>
  <c r="Y586" i="3" s="1"/>
  <c r="Z586" i="3" s="1"/>
  <c r="AA586" i="3" s="1"/>
  <c r="AB586" i="3" s="1"/>
  <c r="AC586" i="3" l="1"/>
  <c r="AD586" i="3" s="1"/>
  <c r="M587" i="3"/>
  <c r="C586" i="4"/>
  <c r="G586" i="4" l="1"/>
  <c r="I586" i="4" s="1"/>
  <c r="J586" i="4" s="1"/>
  <c r="H586" i="4"/>
  <c r="AI587" i="3"/>
  <c r="N587" i="3"/>
  <c r="P587" i="3" s="1"/>
  <c r="Q587" i="3" s="1"/>
  <c r="O587" i="3"/>
  <c r="L587" i="4" l="1"/>
  <c r="V587" i="3"/>
  <c r="K586" i="4"/>
  <c r="M586" i="4"/>
  <c r="W587" i="3" l="1"/>
  <c r="X587" i="3" s="1"/>
  <c r="Y587" i="3" s="1"/>
  <c r="Z587" i="3" s="1"/>
  <c r="AA587" i="3" s="1"/>
  <c r="AB587" i="3" s="1"/>
  <c r="C587" i="4" l="1"/>
  <c r="M588" i="3"/>
  <c r="AC587" i="3"/>
  <c r="AD587" i="3" s="1"/>
  <c r="N588" i="3" l="1"/>
  <c r="O588" i="3"/>
  <c r="AI588" i="3"/>
  <c r="H587" i="4"/>
  <c r="G587" i="4"/>
  <c r="I587" i="4" s="1"/>
  <c r="J587" i="4" s="1"/>
  <c r="K587" i="4" l="1"/>
  <c r="M587" i="4"/>
  <c r="P588" i="3"/>
  <c r="Q588" i="3" s="1"/>
  <c r="L588" i="4" l="1"/>
  <c r="V588" i="3"/>
  <c r="W588" i="3" l="1"/>
  <c r="X588" i="3"/>
  <c r="Y588" i="3" s="1"/>
  <c r="Z588" i="3" s="1"/>
  <c r="AA588" i="3" s="1"/>
  <c r="AB588" i="3" s="1"/>
  <c r="AC588" i="3" l="1"/>
  <c r="AD588" i="3" s="1"/>
  <c r="C588" i="4"/>
  <c r="M589" i="3"/>
  <c r="AI589" i="3" l="1"/>
  <c r="O589" i="3"/>
  <c r="N589" i="3"/>
  <c r="P589" i="3" s="1"/>
  <c r="Q589" i="3" s="1"/>
  <c r="H588" i="4"/>
  <c r="G588" i="4"/>
  <c r="I588" i="4" s="1"/>
  <c r="J588" i="4" s="1"/>
  <c r="K588" i="4" l="1"/>
  <c r="M588" i="4"/>
  <c r="L589" i="4"/>
  <c r="V589" i="3"/>
  <c r="W589" i="3" l="1"/>
  <c r="X589" i="3" s="1"/>
  <c r="Y589" i="3" s="1"/>
  <c r="Z589" i="3" s="1"/>
  <c r="AA589" i="3" s="1"/>
  <c r="AB589" i="3" s="1"/>
  <c r="C589" i="4" l="1"/>
  <c r="M590" i="3"/>
  <c r="AC589" i="3"/>
  <c r="AD589" i="3" s="1"/>
  <c r="AI590" i="3" l="1"/>
  <c r="N590" i="3"/>
  <c r="O590" i="3"/>
  <c r="G589" i="4"/>
  <c r="I589" i="4" s="1"/>
  <c r="J589" i="4" s="1"/>
  <c r="H589" i="4"/>
  <c r="M589" i="4" l="1"/>
  <c r="K589" i="4"/>
  <c r="P590" i="3"/>
  <c r="Q590" i="3" s="1"/>
  <c r="L590" i="4" l="1"/>
  <c r="V590" i="3"/>
  <c r="W590" i="3" l="1"/>
  <c r="X590" i="3"/>
  <c r="Y590" i="3" s="1"/>
  <c r="Z590" i="3" s="1"/>
  <c r="AA590" i="3" s="1"/>
  <c r="AB590" i="3" s="1"/>
  <c r="C590" i="4" l="1"/>
  <c r="AC590" i="3"/>
  <c r="AD590" i="3" s="1"/>
  <c r="M591" i="3"/>
  <c r="AI591" i="3" l="1"/>
  <c r="N591" i="3"/>
  <c r="O591" i="3"/>
  <c r="H590" i="4"/>
  <c r="G590" i="4"/>
  <c r="I590" i="4" s="1"/>
  <c r="J590" i="4" s="1"/>
  <c r="P591" i="3" l="1"/>
  <c r="Q591" i="3" s="1"/>
  <c r="M590" i="4"/>
  <c r="K590" i="4"/>
  <c r="L591" i="4" l="1"/>
  <c r="V591" i="3"/>
  <c r="W591" i="3" l="1"/>
  <c r="X591" i="3" s="1"/>
  <c r="Y591" i="3" s="1"/>
  <c r="Z591" i="3" s="1"/>
  <c r="AA591" i="3" s="1"/>
  <c r="AB591" i="3" s="1"/>
  <c r="C591" i="4" l="1"/>
  <c r="M592" i="3"/>
  <c r="AC591" i="3"/>
  <c r="AD591" i="3" s="1"/>
  <c r="AI592" i="3" l="1"/>
  <c r="N592" i="3"/>
  <c r="O592" i="3"/>
  <c r="H591" i="4"/>
  <c r="G591" i="4"/>
  <c r="I591" i="4" s="1"/>
  <c r="J591" i="4" s="1"/>
  <c r="P592" i="3" l="1"/>
  <c r="Q592" i="3" s="1"/>
  <c r="K591" i="4"/>
  <c r="M591" i="4"/>
  <c r="L592" i="4" l="1"/>
  <c r="V592" i="3"/>
  <c r="W592" i="3" l="1"/>
  <c r="X592" i="3" s="1"/>
  <c r="Y592" i="3" s="1"/>
  <c r="Z592" i="3" s="1"/>
  <c r="AA592" i="3" s="1"/>
  <c r="AB592" i="3" s="1"/>
  <c r="M593" i="3" l="1"/>
  <c r="AC592" i="3"/>
  <c r="AD592" i="3" s="1"/>
  <c r="C592" i="4"/>
  <c r="G592" i="4" l="1"/>
  <c r="I592" i="4" s="1"/>
  <c r="J592" i="4" s="1"/>
  <c r="H592" i="4"/>
  <c r="O593" i="3"/>
  <c r="AI593" i="3"/>
  <c r="N593" i="3"/>
  <c r="P593" i="3" l="1"/>
  <c r="Q593" i="3" s="1"/>
  <c r="K592" i="4"/>
  <c r="M592" i="4"/>
  <c r="L593" i="4" l="1"/>
  <c r="V593" i="3"/>
  <c r="W593" i="3" l="1"/>
  <c r="X593" i="3"/>
  <c r="Y593" i="3" s="1"/>
  <c r="Z593" i="3" s="1"/>
  <c r="AA593" i="3" s="1"/>
  <c r="AB593" i="3" s="1"/>
  <c r="AC593" i="3" l="1"/>
  <c r="AD593" i="3" s="1"/>
  <c r="C593" i="4"/>
  <c r="M594" i="3"/>
  <c r="AI594" i="3" l="1"/>
  <c r="N594" i="3"/>
  <c r="O594" i="3"/>
  <c r="H593" i="4"/>
  <c r="G593" i="4"/>
  <c r="I593" i="4" s="1"/>
  <c r="J593" i="4" s="1"/>
  <c r="P594" i="3" l="1"/>
  <c r="Q594" i="3" s="1"/>
  <c r="K593" i="4"/>
  <c r="M593" i="4"/>
  <c r="L594" i="4" l="1"/>
  <c r="V594" i="3"/>
  <c r="W594" i="3" l="1"/>
  <c r="X594" i="3"/>
  <c r="Y594" i="3" s="1"/>
  <c r="Z594" i="3" s="1"/>
  <c r="AA594" i="3" s="1"/>
  <c r="AB594" i="3" s="1"/>
  <c r="AC594" i="3" l="1"/>
  <c r="AD594" i="3" s="1"/>
  <c r="C594" i="4"/>
  <c r="M595" i="3"/>
  <c r="O595" i="3" l="1"/>
  <c r="AI595" i="3"/>
  <c r="N595" i="3"/>
  <c r="P595" i="3" s="1"/>
  <c r="Q595" i="3" s="1"/>
  <c r="H594" i="4"/>
  <c r="G594" i="4"/>
  <c r="I594" i="4" s="1"/>
  <c r="J594" i="4" s="1"/>
  <c r="L595" i="4" l="1"/>
  <c r="V595" i="3"/>
  <c r="K594" i="4"/>
  <c r="M594" i="4"/>
  <c r="W595" i="3" l="1"/>
  <c r="X595" i="3" s="1"/>
  <c r="Y595" i="3" s="1"/>
  <c r="Z595" i="3" s="1"/>
  <c r="AA595" i="3" s="1"/>
  <c r="AB595" i="3" s="1"/>
  <c r="M596" i="3" l="1"/>
  <c r="AC595" i="3"/>
  <c r="AD595" i="3" s="1"/>
  <c r="C595" i="4"/>
  <c r="G595" i="4" l="1"/>
  <c r="I595" i="4" s="1"/>
  <c r="J595" i="4" s="1"/>
  <c r="H595" i="4"/>
  <c r="O596" i="3"/>
  <c r="AI596" i="3"/>
  <c r="N596" i="3"/>
  <c r="P596" i="3" l="1"/>
  <c r="Q596" i="3" s="1"/>
  <c r="K595" i="4"/>
  <c r="M595" i="4"/>
  <c r="L596" i="4" l="1"/>
  <c r="V596" i="3"/>
  <c r="W596" i="3" l="1"/>
  <c r="X596" i="3"/>
  <c r="Y596" i="3" s="1"/>
  <c r="Z596" i="3" s="1"/>
  <c r="AA596" i="3" s="1"/>
  <c r="AB596" i="3" s="1"/>
  <c r="C596" i="4" l="1"/>
  <c r="M597" i="3"/>
  <c r="AC596" i="3"/>
  <c r="AD596" i="3" s="1"/>
  <c r="N597" i="3" l="1"/>
  <c r="AI597" i="3"/>
  <c r="O597" i="3"/>
  <c r="G596" i="4"/>
  <c r="I596" i="4" s="1"/>
  <c r="J596" i="4" s="1"/>
  <c r="H596" i="4"/>
  <c r="M596" i="4" l="1"/>
  <c r="K596" i="4"/>
  <c r="P597" i="3"/>
  <c r="Q597" i="3" s="1"/>
  <c r="L597" i="4" l="1"/>
  <c r="V597" i="3"/>
  <c r="W597" i="3" l="1"/>
  <c r="X597" i="3"/>
  <c r="Y597" i="3" s="1"/>
  <c r="Z597" i="3" s="1"/>
  <c r="AA597" i="3" s="1"/>
  <c r="AB597" i="3" s="1"/>
  <c r="M598" i="3" l="1"/>
  <c r="AC597" i="3"/>
  <c r="AD597" i="3" s="1"/>
  <c r="C597" i="4"/>
  <c r="G597" i="4" l="1"/>
  <c r="I597" i="4" s="1"/>
  <c r="J597" i="4" s="1"/>
  <c r="H597" i="4"/>
  <c r="AI598" i="3"/>
  <c r="N598" i="3"/>
  <c r="P598" i="3" s="1"/>
  <c r="Q598" i="3" s="1"/>
  <c r="O598" i="3"/>
  <c r="L598" i="4" l="1"/>
  <c r="V598" i="3"/>
  <c r="M597" i="4"/>
  <c r="K597" i="4"/>
  <c r="W598" i="3" l="1"/>
  <c r="X598" i="3"/>
  <c r="Y598" i="3" s="1"/>
  <c r="Z598" i="3" s="1"/>
  <c r="AA598" i="3" s="1"/>
  <c r="AB598" i="3" s="1"/>
  <c r="C598" i="4" l="1"/>
  <c r="AC598" i="3"/>
  <c r="AD598" i="3" s="1"/>
  <c r="M599" i="3"/>
  <c r="N599" i="3" l="1"/>
  <c r="AI599" i="3"/>
  <c r="O599" i="3"/>
  <c r="H598" i="4"/>
  <c r="G598" i="4"/>
  <c r="I598" i="4" s="1"/>
  <c r="J598" i="4" s="1"/>
  <c r="M598" i="4" l="1"/>
  <c r="K598" i="4"/>
  <c r="P599" i="3"/>
  <c r="Q599" i="3" s="1"/>
  <c r="L599" i="4" l="1"/>
  <c r="V599" i="3"/>
  <c r="W599" i="3" l="1"/>
  <c r="X599" i="3" s="1"/>
  <c r="Y599" i="3" s="1"/>
  <c r="Z599" i="3" s="1"/>
  <c r="AA599" i="3" s="1"/>
  <c r="AB599" i="3" s="1"/>
  <c r="C599" i="4" l="1"/>
  <c r="M600" i="3"/>
  <c r="AC599" i="3"/>
  <c r="AD599" i="3" s="1"/>
  <c r="AI600" i="3" l="1"/>
  <c r="N600" i="3"/>
  <c r="O600" i="3"/>
  <c r="H599" i="4"/>
  <c r="G599" i="4"/>
  <c r="I599" i="4" s="1"/>
  <c r="J599" i="4" s="1"/>
  <c r="P600" i="3" l="1"/>
  <c r="Q600" i="3" s="1"/>
  <c r="K599" i="4"/>
  <c r="M599" i="4"/>
  <c r="L600" i="4" l="1"/>
  <c r="V600" i="3"/>
  <c r="W600" i="3" l="1"/>
  <c r="X600" i="3" s="1"/>
  <c r="Y600" i="3" s="1"/>
  <c r="Z600" i="3" s="1"/>
  <c r="AA600" i="3" s="1"/>
  <c r="AB600" i="3" s="1"/>
  <c r="AC600" i="3" l="1"/>
  <c r="AD600" i="3" s="1"/>
  <c r="M601" i="3"/>
  <c r="C600" i="4"/>
  <c r="H600" i="4" l="1"/>
  <c r="G600" i="4"/>
  <c r="I600" i="4" s="1"/>
  <c r="J600" i="4" s="1"/>
  <c r="O601" i="3"/>
  <c r="N601" i="3"/>
  <c r="P601" i="3" s="1"/>
  <c r="Q601" i="3" s="1"/>
  <c r="AI601" i="3"/>
  <c r="L601" i="4" l="1"/>
  <c r="V601" i="3"/>
  <c r="K600" i="4"/>
  <c r="M600" i="4"/>
  <c r="W601" i="3" l="1"/>
  <c r="X601" i="3"/>
  <c r="Y601" i="3" s="1"/>
  <c r="Z601" i="3" s="1"/>
  <c r="AA601" i="3" s="1"/>
  <c r="AB601" i="3" s="1"/>
  <c r="AC601" i="3" l="1"/>
  <c r="AD601" i="3" s="1"/>
  <c r="M602" i="3"/>
  <c r="C601" i="4"/>
  <c r="G601" i="4" l="1"/>
  <c r="I601" i="4" s="1"/>
  <c r="J601" i="4" s="1"/>
  <c r="H601" i="4"/>
  <c r="O602" i="3"/>
  <c r="N602" i="3"/>
  <c r="P602" i="3" s="1"/>
  <c r="Q602" i="3" s="1"/>
  <c r="AI602" i="3"/>
  <c r="L602" i="4" l="1"/>
  <c r="V602" i="3"/>
  <c r="M601" i="4"/>
  <c r="K601" i="4"/>
  <c r="W602" i="3" l="1"/>
  <c r="X602" i="3"/>
  <c r="Y602" i="3" s="1"/>
  <c r="Z602" i="3" s="1"/>
  <c r="AA602" i="3" s="1"/>
  <c r="AB602" i="3" s="1"/>
  <c r="C602" i="4" l="1"/>
  <c r="AC602" i="3"/>
  <c r="AD602" i="3" s="1"/>
  <c r="M603" i="3"/>
  <c r="AI603" i="3" l="1"/>
  <c r="O603" i="3"/>
  <c r="N603" i="3"/>
  <c r="P603" i="3" s="1"/>
  <c r="Q603" i="3" s="1"/>
  <c r="H602" i="4"/>
  <c r="G602" i="4"/>
  <c r="I602" i="4" s="1"/>
  <c r="J602" i="4" s="1"/>
  <c r="L603" i="4" l="1"/>
  <c r="V603" i="3"/>
  <c r="K602" i="4"/>
  <c r="M602" i="4"/>
  <c r="W603" i="3" l="1"/>
  <c r="X603" i="3" s="1"/>
  <c r="Y603" i="3" s="1"/>
  <c r="Z603" i="3" s="1"/>
  <c r="AA603" i="3" s="1"/>
  <c r="AB603" i="3" s="1"/>
  <c r="C603" i="4" l="1"/>
  <c r="AC603" i="3"/>
  <c r="AD603" i="3" s="1"/>
  <c r="M604" i="3"/>
  <c r="N604" i="3" l="1"/>
  <c r="O604" i="3"/>
  <c r="AI604" i="3"/>
  <c r="H603" i="4"/>
  <c r="G603" i="4"/>
  <c r="I603" i="4" s="1"/>
  <c r="J603" i="4" s="1"/>
  <c r="M603" i="4" l="1"/>
  <c r="K603" i="4"/>
  <c r="P604" i="3"/>
  <c r="Q604" i="3" s="1"/>
  <c r="L604" i="4" l="1"/>
  <c r="V604" i="3"/>
  <c r="W604" i="3" l="1"/>
  <c r="X604" i="3" s="1"/>
  <c r="Y604" i="3" s="1"/>
  <c r="Z604" i="3" s="1"/>
  <c r="AA604" i="3" s="1"/>
  <c r="AB604" i="3" s="1"/>
  <c r="AC604" i="3" l="1"/>
  <c r="AD604" i="3" s="1"/>
  <c r="M605" i="3"/>
  <c r="C604" i="4"/>
  <c r="G604" i="4" l="1"/>
  <c r="I604" i="4" s="1"/>
  <c r="J604" i="4" s="1"/>
  <c r="H604" i="4"/>
  <c r="O605" i="3"/>
  <c r="N605" i="3"/>
  <c r="P605" i="3" s="1"/>
  <c r="Q605" i="3" s="1"/>
  <c r="AI605" i="3"/>
  <c r="L605" i="4" l="1"/>
  <c r="V605" i="3"/>
  <c r="K604" i="4"/>
  <c r="M604" i="4"/>
  <c r="W605" i="3" l="1"/>
  <c r="X605" i="3" s="1"/>
  <c r="Y605" i="3" s="1"/>
  <c r="Z605" i="3" s="1"/>
  <c r="AA605" i="3" s="1"/>
  <c r="AB605" i="3" s="1"/>
  <c r="C605" i="4" l="1"/>
  <c r="M606" i="3"/>
  <c r="AC605" i="3"/>
  <c r="AD605" i="3" s="1"/>
  <c r="AI606" i="3" l="1"/>
  <c r="O606" i="3"/>
  <c r="N606" i="3"/>
  <c r="P606" i="3" s="1"/>
  <c r="Q606" i="3" s="1"/>
  <c r="G605" i="4"/>
  <c r="I605" i="4" s="1"/>
  <c r="J605" i="4" s="1"/>
  <c r="H605" i="4"/>
  <c r="M605" i="4" l="1"/>
  <c r="K605" i="4"/>
  <c r="L606" i="4"/>
  <c r="V606" i="3"/>
  <c r="W606" i="3" l="1"/>
  <c r="X606" i="3"/>
  <c r="Y606" i="3" s="1"/>
  <c r="Z606" i="3" s="1"/>
  <c r="AA606" i="3" s="1"/>
  <c r="AB606" i="3" s="1"/>
  <c r="C606" i="4" l="1"/>
  <c r="AC606" i="3"/>
  <c r="AD606" i="3" s="1"/>
  <c r="M607" i="3"/>
  <c r="AI607" i="3" l="1"/>
  <c r="N607" i="3"/>
  <c r="O607" i="3"/>
  <c r="H606" i="4"/>
  <c r="G606" i="4"/>
  <c r="I606" i="4" s="1"/>
  <c r="J606" i="4" s="1"/>
  <c r="P607" i="3" l="1"/>
  <c r="Q607" i="3" s="1"/>
  <c r="M606" i="4"/>
  <c r="K606" i="4"/>
  <c r="L607" i="4" l="1"/>
  <c r="V607" i="3"/>
  <c r="W607" i="3" l="1"/>
  <c r="X607" i="3" s="1"/>
  <c r="Y607" i="3" s="1"/>
  <c r="Z607" i="3" s="1"/>
  <c r="AA607" i="3" s="1"/>
  <c r="AB607" i="3" s="1"/>
  <c r="AC607" i="3" l="1"/>
  <c r="AD607" i="3" s="1"/>
  <c r="M608" i="3"/>
  <c r="C607" i="4"/>
  <c r="H607" i="4" l="1"/>
  <c r="G607" i="4"/>
  <c r="I607" i="4" s="1"/>
  <c r="J607" i="4" s="1"/>
  <c r="AI608" i="3"/>
  <c r="O608" i="3"/>
  <c r="N608" i="3"/>
  <c r="K607" i="4" l="1"/>
  <c r="M607" i="4"/>
  <c r="P608" i="3"/>
  <c r="Q608" i="3" s="1"/>
  <c r="L608" i="4" l="1"/>
  <c r="V608" i="3"/>
  <c r="W608" i="3" l="1"/>
  <c r="X608" i="3" s="1"/>
  <c r="Y608" i="3" s="1"/>
  <c r="Z608" i="3" s="1"/>
  <c r="AA608" i="3" s="1"/>
  <c r="AB608" i="3" s="1"/>
  <c r="C608" i="4" l="1"/>
  <c r="AC608" i="3"/>
  <c r="AD608" i="3" s="1"/>
  <c r="M609" i="3"/>
  <c r="AI609" i="3" l="1"/>
  <c r="N609" i="3"/>
  <c r="O609" i="3"/>
  <c r="H608" i="4"/>
  <c r="G608" i="4"/>
  <c r="I608" i="4" s="1"/>
  <c r="J608" i="4" s="1"/>
  <c r="P609" i="3" l="1"/>
  <c r="Q609" i="3" s="1"/>
  <c r="M608" i="4"/>
  <c r="K608" i="4"/>
  <c r="L609" i="4" l="1"/>
  <c r="V609" i="3"/>
  <c r="W609" i="3" l="1"/>
  <c r="X609" i="3"/>
  <c r="Y609" i="3" s="1"/>
  <c r="Z609" i="3" s="1"/>
  <c r="AA609" i="3" s="1"/>
  <c r="AB609" i="3" s="1"/>
  <c r="C609" i="4" l="1"/>
  <c r="AC609" i="3"/>
  <c r="AD609" i="3" s="1"/>
  <c r="M610" i="3"/>
  <c r="N610" i="3" l="1"/>
  <c r="O610" i="3"/>
  <c r="AI610" i="3"/>
  <c r="G609" i="4"/>
  <c r="I609" i="4" s="1"/>
  <c r="J609" i="4" s="1"/>
  <c r="H609" i="4"/>
  <c r="M609" i="4" l="1"/>
  <c r="K609" i="4"/>
  <c r="P610" i="3"/>
  <c r="Q610" i="3" s="1"/>
  <c r="L610" i="4" l="1"/>
  <c r="V610" i="3"/>
  <c r="W610" i="3" l="1"/>
  <c r="X610" i="3"/>
  <c r="Y610" i="3" s="1"/>
  <c r="Z610" i="3" s="1"/>
  <c r="AA610" i="3" s="1"/>
  <c r="AB610" i="3" s="1"/>
  <c r="C610" i="4" l="1"/>
  <c r="M611" i="3"/>
  <c r="AC610" i="3"/>
  <c r="AD610" i="3" s="1"/>
  <c r="AI611" i="3" l="1"/>
  <c r="N611" i="3"/>
  <c r="O611" i="3"/>
  <c r="G610" i="4"/>
  <c r="I610" i="4" s="1"/>
  <c r="J610" i="4" s="1"/>
  <c r="H610" i="4"/>
  <c r="M610" i="4" l="1"/>
  <c r="K610" i="4"/>
  <c r="P611" i="3"/>
  <c r="Q611" i="3" s="1"/>
  <c r="L611" i="4" l="1"/>
  <c r="V611" i="3"/>
  <c r="W611" i="3" l="1"/>
  <c r="X611" i="3" s="1"/>
  <c r="Y611" i="3" s="1"/>
  <c r="Z611" i="3" s="1"/>
  <c r="AA611" i="3" s="1"/>
  <c r="AB611" i="3" s="1"/>
  <c r="C611" i="4" l="1"/>
  <c r="AC611" i="3"/>
  <c r="AD611" i="3" s="1"/>
  <c r="M612" i="3"/>
  <c r="O612" i="3" l="1"/>
  <c r="AI612" i="3"/>
  <c r="N612" i="3"/>
  <c r="P612" i="3" s="1"/>
  <c r="Q612" i="3" s="1"/>
  <c r="H611" i="4"/>
  <c r="G611" i="4"/>
  <c r="I611" i="4" s="1"/>
  <c r="J611" i="4" s="1"/>
  <c r="L612" i="4" l="1"/>
  <c r="V612" i="3"/>
  <c r="K611" i="4"/>
  <c r="M611" i="4"/>
  <c r="W612" i="3" l="1"/>
  <c r="X612" i="3"/>
  <c r="Y612" i="3" s="1"/>
  <c r="Z612" i="3" s="1"/>
  <c r="AA612" i="3" s="1"/>
  <c r="AB612" i="3" s="1"/>
  <c r="M613" i="3" l="1"/>
  <c r="C612" i="4"/>
  <c r="AC612" i="3"/>
  <c r="AD612" i="3" s="1"/>
  <c r="H612" i="4" l="1"/>
  <c r="G612" i="4"/>
  <c r="I612" i="4" s="1"/>
  <c r="J612" i="4" s="1"/>
  <c r="N613" i="3"/>
  <c r="P613" i="3" s="1"/>
  <c r="Q613" i="3" s="1"/>
  <c r="AI613" i="3"/>
  <c r="O613" i="3"/>
  <c r="L613" i="4" l="1"/>
  <c r="V613" i="3"/>
  <c r="M612" i="4"/>
  <c r="K612" i="4"/>
  <c r="W613" i="3" l="1"/>
  <c r="X613" i="3" s="1"/>
  <c r="Y613" i="3" s="1"/>
  <c r="Z613" i="3" s="1"/>
  <c r="AA613" i="3" s="1"/>
  <c r="AB613" i="3" s="1"/>
  <c r="M614" i="3" l="1"/>
  <c r="C613" i="4"/>
  <c r="AC613" i="3"/>
  <c r="AD613" i="3" s="1"/>
  <c r="H613" i="4" l="1"/>
  <c r="G613" i="4"/>
  <c r="I613" i="4" s="1"/>
  <c r="J613" i="4" s="1"/>
  <c r="O614" i="3"/>
  <c r="N614" i="3"/>
  <c r="P614" i="3" s="1"/>
  <c r="Q614" i="3" s="1"/>
  <c r="AI614" i="3"/>
  <c r="L614" i="4" l="1"/>
  <c r="V614" i="3"/>
  <c r="M613" i="4"/>
  <c r="K613" i="4"/>
  <c r="W614" i="3" l="1"/>
  <c r="X614" i="3"/>
  <c r="Y614" i="3" s="1"/>
  <c r="Z614" i="3" s="1"/>
  <c r="AA614" i="3" s="1"/>
  <c r="AB614" i="3" s="1"/>
  <c r="C614" i="4" l="1"/>
  <c r="AC614" i="3"/>
  <c r="AD614" i="3" s="1"/>
  <c r="M615" i="3"/>
  <c r="N615" i="3" l="1"/>
  <c r="O615" i="3"/>
  <c r="AI615" i="3"/>
  <c r="H614" i="4"/>
  <c r="G614" i="4"/>
  <c r="I614" i="4" s="1"/>
  <c r="J614" i="4" s="1"/>
  <c r="M614" i="4" l="1"/>
  <c r="K614" i="4"/>
  <c r="P615" i="3"/>
  <c r="Q615" i="3" s="1"/>
  <c r="L615" i="4" l="1"/>
  <c r="V615" i="3"/>
  <c r="W615" i="3" l="1"/>
  <c r="X615" i="3" s="1"/>
  <c r="Y615" i="3" s="1"/>
  <c r="Z615" i="3" s="1"/>
  <c r="AA615" i="3" s="1"/>
  <c r="AB615" i="3" s="1"/>
  <c r="C615" i="4" l="1"/>
  <c r="AC615" i="3"/>
  <c r="AD615" i="3" s="1"/>
  <c r="M616" i="3"/>
  <c r="AI616" i="3" l="1"/>
  <c r="N616" i="3"/>
  <c r="O616" i="3"/>
  <c r="G615" i="4"/>
  <c r="I615" i="4" s="1"/>
  <c r="J615" i="4" s="1"/>
  <c r="H615" i="4"/>
  <c r="M615" i="4" l="1"/>
  <c r="K615" i="4"/>
  <c r="P616" i="3"/>
  <c r="Q616" i="3" s="1"/>
  <c r="L616" i="4" l="1"/>
  <c r="C39" i="5" s="1"/>
  <c r="N39" i="5" s="1"/>
  <c r="V616" i="3"/>
  <c r="W616" i="3" l="1"/>
  <c r="X616" i="3"/>
  <c r="Y616" i="3" s="1"/>
  <c r="Z616" i="3" s="1"/>
  <c r="AA616" i="3" s="1"/>
  <c r="AB616" i="3" s="1"/>
  <c r="AC616" i="3" l="1"/>
  <c r="AD616" i="3" s="1"/>
  <c r="C616" i="4"/>
  <c r="M617" i="3"/>
  <c r="AI617" i="3" l="1"/>
  <c r="N617" i="3"/>
  <c r="O617" i="3"/>
  <c r="H616" i="4"/>
  <c r="G616" i="4"/>
  <c r="I616" i="4" s="1"/>
  <c r="J616" i="4" s="1"/>
  <c r="P617" i="3" l="1"/>
  <c r="Q617" i="3" s="1"/>
  <c r="D39" i="5"/>
  <c r="K616" i="4"/>
  <c r="E39" i="5" s="1"/>
  <c r="M616" i="4"/>
  <c r="L617" i="4" l="1"/>
  <c r="V617" i="3"/>
  <c r="W617" i="3" l="1"/>
  <c r="X617" i="3"/>
  <c r="Y617" i="3" s="1"/>
  <c r="Z617" i="3" s="1"/>
  <c r="AA617" i="3" s="1"/>
  <c r="AB617" i="3" s="1"/>
  <c r="C617" i="4" l="1"/>
  <c r="AC617" i="3"/>
  <c r="AD617" i="3" s="1"/>
  <c r="M618" i="3"/>
  <c r="AI618" i="3" l="1"/>
  <c r="O618" i="3"/>
  <c r="N618" i="3"/>
  <c r="P618" i="3" s="1"/>
  <c r="Q618" i="3" s="1"/>
  <c r="G617" i="4"/>
  <c r="I617" i="4" s="1"/>
  <c r="J617" i="4" s="1"/>
  <c r="H617" i="4"/>
  <c r="K617" i="4" l="1"/>
  <c r="M617" i="4"/>
  <c r="L618" i="4"/>
  <c r="V618" i="3"/>
  <c r="W618" i="3" l="1"/>
  <c r="X618" i="3"/>
  <c r="Y618" i="3" s="1"/>
  <c r="Z618" i="3" s="1"/>
  <c r="AA618" i="3" s="1"/>
  <c r="AB618" i="3" s="1"/>
  <c r="C618" i="4" l="1"/>
  <c r="M619" i="3"/>
  <c r="AC618" i="3"/>
  <c r="AD618" i="3" s="1"/>
  <c r="O619" i="3" l="1"/>
  <c r="N619" i="3"/>
  <c r="P619" i="3" s="1"/>
  <c r="Q619" i="3" s="1"/>
  <c r="AI619" i="3"/>
  <c r="H618" i="4"/>
  <c r="G618" i="4"/>
  <c r="I618" i="4" s="1"/>
  <c r="J618" i="4" s="1"/>
  <c r="L619" i="4" l="1"/>
  <c r="V619" i="3"/>
  <c r="M618" i="4"/>
  <c r="K618" i="4"/>
  <c r="W619" i="3" l="1"/>
  <c r="X619" i="3" s="1"/>
  <c r="Y619" i="3" s="1"/>
  <c r="Z619" i="3" s="1"/>
  <c r="AA619" i="3" s="1"/>
  <c r="AB619" i="3" s="1"/>
  <c r="C619" i="4" l="1"/>
  <c r="M620" i="3"/>
  <c r="AC619" i="3"/>
  <c r="AD619" i="3" s="1"/>
  <c r="N620" i="3" l="1"/>
  <c r="O620" i="3"/>
  <c r="AI620" i="3"/>
  <c r="G619" i="4"/>
  <c r="I619" i="4" s="1"/>
  <c r="J619" i="4" s="1"/>
  <c r="H619" i="4"/>
  <c r="M619" i="4" l="1"/>
  <c r="K619" i="4"/>
  <c r="P620" i="3"/>
  <c r="Q620" i="3" s="1"/>
  <c r="L620" i="4" l="1"/>
  <c r="V620" i="3"/>
  <c r="W620" i="3" l="1"/>
  <c r="X620" i="3"/>
  <c r="Y620" i="3" s="1"/>
  <c r="Z620" i="3" s="1"/>
  <c r="AA620" i="3" s="1"/>
  <c r="AB620" i="3" s="1"/>
  <c r="C620" i="4" l="1"/>
  <c r="M621" i="3"/>
  <c r="AC620" i="3"/>
  <c r="AD620" i="3" s="1"/>
  <c r="O621" i="3" l="1"/>
  <c r="AI621" i="3"/>
  <c r="N621" i="3"/>
  <c r="P621" i="3" s="1"/>
  <c r="Q621" i="3" s="1"/>
  <c r="H620" i="4"/>
  <c r="G620" i="4"/>
  <c r="I620" i="4" s="1"/>
  <c r="J620" i="4" s="1"/>
  <c r="L621" i="4" l="1"/>
  <c r="V621" i="3"/>
  <c r="M620" i="4"/>
  <c r="K620" i="4"/>
  <c r="W621" i="3" l="1"/>
  <c r="X621" i="3"/>
  <c r="Y621" i="3" s="1"/>
  <c r="Z621" i="3" s="1"/>
  <c r="AA621" i="3" s="1"/>
  <c r="AB621" i="3" s="1"/>
  <c r="AC621" i="3" l="1"/>
  <c r="AD621" i="3" s="1"/>
  <c r="M622" i="3"/>
  <c r="C621" i="4"/>
  <c r="G621" i="4" l="1"/>
  <c r="I621" i="4" s="1"/>
  <c r="J621" i="4" s="1"/>
  <c r="H621" i="4"/>
  <c r="O622" i="3"/>
  <c r="N622" i="3"/>
  <c r="P622" i="3" s="1"/>
  <c r="Q622" i="3" s="1"/>
  <c r="AI622" i="3"/>
  <c r="L622" i="4" l="1"/>
  <c r="V622" i="3"/>
  <c r="K621" i="4"/>
  <c r="M621" i="4"/>
  <c r="W622" i="3" l="1"/>
  <c r="X622" i="3"/>
  <c r="Y622" i="3" s="1"/>
  <c r="Z622" i="3" s="1"/>
  <c r="AA622" i="3" s="1"/>
  <c r="AB622" i="3" s="1"/>
  <c r="AC622" i="3" l="1"/>
  <c r="AD622" i="3" s="1"/>
  <c r="C622" i="4"/>
  <c r="M623" i="3"/>
  <c r="AI623" i="3" l="1"/>
  <c r="N623" i="3"/>
  <c r="O623" i="3"/>
  <c r="H622" i="4"/>
  <c r="G622" i="4"/>
  <c r="I622" i="4" s="1"/>
  <c r="J622" i="4" s="1"/>
  <c r="P623" i="3" l="1"/>
  <c r="Q623" i="3" s="1"/>
  <c r="M622" i="4"/>
  <c r="K622" i="4"/>
  <c r="L623" i="4" l="1"/>
  <c r="V623" i="3"/>
  <c r="W623" i="3" l="1"/>
  <c r="X623" i="3" s="1"/>
  <c r="Y623" i="3" s="1"/>
  <c r="Z623" i="3" s="1"/>
  <c r="AA623" i="3" s="1"/>
  <c r="AB623" i="3" s="1"/>
  <c r="AC623" i="3" l="1"/>
  <c r="AD623" i="3" s="1"/>
  <c r="M624" i="3"/>
  <c r="C623" i="4"/>
  <c r="G623" i="4" l="1"/>
  <c r="I623" i="4" s="1"/>
  <c r="J623" i="4" s="1"/>
  <c r="H623" i="4"/>
  <c r="N624" i="3"/>
  <c r="O624" i="3"/>
  <c r="AI624" i="3"/>
  <c r="P624" i="3" l="1"/>
  <c r="Q624" i="3" s="1"/>
  <c r="K623" i="4"/>
  <c r="M623" i="4"/>
  <c r="L624" i="4" l="1"/>
  <c r="V624" i="3"/>
  <c r="W624" i="3" l="1"/>
  <c r="X624" i="3"/>
  <c r="Y624" i="3" s="1"/>
  <c r="Z624" i="3" s="1"/>
  <c r="AA624" i="3" s="1"/>
  <c r="AB624" i="3" s="1"/>
  <c r="C624" i="4" l="1"/>
  <c r="AC624" i="3"/>
  <c r="AD624" i="3" s="1"/>
  <c r="M625" i="3"/>
  <c r="AI625" i="3" l="1"/>
  <c r="N625" i="3"/>
  <c r="O625" i="3"/>
  <c r="H624" i="4"/>
  <c r="G624" i="4"/>
  <c r="I624" i="4" s="1"/>
  <c r="J624" i="4" s="1"/>
  <c r="P625" i="3" l="1"/>
  <c r="Q625" i="3" s="1"/>
  <c r="K624" i="4"/>
  <c r="M624" i="4"/>
  <c r="L625" i="4" l="1"/>
  <c r="V625" i="3"/>
  <c r="W625" i="3" l="1"/>
  <c r="X625" i="3" s="1"/>
  <c r="Y625" i="3" s="1"/>
  <c r="Z625" i="3" s="1"/>
  <c r="AA625" i="3" s="1"/>
  <c r="AB625" i="3" s="1"/>
  <c r="C625" i="4" l="1"/>
  <c r="M626" i="3"/>
  <c r="AC625" i="3"/>
  <c r="AD625" i="3" s="1"/>
  <c r="AI626" i="3" l="1"/>
  <c r="O626" i="3"/>
  <c r="N626" i="3"/>
  <c r="P626" i="3" s="1"/>
  <c r="Q626" i="3" s="1"/>
  <c r="H625" i="4"/>
  <c r="G625" i="4"/>
  <c r="I625" i="4" s="1"/>
  <c r="J625" i="4" s="1"/>
  <c r="L626" i="4" l="1"/>
  <c r="V626" i="3"/>
  <c r="K625" i="4"/>
  <c r="M625" i="4"/>
  <c r="W626" i="3" l="1"/>
  <c r="X626" i="3"/>
  <c r="Y626" i="3" s="1"/>
  <c r="Z626" i="3" s="1"/>
  <c r="AA626" i="3" s="1"/>
  <c r="AB626" i="3" s="1"/>
  <c r="AC626" i="3" l="1"/>
  <c r="AD626" i="3" s="1"/>
  <c r="M627" i="3"/>
  <c r="C626" i="4"/>
  <c r="H626" i="4" l="1"/>
  <c r="G626" i="4"/>
  <c r="I626" i="4" s="1"/>
  <c r="J626" i="4" s="1"/>
  <c r="N627" i="3"/>
  <c r="P627" i="3" s="1"/>
  <c r="Q627" i="3" s="1"/>
  <c r="AI627" i="3"/>
  <c r="O627" i="3"/>
  <c r="L627" i="4" l="1"/>
  <c r="V627" i="3"/>
  <c r="M626" i="4"/>
  <c r="K626" i="4"/>
  <c r="W627" i="3" l="1"/>
  <c r="X627" i="3" s="1"/>
  <c r="Y627" i="3" s="1"/>
  <c r="Z627" i="3" s="1"/>
  <c r="AA627" i="3" s="1"/>
  <c r="AB627" i="3" s="1"/>
  <c r="AC627" i="3" l="1"/>
  <c r="AD627" i="3" s="1"/>
  <c r="M628" i="3"/>
  <c r="C627" i="4"/>
  <c r="H627" i="4" l="1"/>
  <c r="G627" i="4"/>
  <c r="I627" i="4" s="1"/>
  <c r="J627" i="4" s="1"/>
  <c r="AI628" i="3"/>
  <c r="O628" i="3"/>
  <c r="N628" i="3"/>
  <c r="K627" i="4" l="1"/>
  <c r="M627" i="4"/>
  <c r="P628" i="3"/>
  <c r="Q628" i="3" s="1"/>
  <c r="L628" i="4" l="1"/>
  <c r="V628" i="3"/>
  <c r="W628" i="3" l="1"/>
  <c r="X628" i="3" s="1"/>
  <c r="Y628" i="3" s="1"/>
  <c r="Z628" i="3" s="1"/>
  <c r="AA628" i="3" s="1"/>
  <c r="AB628" i="3" s="1"/>
  <c r="C628" i="4" l="1"/>
  <c r="AC628" i="3"/>
  <c r="AD628" i="3" s="1"/>
  <c r="M629" i="3"/>
  <c r="AI629" i="3" l="1"/>
  <c r="N629" i="3"/>
  <c r="O629" i="3"/>
  <c r="H628" i="4"/>
  <c r="G628" i="4"/>
  <c r="I628" i="4" s="1"/>
  <c r="J628" i="4" s="1"/>
  <c r="P629" i="3" l="1"/>
  <c r="Q629" i="3" s="1"/>
  <c r="M628" i="4"/>
  <c r="K628" i="4"/>
  <c r="L629" i="4" l="1"/>
  <c r="V629" i="3"/>
  <c r="W629" i="3" l="1"/>
  <c r="X629" i="3"/>
  <c r="Y629" i="3" s="1"/>
  <c r="Z629" i="3" s="1"/>
  <c r="AA629" i="3" s="1"/>
  <c r="AB629" i="3" s="1"/>
  <c r="AC629" i="3" l="1"/>
  <c r="AD629" i="3" s="1"/>
  <c r="C629" i="4"/>
  <c r="M630" i="3"/>
  <c r="N630" i="3" l="1"/>
  <c r="O630" i="3"/>
  <c r="AI630" i="3"/>
  <c r="H629" i="4"/>
  <c r="G629" i="4"/>
  <c r="I629" i="4" s="1"/>
  <c r="J629" i="4" s="1"/>
  <c r="K629" i="4" l="1"/>
  <c r="M629" i="4"/>
  <c r="P630" i="3"/>
  <c r="Q630" i="3" s="1"/>
  <c r="L630" i="4" l="1"/>
  <c r="V630" i="3"/>
  <c r="W630" i="3" l="1"/>
  <c r="X630" i="3"/>
  <c r="Y630" i="3" s="1"/>
  <c r="Z630" i="3" s="1"/>
  <c r="AA630" i="3" s="1"/>
  <c r="AB630" i="3" s="1"/>
  <c r="AC630" i="3" l="1"/>
  <c r="AD630" i="3" s="1"/>
  <c r="C630" i="4"/>
  <c r="M631" i="3"/>
  <c r="AI631" i="3" l="1"/>
  <c r="O631" i="3"/>
  <c r="N631" i="3"/>
  <c r="P631" i="3" s="1"/>
  <c r="Q631" i="3" s="1"/>
  <c r="G630" i="4"/>
  <c r="I630" i="4" s="1"/>
  <c r="J630" i="4" s="1"/>
  <c r="H630" i="4"/>
  <c r="M630" i="4" l="1"/>
  <c r="K630" i="4"/>
  <c r="L631" i="4"/>
  <c r="V631" i="3"/>
  <c r="W631" i="3" l="1"/>
  <c r="X631" i="3" s="1"/>
  <c r="Y631" i="3" s="1"/>
  <c r="Z631" i="3" s="1"/>
  <c r="AA631" i="3" s="1"/>
  <c r="AB631" i="3" s="1"/>
  <c r="C631" i="4" l="1"/>
  <c r="M632" i="3"/>
  <c r="AC631" i="3"/>
  <c r="AD631" i="3" s="1"/>
  <c r="O632" i="3" l="1"/>
  <c r="AI632" i="3"/>
  <c r="N632" i="3"/>
  <c r="P632" i="3" s="1"/>
  <c r="Q632" i="3" s="1"/>
  <c r="H631" i="4"/>
  <c r="G631" i="4"/>
  <c r="I631" i="4" s="1"/>
  <c r="J631" i="4" s="1"/>
  <c r="L632" i="4" l="1"/>
  <c r="V632" i="3"/>
  <c r="K631" i="4"/>
  <c r="M631" i="4"/>
  <c r="W632" i="3" l="1"/>
  <c r="X632" i="3"/>
  <c r="Y632" i="3" s="1"/>
  <c r="Z632" i="3" s="1"/>
  <c r="AA632" i="3" s="1"/>
  <c r="AB632" i="3" s="1"/>
  <c r="C632" i="4" l="1"/>
  <c r="M633" i="3"/>
  <c r="AC632" i="3"/>
  <c r="AD632" i="3" s="1"/>
  <c r="O633" i="3" l="1"/>
  <c r="N633" i="3"/>
  <c r="P633" i="3" s="1"/>
  <c r="Q633" i="3" s="1"/>
  <c r="AI633" i="3"/>
  <c r="G632" i="4"/>
  <c r="I632" i="4" s="1"/>
  <c r="J632" i="4" s="1"/>
  <c r="H632" i="4"/>
  <c r="M632" i="4" l="1"/>
  <c r="K632" i="4"/>
  <c r="L633" i="4"/>
  <c r="V633" i="3"/>
  <c r="W633" i="3" l="1"/>
  <c r="X633" i="3"/>
  <c r="Y633" i="3" s="1"/>
  <c r="Z633" i="3" s="1"/>
  <c r="AA633" i="3" s="1"/>
  <c r="AB633" i="3" s="1"/>
  <c r="C633" i="4" l="1"/>
  <c r="AC633" i="3"/>
  <c r="AD633" i="3" s="1"/>
  <c r="M634" i="3"/>
  <c r="AI634" i="3" l="1"/>
  <c r="O634" i="3"/>
  <c r="N634" i="3"/>
  <c r="P634" i="3" s="1"/>
  <c r="Q634" i="3" s="1"/>
  <c r="H633" i="4"/>
  <c r="G633" i="4"/>
  <c r="I633" i="4" s="1"/>
  <c r="J633" i="4" s="1"/>
  <c r="L634" i="4" l="1"/>
  <c r="V634" i="3"/>
  <c r="K633" i="4"/>
  <c r="M633" i="4"/>
  <c r="W634" i="3" l="1"/>
  <c r="X634" i="3"/>
  <c r="Y634" i="3" s="1"/>
  <c r="Z634" i="3" s="1"/>
  <c r="AA634" i="3" s="1"/>
  <c r="AB634" i="3" s="1"/>
  <c r="AC634" i="3" l="1"/>
  <c r="AD634" i="3" s="1"/>
  <c r="C634" i="4"/>
  <c r="M635" i="3"/>
  <c r="N635" i="3" l="1"/>
  <c r="AI635" i="3"/>
  <c r="O635" i="3"/>
  <c r="H634" i="4"/>
  <c r="G634" i="4"/>
  <c r="I634" i="4" s="1"/>
  <c r="J634" i="4" s="1"/>
  <c r="M634" i="4" l="1"/>
  <c r="K634" i="4"/>
  <c r="P635" i="3"/>
  <c r="Q635" i="3" s="1"/>
  <c r="L635" i="4" l="1"/>
  <c r="V635" i="3"/>
  <c r="W635" i="3" l="1"/>
  <c r="X635" i="3" s="1"/>
  <c r="Y635" i="3" s="1"/>
  <c r="Z635" i="3" s="1"/>
  <c r="AA635" i="3" s="1"/>
  <c r="AB635" i="3" s="1"/>
  <c r="M636" i="3" l="1"/>
  <c r="AC635" i="3"/>
  <c r="AD635" i="3" s="1"/>
  <c r="C635" i="4"/>
  <c r="G635" i="4" l="1"/>
  <c r="I635" i="4" s="1"/>
  <c r="J635" i="4" s="1"/>
  <c r="H635" i="4"/>
  <c r="AI636" i="3"/>
  <c r="N636" i="3"/>
  <c r="P636" i="3" s="1"/>
  <c r="Q636" i="3" s="1"/>
  <c r="O636" i="3"/>
  <c r="L636" i="4" l="1"/>
  <c r="V636" i="3"/>
  <c r="M635" i="4"/>
  <c r="K635" i="4"/>
  <c r="W636" i="3" l="1"/>
  <c r="X636" i="3" s="1"/>
  <c r="Y636" i="3" s="1"/>
  <c r="Z636" i="3" s="1"/>
  <c r="AA636" i="3" s="1"/>
  <c r="AB636" i="3" s="1"/>
  <c r="M637" i="3" l="1"/>
  <c r="AC636" i="3"/>
  <c r="AD636" i="3" s="1"/>
  <c r="C636" i="4"/>
  <c r="H636" i="4" l="1"/>
  <c r="G636" i="4"/>
  <c r="I636" i="4" s="1"/>
  <c r="J636" i="4" s="1"/>
  <c r="O637" i="3"/>
  <c r="N637" i="3"/>
  <c r="P637" i="3" s="1"/>
  <c r="Q637" i="3" s="1"/>
  <c r="AI637" i="3"/>
  <c r="L637" i="4" l="1"/>
  <c r="V637" i="3"/>
  <c r="K636" i="4"/>
  <c r="M636" i="4"/>
  <c r="W637" i="3" l="1"/>
  <c r="X637" i="3"/>
  <c r="Y637" i="3" s="1"/>
  <c r="Z637" i="3" s="1"/>
  <c r="AA637" i="3" s="1"/>
  <c r="AB637" i="3" s="1"/>
  <c r="AC637" i="3" l="1"/>
  <c r="AD637" i="3" s="1"/>
  <c r="M638" i="3"/>
  <c r="C637" i="4"/>
  <c r="H637" i="4" l="1"/>
  <c r="G637" i="4"/>
  <c r="I637" i="4" s="1"/>
  <c r="J637" i="4" s="1"/>
  <c r="AI638" i="3"/>
  <c r="O638" i="3"/>
  <c r="N638" i="3"/>
  <c r="K637" i="4" l="1"/>
  <c r="M637" i="4"/>
  <c r="P638" i="3"/>
  <c r="Q638" i="3" s="1"/>
  <c r="L638" i="4" l="1"/>
  <c r="V638" i="3"/>
  <c r="W638" i="3" l="1"/>
  <c r="X638" i="3"/>
  <c r="Y638" i="3" s="1"/>
  <c r="Z638" i="3" s="1"/>
  <c r="AA638" i="3" s="1"/>
  <c r="AB638" i="3" s="1"/>
  <c r="AC638" i="3" l="1"/>
  <c r="AD638" i="3" s="1"/>
  <c r="C638" i="4"/>
  <c r="M639" i="3"/>
  <c r="O639" i="3" l="1"/>
  <c r="AI639" i="3"/>
  <c r="N639" i="3"/>
  <c r="P639" i="3" s="1"/>
  <c r="Q639" i="3" s="1"/>
  <c r="H638" i="4"/>
  <c r="G638" i="4"/>
  <c r="I638" i="4" s="1"/>
  <c r="J638" i="4" s="1"/>
  <c r="L639" i="4" l="1"/>
  <c r="V639" i="3"/>
  <c r="K638" i="4"/>
  <c r="M638" i="4"/>
  <c r="W639" i="3" l="1"/>
  <c r="X639" i="3" s="1"/>
  <c r="Y639" i="3" s="1"/>
  <c r="Z639" i="3" s="1"/>
  <c r="AA639" i="3" s="1"/>
  <c r="AB639" i="3" s="1"/>
  <c r="M640" i="3" l="1"/>
  <c r="C639" i="4"/>
  <c r="AC639" i="3"/>
  <c r="AD639" i="3" s="1"/>
  <c r="H639" i="4" l="1"/>
  <c r="G639" i="4"/>
  <c r="I639" i="4" s="1"/>
  <c r="J639" i="4" s="1"/>
  <c r="AI640" i="3"/>
  <c r="N640" i="3"/>
  <c r="P640" i="3" s="1"/>
  <c r="Q640" i="3" s="1"/>
  <c r="O640" i="3"/>
  <c r="L640" i="4" l="1"/>
  <c r="V640" i="3"/>
  <c r="M639" i="4"/>
  <c r="K639" i="4"/>
  <c r="W640" i="3" l="1"/>
  <c r="X640" i="3" s="1"/>
  <c r="Y640" i="3" s="1"/>
  <c r="Z640" i="3" s="1"/>
  <c r="AA640" i="3" s="1"/>
  <c r="AB640" i="3" s="1"/>
  <c r="C640" i="4" l="1"/>
  <c r="AC640" i="3"/>
  <c r="AD640" i="3" s="1"/>
  <c r="M641" i="3"/>
  <c r="N641" i="3" l="1"/>
  <c r="AI641" i="3"/>
  <c r="O641" i="3"/>
  <c r="G640" i="4"/>
  <c r="I640" i="4" s="1"/>
  <c r="J640" i="4" s="1"/>
  <c r="H640" i="4"/>
  <c r="M640" i="4" l="1"/>
  <c r="K640" i="4"/>
  <c r="P641" i="3"/>
  <c r="Q641" i="3" s="1"/>
  <c r="L641" i="4" l="1"/>
  <c r="V641" i="3"/>
  <c r="W641" i="3" l="1"/>
  <c r="X641" i="3" s="1"/>
  <c r="Y641" i="3" s="1"/>
  <c r="Z641" i="3" s="1"/>
  <c r="AA641" i="3" s="1"/>
  <c r="AB641" i="3" s="1"/>
  <c r="M642" i="3" l="1"/>
  <c r="C641" i="4"/>
  <c r="AC641" i="3"/>
  <c r="AD641" i="3" s="1"/>
  <c r="G641" i="4" l="1"/>
  <c r="I641" i="4" s="1"/>
  <c r="J641" i="4" s="1"/>
  <c r="H641" i="4"/>
  <c r="AI642" i="3"/>
  <c r="N642" i="3"/>
  <c r="P642" i="3" s="1"/>
  <c r="Q642" i="3" s="1"/>
  <c r="O642" i="3"/>
  <c r="L642" i="4" l="1"/>
  <c r="V642" i="3"/>
  <c r="M641" i="4"/>
  <c r="K641" i="4"/>
  <c r="W642" i="3" l="1"/>
  <c r="X642" i="3"/>
  <c r="Y642" i="3" s="1"/>
  <c r="Z642" i="3" s="1"/>
  <c r="AA642" i="3" s="1"/>
  <c r="AB642" i="3" s="1"/>
  <c r="M643" i="3" l="1"/>
  <c r="AC642" i="3"/>
  <c r="AD642" i="3" s="1"/>
  <c r="C642" i="4"/>
  <c r="H642" i="4" l="1"/>
  <c r="G642" i="4"/>
  <c r="I642" i="4" s="1"/>
  <c r="J642" i="4" s="1"/>
  <c r="AI643" i="3"/>
  <c r="O643" i="3"/>
  <c r="N643" i="3"/>
  <c r="M642" i="4" l="1"/>
  <c r="K642" i="4"/>
  <c r="P643" i="3"/>
  <c r="Q643" i="3" s="1"/>
  <c r="L643" i="4" l="1"/>
  <c r="V643" i="3"/>
  <c r="W643" i="3" l="1"/>
  <c r="X643" i="3" s="1"/>
  <c r="Y643" i="3" s="1"/>
  <c r="Z643" i="3" s="1"/>
  <c r="AA643" i="3" s="1"/>
  <c r="AB643" i="3" s="1"/>
  <c r="AC643" i="3" l="1"/>
  <c r="AD643" i="3" s="1"/>
  <c r="C643" i="4"/>
  <c r="M644" i="3"/>
  <c r="N644" i="3" l="1"/>
  <c r="O644" i="3"/>
  <c r="AI644" i="3"/>
  <c r="G643" i="4"/>
  <c r="I643" i="4" s="1"/>
  <c r="J643" i="4" s="1"/>
  <c r="H643" i="4"/>
  <c r="M643" i="4" l="1"/>
  <c r="K643" i="4"/>
  <c r="P644" i="3"/>
  <c r="Q644" i="3" s="1"/>
  <c r="L644" i="4" l="1"/>
  <c r="V644" i="3"/>
  <c r="W644" i="3" l="1"/>
  <c r="X644" i="3" s="1"/>
  <c r="Y644" i="3" s="1"/>
  <c r="Z644" i="3" s="1"/>
  <c r="AA644" i="3" s="1"/>
  <c r="AB644" i="3" s="1"/>
  <c r="M645" i="3" l="1"/>
  <c r="C644" i="4"/>
  <c r="AC644" i="3"/>
  <c r="AD644" i="3" s="1"/>
  <c r="G644" i="4" l="1"/>
  <c r="I644" i="4" s="1"/>
  <c r="J644" i="4" s="1"/>
  <c r="H644" i="4"/>
  <c r="O645" i="3"/>
  <c r="AI645" i="3"/>
  <c r="N645" i="3"/>
  <c r="P645" i="3" l="1"/>
  <c r="Q645" i="3" s="1"/>
  <c r="M644" i="4"/>
  <c r="K644" i="4"/>
  <c r="L645" i="4" l="1"/>
  <c r="V645" i="3"/>
  <c r="W645" i="3" l="1"/>
  <c r="X645" i="3"/>
  <c r="Y645" i="3" s="1"/>
  <c r="Z645" i="3" s="1"/>
  <c r="AA645" i="3" s="1"/>
  <c r="AB645" i="3" s="1"/>
  <c r="C645" i="4" l="1"/>
  <c r="AC645" i="3"/>
  <c r="AD645" i="3" s="1"/>
  <c r="M646" i="3"/>
  <c r="N646" i="3" l="1"/>
  <c r="O646" i="3"/>
  <c r="AI646" i="3"/>
  <c r="G645" i="4"/>
  <c r="I645" i="4" s="1"/>
  <c r="J645" i="4" s="1"/>
  <c r="H645" i="4"/>
  <c r="M645" i="4" l="1"/>
  <c r="K645" i="4"/>
  <c r="P646" i="3"/>
  <c r="Q646" i="3" s="1"/>
  <c r="L646" i="4" l="1"/>
  <c r="V646" i="3"/>
  <c r="W646" i="3" l="1"/>
  <c r="X646" i="3"/>
  <c r="Y646" i="3" s="1"/>
  <c r="Z646" i="3" s="1"/>
  <c r="AA646" i="3" s="1"/>
  <c r="AB646" i="3" s="1"/>
  <c r="C646" i="4" l="1"/>
  <c r="M647" i="3"/>
  <c r="AC646" i="3"/>
  <c r="AD646" i="3" s="1"/>
  <c r="N647" i="3" l="1"/>
  <c r="O647" i="3"/>
  <c r="AI647" i="3"/>
  <c r="H646" i="4"/>
  <c r="G646" i="4"/>
  <c r="I646" i="4" s="1"/>
  <c r="J646" i="4" s="1"/>
  <c r="K646" i="4" l="1"/>
  <c r="M646" i="4"/>
  <c r="P647" i="3"/>
  <c r="Q647" i="3" s="1"/>
  <c r="L647" i="4" l="1"/>
  <c r="V647" i="3"/>
  <c r="W647" i="3" l="1"/>
  <c r="X647" i="3" s="1"/>
  <c r="Y647" i="3" s="1"/>
  <c r="Z647" i="3" s="1"/>
  <c r="AA647" i="3" s="1"/>
  <c r="AB647" i="3" s="1"/>
  <c r="M648" i="3" l="1"/>
  <c r="AC647" i="3"/>
  <c r="AD647" i="3" s="1"/>
  <c r="C647" i="4"/>
  <c r="H647" i="4" l="1"/>
  <c r="G647" i="4"/>
  <c r="I647" i="4" s="1"/>
  <c r="J647" i="4" s="1"/>
  <c r="N648" i="3"/>
  <c r="O648" i="3"/>
  <c r="AI648" i="3"/>
  <c r="P648" i="3" l="1"/>
  <c r="Q648" i="3" s="1"/>
  <c r="K647" i="4"/>
  <c r="M647" i="4"/>
  <c r="L648" i="4" l="1"/>
  <c r="V648" i="3"/>
  <c r="W648" i="3" l="1"/>
  <c r="X648" i="3"/>
  <c r="Y648" i="3" s="1"/>
  <c r="Z648" i="3" s="1"/>
  <c r="AA648" i="3" s="1"/>
  <c r="AB648" i="3" s="1"/>
  <c r="C648" i="4" l="1"/>
  <c r="M649" i="3"/>
  <c r="AC648" i="3"/>
  <c r="AD648" i="3" s="1"/>
  <c r="N649" i="3" l="1"/>
  <c r="O649" i="3"/>
  <c r="AI649" i="3"/>
  <c r="G648" i="4"/>
  <c r="I648" i="4" s="1"/>
  <c r="J648" i="4" s="1"/>
  <c r="H648" i="4"/>
  <c r="M648" i="4" l="1"/>
  <c r="K648" i="4"/>
  <c r="P649" i="3"/>
  <c r="Q649" i="3" s="1"/>
  <c r="L649" i="4" l="1"/>
  <c r="V649" i="3"/>
  <c r="W649" i="3" l="1"/>
  <c r="X649" i="3" s="1"/>
  <c r="Y649" i="3" s="1"/>
  <c r="Z649" i="3" s="1"/>
  <c r="AA649" i="3" s="1"/>
  <c r="AB649" i="3" s="1"/>
  <c r="C649" i="4" l="1"/>
  <c r="AC649" i="3"/>
  <c r="AD649" i="3" s="1"/>
  <c r="M650" i="3"/>
  <c r="N650" i="3" l="1"/>
  <c r="O650" i="3"/>
  <c r="AI650" i="3"/>
  <c r="G649" i="4"/>
  <c r="I649" i="4" s="1"/>
  <c r="J649" i="4" s="1"/>
  <c r="H649" i="4"/>
  <c r="K649" i="4" l="1"/>
  <c r="M649" i="4"/>
  <c r="P650" i="3"/>
  <c r="Q650" i="3" s="1"/>
  <c r="L650" i="4" l="1"/>
  <c r="V650" i="3"/>
  <c r="W650" i="3" l="1"/>
  <c r="X650" i="3"/>
  <c r="Y650" i="3" s="1"/>
  <c r="Z650" i="3" s="1"/>
  <c r="AA650" i="3" s="1"/>
  <c r="AB650" i="3" s="1"/>
  <c r="C650" i="4" l="1"/>
  <c r="AC650" i="3"/>
  <c r="AD650" i="3" s="1"/>
  <c r="M651" i="3"/>
  <c r="O651" i="3" l="1"/>
  <c r="AI651" i="3"/>
  <c r="N651" i="3"/>
  <c r="P651" i="3" s="1"/>
  <c r="Q651" i="3" s="1"/>
  <c r="H650" i="4"/>
  <c r="G650" i="4"/>
  <c r="I650" i="4" s="1"/>
  <c r="J650" i="4" s="1"/>
  <c r="L651" i="4" l="1"/>
  <c r="V651" i="3"/>
  <c r="M650" i="4"/>
  <c r="K650" i="4"/>
  <c r="W651" i="3" l="1"/>
  <c r="X651" i="3" s="1"/>
  <c r="Y651" i="3" s="1"/>
  <c r="Z651" i="3" s="1"/>
  <c r="AA651" i="3" s="1"/>
  <c r="AB651" i="3" s="1"/>
  <c r="M652" i="3" l="1"/>
  <c r="C651" i="4"/>
  <c r="AC651" i="3"/>
  <c r="AD651" i="3" s="1"/>
  <c r="H651" i="4" l="1"/>
  <c r="G651" i="4"/>
  <c r="I651" i="4" s="1"/>
  <c r="J651" i="4" s="1"/>
  <c r="N652" i="3"/>
  <c r="O652" i="3"/>
  <c r="AI652" i="3"/>
  <c r="P652" i="3" l="1"/>
  <c r="Q652" i="3" s="1"/>
  <c r="M651" i="4"/>
  <c r="K651" i="4"/>
  <c r="L652" i="4" l="1"/>
  <c r="V652" i="3"/>
  <c r="W652" i="3" l="1"/>
  <c r="X652" i="3"/>
  <c r="Y652" i="3" s="1"/>
  <c r="Z652" i="3" s="1"/>
  <c r="AA652" i="3" s="1"/>
  <c r="AB652" i="3" s="1"/>
  <c r="C652" i="4" l="1"/>
  <c r="M653" i="3"/>
  <c r="AC652" i="3"/>
  <c r="AD652" i="3" s="1"/>
  <c r="O653" i="3" l="1"/>
  <c r="AI653" i="3"/>
  <c r="N653" i="3"/>
  <c r="P653" i="3" s="1"/>
  <c r="Q653" i="3" s="1"/>
  <c r="G652" i="4"/>
  <c r="I652" i="4" s="1"/>
  <c r="J652" i="4" s="1"/>
  <c r="H652" i="4"/>
  <c r="M652" i="4" l="1"/>
  <c r="K652" i="4"/>
  <c r="L653" i="4"/>
  <c r="V653" i="3"/>
  <c r="W653" i="3" l="1"/>
  <c r="X653" i="3" s="1"/>
  <c r="Y653" i="3" s="1"/>
  <c r="Z653" i="3" s="1"/>
  <c r="AA653" i="3" s="1"/>
  <c r="AB653" i="3" s="1"/>
  <c r="M654" i="3" l="1"/>
  <c r="AC653" i="3"/>
  <c r="AD653" i="3" s="1"/>
  <c r="C653" i="4"/>
  <c r="G653" i="4" l="1"/>
  <c r="I653" i="4" s="1"/>
  <c r="J653" i="4" s="1"/>
  <c r="H653" i="4"/>
  <c r="AI654" i="3"/>
  <c r="O654" i="3"/>
  <c r="N654" i="3"/>
  <c r="P654" i="3" l="1"/>
  <c r="Q654" i="3" s="1"/>
  <c r="K653" i="4"/>
  <c r="M653" i="4"/>
  <c r="L654" i="4" l="1"/>
  <c r="V654" i="3"/>
  <c r="W654" i="3" l="1"/>
  <c r="X654" i="3"/>
  <c r="Y654" i="3" s="1"/>
  <c r="Z654" i="3" s="1"/>
  <c r="AA654" i="3" s="1"/>
  <c r="AB654" i="3" s="1"/>
  <c r="AC654" i="3" l="1"/>
  <c r="AD654" i="3" s="1"/>
  <c r="M655" i="3"/>
  <c r="C654" i="4"/>
  <c r="G654" i="4" l="1"/>
  <c r="I654" i="4" s="1"/>
  <c r="J654" i="4" s="1"/>
  <c r="H654" i="4"/>
  <c r="O655" i="3"/>
  <c r="N655" i="3"/>
  <c r="P655" i="3" s="1"/>
  <c r="Q655" i="3" s="1"/>
  <c r="AI655" i="3"/>
  <c r="L655" i="4" l="1"/>
  <c r="V655" i="3"/>
  <c r="M654" i="4"/>
  <c r="K654" i="4"/>
  <c r="W655" i="3" l="1"/>
  <c r="X655" i="3" s="1"/>
  <c r="Y655" i="3" s="1"/>
  <c r="Z655" i="3" s="1"/>
  <c r="AA655" i="3" s="1"/>
  <c r="AB655" i="3" s="1"/>
  <c r="M656" i="3" l="1"/>
  <c r="AC655" i="3"/>
  <c r="AD655" i="3" s="1"/>
  <c r="C655" i="4"/>
  <c r="H655" i="4" l="1"/>
  <c r="G655" i="4"/>
  <c r="I655" i="4" s="1"/>
  <c r="J655" i="4" s="1"/>
  <c r="AI656" i="3"/>
  <c r="N656" i="3"/>
  <c r="P656" i="3" s="1"/>
  <c r="Q656" i="3" s="1"/>
  <c r="O656" i="3"/>
  <c r="L656" i="4" l="1"/>
  <c r="V656" i="3"/>
  <c r="M655" i="4"/>
  <c r="K655" i="4"/>
  <c r="W656" i="3" l="1"/>
  <c r="X656" i="3" s="1"/>
  <c r="Y656" i="3" s="1"/>
  <c r="Z656" i="3" s="1"/>
  <c r="AA656" i="3" s="1"/>
  <c r="AB656" i="3" s="1"/>
  <c r="AC656" i="3" l="1"/>
  <c r="AD656" i="3" s="1"/>
  <c r="C656" i="4"/>
  <c r="M657" i="3"/>
  <c r="AI657" i="3" l="1"/>
  <c r="O657" i="3"/>
  <c r="N657" i="3"/>
  <c r="P657" i="3" s="1"/>
  <c r="Q657" i="3" s="1"/>
  <c r="G656" i="4"/>
  <c r="I656" i="4" s="1"/>
  <c r="J656" i="4" s="1"/>
  <c r="H656" i="4"/>
  <c r="K656" i="4" l="1"/>
  <c r="M656" i="4"/>
  <c r="L657" i="4"/>
  <c r="V657" i="3"/>
  <c r="W657" i="3" l="1"/>
  <c r="X657" i="3" s="1"/>
  <c r="Y657" i="3" s="1"/>
  <c r="Z657" i="3" s="1"/>
  <c r="AA657" i="3" s="1"/>
  <c r="AB657" i="3" s="1"/>
  <c r="AC657" i="3" l="1"/>
  <c r="AD657" i="3" s="1"/>
  <c r="C657" i="4"/>
  <c r="M658" i="3"/>
  <c r="AI658" i="3" l="1"/>
  <c r="O658" i="3"/>
  <c r="N658" i="3"/>
  <c r="P658" i="3" s="1"/>
  <c r="Q658" i="3" s="1"/>
  <c r="H657" i="4"/>
  <c r="G657" i="4"/>
  <c r="I657" i="4" s="1"/>
  <c r="J657" i="4" s="1"/>
  <c r="L658" i="4" l="1"/>
  <c r="C40" i="5" s="1"/>
  <c r="N40" i="5" s="1"/>
  <c r="V658" i="3"/>
  <c r="M657" i="4"/>
  <c r="K657" i="4"/>
  <c r="W658" i="3" l="1"/>
  <c r="X658" i="3"/>
  <c r="Y658" i="3" s="1"/>
  <c r="Z658" i="3" s="1"/>
  <c r="AA658" i="3" s="1"/>
  <c r="AB658" i="3" s="1"/>
  <c r="M659" i="3" l="1"/>
  <c r="AC658" i="3"/>
  <c r="AD658" i="3" s="1"/>
  <c r="C658" i="4"/>
  <c r="G658" i="4" l="1"/>
  <c r="I658" i="4" s="1"/>
  <c r="J658" i="4" s="1"/>
  <c r="H658" i="4"/>
  <c r="AI659" i="3"/>
  <c r="O659" i="3"/>
  <c r="N659" i="3"/>
  <c r="P659" i="3" l="1"/>
  <c r="Q659" i="3" s="1"/>
  <c r="D40" i="5"/>
  <c r="M658" i="4"/>
  <c r="K658" i="4"/>
  <c r="E40" i="5" s="1"/>
  <c r="L659" i="4" l="1"/>
  <c r="V659" i="3"/>
  <c r="W659" i="3" l="1"/>
  <c r="X659" i="3" s="1"/>
  <c r="Y659" i="3" s="1"/>
  <c r="Z659" i="3" s="1"/>
  <c r="AA659" i="3" s="1"/>
  <c r="AB659" i="3" s="1"/>
  <c r="AC659" i="3" l="1"/>
  <c r="AD659" i="3" s="1"/>
  <c r="M660" i="3"/>
  <c r="C659" i="4"/>
  <c r="H659" i="4" l="1"/>
  <c r="G659" i="4"/>
  <c r="I659" i="4" s="1"/>
  <c r="J659" i="4" s="1"/>
  <c r="N660" i="3"/>
  <c r="P660" i="3" s="1"/>
  <c r="Q660" i="3" s="1"/>
  <c r="AI660" i="3"/>
  <c r="O660" i="3"/>
  <c r="L660" i="4" l="1"/>
  <c r="V660" i="3"/>
  <c r="K659" i="4"/>
  <c r="M659" i="4"/>
  <c r="W660" i="3" l="1"/>
  <c r="X660" i="3"/>
  <c r="Y660" i="3" s="1"/>
  <c r="Z660" i="3" s="1"/>
  <c r="AA660" i="3" s="1"/>
  <c r="AB660" i="3" s="1"/>
  <c r="AC660" i="3" l="1"/>
  <c r="AD660" i="3" s="1"/>
  <c r="M661" i="3"/>
  <c r="C660" i="4"/>
  <c r="H660" i="4" l="1"/>
  <c r="G660" i="4"/>
  <c r="I660" i="4" s="1"/>
  <c r="J660" i="4" s="1"/>
  <c r="O661" i="3"/>
  <c r="AI661" i="3"/>
  <c r="N661" i="3"/>
  <c r="M660" i="4" l="1"/>
  <c r="K660" i="4"/>
  <c r="P661" i="3"/>
  <c r="Q661" i="3" s="1"/>
  <c r="L661" i="4" l="1"/>
  <c r="V661" i="3"/>
  <c r="W661" i="3" l="1"/>
  <c r="X661" i="3" s="1"/>
  <c r="Y661" i="3" s="1"/>
  <c r="Z661" i="3" s="1"/>
  <c r="AA661" i="3" s="1"/>
  <c r="AB661" i="3" s="1"/>
  <c r="AC661" i="3" l="1"/>
  <c r="AD661" i="3" s="1"/>
  <c r="M662" i="3"/>
  <c r="C661" i="4"/>
  <c r="H661" i="4" l="1"/>
  <c r="G661" i="4"/>
  <c r="I661" i="4" s="1"/>
  <c r="J661" i="4" s="1"/>
  <c r="N662" i="3"/>
  <c r="O662" i="3"/>
  <c r="AI662" i="3"/>
  <c r="P662" i="3" l="1"/>
  <c r="Q662" i="3" s="1"/>
  <c r="K661" i="4"/>
  <c r="M661" i="4"/>
  <c r="L662" i="4" l="1"/>
  <c r="V662" i="3"/>
  <c r="W662" i="3" l="1"/>
  <c r="X662" i="3"/>
  <c r="Y662" i="3" s="1"/>
  <c r="Z662" i="3" s="1"/>
  <c r="AA662" i="3" s="1"/>
  <c r="AB662" i="3" s="1"/>
  <c r="AC662" i="3" l="1"/>
  <c r="AD662" i="3" s="1"/>
  <c r="M663" i="3"/>
  <c r="C662" i="4"/>
  <c r="G662" i="4" l="1"/>
  <c r="I662" i="4" s="1"/>
  <c r="J662" i="4" s="1"/>
  <c r="H662" i="4"/>
  <c r="AI663" i="3"/>
  <c r="O663" i="3"/>
  <c r="N663" i="3"/>
  <c r="P663" i="3" l="1"/>
  <c r="Q663" i="3" s="1"/>
  <c r="K662" i="4"/>
  <c r="M662" i="4"/>
  <c r="L663" i="4" l="1"/>
  <c r="V663" i="3"/>
  <c r="W663" i="3" l="1"/>
  <c r="X663" i="3" s="1"/>
  <c r="Y663" i="3" s="1"/>
  <c r="Z663" i="3" s="1"/>
  <c r="AA663" i="3" s="1"/>
  <c r="AB663" i="3" s="1"/>
  <c r="M664" i="3" l="1"/>
  <c r="AC663" i="3"/>
  <c r="AD663" i="3" s="1"/>
  <c r="C663" i="4"/>
  <c r="G663" i="4" l="1"/>
  <c r="I663" i="4" s="1"/>
  <c r="J663" i="4" s="1"/>
  <c r="H663" i="4"/>
  <c r="AI664" i="3"/>
  <c r="O664" i="3"/>
  <c r="N664" i="3"/>
  <c r="P664" i="3" l="1"/>
  <c r="Q664" i="3" s="1"/>
  <c r="K663" i="4"/>
  <c r="M663" i="4"/>
  <c r="L664" i="4" l="1"/>
  <c r="V664" i="3"/>
  <c r="W664" i="3" l="1"/>
  <c r="X664" i="3" s="1"/>
  <c r="Y664" i="3" s="1"/>
  <c r="Z664" i="3" s="1"/>
  <c r="AA664" i="3" s="1"/>
  <c r="AB664" i="3" s="1"/>
  <c r="AC664" i="3" l="1"/>
  <c r="AD664" i="3" s="1"/>
  <c r="M665" i="3"/>
  <c r="C664" i="4"/>
  <c r="G664" i="4" l="1"/>
  <c r="I664" i="4" s="1"/>
  <c r="J664" i="4" s="1"/>
  <c r="H664" i="4"/>
  <c r="AI665" i="3"/>
  <c r="N665" i="3"/>
  <c r="P665" i="3" s="1"/>
  <c r="Q665" i="3" s="1"/>
  <c r="O665" i="3"/>
  <c r="L665" i="4" l="1"/>
  <c r="V665" i="3"/>
  <c r="M664" i="4"/>
  <c r="K664" i="4"/>
  <c r="W665" i="3" l="1"/>
  <c r="X665" i="3"/>
  <c r="Y665" i="3" s="1"/>
  <c r="Z665" i="3" s="1"/>
  <c r="AA665" i="3" s="1"/>
  <c r="AB665" i="3" s="1"/>
  <c r="AC665" i="3" l="1"/>
  <c r="AD665" i="3" s="1"/>
  <c r="M666" i="3"/>
  <c r="C665" i="4"/>
  <c r="G665" i="4" l="1"/>
  <c r="I665" i="4" s="1"/>
  <c r="J665" i="4" s="1"/>
  <c r="H665" i="4"/>
  <c r="AI666" i="3"/>
  <c r="N666" i="3"/>
  <c r="P666" i="3" s="1"/>
  <c r="Q666" i="3" s="1"/>
  <c r="O666" i="3"/>
  <c r="L666" i="4" l="1"/>
  <c r="V666" i="3"/>
  <c r="K665" i="4"/>
  <c r="M665" i="4"/>
  <c r="W666" i="3" l="1"/>
  <c r="X666" i="3"/>
  <c r="Y666" i="3" s="1"/>
  <c r="Z666" i="3" s="1"/>
  <c r="AA666" i="3" s="1"/>
  <c r="AB666" i="3" s="1"/>
  <c r="C666" i="4" l="1"/>
  <c r="M667" i="3"/>
  <c r="AC666" i="3"/>
  <c r="AD666" i="3" s="1"/>
  <c r="AI667" i="3" l="1"/>
  <c r="O667" i="3"/>
  <c r="N667" i="3"/>
  <c r="P667" i="3" s="1"/>
  <c r="Q667" i="3" s="1"/>
  <c r="H666" i="4"/>
  <c r="G666" i="4"/>
  <c r="I666" i="4" s="1"/>
  <c r="J666" i="4" s="1"/>
  <c r="L667" i="4" l="1"/>
  <c r="V667" i="3"/>
  <c r="M666" i="4"/>
  <c r="K666" i="4"/>
  <c r="W667" i="3" l="1"/>
  <c r="X667" i="3" s="1"/>
  <c r="Y667" i="3" s="1"/>
  <c r="Z667" i="3" s="1"/>
  <c r="AA667" i="3" s="1"/>
  <c r="AB667" i="3" s="1"/>
  <c r="C667" i="4" l="1"/>
  <c r="M668" i="3"/>
  <c r="AC667" i="3"/>
  <c r="AD667" i="3" s="1"/>
  <c r="N668" i="3" l="1"/>
  <c r="O668" i="3"/>
  <c r="AI668" i="3"/>
  <c r="H667" i="4"/>
  <c r="G667" i="4"/>
  <c r="I667" i="4" s="1"/>
  <c r="J667" i="4" s="1"/>
  <c r="K667" i="4" l="1"/>
  <c r="M667" i="4"/>
  <c r="P668" i="3"/>
  <c r="Q668" i="3" s="1"/>
  <c r="L668" i="4" l="1"/>
  <c r="V668" i="3"/>
  <c r="W668" i="3" l="1"/>
  <c r="X668" i="3"/>
  <c r="Y668" i="3" s="1"/>
  <c r="Z668" i="3" s="1"/>
  <c r="AA668" i="3" s="1"/>
  <c r="AB668" i="3" s="1"/>
  <c r="M669" i="3" l="1"/>
  <c r="C668" i="4"/>
  <c r="AC668" i="3"/>
  <c r="AD668" i="3" s="1"/>
  <c r="H668" i="4" l="1"/>
  <c r="G668" i="4"/>
  <c r="I668" i="4" s="1"/>
  <c r="J668" i="4" s="1"/>
  <c r="O669" i="3"/>
  <c r="AI669" i="3"/>
  <c r="N669" i="3"/>
  <c r="K668" i="4" l="1"/>
  <c r="M668" i="4"/>
  <c r="P669" i="3"/>
  <c r="Q669" i="3" s="1"/>
  <c r="L669" i="4" l="1"/>
  <c r="V669" i="3"/>
  <c r="W669" i="3" l="1"/>
  <c r="X669" i="3"/>
  <c r="Y669" i="3" s="1"/>
  <c r="Z669" i="3" s="1"/>
  <c r="AA669" i="3" s="1"/>
  <c r="AB669" i="3" s="1"/>
  <c r="C669" i="4" l="1"/>
  <c r="M670" i="3"/>
  <c r="AC669" i="3"/>
  <c r="AD669" i="3" s="1"/>
  <c r="N670" i="3" l="1"/>
  <c r="O670" i="3"/>
  <c r="AI670" i="3"/>
  <c r="G669" i="4"/>
  <c r="I669" i="4" s="1"/>
  <c r="J669" i="4" s="1"/>
  <c r="H669" i="4"/>
  <c r="K669" i="4" l="1"/>
  <c r="M669" i="4"/>
  <c r="P670" i="3"/>
  <c r="Q670" i="3" s="1"/>
  <c r="L670" i="4" l="1"/>
  <c r="V670" i="3"/>
  <c r="W670" i="3" l="1"/>
  <c r="X670" i="3"/>
  <c r="Y670" i="3" s="1"/>
  <c r="Z670" i="3" s="1"/>
  <c r="AA670" i="3" s="1"/>
  <c r="AB670" i="3" s="1"/>
  <c r="M671" i="3" l="1"/>
  <c r="AC670" i="3"/>
  <c r="AD670" i="3" s="1"/>
  <c r="C670" i="4"/>
  <c r="G670" i="4" l="1"/>
  <c r="I670" i="4" s="1"/>
  <c r="J670" i="4" s="1"/>
  <c r="H670" i="4"/>
  <c r="N671" i="3"/>
  <c r="O671" i="3"/>
  <c r="AI671" i="3"/>
  <c r="P671" i="3" l="1"/>
  <c r="Q671" i="3" s="1"/>
  <c r="K670" i="4"/>
  <c r="M670" i="4"/>
  <c r="L671" i="4" l="1"/>
  <c r="V671" i="3"/>
  <c r="W671" i="3" l="1"/>
  <c r="X671" i="3" s="1"/>
  <c r="Y671" i="3" s="1"/>
  <c r="Z671" i="3" s="1"/>
  <c r="AA671" i="3" s="1"/>
  <c r="AB671" i="3" s="1"/>
  <c r="M672" i="3" l="1"/>
  <c r="AC671" i="3"/>
  <c r="AD671" i="3" s="1"/>
  <c r="C671" i="4"/>
  <c r="H671" i="4" l="1"/>
  <c r="G671" i="4"/>
  <c r="I671" i="4" s="1"/>
  <c r="J671" i="4" s="1"/>
  <c r="N672" i="3"/>
  <c r="P672" i="3" s="1"/>
  <c r="Q672" i="3" s="1"/>
  <c r="AI672" i="3"/>
  <c r="O672" i="3"/>
  <c r="L672" i="4" l="1"/>
  <c r="V672" i="3"/>
  <c r="M671" i="4"/>
  <c r="K671" i="4"/>
  <c r="W672" i="3" l="1"/>
  <c r="X672" i="3" s="1"/>
  <c r="Y672" i="3" s="1"/>
  <c r="Z672" i="3" s="1"/>
  <c r="AA672" i="3" s="1"/>
  <c r="AB672" i="3" s="1"/>
  <c r="C672" i="4" l="1"/>
  <c r="M673" i="3"/>
  <c r="AC672" i="3"/>
  <c r="AD672" i="3" s="1"/>
  <c r="N673" i="3" l="1"/>
  <c r="O673" i="3"/>
  <c r="AI673" i="3"/>
  <c r="H672" i="4"/>
  <c r="G672" i="4"/>
  <c r="I672" i="4" s="1"/>
  <c r="J672" i="4" s="1"/>
  <c r="M672" i="4" l="1"/>
  <c r="K672" i="4"/>
  <c r="P673" i="3"/>
  <c r="Q673" i="3" s="1"/>
  <c r="L673" i="4" l="1"/>
  <c r="V673" i="3"/>
  <c r="W673" i="3" l="1"/>
  <c r="X673" i="3"/>
  <c r="Y673" i="3" s="1"/>
  <c r="Z673" i="3" s="1"/>
  <c r="AA673" i="3" s="1"/>
  <c r="AB673" i="3" s="1"/>
  <c r="M674" i="3" l="1"/>
  <c r="AC673" i="3"/>
  <c r="AD673" i="3" s="1"/>
  <c r="C673" i="4"/>
  <c r="H673" i="4" l="1"/>
  <c r="G673" i="4"/>
  <c r="I673" i="4" s="1"/>
  <c r="J673" i="4" s="1"/>
  <c r="AI674" i="3"/>
  <c r="O674" i="3"/>
  <c r="N674" i="3"/>
  <c r="K673" i="4" l="1"/>
  <c r="M673" i="4"/>
  <c r="P674" i="3"/>
  <c r="Q674" i="3" s="1"/>
  <c r="L674" i="4" l="1"/>
  <c r="V674" i="3"/>
  <c r="W674" i="3" l="1"/>
  <c r="X674" i="3"/>
  <c r="Y674" i="3" s="1"/>
  <c r="Z674" i="3" s="1"/>
  <c r="AA674" i="3" s="1"/>
  <c r="AB674" i="3" s="1"/>
  <c r="C674" i="4" l="1"/>
  <c r="AC674" i="3"/>
  <c r="AD674" i="3" s="1"/>
  <c r="M675" i="3"/>
  <c r="N675" i="3" l="1"/>
  <c r="O675" i="3"/>
  <c r="AI675" i="3"/>
  <c r="G674" i="4"/>
  <c r="I674" i="4" s="1"/>
  <c r="J674" i="4" s="1"/>
  <c r="H674" i="4"/>
  <c r="M674" i="4" l="1"/>
  <c r="K674" i="4"/>
  <c r="P675" i="3"/>
  <c r="Q675" i="3" s="1"/>
  <c r="L675" i="4" l="1"/>
  <c r="V675" i="3"/>
  <c r="W675" i="3" l="1"/>
  <c r="X675" i="3" s="1"/>
  <c r="Y675" i="3" s="1"/>
  <c r="Z675" i="3" s="1"/>
  <c r="AA675" i="3" s="1"/>
  <c r="AB675" i="3" s="1"/>
  <c r="C675" i="4" l="1"/>
  <c r="M676" i="3"/>
  <c r="AC675" i="3"/>
  <c r="AD675" i="3" s="1"/>
  <c r="N676" i="3" l="1"/>
  <c r="O676" i="3"/>
  <c r="AI676" i="3"/>
  <c r="H675" i="4"/>
  <c r="G675" i="4"/>
  <c r="I675" i="4" s="1"/>
  <c r="J675" i="4" s="1"/>
  <c r="M675" i="4" l="1"/>
  <c r="K675" i="4"/>
  <c r="P676" i="3"/>
  <c r="Q676" i="3" s="1"/>
  <c r="L676" i="4" l="1"/>
  <c r="V676" i="3"/>
  <c r="W676" i="3" l="1"/>
  <c r="X676" i="3" s="1"/>
  <c r="Y676" i="3" s="1"/>
  <c r="Z676" i="3" s="1"/>
  <c r="AA676" i="3" s="1"/>
  <c r="AB676" i="3" s="1"/>
  <c r="AC676" i="3" l="1"/>
  <c r="AD676" i="3" s="1"/>
  <c r="M677" i="3"/>
  <c r="C676" i="4"/>
  <c r="H676" i="4" l="1"/>
  <c r="G676" i="4"/>
  <c r="I676" i="4" s="1"/>
  <c r="J676" i="4" s="1"/>
  <c r="O677" i="3"/>
  <c r="AI677" i="3"/>
  <c r="N677" i="3"/>
  <c r="M676" i="4" l="1"/>
  <c r="K676" i="4"/>
  <c r="P677" i="3"/>
  <c r="Q677" i="3" s="1"/>
  <c r="L677" i="4" l="1"/>
  <c r="V677" i="3"/>
  <c r="W677" i="3" l="1"/>
  <c r="X677" i="3" s="1"/>
  <c r="Y677" i="3" s="1"/>
  <c r="Z677" i="3" s="1"/>
  <c r="AA677" i="3" s="1"/>
  <c r="AB677" i="3" s="1"/>
  <c r="AC677" i="3" l="1"/>
  <c r="AD677" i="3" s="1"/>
  <c r="C677" i="4"/>
  <c r="M678" i="3"/>
  <c r="AI678" i="3" l="1"/>
  <c r="N678" i="3"/>
  <c r="O678" i="3"/>
  <c r="H677" i="4"/>
  <c r="G677" i="4"/>
  <c r="I677" i="4" s="1"/>
  <c r="J677" i="4" s="1"/>
  <c r="P678" i="3" l="1"/>
  <c r="Q678" i="3" s="1"/>
  <c r="K677" i="4"/>
  <c r="M677" i="4"/>
  <c r="L678" i="4" l="1"/>
  <c r="V678" i="3"/>
  <c r="W678" i="3" l="1"/>
  <c r="X678" i="3"/>
  <c r="Y678" i="3" s="1"/>
  <c r="Z678" i="3" s="1"/>
  <c r="AA678" i="3" s="1"/>
  <c r="AB678" i="3" s="1"/>
  <c r="M679" i="3" l="1"/>
  <c r="AC678" i="3"/>
  <c r="AD678" i="3" s="1"/>
  <c r="C678" i="4"/>
  <c r="H678" i="4" l="1"/>
  <c r="G678" i="4"/>
  <c r="I678" i="4" s="1"/>
  <c r="J678" i="4" s="1"/>
  <c r="AI679" i="3"/>
  <c r="O679" i="3"/>
  <c r="N679" i="3"/>
  <c r="M678" i="4" l="1"/>
  <c r="K678" i="4"/>
  <c r="P679" i="3"/>
  <c r="Q679" i="3" s="1"/>
  <c r="L679" i="4" l="1"/>
  <c r="V679" i="3"/>
  <c r="W679" i="3" l="1"/>
  <c r="X679" i="3" s="1"/>
  <c r="Y679" i="3" s="1"/>
  <c r="Z679" i="3" s="1"/>
  <c r="AA679" i="3" s="1"/>
  <c r="AB679" i="3" s="1"/>
  <c r="AC679" i="3" l="1"/>
  <c r="AD679" i="3" s="1"/>
  <c r="C679" i="4"/>
  <c r="M680" i="3"/>
  <c r="N680" i="3" l="1"/>
  <c r="AI680" i="3"/>
  <c r="O680" i="3"/>
  <c r="G679" i="4"/>
  <c r="I679" i="4" s="1"/>
  <c r="J679" i="4" s="1"/>
  <c r="H679" i="4"/>
  <c r="K679" i="4" l="1"/>
  <c r="M679" i="4"/>
  <c r="P680" i="3"/>
  <c r="Q680" i="3" s="1"/>
  <c r="L680" i="4" l="1"/>
  <c r="V680" i="3"/>
  <c r="W680" i="3" l="1"/>
  <c r="X680" i="3" s="1"/>
  <c r="Y680" i="3" s="1"/>
  <c r="Z680" i="3" s="1"/>
  <c r="AA680" i="3" s="1"/>
  <c r="AB680" i="3" s="1"/>
  <c r="M681" i="3" l="1"/>
  <c r="C680" i="4"/>
  <c r="AC680" i="3"/>
  <c r="AD680" i="3" s="1"/>
  <c r="H680" i="4" l="1"/>
  <c r="G680" i="4"/>
  <c r="I680" i="4" s="1"/>
  <c r="J680" i="4" s="1"/>
  <c r="O681" i="3"/>
  <c r="AI681" i="3"/>
  <c r="N681" i="3"/>
  <c r="K680" i="4" l="1"/>
  <c r="M680" i="4"/>
  <c r="P681" i="3"/>
  <c r="Q681" i="3" s="1"/>
  <c r="L681" i="4" l="1"/>
  <c r="V681" i="3"/>
  <c r="W681" i="3" l="1"/>
  <c r="X681" i="3"/>
  <c r="Y681" i="3" s="1"/>
  <c r="Z681" i="3" s="1"/>
  <c r="AA681" i="3" s="1"/>
  <c r="AB681" i="3" s="1"/>
  <c r="M682" i="3" l="1"/>
  <c r="AC681" i="3"/>
  <c r="AD681" i="3" s="1"/>
  <c r="C681" i="4"/>
  <c r="G681" i="4" l="1"/>
  <c r="I681" i="4" s="1"/>
  <c r="J681" i="4" s="1"/>
  <c r="H681" i="4"/>
  <c r="AI682" i="3"/>
  <c r="N682" i="3"/>
  <c r="P682" i="3" s="1"/>
  <c r="Q682" i="3" s="1"/>
  <c r="O682" i="3"/>
  <c r="L682" i="4" l="1"/>
  <c r="V682" i="3"/>
  <c r="K681" i="4"/>
  <c r="M681" i="4"/>
  <c r="W682" i="3" l="1"/>
  <c r="X682" i="3"/>
  <c r="Y682" i="3" s="1"/>
  <c r="Z682" i="3" s="1"/>
  <c r="AA682" i="3" s="1"/>
  <c r="AB682" i="3" s="1"/>
  <c r="M683" i="3" l="1"/>
  <c r="C682" i="4"/>
  <c r="AC682" i="3"/>
  <c r="AD682" i="3" s="1"/>
  <c r="H682" i="4" l="1"/>
  <c r="G682" i="4"/>
  <c r="I682" i="4" s="1"/>
  <c r="J682" i="4" s="1"/>
  <c r="O683" i="3"/>
  <c r="N683" i="3"/>
  <c r="P683" i="3" s="1"/>
  <c r="Q683" i="3" s="1"/>
  <c r="AI683" i="3"/>
  <c r="L683" i="4" l="1"/>
  <c r="V683" i="3"/>
  <c r="M682" i="4"/>
  <c r="K682" i="4"/>
  <c r="W683" i="3" l="1"/>
  <c r="X683" i="3" s="1"/>
  <c r="Y683" i="3" s="1"/>
  <c r="Z683" i="3" s="1"/>
  <c r="AA683" i="3" s="1"/>
  <c r="AB683" i="3" s="1"/>
  <c r="C683" i="4" l="1"/>
  <c r="M684" i="3"/>
  <c r="AC683" i="3"/>
  <c r="AD683" i="3" s="1"/>
  <c r="O684" i="3" l="1"/>
  <c r="AI684" i="3"/>
  <c r="N684" i="3"/>
  <c r="P684" i="3" s="1"/>
  <c r="Q684" i="3" s="1"/>
  <c r="G683" i="4"/>
  <c r="I683" i="4" s="1"/>
  <c r="J683" i="4" s="1"/>
  <c r="H683" i="4"/>
  <c r="M683" i="4" l="1"/>
  <c r="K683" i="4"/>
  <c r="L684" i="4"/>
  <c r="V684" i="3"/>
  <c r="W684" i="3" l="1"/>
  <c r="X684" i="3"/>
  <c r="Y684" i="3" s="1"/>
  <c r="Z684" i="3" s="1"/>
  <c r="AA684" i="3" s="1"/>
  <c r="AB684" i="3" s="1"/>
  <c r="C684" i="4" l="1"/>
  <c r="M685" i="3"/>
  <c r="AC684" i="3"/>
  <c r="AD684" i="3" s="1"/>
  <c r="AI685" i="3" l="1"/>
  <c r="O685" i="3"/>
  <c r="N685" i="3"/>
  <c r="P685" i="3" s="1"/>
  <c r="Q685" i="3" s="1"/>
  <c r="H684" i="4"/>
  <c r="G684" i="4"/>
  <c r="I684" i="4" s="1"/>
  <c r="J684" i="4" s="1"/>
  <c r="L685" i="4" l="1"/>
  <c r="V685" i="3"/>
  <c r="M684" i="4"/>
  <c r="K684" i="4"/>
  <c r="W685" i="3" l="1"/>
  <c r="X685" i="3" s="1"/>
  <c r="Y685" i="3" s="1"/>
  <c r="Z685" i="3" s="1"/>
  <c r="AA685" i="3" s="1"/>
  <c r="AB685" i="3" s="1"/>
  <c r="M686" i="3" l="1"/>
  <c r="AC685" i="3"/>
  <c r="AD685" i="3" s="1"/>
  <c r="C685" i="4"/>
  <c r="G685" i="4" l="1"/>
  <c r="I685" i="4" s="1"/>
  <c r="J685" i="4" s="1"/>
  <c r="H685" i="4"/>
  <c r="AI686" i="3"/>
  <c r="O686" i="3"/>
  <c r="N686" i="3"/>
  <c r="P686" i="3" l="1"/>
  <c r="Q686" i="3" s="1"/>
  <c r="M685" i="4"/>
  <c r="K685" i="4"/>
  <c r="L686" i="4" l="1"/>
  <c r="V686" i="3"/>
  <c r="W686" i="3" l="1"/>
  <c r="X686" i="3"/>
  <c r="Y686" i="3" s="1"/>
  <c r="Z686" i="3" s="1"/>
  <c r="AA686" i="3" s="1"/>
  <c r="AB686" i="3" s="1"/>
  <c r="AC686" i="3" l="1"/>
  <c r="AD686" i="3" s="1"/>
  <c r="C686" i="4"/>
  <c r="M687" i="3"/>
  <c r="AI687" i="3" l="1"/>
  <c r="N687" i="3"/>
  <c r="O687" i="3"/>
  <c r="H686" i="4"/>
  <c r="G686" i="4"/>
  <c r="I686" i="4" s="1"/>
  <c r="J686" i="4" s="1"/>
  <c r="P687" i="3" l="1"/>
  <c r="Q687" i="3" s="1"/>
  <c r="K686" i="4"/>
  <c r="M686" i="4"/>
  <c r="L687" i="4" l="1"/>
  <c r="V687" i="3"/>
  <c r="W687" i="3" l="1"/>
  <c r="X687" i="3" s="1"/>
  <c r="Y687" i="3" s="1"/>
  <c r="Z687" i="3" s="1"/>
  <c r="AA687" i="3" s="1"/>
  <c r="AB687" i="3" s="1"/>
  <c r="C687" i="4" l="1"/>
  <c r="M688" i="3"/>
  <c r="AC687" i="3"/>
  <c r="AD687" i="3" s="1"/>
  <c r="O688" i="3" l="1"/>
  <c r="N688" i="3"/>
  <c r="P688" i="3" s="1"/>
  <c r="Q688" i="3" s="1"/>
  <c r="AI688" i="3"/>
  <c r="G687" i="4"/>
  <c r="I687" i="4" s="1"/>
  <c r="J687" i="4" s="1"/>
  <c r="H687" i="4"/>
  <c r="M687" i="4" l="1"/>
  <c r="K687" i="4"/>
  <c r="L688" i="4"/>
  <c r="V688" i="3"/>
  <c r="W688" i="3" l="1"/>
  <c r="X688" i="3" s="1"/>
  <c r="Y688" i="3" s="1"/>
  <c r="Z688" i="3" s="1"/>
  <c r="AA688" i="3" s="1"/>
  <c r="AB688" i="3" s="1"/>
  <c r="C688" i="4" l="1"/>
  <c r="M689" i="3"/>
  <c r="AC688" i="3"/>
  <c r="AD688" i="3" s="1"/>
  <c r="AI689" i="3" l="1"/>
  <c r="O689" i="3"/>
  <c r="N689" i="3"/>
  <c r="P689" i="3" s="1"/>
  <c r="Q689" i="3" s="1"/>
  <c r="H688" i="4"/>
  <c r="G688" i="4"/>
  <c r="I688" i="4" s="1"/>
  <c r="J688" i="4" s="1"/>
  <c r="L689" i="4" l="1"/>
  <c r="V689" i="3"/>
  <c r="K688" i="4"/>
  <c r="M688" i="4"/>
  <c r="W689" i="3" l="1"/>
  <c r="X689" i="3" s="1"/>
  <c r="Y689" i="3" s="1"/>
  <c r="Z689" i="3" s="1"/>
  <c r="AA689" i="3" s="1"/>
  <c r="AB689" i="3" s="1"/>
  <c r="AC689" i="3" l="1"/>
  <c r="AD689" i="3" s="1"/>
  <c r="M690" i="3"/>
  <c r="C689" i="4"/>
  <c r="G689" i="4" l="1"/>
  <c r="I689" i="4" s="1"/>
  <c r="J689" i="4" s="1"/>
  <c r="H689" i="4"/>
  <c r="AI690" i="3"/>
  <c r="O690" i="3"/>
  <c r="N690" i="3"/>
  <c r="P690" i="3" l="1"/>
  <c r="Q690" i="3" s="1"/>
  <c r="M689" i="4"/>
  <c r="K689" i="4"/>
  <c r="L690" i="4" l="1"/>
  <c r="V690" i="3"/>
  <c r="W690" i="3" l="1"/>
  <c r="X690" i="3"/>
  <c r="Y690" i="3" s="1"/>
  <c r="Z690" i="3" s="1"/>
  <c r="AA690" i="3" s="1"/>
  <c r="AB690" i="3" s="1"/>
  <c r="M691" i="3" l="1"/>
  <c r="AC690" i="3"/>
  <c r="AD690" i="3" s="1"/>
  <c r="C690" i="4"/>
  <c r="H690" i="4" l="1"/>
  <c r="G690" i="4"/>
  <c r="I690" i="4" s="1"/>
  <c r="J690" i="4" s="1"/>
  <c r="AI691" i="3"/>
  <c r="N691" i="3"/>
  <c r="P691" i="3" s="1"/>
  <c r="Q691" i="3" s="1"/>
  <c r="O691" i="3"/>
  <c r="L691" i="4" l="1"/>
  <c r="V691" i="3"/>
  <c r="M690" i="4"/>
  <c r="K690" i="4"/>
  <c r="W691" i="3" l="1"/>
  <c r="X691" i="3" s="1"/>
  <c r="Y691" i="3" s="1"/>
  <c r="Z691" i="3" s="1"/>
  <c r="AA691" i="3" s="1"/>
  <c r="AB691" i="3" s="1"/>
  <c r="M692" i="3" l="1"/>
  <c r="AC691" i="3"/>
  <c r="AD691" i="3" s="1"/>
  <c r="C691" i="4"/>
  <c r="H691" i="4" l="1"/>
  <c r="G691" i="4"/>
  <c r="I691" i="4" s="1"/>
  <c r="J691" i="4" s="1"/>
  <c r="AI692" i="3"/>
  <c r="N692" i="3"/>
  <c r="P692" i="3" s="1"/>
  <c r="Q692" i="3" s="1"/>
  <c r="O692" i="3"/>
  <c r="L692" i="4" l="1"/>
  <c r="V692" i="3"/>
  <c r="M691" i="4"/>
  <c r="K691" i="4"/>
  <c r="W692" i="3" l="1"/>
  <c r="X692" i="3"/>
  <c r="Y692" i="3" s="1"/>
  <c r="Z692" i="3" s="1"/>
  <c r="AA692" i="3" s="1"/>
  <c r="AB692" i="3" s="1"/>
  <c r="C692" i="4" l="1"/>
  <c r="AC692" i="3"/>
  <c r="AD692" i="3" s="1"/>
  <c r="M693" i="3"/>
  <c r="N693" i="3" l="1"/>
  <c r="O693" i="3"/>
  <c r="AI693" i="3"/>
  <c r="G692" i="4"/>
  <c r="I692" i="4" s="1"/>
  <c r="J692" i="4" s="1"/>
  <c r="H692" i="4"/>
  <c r="K692" i="4" l="1"/>
  <c r="M692" i="4"/>
  <c r="P693" i="3"/>
  <c r="Q693" i="3" s="1"/>
  <c r="L693" i="4" l="1"/>
  <c r="V693" i="3"/>
  <c r="W693" i="3" l="1"/>
  <c r="X693" i="3" s="1"/>
  <c r="Y693" i="3" s="1"/>
  <c r="Z693" i="3" s="1"/>
  <c r="AA693" i="3" s="1"/>
  <c r="AB693" i="3" s="1"/>
  <c r="C693" i="4" l="1"/>
  <c r="M694" i="3"/>
  <c r="AC693" i="3"/>
  <c r="AD693" i="3" s="1"/>
  <c r="O694" i="3" l="1"/>
  <c r="AI694" i="3"/>
  <c r="N694" i="3"/>
  <c r="P694" i="3" s="1"/>
  <c r="Q694" i="3" s="1"/>
  <c r="G693" i="4"/>
  <c r="I693" i="4" s="1"/>
  <c r="J693" i="4" s="1"/>
  <c r="H693" i="4"/>
  <c r="M693" i="4" l="1"/>
  <c r="K693" i="4"/>
  <c r="L694" i="4"/>
  <c r="V694" i="3"/>
  <c r="W694" i="3" l="1"/>
  <c r="X694" i="3"/>
  <c r="Y694" i="3" s="1"/>
  <c r="Z694" i="3" s="1"/>
  <c r="AA694" i="3" s="1"/>
  <c r="AB694" i="3" s="1"/>
  <c r="AC694" i="3" l="1"/>
  <c r="AD694" i="3" s="1"/>
  <c r="M695" i="3"/>
  <c r="C694" i="4"/>
  <c r="G694" i="4" l="1"/>
  <c r="I694" i="4" s="1"/>
  <c r="J694" i="4" s="1"/>
  <c r="H694" i="4"/>
  <c r="O695" i="3"/>
  <c r="AI695" i="3"/>
  <c r="N695" i="3"/>
  <c r="P695" i="3" l="1"/>
  <c r="Q695" i="3" s="1"/>
  <c r="K694" i="4"/>
  <c r="M694" i="4"/>
  <c r="L695" i="4" l="1"/>
  <c r="V695" i="3"/>
  <c r="W695" i="3" l="1"/>
  <c r="X695" i="3" s="1"/>
  <c r="Y695" i="3" s="1"/>
  <c r="Z695" i="3" s="1"/>
  <c r="AA695" i="3" s="1"/>
  <c r="AB695" i="3" s="1"/>
  <c r="C695" i="4" l="1"/>
  <c r="M696" i="3"/>
  <c r="AC695" i="3"/>
  <c r="AD695" i="3" s="1"/>
  <c r="O696" i="3" l="1"/>
  <c r="AI696" i="3"/>
  <c r="N696" i="3"/>
  <c r="P696" i="3" s="1"/>
  <c r="Q696" i="3" s="1"/>
  <c r="G695" i="4"/>
  <c r="I695" i="4" s="1"/>
  <c r="J695" i="4" s="1"/>
  <c r="H695" i="4"/>
  <c r="K695" i="4" l="1"/>
  <c r="M695" i="4"/>
  <c r="L696" i="4"/>
  <c r="V696" i="3"/>
  <c r="W696" i="3" l="1"/>
  <c r="X696" i="3" s="1"/>
  <c r="Y696" i="3" s="1"/>
  <c r="Z696" i="3" s="1"/>
  <c r="AA696" i="3" s="1"/>
  <c r="AB696" i="3" s="1"/>
  <c r="M697" i="3" l="1"/>
  <c r="C696" i="4"/>
  <c r="AC696" i="3"/>
  <c r="AD696" i="3" s="1"/>
  <c r="H696" i="4" l="1"/>
  <c r="G696" i="4"/>
  <c r="I696" i="4" s="1"/>
  <c r="J696" i="4" s="1"/>
  <c r="O697" i="3"/>
  <c r="AI697" i="3"/>
  <c r="N697" i="3"/>
  <c r="M696" i="4" l="1"/>
  <c r="K696" i="4"/>
  <c r="P697" i="3"/>
  <c r="Q697" i="3" s="1"/>
  <c r="L697" i="4" l="1"/>
  <c r="V697" i="3"/>
  <c r="W697" i="3" l="1"/>
  <c r="X697" i="3"/>
  <c r="Y697" i="3" s="1"/>
  <c r="Z697" i="3" s="1"/>
  <c r="AA697" i="3" s="1"/>
  <c r="AB697" i="3" s="1"/>
  <c r="AC697" i="3" l="1"/>
  <c r="AD697" i="3" s="1"/>
  <c r="C697" i="4"/>
  <c r="M698" i="3"/>
  <c r="AI698" i="3" l="1"/>
  <c r="O698" i="3"/>
  <c r="N698" i="3"/>
  <c r="P698" i="3" s="1"/>
  <c r="Q698" i="3" s="1"/>
  <c r="G697" i="4"/>
  <c r="I697" i="4" s="1"/>
  <c r="J697" i="4" s="1"/>
  <c r="H697" i="4"/>
  <c r="K697" i="4" l="1"/>
  <c r="M697" i="4"/>
  <c r="L698" i="4"/>
  <c r="V698" i="3"/>
  <c r="W698" i="3" l="1"/>
  <c r="X698" i="3"/>
  <c r="Y698" i="3" s="1"/>
  <c r="Z698" i="3" s="1"/>
  <c r="AA698" i="3" s="1"/>
  <c r="AB698" i="3" s="1"/>
  <c r="AC698" i="3" l="1"/>
  <c r="AD698" i="3" s="1"/>
  <c r="M699" i="3"/>
  <c r="C698" i="4"/>
  <c r="G698" i="4" l="1"/>
  <c r="I698" i="4" s="1"/>
  <c r="J698" i="4" s="1"/>
  <c r="H698" i="4"/>
  <c r="AI699" i="3"/>
  <c r="N699" i="3"/>
  <c r="P699" i="3" s="1"/>
  <c r="Q699" i="3" s="1"/>
  <c r="O699" i="3"/>
  <c r="L699" i="4" l="1"/>
  <c r="V699" i="3"/>
  <c r="K698" i="4"/>
  <c r="M698" i="4"/>
  <c r="W699" i="3" l="1"/>
  <c r="X699" i="3" s="1"/>
  <c r="Y699" i="3" s="1"/>
  <c r="Z699" i="3" s="1"/>
  <c r="AA699" i="3" s="1"/>
  <c r="AB699" i="3" s="1"/>
  <c r="M700" i="3" l="1"/>
  <c r="C699" i="4"/>
  <c r="AC699" i="3"/>
  <c r="AD699" i="3" s="1"/>
  <c r="H699" i="4" l="1"/>
  <c r="G699" i="4"/>
  <c r="I699" i="4" s="1"/>
  <c r="J699" i="4" s="1"/>
  <c r="AI700" i="3"/>
  <c r="O700" i="3"/>
  <c r="N700" i="3"/>
  <c r="K699" i="4" l="1"/>
  <c r="M699" i="4"/>
  <c r="P700" i="3"/>
  <c r="Q700" i="3" s="1"/>
  <c r="L700" i="4" l="1"/>
  <c r="C41" i="5" s="1"/>
  <c r="N41" i="5" s="1"/>
  <c r="V700" i="3"/>
  <c r="W700" i="3" l="1"/>
  <c r="X700" i="3"/>
  <c r="Y700" i="3" s="1"/>
  <c r="Z700" i="3" s="1"/>
  <c r="AA700" i="3" s="1"/>
  <c r="AB700" i="3" s="1"/>
  <c r="AC700" i="3" l="1"/>
  <c r="AD700" i="3" s="1"/>
  <c r="M701" i="3"/>
  <c r="C700" i="4"/>
  <c r="G700" i="4" l="1"/>
  <c r="I700" i="4" s="1"/>
  <c r="J700" i="4" s="1"/>
  <c r="H700" i="4"/>
  <c r="O701" i="3"/>
  <c r="N701" i="3"/>
  <c r="P701" i="3" s="1"/>
  <c r="Q701" i="3" s="1"/>
  <c r="AI701" i="3"/>
  <c r="L701" i="4" l="1"/>
  <c r="V701" i="3"/>
  <c r="K700" i="4"/>
  <c r="E41" i="5" s="1"/>
  <c r="D41" i="5"/>
  <c r="M700" i="4"/>
  <c r="W701" i="3" l="1"/>
  <c r="X701" i="3"/>
  <c r="Y701" i="3" s="1"/>
  <c r="Z701" i="3" s="1"/>
  <c r="AA701" i="3" s="1"/>
  <c r="AB701" i="3" s="1"/>
  <c r="AC701" i="3" l="1"/>
  <c r="AD701" i="3" s="1"/>
  <c r="M702" i="3"/>
  <c r="C701" i="4"/>
  <c r="G701" i="4" l="1"/>
  <c r="I701" i="4" s="1"/>
  <c r="J701" i="4" s="1"/>
  <c r="H701" i="4"/>
  <c r="N702" i="3"/>
  <c r="P702" i="3" s="1"/>
  <c r="Q702" i="3" s="1"/>
  <c r="AI702" i="3"/>
  <c r="O702" i="3"/>
  <c r="L702" i="4" l="1"/>
  <c r="V702" i="3"/>
  <c r="M701" i="4"/>
  <c r="K701" i="4"/>
  <c r="W702" i="3" l="1"/>
  <c r="X702" i="3"/>
  <c r="Y702" i="3" s="1"/>
  <c r="Z702" i="3" s="1"/>
  <c r="AA702" i="3" s="1"/>
  <c r="AB702" i="3" s="1"/>
  <c r="M703" i="3" l="1"/>
  <c r="C702" i="4"/>
  <c r="AC702" i="3"/>
  <c r="AD702" i="3" s="1"/>
  <c r="G702" i="4" l="1"/>
  <c r="I702" i="4" s="1"/>
  <c r="J702" i="4" s="1"/>
  <c r="H702" i="4"/>
  <c r="AI703" i="3"/>
  <c r="N703" i="3"/>
  <c r="P703" i="3" s="1"/>
  <c r="Q703" i="3" s="1"/>
  <c r="O703" i="3"/>
  <c r="L703" i="4" l="1"/>
  <c r="V703" i="3"/>
  <c r="K702" i="4"/>
  <c r="M702" i="4"/>
  <c r="W703" i="3" l="1"/>
  <c r="X703" i="3" s="1"/>
  <c r="Y703" i="3" s="1"/>
  <c r="Z703" i="3" s="1"/>
  <c r="AA703" i="3" s="1"/>
  <c r="AB703" i="3" s="1"/>
  <c r="M704" i="3" l="1"/>
  <c r="C703" i="4"/>
  <c r="AC703" i="3"/>
  <c r="AD703" i="3" s="1"/>
  <c r="G703" i="4" l="1"/>
  <c r="I703" i="4" s="1"/>
  <c r="J703" i="4" s="1"/>
  <c r="H703" i="4"/>
  <c r="AI704" i="3"/>
  <c r="N704" i="3"/>
  <c r="P704" i="3" s="1"/>
  <c r="Q704" i="3" s="1"/>
  <c r="O704" i="3"/>
  <c r="L704" i="4" l="1"/>
  <c r="V704" i="3"/>
  <c r="M703" i="4"/>
  <c r="K703" i="4"/>
  <c r="W704" i="3" l="1"/>
  <c r="X704" i="3"/>
  <c r="Y704" i="3" s="1"/>
  <c r="Z704" i="3" s="1"/>
  <c r="AA704" i="3" s="1"/>
  <c r="AB704" i="3" s="1"/>
  <c r="C704" i="4" l="1"/>
  <c r="AC704" i="3"/>
  <c r="AD704" i="3" s="1"/>
  <c r="M705" i="3"/>
  <c r="AI705" i="3" l="1"/>
  <c r="O705" i="3"/>
  <c r="N705" i="3"/>
  <c r="P705" i="3" s="1"/>
  <c r="Q705" i="3" s="1"/>
  <c r="G704" i="4"/>
  <c r="I704" i="4" s="1"/>
  <c r="J704" i="4" s="1"/>
  <c r="H704" i="4"/>
  <c r="K704" i="4" l="1"/>
  <c r="M704" i="4"/>
  <c r="L705" i="4"/>
  <c r="V705" i="3"/>
  <c r="W705" i="3" l="1"/>
  <c r="X705" i="3"/>
  <c r="Y705" i="3" s="1"/>
  <c r="Z705" i="3" s="1"/>
  <c r="AA705" i="3" s="1"/>
  <c r="AB705" i="3" s="1"/>
  <c r="M706" i="3" l="1"/>
  <c r="C705" i="4"/>
  <c r="AC705" i="3"/>
  <c r="AD705" i="3" s="1"/>
  <c r="H705" i="4" l="1"/>
  <c r="G705" i="4"/>
  <c r="I705" i="4" s="1"/>
  <c r="J705" i="4" s="1"/>
  <c r="AI706" i="3"/>
  <c r="O706" i="3"/>
  <c r="N706" i="3"/>
  <c r="M705" i="4" l="1"/>
  <c r="K705" i="4"/>
  <c r="P706" i="3"/>
  <c r="Q706" i="3" s="1"/>
  <c r="L706" i="4" l="1"/>
  <c r="V706" i="3"/>
  <c r="W706" i="3" l="1"/>
  <c r="X706" i="3"/>
  <c r="Y706" i="3" s="1"/>
  <c r="Z706" i="3" s="1"/>
  <c r="AA706" i="3" s="1"/>
  <c r="AB706" i="3" s="1"/>
  <c r="M707" i="3" l="1"/>
  <c r="AC706" i="3"/>
  <c r="AD706" i="3" s="1"/>
  <c r="C706" i="4"/>
  <c r="G706" i="4" l="1"/>
  <c r="I706" i="4" s="1"/>
  <c r="J706" i="4" s="1"/>
  <c r="H706" i="4"/>
  <c r="AI707" i="3"/>
  <c r="N707" i="3"/>
  <c r="P707" i="3" s="1"/>
  <c r="Q707" i="3" s="1"/>
  <c r="O707" i="3"/>
  <c r="L707" i="4" l="1"/>
  <c r="V707" i="3"/>
  <c r="M706" i="4"/>
  <c r="K706" i="4"/>
  <c r="W707" i="3" l="1"/>
  <c r="X707" i="3" s="1"/>
  <c r="Y707" i="3" s="1"/>
  <c r="Z707" i="3" s="1"/>
  <c r="AA707" i="3" s="1"/>
  <c r="AB707" i="3" s="1"/>
  <c r="M708" i="3" l="1"/>
  <c r="AC707" i="3"/>
  <c r="AD707" i="3" s="1"/>
  <c r="C707" i="4"/>
  <c r="H707" i="4" l="1"/>
  <c r="G707" i="4"/>
  <c r="I707" i="4" s="1"/>
  <c r="J707" i="4" s="1"/>
  <c r="O708" i="3"/>
  <c r="AI708" i="3"/>
  <c r="N708" i="3"/>
  <c r="K707" i="4" l="1"/>
  <c r="M707" i="4"/>
  <c r="P708" i="3"/>
  <c r="Q708" i="3" s="1"/>
  <c r="L708" i="4" l="1"/>
  <c r="V708" i="3"/>
  <c r="W708" i="3" l="1"/>
  <c r="X708" i="3" s="1"/>
  <c r="Y708" i="3" s="1"/>
  <c r="Z708" i="3" s="1"/>
  <c r="AA708" i="3" s="1"/>
  <c r="AB708" i="3" s="1"/>
  <c r="M709" i="3" l="1"/>
  <c r="AC708" i="3"/>
  <c r="AD708" i="3" s="1"/>
  <c r="C708" i="4"/>
  <c r="H708" i="4" l="1"/>
  <c r="G708" i="4"/>
  <c r="I708" i="4" s="1"/>
  <c r="J708" i="4" s="1"/>
  <c r="AI709" i="3"/>
  <c r="N709" i="3"/>
  <c r="P709" i="3" s="1"/>
  <c r="Q709" i="3" s="1"/>
  <c r="O709" i="3"/>
  <c r="L709" i="4" l="1"/>
  <c r="V709" i="3"/>
  <c r="M708" i="4"/>
  <c r="K708" i="4"/>
  <c r="W709" i="3" l="1"/>
  <c r="X709" i="3"/>
  <c r="Y709" i="3" s="1"/>
  <c r="Z709" i="3" s="1"/>
  <c r="AA709" i="3" s="1"/>
  <c r="AB709" i="3" s="1"/>
  <c r="AC709" i="3" l="1"/>
  <c r="AD709" i="3" s="1"/>
  <c r="M710" i="3"/>
  <c r="C709" i="4"/>
  <c r="G709" i="4" l="1"/>
  <c r="I709" i="4" s="1"/>
  <c r="J709" i="4" s="1"/>
  <c r="H709" i="4"/>
  <c r="AI710" i="3"/>
  <c r="N710" i="3"/>
  <c r="P710" i="3" s="1"/>
  <c r="Q710" i="3" s="1"/>
  <c r="O710" i="3"/>
  <c r="L710" i="4" l="1"/>
  <c r="V710" i="3"/>
  <c r="M709" i="4"/>
  <c r="K709" i="4"/>
  <c r="W710" i="3" l="1"/>
  <c r="X710" i="3"/>
  <c r="Y710" i="3" s="1"/>
  <c r="Z710" i="3" s="1"/>
  <c r="AA710" i="3" s="1"/>
  <c r="AB710" i="3" s="1"/>
  <c r="C710" i="4" l="1"/>
  <c r="AC710" i="3"/>
  <c r="AD710" i="3" s="1"/>
  <c r="M711" i="3"/>
  <c r="AI711" i="3" l="1"/>
  <c r="O711" i="3"/>
  <c r="N711" i="3"/>
  <c r="P711" i="3" s="1"/>
  <c r="Q711" i="3" s="1"/>
  <c r="H710" i="4"/>
  <c r="G710" i="4"/>
  <c r="I710" i="4" s="1"/>
  <c r="J710" i="4" s="1"/>
  <c r="L711" i="4" l="1"/>
  <c r="V711" i="3"/>
  <c r="M710" i="4"/>
  <c r="K710" i="4"/>
  <c r="W711" i="3" l="1"/>
  <c r="X711" i="3" s="1"/>
  <c r="Y711" i="3" s="1"/>
  <c r="Z711" i="3" s="1"/>
  <c r="AA711" i="3" s="1"/>
  <c r="AB711" i="3" s="1"/>
  <c r="M712" i="3" l="1"/>
  <c r="AC711" i="3"/>
  <c r="AD711" i="3" s="1"/>
  <c r="C711" i="4"/>
  <c r="G711" i="4" l="1"/>
  <c r="I711" i="4" s="1"/>
  <c r="J711" i="4" s="1"/>
  <c r="H711" i="4"/>
  <c r="AI712" i="3"/>
  <c r="O712" i="3"/>
  <c r="N712" i="3"/>
  <c r="P712" i="3" l="1"/>
  <c r="Q712" i="3" s="1"/>
  <c r="K711" i="4"/>
  <c r="M711" i="4"/>
  <c r="L712" i="4" l="1"/>
  <c r="V712" i="3"/>
  <c r="W712" i="3" l="1"/>
  <c r="X712" i="3" s="1"/>
  <c r="Y712" i="3" s="1"/>
  <c r="Z712" i="3" s="1"/>
  <c r="AA712" i="3" s="1"/>
  <c r="AB712" i="3" s="1"/>
  <c r="M713" i="3" l="1"/>
  <c r="AC712" i="3"/>
  <c r="AD712" i="3" s="1"/>
  <c r="C712" i="4"/>
  <c r="G712" i="4" l="1"/>
  <c r="I712" i="4" s="1"/>
  <c r="J712" i="4" s="1"/>
  <c r="H712" i="4"/>
  <c r="N713" i="3"/>
  <c r="O713" i="3"/>
  <c r="AI713" i="3"/>
  <c r="P713" i="3" l="1"/>
  <c r="Q713" i="3" s="1"/>
  <c r="K712" i="4"/>
  <c r="M712" i="4"/>
  <c r="L713" i="4" l="1"/>
  <c r="V713" i="3"/>
  <c r="W713" i="3" l="1"/>
  <c r="X713" i="3" s="1"/>
  <c r="Y713" i="3" s="1"/>
  <c r="Z713" i="3" s="1"/>
  <c r="AA713" i="3" s="1"/>
  <c r="AB713" i="3" s="1"/>
  <c r="AC713" i="3" l="1"/>
  <c r="AD713" i="3" s="1"/>
  <c r="M714" i="3"/>
  <c r="C713" i="4"/>
  <c r="G713" i="4" l="1"/>
  <c r="I713" i="4" s="1"/>
  <c r="J713" i="4" s="1"/>
  <c r="H713" i="4"/>
  <c r="O714" i="3"/>
  <c r="N714" i="3"/>
  <c r="P714" i="3" s="1"/>
  <c r="Q714" i="3" s="1"/>
  <c r="AI714" i="3"/>
  <c r="L714" i="4" l="1"/>
  <c r="V714" i="3"/>
  <c r="M713" i="4"/>
  <c r="K713" i="4"/>
  <c r="W714" i="3" l="1"/>
  <c r="X714" i="3"/>
  <c r="Y714" i="3" s="1"/>
  <c r="Z714" i="3" s="1"/>
  <c r="AA714" i="3" s="1"/>
  <c r="AB714" i="3" s="1"/>
  <c r="M715" i="3" l="1"/>
  <c r="AC714" i="3"/>
  <c r="AD714" i="3" s="1"/>
  <c r="C714" i="4"/>
  <c r="H714" i="4" l="1"/>
  <c r="G714" i="4"/>
  <c r="I714" i="4" s="1"/>
  <c r="J714" i="4" s="1"/>
  <c r="O715" i="3"/>
  <c r="AI715" i="3"/>
  <c r="N715" i="3"/>
  <c r="M714" i="4" l="1"/>
  <c r="K714" i="4"/>
  <c r="P715" i="3"/>
  <c r="Q715" i="3" s="1"/>
  <c r="L715" i="4" l="1"/>
  <c r="V715" i="3"/>
  <c r="W715" i="3" l="1"/>
  <c r="X715" i="3" s="1"/>
  <c r="Y715" i="3" s="1"/>
  <c r="Z715" i="3" s="1"/>
  <c r="AA715" i="3" s="1"/>
  <c r="AB715" i="3" s="1"/>
  <c r="M716" i="3" l="1"/>
  <c r="C715" i="4"/>
  <c r="AC715" i="3"/>
  <c r="AD715" i="3" s="1"/>
  <c r="G715" i="4" l="1"/>
  <c r="I715" i="4" s="1"/>
  <c r="J715" i="4" s="1"/>
  <c r="H715" i="4"/>
  <c r="O716" i="3"/>
  <c r="N716" i="3"/>
  <c r="P716" i="3" s="1"/>
  <c r="Q716" i="3" s="1"/>
  <c r="AI716" i="3"/>
  <c r="L716" i="4" l="1"/>
  <c r="V716" i="3"/>
  <c r="K715" i="4"/>
  <c r="M715" i="4"/>
  <c r="W716" i="3" l="1"/>
  <c r="X716" i="3" s="1"/>
  <c r="Y716" i="3" s="1"/>
  <c r="Z716" i="3" s="1"/>
  <c r="AA716" i="3" s="1"/>
  <c r="AB716" i="3" s="1"/>
  <c r="M717" i="3" l="1"/>
  <c r="AC716" i="3"/>
  <c r="AD716" i="3" s="1"/>
  <c r="C716" i="4"/>
  <c r="H716" i="4" l="1"/>
  <c r="G716" i="4"/>
  <c r="I716" i="4" s="1"/>
  <c r="J716" i="4" s="1"/>
  <c r="N717" i="3"/>
  <c r="P717" i="3" s="1"/>
  <c r="Q717" i="3" s="1"/>
  <c r="AI717" i="3"/>
  <c r="O717" i="3"/>
  <c r="L717" i="4" l="1"/>
  <c r="V717" i="3"/>
  <c r="K716" i="4"/>
  <c r="M716" i="4"/>
  <c r="W717" i="3" l="1"/>
  <c r="X717" i="3"/>
  <c r="Y717" i="3" s="1"/>
  <c r="Z717" i="3" s="1"/>
  <c r="AA717" i="3" s="1"/>
  <c r="AB717" i="3" s="1"/>
  <c r="AC717" i="3" l="1"/>
  <c r="AD717" i="3" s="1"/>
  <c r="C717" i="4"/>
  <c r="M718" i="3"/>
  <c r="N718" i="3" l="1"/>
  <c r="O718" i="3"/>
  <c r="AI718" i="3"/>
  <c r="G717" i="4"/>
  <c r="I717" i="4" s="1"/>
  <c r="J717" i="4" s="1"/>
  <c r="H717" i="4"/>
  <c r="K717" i="4" l="1"/>
  <c r="M717" i="4"/>
  <c r="P718" i="3"/>
  <c r="Q718" i="3" s="1"/>
  <c r="L718" i="4" l="1"/>
  <c r="V718" i="3"/>
  <c r="W718" i="3" l="1"/>
  <c r="X718" i="3"/>
  <c r="Y718" i="3" s="1"/>
  <c r="Z718" i="3" s="1"/>
  <c r="AA718" i="3" s="1"/>
  <c r="AB718" i="3" s="1"/>
  <c r="C718" i="4" l="1"/>
  <c r="M719" i="3"/>
  <c r="AC718" i="3"/>
  <c r="AD718" i="3" s="1"/>
  <c r="O719" i="3" l="1"/>
  <c r="N719" i="3"/>
  <c r="P719" i="3" s="1"/>
  <c r="Q719" i="3" s="1"/>
  <c r="AI719" i="3"/>
  <c r="G718" i="4"/>
  <c r="I718" i="4" s="1"/>
  <c r="J718" i="4" s="1"/>
  <c r="H718" i="4"/>
  <c r="M718" i="4" l="1"/>
  <c r="K718" i="4"/>
  <c r="L719" i="4"/>
  <c r="V719" i="3"/>
  <c r="W719" i="3" l="1"/>
  <c r="X719" i="3" s="1"/>
  <c r="Y719" i="3" s="1"/>
  <c r="Z719" i="3" s="1"/>
  <c r="AA719" i="3" s="1"/>
  <c r="AB719" i="3" s="1"/>
  <c r="C719" i="4" l="1"/>
  <c r="AC719" i="3"/>
  <c r="AD719" i="3" s="1"/>
  <c r="M720" i="3"/>
  <c r="AI720" i="3" l="1"/>
  <c r="O720" i="3"/>
  <c r="N720" i="3"/>
  <c r="P720" i="3" s="1"/>
  <c r="Q720" i="3" s="1"/>
  <c r="H719" i="4"/>
  <c r="G719" i="4"/>
  <c r="I719" i="4" s="1"/>
  <c r="J719" i="4" s="1"/>
  <c r="L720" i="4" l="1"/>
  <c r="V720" i="3"/>
  <c r="K719" i="4"/>
  <c r="M719" i="4"/>
  <c r="W720" i="3" l="1"/>
  <c r="X720" i="3"/>
  <c r="Y720" i="3" s="1"/>
  <c r="Z720" i="3" s="1"/>
  <c r="AA720" i="3" s="1"/>
  <c r="AB720" i="3" s="1"/>
  <c r="M721" i="3" l="1"/>
  <c r="C720" i="4"/>
  <c r="AC720" i="3"/>
  <c r="AD720" i="3" s="1"/>
  <c r="G720" i="4" l="1"/>
  <c r="I720" i="4" s="1"/>
  <c r="J720" i="4" s="1"/>
  <c r="H720" i="4"/>
  <c r="O721" i="3"/>
  <c r="N721" i="3"/>
  <c r="P721" i="3" s="1"/>
  <c r="Q721" i="3" s="1"/>
  <c r="AI721" i="3"/>
  <c r="L721" i="4" l="1"/>
  <c r="V721" i="3"/>
  <c r="M720" i="4"/>
  <c r="K720" i="4"/>
  <c r="W721" i="3" l="1"/>
  <c r="X721" i="3" s="1"/>
  <c r="Y721" i="3" s="1"/>
  <c r="Z721" i="3" s="1"/>
  <c r="AA721" i="3" s="1"/>
  <c r="AB721" i="3" s="1"/>
  <c r="AC721" i="3" l="1"/>
  <c r="AD721" i="3" s="1"/>
  <c r="M722" i="3"/>
  <c r="C721" i="4"/>
  <c r="G721" i="4" l="1"/>
  <c r="I721" i="4" s="1"/>
  <c r="J721" i="4" s="1"/>
  <c r="H721" i="4"/>
  <c r="AI722" i="3"/>
  <c r="N722" i="3"/>
  <c r="P722" i="3" s="1"/>
  <c r="Q722" i="3" s="1"/>
  <c r="O722" i="3"/>
  <c r="L722" i="4" l="1"/>
  <c r="V722" i="3"/>
  <c r="M721" i="4"/>
  <c r="K721" i="4"/>
  <c r="W722" i="3" l="1"/>
  <c r="X722" i="3"/>
  <c r="Y722" i="3" s="1"/>
  <c r="Z722" i="3" s="1"/>
  <c r="AA722" i="3" s="1"/>
  <c r="AB722" i="3" s="1"/>
  <c r="C722" i="4" l="1"/>
  <c r="AC722" i="3"/>
  <c r="AD722" i="3" s="1"/>
  <c r="M723" i="3"/>
  <c r="AI723" i="3" l="1"/>
  <c r="O723" i="3"/>
  <c r="N723" i="3"/>
  <c r="P723" i="3" s="1"/>
  <c r="Q723" i="3" s="1"/>
  <c r="H722" i="4"/>
  <c r="G722" i="4"/>
  <c r="I722" i="4" s="1"/>
  <c r="J722" i="4" s="1"/>
  <c r="L723" i="4" l="1"/>
  <c r="V723" i="3"/>
  <c r="M722" i="4"/>
  <c r="K722" i="4"/>
  <c r="W723" i="3" l="1"/>
  <c r="X723" i="3" s="1"/>
  <c r="Y723" i="3" s="1"/>
  <c r="Z723" i="3" s="1"/>
  <c r="AA723" i="3" s="1"/>
  <c r="AB723" i="3" s="1"/>
  <c r="M724" i="3" l="1"/>
  <c r="AC723" i="3"/>
  <c r="AD723" i="3" s="1"/>
  <c r="C723" i="4"/>
  <c r="G723" i="4" l="1"/>
  <c r="I723" i="4" s="1"/>
  <c r="J723" i="4" s="1"/>
  <c r="H723" i="4"/>
  <c r="AI724" i="3"/>
  <c r="N724" i="3"/>
  <c r="P724" i="3" s="1"/>
  <c r="Q724" i="3" s="1"/>
  <c r="O724" i="3"/>
  <c r="L724" i="4" l="1"/>
  <c r="V724" i="3"/>
  <c r="K723" i="4"/>
  <c r="M723" i="4"/>
  <c r="W724" i="3" l="1"/>
  <c r="X724" i="3"/>
  <c r="Y724" i="3" s="1"/>
  <c r="Z724" i="3" s="1"/>
  <c r="AA724" i="3" s="1"/>
  <c r="AB724" i="3" s="1"/>
  <c r="C724" i="4" l="1"/>
  <c r="M725" i="3"/>
  <c r="AC724" i="3"/>
  <c r="AD724" i="3" s="1"/>
  <c r="AI725" i="3" l="1"/>
  <c r="O725" i="3"/>
  <c r="N725" i="3"/>
  <c r="P725" i="3" s="1"/>
  <c r="Q725" i="3" s="1"/>
  <c r="H724" i="4"/>
  <c r="G724" i="4"/>
  <c r="I724" i="4" s="1"/>
  <c r="J724" i="4" s="1"/>
  <c r="L725" i="4" l="1"/>
  <c r="V725" i="3"/>
  <c r="M724" i="4"/>
  <c r="K724" i="4"/>
  <c r="W725" i="3" l="1"/>
  <c r="X725" i="3" s="1"/>
  <c r="Y725" i="3" s="1"/>
  <c r="Z725" i="3" s="1"/>
  <c r="AA725" i="3" s="1"/>
  <c r="AB725" i="3" s="1"/>
  <c r="C725" i="4" l="1"/>
  <c r="AC725" i="3"/>
  <c r="AD725" i="3" s="1"/>
  <c r="M726" i="3"/>
  <c r="AI726" i="3" l="1"/>
  <c r="N726" i="3"/>
  <c r="O726" i="3"/>
  <c r="G725" i="4"/>
  <c r="I725" i="4" s="1"/>
  <c r="J725" i="4" s="1"/>
  <c r="H725" i="4"/>
  <c r="M725" i="4" l="1"/>
  <c r="K725" i="4"/>
  <c r="P726" i="3"/>
  <c r="Q726" i="3" s="1"/>
  <c r="L726" i="4" l="1"/>
  <c r="V726" i="3"/>
  <c r="W726" i="3" l="1"/>
  <c r="X726" i="3"/>
  <c r="Y726" i="3" s="1"/>
  <c r="Z726" i="3" s="1"/>
  <c r="AA726" i="3" s="1"/>
  <c r="AB726" i="3" s="1"/>
  <c r="C726" i="4" l="1"/>
  <c r="AC726" i="3"/>
  <c r="AD726" i="3" s="1"/>
  <c r="M727" i="3"/>
  <c r="AI727" i="3" l="1"/>
  <c r="O727" i="3"/>
  <c r="N727" i="3"/>
  <c r="P727" i="3" s="1"/>
  <c r="Q727" i="3" s="1"/>
  <c r="H726" i="4"/>
  <c r="G726" i="4"/>
  <c r="I726" i="4" s="1"/>
  <c r="J726" i="4" s="1"/>
  <c r="L727" i="4" l="1"/>
  <c r="V727" i="3"/>
  <c r="M726" i="4"/>
  <c r="K726" i="4"/>
  <c r="W727" i="3" l="1"/>
  <c r="X727" i="3" s="1"/>
  <c r="Y727" i="3" s="1"/>
  <c r="Z727" i="3" s="1"/>
  <c r="AA727" i="3" s="1"/>
  <c r="AB727" i="3" s="1"/>
  <c r="M728" i="3" l="1"/>
  <c r="AC727" i="3"/>
  <c r="AD727" i="3" s="1"/>
  <c r="C727" i="4"/>
  <c r="H727" i="4" l="1"/>
  <c r="G727" i="4"/>
  <c r="I727" i="4" s="1"/>
  <c r="J727" i="4" s="1"/>
  <c r="AI728" i="3"/>
  <c r="N728" i="3"/>
  <c r="P728" i="3" s="1"/>
  <c r="Q728" i="3" s="1"/>
  <c r="O728" i="3"/>
  <c r="L728" i="4" l="1"/>
  <c r="V728" i="3"/>
  <c r="M727" i="4"/>
  <c r="K727" i="4"/>
  <c r="W728" i="3" l="1"/>
  <c r="X728" i="3" s="1"/>
  <c r="Y728" i="3" s="1"/>
  <c r="Z728" i="3" s="1"/>
  <c r="AA728" i="3" s="1"/>
  <c r="AB728" i="3" s="1"/>
  <c r="M729" i="3" l="1"/>
  <c r="AC728" i="3"/>
  <c r="AD728" i="3" s="1"/>
  <c r="C728" i="4"/>
  <c r="G728" i="4" l="1"/>
  <c r="I728" i="4" s="1"/>
  <c r="J728" i="4" s="1"/>
  <c r="H728" i="4"/>
  <c r="N729" i="3"/>
  <c r="O729" i="3"/>
  <c r="AI729" i="3"/>
  <c r="P729" i="3" l="1"/>
  <c r="Q729" i="3" s="1"/>
  <c r="K728" i="4"/>
  <c r="M728" i="4"/>
  <c r="L729" i="4" l="1"/>
  <c r="V729" i="3"/>
  <c r="W729" i="3" l="1"/>
  <c r="X729" i="3" s="1"/>
  <c r="Y729" i="3" s="1"/>
  <c r="Z729" i="3" s="1"/>
  <c r="AA729" i="3" s="1"/>
  <c r="AB729" i="3" s="1"/>
  <c r="AC729" i="3" l="1"/>
  <c r="AD729" i="3" s="1"/>
  <c r="C729" i="4"/>
  <c r="M730" i="3"/>
  <c r="AI730" i="3" l="1"/>
  <c r="O730" i="3"/>
  <c r="N730" i="3"/>
  <c r="P730" i="3" s="1"/>
  <c r="Q730" i="3" s="1"/>
  <c r="H729" i="4"/>
  <c r="G729" i="4"/>
  <c r="I729" i="4" s="1"/>
  <c r="J729" i="4" s="1"/>
  <c r="L730" i="4" l="1"/>
  <c r="V730" i="3"/>
  <c r="M729" i="4"/>
  <c r="K729" i="4"/>
  <c r="W730" i="3" l="1"/>
  <c r="X730" i="3"/>
  <c r="Y730" i="3" s="1"/>
  <c r="Z730" i="3" s="1"/>
  <c r="AA730" i="3" s="1"/>
  <c r="AB730" i="3" s="1"/>
  <c r="AC730" i="3" l="1"/>
  <c r="AD730" i="3" s="1"/>
  <c r="C730" i="4"/>
  <c r="M731" i="3"/>
  <c r="N731" i="3" l="1"/>
  <c r="AI731" i="3"/>
  <c r="O731" i="3"/>
  <c r="H730" i="4"/>
  <c r="G730" i="4"/>
  <c r="I730" i="4" s="1"/>
  <c r="J730" i="4" s="1"/>
  <c r="K730" i="4" l="1"/>
  <c r="M730" i="4"/>
  <c r="P731" i="3"/>
  <c r="Q731" i="3" s="1"/>
  <c r="L731" i="4" l="1"/>
  <c r="V731" i="3"/>
  <c r="W731" i="3" l="1"/>
  <c r="X731" i="3" s="1"/>
  <c r="Y731" i="3" s="1"/>
  <c r="Z731" i="3" s="1"/>
  <c r="AA731" i="3" s="1"/>
  <c r="AB731" i="3" s="1"/>
  <c r="M732" i="3" l="1"/>
  <c r="C731" i="4"/>
  <c r="AC731" i="3"/>
  <c r="AD731" i="3" s="1"/>
  <c r="G731" i="4" l="1"/>
  <c r="I731" i="4" s="1"/>
  <c r="J731" i="4" s="1"/>
  <c r="H731" i="4"/>
  <c r="AI732" i="3"/>
  <c r="O732" i="3"/>
  <c r="N732" i="3"/>
  <c r="P732" i="3" l="1"/>
  <c r="Q732" i="3" s="1"/>
  <c r="K731" i="4"/>
  <c r="M731" i="4"/>
  <c r="L732" i="4" l="1"/>
  <c r="V732" i="3"/>
  <c r="W732" i="3" l="1"/>
  <c r="X732" i="3" s="1"/>
  <c r="Y732" i="3" s="1"/>
  <c r="Z732" i="3" s="1"/>
  <c r="AA732" i="3" s="1"/>
  <c r="AB732" i="3" s="1"/>
  <c r="C732" i="4" l="1"/>
  <c r="AC732" i="3"/>
  <c r="AD732" i="3" s="1"/>
  <c r="M733" i="3"/>
  <c r="O733" i="3" l="1"/>
  <c r="AI733" i="3"/>
  <c r="N733" i="3"/>
  <c r="P733" i="3" s="1"/>
  <c r="Q733" i="3" s="1"/>
  <c r="H732" i="4"/>
  <c r="G732" i="4"/>
  <c r="I732" i="4" s="1"/>
  <c r="J732" i="4" s="1"/>
  <c r="L733" i="4" l="1"/>
  <c r="V733" i="3"/>
  <c r="K732" i="4"/>
  <c r="M732" i="4"/>
  <c r="W733" i="3" l="1"/>
  <c r="X733" i="3"/>
  <c r="Y733" i="3" s="1"/>
  <c r="Z733" i="3" s="1"/>
  <c r="AA733" i="3" s="1"/>
  <c r="AB733" i="3" s="1"/>
  <c r="AC733" i="3" l="1"/>
  <c r="AD733" i="3" s="1"/>
  <c r="C733" i="4"/>
  <c r="M734" i="3"/>
  <c r="AI734" i="3" l="1"/>
  <c r="N734" i="3"/>
  <c r="O734" i="3"/>
  <c r="G733" i="4"/>
  <c r="I733" i="4" s="1"/>
  <c r="J733" i="4" s="1"/>
  <c r="H733" i="4"/>
  <c r="K733" i="4" l="1"/>
  <c r="M733" i="4"/>
  <c r="P734" i="3"/>
  <c r="Q734" i="3" s="1"/>
  <c r="L734" i="4" l="1"/>
  <c r="V734" i="3"/>
  <c r="W734" i="3" l="1"/>
  <c r="X734" i="3"/>
  <c r="Y734" i="3" s="1"/>
  <c r="Z734" i="3" s="1"/>
  <c r="AA734" i="3" s="1"/>
  <c r="AB734" i="3" s="1"/>
  <c r="C734" i="4" l="1"/>
  <c r="M735" i="3"/>
  <c r="AC734" i="3"/>
  <c r="AD734" i="3" s="1"/>
  <c r="AI735" i="3" l="1"/>
  <c r="N735" i="3"/>
  <c r="O735" i="3"/>
  <c r="G734" i="4"/>
  <c r="I734" i="4" s="1"/>
  <c r="J734" i="4" s="1"/>
  <c r="H734" i="4"/>
  <c r="M734" i="4" l="1"/>
  <c r="K734" i="4"/>
  <c r="P735" i="3"/>
  <c r="Q735" i="3" s="1"/>
  <c r="L735" i="4" l="1"/>
  <c r="V735" i="3"/>
  <c r="W735" i="3" l="1"/>
  <c r="X735" i="3" s="1"/>
  <c r="Y735" i="3" s="1"/>
  <c r="Z735" i="3" s="1"/>
  <c r="AA735" i="3" s="1"/>
  <c r="AB735" i="3" s="1"/>
  <c r="M736" i="3" l="1"/>
  <c r="AC735" i="3"/>
  <c r="AD735" i="3" s="1"/>
  <c r="C735" i="4"/>
  <c r="G735" i="4" l="1"/>
  <c r="I735" i="4" s="1"/>
  <c r="J735" i="4" s="1"/>
  <c r="H735" i="4"/>
  <c r="AI736" i="3"/>
  <c r="O736" i="3"/>
  <c r="N736" i="3"/>
  <c r="P736" i="3" l="1"/>
  <c r="Q736" i="3" s="1"/>
  <c r="M735" i="4"/>
  <c r="K735" i="4"/>
  <c r="L736" i="4" l="1"/>
  <c r="V736" i="3"/>
  <c r="W736" i="3" l="1"/>
  <c r="X736" i="3"/>
  <c r="Y736" i="3" s="1"/>
  <c r="Z736" i="3" s="1"/>
  <c r="AA736" i="3" s="1"/>
  <c r="AB736" i="3" s="1"/>
  <c r="M737" i="3" l="1"/>
  <c r="C736" i="4"/>
  <c r="AC736" i="3"/>
  <c r="AD736" i="3" s="1"/>
  <c r="G736" i="4" l="1"/>
  <c r="I736" i="4" s="1"/>
  <c r="J736" i="4" s="1"/>
  <c r="H736" i="4"/>
  <c r="O737" i="3"/>
  <c r="AI737" i="3"/>
  <c r="N737" i="3"/>
  <c r="P737" i="3" l="1"/>
  <c r="Q737" i="3" s="1"/>
  <c r="K736" i="4"/>
  <c r="M736" i="4"/>
  <c r="L737" i="4" l="1"/>
  <c r="V737" i="3"/>
  <c r="W737" i="3" l="1"/>
  <c r="X737" i="3"/>
  <c r="Y737" i="3" s="1"/>
  <c r="Z737" i="3" s="1"/>
  <c r="AA737" i="3" s="1"/>
  <c r="AB737" i="3" s="1"/>
  <c r="AC737" i="3" l="1"/>
  <c r="AD737" i="3" s="1"/>
  <c r="C737" i="4"/>
  <c r="M738" i="3"/>
  <c r="AI738" i="3" l="1"/>
  <c r="O738" i="3"/>
  <c r="N738" i="3"/>
  <c r="P738" i="3" s="1"/>
  <c r="Q738" i="3" s="1"/>
  <c r="G737" i="4"/>
  <c r="I737" i="4" s="1"/>
  <c r="J737" i="4" s="1"/>
  <c r="H737" i="4"/>
  <c r="K737" i="4" l="1"/>
  <c r="M737" i="4"/>
  <c r="L738" i="4"/>
  <c r="V738" i="3"/>
  <c r="W738" i="3" l="1"/>
  <c r="X738" i="3"/>
  <c r="Y738" i="3" s="1"/>
  <c r="Z738" i="3" s="1"/>
  <c r="AA738" i="3" s="1"/>
  <c r="AB738" i="3" s="1"/>
  <c r="AC738" i="3" l="1"/>
  <c r="AD738" i="3" s="1"/>
  <c r="C738" i="4"/>
  <c r="M739" i="3"/>
  <c r="AI739" i="3" l="1"/>
  <c r="O739" i="3"/>
  <c r="N739" i="3"/>
  <c r="P739" i="3" s="1"/>
  <c r="Q739" i="3" s="1"/>
  <c r="H738" i="4"/>
  <c r="G738" i="4"/>
  <c r="I738" i="4" s="1"/>
  <c r="J738" i="4" s="1"/>
  <c r="L739" i="4" l="1"/>
  <c r="V739" i="3"/>
  <c r="K738" i="4"/>
  <c r="M738" i="4"/>
  <c r="W739" i="3" l="1"/>
  <c r="X739" i="3" s="1"/>
  <c r="Y739" i="3" s="1"/>
  <c r="Z739" i="3" s="1"/>
  <c r="AA739" i="3" s="1"/>
  <c r="AB739" i="3" s="1"/>
  <c r="M740" i="3" l="1"/>
  <c r="C739" i="4"/>
  <c r="AC739" i="3"/>
  <c r="AD739" i="3" s="1"/>
  <c r="G739" i="4" l="1"/>
  <c r="I739" i="4" s="1"/>
  <c r="J739" i="4" s="1"/>
  <c r="H739" i="4"/>
  <c r="N740" i="3"/>
  <c r="P740" i="3" s="1"/>
  <c r="Q740" i="3" s="1"/>
  <c r="AI740" i="3"/>
  <c r="O740" i="3"/>
  <c r="L740" i="4" l="1"/>
  <c r="V740" i="3"/>
  <c r="K739" i="4"/>
  <c r="M739" i="4"/>
  <c r="W740" i="3" l="1"/>
  <c r="X740" i="3"/>
  <c r="Y740" i="3" s="1"/>
  <c r="Z740" i="3" s="1"/>
  <c r="AA740" i="3" s="1"/>
  <c r="AB740" i="3" s="1"/>
  <c r="M741" i="3" l="1"/>
  <c r="C740" i="4"/>
  <c r="AC740" i="3"/>
  <c r="AD740" i="3" s="1"/>
  <c r="H740" i="4" l="1"/>
  <c r="G740" i="4"/>
  <c r="I740" i="4" s="1"/>
  <c r="J740" i="4" s="1"/>
  <c r="AI741" i="3"/>
  <c r="O741" i="3"/>
  <c r="N741" i="3"/>
  <c r="K740" i="4" l="1"/>
  <c r="M740" i="4"/>
  <c r="P741" i="3"/>
  <c r="Q741" i="3" s="1"/>
  <c r="L741" i="4" l="1"/>
  <c r="V741" i="3"/>
  <c r="W741" i="3" l="1"/>
  <c r="X741" i="3" s="1"/>
  <c r="Y741" i="3" s="1"/>
  <c r="Z741" i="3" s="1"/>
  <c r="AA741" i="3" s="1"/>
  <c r="AB741" i="3" s="1"/>
  <c r="AC741" i="3" l="1"/>
  <c r="AD741" i="3" s="1"/>
  <c r="C741" i="4"/>
  <c r="M742" i="3"/>
  <c r="AI742" i="3" l="1"/>
  <c r="N742" i="3"/>
  <c r="O742" i="3"/>
  <c r="G741" i="4"/>
  <c r="I741" i="4" s="1"/>
  <c r="J741" i="4" s="1"/>
  <c r="H741" i="4"/>
  <c r="M741" i="4" l="1"/>
  <c r="K741" i="4"/>
  <c r="P742" i="3"/>
  <c r="Q742" i="3" s="1"/>
  <c r="L742" i="4" l="1"/>
  <c r="C42" i="5" s="1"/>
  <c r="N42" i="5" s="1"/>
  <c r="V742" i="3"/>
  <c r="W742" i="3" l="1"/>
  <c r="X742" i="3"/>
  <c r="Y742" i="3" s="1"/>
  <c r="Z742" i="3" s="1"/>
  <c r="AA742" i="3" s="1"/>
  <c r="AB742" i="3" s="1"/>
  <c r="M743" i="3" l="1"/>
  <c r="C742" i="4"/>
  <c r="AC742" i="3"/>
  <c r="AD742" i="3" s="1"/>
  <c r="G742" i="4" l="1"/>
  <c r="I742" i="4" s="1"/>
  <c r="J742" i="4" s="1"/>
  <c r="H742" i="4"/>
  <c r="AI743" i="3"/>
  <c r="N743" i="3"/>
  <c r="P743" i="3" s="1"/>
  <c r="Q743" i="3" s="1"/>
  <c r="O743" i="3"/>
  <c r="L743" i="4" l="1"/>
  <c r="V743" i="3"/>
  <c r="K742" i="4"/>
  <c r="E42" i="5" s="1"/>
  <c r="D42" i="5"/>
  <c r="M742" i="4"/>
  <c r="W743" i="3" l="1"/>
  <c r="X743" i="3" s="1"/>
  <c r="Y743" i="3" s="1"/>
  <c r="Z743" i="3" s="1"/>
  <c r="AA743" i="3" s="1"/>
  <c r="AB743" i="3" s="1"/>
  <c r="M744" i="3" l="1"/>
  <c r="AC743" i="3"/>
  <c r="AD743" i="3" s="1"/>
  <c r="C743" i="4"/>
  <c r="H743" i="4" l="1"/>
  <c r="G743" i="4"/>
  <c r="I743" i="4" s="1"/>
  <c r="J743" i="4" s="1"/>
  <c r="O744" i="3"/>
  <c r="AI744" i="3"/>
  <c r="N744" i="3"/>
  <c r="M743" i="4" l="1"/>
  <c r="K743" i="4"/>
  <c r="P744" i="3"/>
  <c r="Q744" i="3" s="1"/>
  <c r="L744" i="4" l="1"/>
  <c r="V744" i="3"/>
  <c r="W744" i="3" l="1"/>
  <c r="X744" i="3" s="1"/>
  <c r="Y744" i="3" s="1"/>
  <c r="Z744" i="3" s="1"/>
  <c r="AA744" i="3" s="1"/>
  <c r="AB744" i="3" s="1"/>
  <c r="M745" i="3" l="1"/>
  <c r="C744" i="4"/>
  <c r="AC744" i="3"/>
  <c r="AD744" i="3" s="1"/>
  <c r="H744" i="4" l="1"/>
  <c r="G744" i="4"/>
  <c r="I744" i="4" s="1"/>
  <c r="J744" i="4" s="1"/>
  <c r="AI745" i="3"/>
  <c r="O745" i="3"/>
  <c r="N745" i="3"/>
  <c r="M744" i="4" l="1"/>
  <c r="K744" i="4"/>
  <c r="P745" i="3"/>
  <c r="Q745" i="3" s="1"/>
  <c r="L745" i="4" l="1"/>
  <c r="V745" i="3"/>
  <c r="W745" i="3" l="1"/>
  <c r="X745" i="3"/>
  <c r="Y745" i="3" s="1"/>
  <c r="Z745" i="3" s="1"/>
  <c r="AA745" i="3" s="1"/>
  <c r="AB745" i="3" s="1"/>
  <c r="M746" i="3" l="1"/>
  <c r="AC745" i="3"/>
  <c r="AD745" i="3" s="1"/>
  <c r="C745" i="4"/>
  <c r="G745" i="4" l="1"/>
  <c r="I745" i="4" s="1"/>
  <c r="J745" i="4" s="1"/>
  <c r="H745" i="4"/>
  <c r="AI746" i="3"/>
  <c r="O746" i="3"/>
  <c r="N746" i="3"/>
  <c r="P746" i="3" l="1"/>
  <c r="Q746" i="3" s="1"/>
  <c r="M745" i="4"/>
  <c r="K745" i="4"/>
  <c r="L746" i="4" l="1"/>
  <c r="V746" i="3"/>
  <c r="W746" i="3" l="1"/>
  <c r="X746" i="3"/>
  <c r="Y746" i="3" s="1"/>
  <c r="Z746" i="3" s="1"/>
  <c r="AA746" i="3" s="1"/>
  <c r="AB746" i="3" s="1"/>
  <c r="M747" i="3" l="1"/>
  <c r="AC746" i="3"/>
  <c r="AD746" i="3" s="1"/>
  <c r="C746" i="4"/>
  <c r="H746" i="4" l="1"/>
  <c r="G746" i="4"/>
  <c r="I746" i="4" s="1"/>
  <c r="J746" i="4" s="1"/>
  <c r="O747" i="3"/>
  <c r="N747" i="3"/>
  <c r="P747" i="3" s="1"/>
  <c r="Q747" i="3" s="1"/>
  <c r="AI747" i="3"/>
  <c r="L747" i="4" l="1"/>
  <c r="V747" i="3"/>
  <c r="K746" i="4"/>
  <c r="M746" i="4"/>
  <c r="W747" i="3" l="1"/>
  <c r="X747" i="3" s="1"/>
  <c r="Y747" i="3" s="1"/>
  <c r="Z747" i="3" s="1"/>
  <c r="AA747" i="3" s="1"/>
  <c r="AB747" i="3" s="1"/>
  <c r="M748" i="3" l="1"/>
  <c r="C747" i="4"/>
  <c r="AC747" i="3"/>
  <c r="AD747" i="3" s="1"/>
  <c r="H747" i="4" l="1"/>
  <c r="G747" i="4"/>
  <c r="I747" i="4" s="1"/>
  <c r="J747" i="4" s="1"/>
  <c r="N748" i="3"/>
  <c r="O748" i="3"/>
  <c r="AI748" i="3"/>
  <c r="P748" i="3" l="1"/>
  <c r="Q748" i="3" s="1"/>
  <c r="M747" i="4"/>
  <c r="K747" i="4"/>
  <c r="L748" i="4" l="1"/>
  <c r="V748" i="3"/>
  <c r="W748" i="3" l="1"/>
  <c r="X748" i="3" s="1"/>
  <c r="Y748" i="3" s="1"/>
  <c r="Z748" i="3" s="1"/>
  <c r="AA748" i="3" s="1"/>
  <c r="AB748" i="3" s="1"/>
  <c r="C748" i="4" l="1"/>
  <c r="AC748" i="3"/>
  <c r="AD748" i="3" s="1"/>
  <c r="M749" i="3"/>
  <c r="O749" i="3" l="1"/>
  <c r="AI749" i="3"/>
  <c r="N749" i="3"/>
  <c r="P749" i="3" s="1"/>
  <c r="Q749" i="3" s="1"/>
  <c r="H748" i="4"/>
  <c r="G748" i="4"/>
  <c r="I748" i="4" s="1"/>
  <c r="J748" i="4" s="1"/>
  <c r="L749" i="4" l="1"/>
  <c r="V749" i="3"/>
  <c r="K748" i="4"/>
  <c r="M748" i="4"/>
  <c r="W749" i="3" l="1"/>
  <c r="X749" i="3" s="1"/>
  <c r="Y749" i="3" s="1"/>
  <c r="Z749" i="3" s="1"/>
  <c r="AA749" i="3" s="1"/>
  <c r="AB749" i="3" s="1"/>
  <c r="AC749" i="3" l="1"/>
  <c r="AD749" i="3" s="1"/>
  <c r="C749" i="4"/>
  <c r="M750" i="3"/>
  <c r="AI750" i="3" l="1"/>
  <c r="O750" i="3"/>
  <c r="N750" i="3"/>
  <c r="P750" i="3" s="1"/>
  <c r="Q750" i="3" s="1"/>
  <c r="G749" i="4"/>
  <c r="I749" i="4" s="1"/>
  <c r="J749" i="4" s="1"/>
  <c r="H749" i="4"/>
  <c r="K749" i="4" l="1"/>
  <c r="M749" i="4"/>
  <c r="L750" i="4"/>
  <c r="V750" i="3"/>
  <c r="W750" i="3" l="1"/>
  <c r="X750" i="3"/>
  <c r="Y750" i="3" s="1"/>
  <c r="Z750" i="3" s="1"/>
  <c r="AA750" i="3" s="1"/>
  <c r="AB750" i="3" s="1"/>
  <c r="C750" i="4" l="1"/>
  <c r="AC750" i="3"/>
  <c r="AD750" i="3" s="1"/>
  <c r="M751" i="3"/>
  <c r="O751" i="3" l="1"/>
  <c r="N751" i="3"/>
  <c r="P751" i="3" s="1"/>
  <c r="Q751" i="3" s="1"/>
  <c r="AI751" i="3"/>
  <c r="H750" i="4"/>
  <c r="G750" i="4"/>
  <c r="I750" i="4" s="1"/>
  <c r="J750" i="4" s="1"/>
  <c r="L751" i="4" l="1"/>
  <c r="V751" i="3"/>
  <c r="K750" i="4"/>
  <c r="M750" i="4"/>
  <c r="W751" i="3" l="1"/>
  <c r="X751" i="3" s="1"/>
  <c r="Y751" i="3" s="1"/>
  <c r="Z751" i="3" s="1"/>
  <c r="AA751" i="3" s="1"/>
  <c r="AB751" i="3" s="1"/>
  <c r="M752" i="3" l="1"/>
  <c r="C751" i="4"/>
  <c r="AC751" i="3"/>
  <c r="AD751" i="3" s="1"/>
  <c r="H751" i="4" l="1"/>
  <c r="G751" i="4"/>
  <c r="I751" i="4" s="1"/>
  <c r="J751" i="4" s="1"/>
  <c r="N752" i="3"/>
  <c r="P752" i="3" s="1"/>
  <c r="Q752" i="3" s="1"/>
  <c r="AI752" i="3"/>
  <c r="O752" i="3"/>
  <c r="L752" i="4" l="1"/>
  <c r="V752" i="3"/>
  <c r="M751" i="4"/>
  <c r="K751" i="4"/>
  <c r="W752" i="3" l="1"/>
  <c r="X752" i="3" s="1"/>
  <c r="Y752" i="3" s="1"/>
  <c r="Z752" i="3" s="1"/>
  <c r="AA752" i="3" s="1"/>
  <c r="AB752" i="3" s="1"/>
  <c r="C752" i="4" l="1"/>
  <c r="M753" i="3"/>
  <c r="AC752" i="3"/>
  <c r="AD752" i="3" s="1"/>
  <c r="O753" i="3" l="1"/>
  <c r="AI753" i="3"/>
  <c r="N753" i="3"/>
  <c r="P753" i="3" s="1"/>
  <c r="Q753" i="3" s="1"/>
  <c r="G752" i="4"/>
  <c r="I752" i="4" s="1"/>
  <c r="J752" i="4" s="1"/>
  <c r="H752" i="4"/>
  <c r="K752" i="4" l="1"/>
  <c r="M752" i="4"/>
  <c r="L753" i="4"/>
  <c r="V753" i="3"/>
  <c r="W753" i="3" l="1"/>
  <c r="X753" i="3"/>
  <c r="Y753" i="3" s="1"/>
  <c r="Z753" i="3" s="1"/>
  <c r="AA753" i="3" s="1"/>
  <c r="AB753" i="3" s="1"/>
  <c r="M754" i="3" l="1"/>
  <c r="C753" i="4"/>
  <c r="AC753" i="3"/>
  <c r="AD753" i="3" s="1"/>
  <c r="G753" i="4" l="1"/>
  <c r="I753" i="4" s="1"/>
  <c r="J753" i="4" s="1"/>
  <c r="H753" i="4"/>
  <c r="AI754" i="3"/>
  <c r="O754" i="3"/>
  <c r="N754" i="3"/>
  <c r="P754" i="3" l="1"/>
  <c r="Q754" i="3" s="1"/>
  <c r="K753" i="4"/>
  <c r="M753" i="4"/>
  <c r="L754" i="4" l="1"/>
  <c r="V754" i="3"/>
  <c r="W754" i="3" l="1"/>
  <c r="X754" i="3"/>
  <c r="Y754" i="3" s="1"/>
  <c r="Z754" i="3" s="1"/>
  <c r="AA754" i="3" s="1"/>
  <c r="AB754" i="3" s="1"/>
  <c r="M755" i="3" l="1"/>
  <c r="C754" i="4"/>
  <c r="AC754" i="3"/>
  <c r="AD754" i="3" s="1"/>
  <c r="G754" i="4" l="1"/>
  <c r="I754" i="4" s="1"/>
  <c r="J754" i="4" s="1"/>
  <c r="H754" i="4"/>
  <c r="O755" i="3"/>
  <c r="N755" i="3"/>
  <c r="P755" i="3" s="1"/>
  <c r="Q755" i="3" s="1"/>
  <c r="AI755" i="3"/>
  <c r="L755" i="4" l="1"/>
  <c r="V755" i="3"/>
  <c r="K754" i="4"/>
  <c r="M754" i="4"/>
  <c r="W755" i="3" l="1"/>
  <c r="X755" i="3" s="1"/>
  <c r="Y755" i="3" s="1"/>
  <c r="Z755" i="3" s="1"/>
  <c r="AA755" i="3" s="1"/>
  <c r="AB755" i="3" s="1"/>
  <c r="C755" i="4" l="1"/>
  <c r="AC755" i="3"/>
  <c r="AD755" i="3" s="1"/>
  <c r="M756" i="3"/>
  <c r="N756" i="3" l="1"/>
  <c r="AI756" i="3"/>
  <c r="O756" i="3"/>
  <c r="G755" i="4"/>
  <c r="I755" i="4" s="1"/>
  <c r="J755" i="4" s="1"/>
  <c r="H755" i="4"/>
  <c r="K755" i="4" l="1"/>
  <c r="M755" i="4"/>
  <c r="P756" i="3"/>
  <c r="Q756" i="3" s="1"/>
  <c r="L756" i="4" l="1"/>
  <c r="V756" i="3"/>
  <c r="W756" i="3" l="1"/>
  <c r="X756" i="3"/>
  <c r="Y756" i="3" s="1"/>
  <c r="Z756" i="3" s="1"/>
  <c r="AA756" i="3" s="1"/>
  <c r="AB756" i="3" s="1"/>
  <c r="C756" i="4" l="1"/>
  <c r="AC756" i="3"/>
  <c r="AD756" i="3" s="1"/>
  <c r="M757" i="3"/>
  <c r="O757" i="3" l="1"/>
  <c r="AI757" i="3"/>
  <c r="N757" i="3"/>
  <c r="P757" i="3" s="1"/>
  <c r="Q757" i="3" s="1"/>
  <c r="H756" i="4"/>
  <c r="G756" i="4"/>
  <c r="I756" i="4" s="1"/>
  <c r="J756" i="4" s="1"/>
  <c r="L757" i="4" l="1"/>
  <c r="V757" i="3"/>
  <c r="M756" i="4"/>
  <c r="K756" i="4"/>
  <c r="W757" i="3" l="1"/>
  <c r="X757" i="3" s="1"/>
  <c r="Y757" i="3" s="1"/>
  <c r="Z757" i="3" s="1"/>
  <c r="AA757" i="3" s="1"/>
  <c r="AB757" i="3" s="1"/>
  <c r="M758" i="3" l="1"/>
  <c r="AC757" i="3"/>
  <c r="AD757" i="3" s="1"/>
  <c r="C757" i="4"/>
  <c r="H757" i="4" l="1"/>
  <c r="G757" i="4"/>
  <c r="I757" i="4" s="1"/>
  <c r="J757" i="4" s="1"/>
  <c r="AI758" i="3"/>
  <c r="O758" i="3"/>
  <c r="N758" i="3"/>
  <c r="K757" i="4" l="1"/>
  <c r="M757" i="4"/>
  <c r="P758" i="3"/>
  <c r="Q758" i="3" s="1"/>
  <c r="L758" i="4" l="1"/>
  <c r="V758" i="3"/>
  <c r="W758" i="3" l="1"/>
  <c r="X758" i="3"/>
  <c r="Y758" i="3" s="1"/>
  <c r="Z758" i="3" s="1"/>
  <c r="AA758" i="3" s="1"/>
  <c r="AB758" i="3" s="1"/>
  <c r="AC758" i="3" l="1"/>
  <c r="AD758" i="3" s="1"/>
  <c r="M759" i="3"/>
  <c r="C758" i="4"/>
  <c r="H758" i="4" l="1"/>
  <c r="G758" i="4"/>
  <c r="I758" i="4" s="1"/>
  <c r="J758" i="4" s="1"/>
  <c r="AI759" i="3"/>
  <c r="N759" i="3"/>
  <c r="P759" i="3" s="1"/>
  <c r="Q759" i="3" s="1"/>
  <c r="O759" i="3"/>
  <c r="L759" i="4" l="1"/>
  <c r="V759" i="3"/>
  <c r="K758" i="4"/>
  <c r="M758" i="4"/>
  <c r="W759" i="3" l="1"/>
  <c r="X759" i="3" s="1"/>
  <c r="Y759" i="3" s="1"/>
  <c r="Z759" i="3" s="1"/>
  <c r="AA759" i="3" s="1"/>
  <c r="AB759" i="3" s="1"/>
  <c r="M760" i="3" l="1"/>
  <c r="C759" i="4"/>
  <c r="AC759" i="3"/>
  <c r="AD759" i="3" s="1"/>
  <c r="G759" i="4" l="1"/>
  <c r="I759" i="4" s="1"/>
  <c r="J759" i="4" s="1"/>
  <c r="H759" i="4"/>
  <c r="N760" i="3"/>
  <c r="O760" i="3"/>
  <c r="AI760" i="3"/>
  <c r="P760" i="3" l="1"/>
  <c r="Q760" i="3" s="1"/>
  <c r="K759" i="4"/>
  <c r="M759" i="4"/>
  <c r="L760" i="4" l="1"/>
  <c r="V760" i="3"/>
  <c r="W760" i="3" l="1"/>
  <c r="X760" i="3" s="1"/>
  <c r="Y760" i="3" s="1"/>
  <c r="Z760" i="3" s="1"/>
  <c r="AA760" i="3" s="1"/>
  <c r="AB760" i="3" s="1"/>
  <c r="M761" i="3" l="1"/>
  <c r="C760" i="4"/>
  <c r="AC760" i="3"/>
  <c r="AD760" i="3" s="1"/>
  <c r="H760" i="4" l="1"/>
  <c r="G760" i="4"/>
  <c r="I760" i="4" s="1"/>
  <c r="J760" i="4" s="1"/>
  <c r="AI761" i="3"/>
  <c r="O761" i="3"/>
  <c r="N761" i="3"/>
  <c r="P761" i="3" s="1"/>
  <c r="Q761" i="3" s="1"/>
  <c r="L761" i="4" l="1"/>
  <c r="V761" i="3"/>
  <c r="M760" i="4"/>
  <c r="K760" i="4"/>
  <c r="W761" i="3" l="1"/>
  <c r="X761" i="3" s="1"/>
  <c r="Y761" i="3" s="1"/>
  <c r="Z761" i="3" s="1"/>
  <c r="AA761" i="3" s="1"/>
  <c r="AB761" i="3" s="1"/>
  <c r="C761" i="4" l="1"/>
  <c r="AC761" i="3"/>
  <c r="AD761" i="3" s="1"/>
  <c r="M762" i="3"/>
  <c r="O762" i="3" l="1"/>
  <c r="AI762" i="3"/>
  <c r="N762" i="3"/>
  <c r="P762" i="3" s="1"/>
  <c r="Q762" i="3" s="1"/>
  <c r="H761" i="4"/>
  <c r="G761" i="4"/>
  <c r="I761" i="4" s="1"/>
  <c r="J761" i="4" s="1"/>
  <c r="L762" i="4" l="1"/>
  <c r="V762" i="3"/>
  <c r="K761" i="4"/>
  <c r="M761" i="4"/>
  <c r="W762" i="3" l="1"/>
  <c r="X762" i="3"/>
  <c r="Y762" i="3" s="1"/>
  <c r="Z762" i="3" s="1"/>
  <c r="AA762" i="3" s="1"/>
  <c r="AB762" i="3" s="1"/>
  <c r="C762" i="4" l="1"/>
  <c r="AC762" i="3"/>
  <c r="AD762" i="3" s="1"/>
  <c r="M763" i="3"/>
  <c r="AI763" i="3" l="1"/>
  <c r="O763" i="3"/>
  <c r="N763" i="3"/>
  <c r="P763" i="3" s="1"/>
  <c r="Q763" i="3" s="1"/>
  <c r="H762" i="4"/>
  <c r="G762" i="4"/>
  <c r="I762" i="4" s="1"/>
  <c r="J762" i="4" s="1"/>
  <c r="L763" i="4" l="1"/>
  <c r="V763" i="3"/>
  <c r="M762" i="4"/>
  <c r="K762" i="4"/>
  <c r="W763" i="3" l="1"/>
  <c r="X763" i="3" s="1"/>
  <c r="Y763" i="3" s="1"/>
  <c r="Z763" i="3" s="1"/>
  <c r="AA763" i="3" s="1"/>
  <c r="AB763" i="3" s="1"/>
  <c r="C763" i="4" l="1"/>
  <c r="M764" i="3"/>
  <c r="AC763" i="3"/>
  <c r="AD763" i="3" s="1"/>
  <c r="AI764" i="3" l="1"/>
  <c r="N764" i="3"/>
  <c r="O764" i="3"/>
  <c r="H763" i="4"/>
  <c r="G763" i="4"/>
  <c r="I763" i="4" s="1"/>
  <c r="J763" i="4" s="1"/>
  <c r="P764" i="3" l="1"/>
  <c r="Q764" i="3" s="1"/>
  <c r="M763" i="4"/>
  <c r="K763" i="4"/>
  <c r="L764" i="4" l="1"/>
  <c r="V764" i="3"/>
  <c r="W764" i="3" l="1"/>
  <c r="X764" i="3"/>
  <c r="Y764" i="3" s="1"/>
  <c r="Z764" i="3" s="1"/>
  <c r="AA764" i="3" s="1"/>
  <c r="AB764" i="3" s="1"/>
  <c r="C764" i="4" l="1"/>
  <c r="AC764" i="3"/>
  <c r="AD764" i="3" s="1"/>
  <c r="M765" i="3"/>
  <c r="N765" i="3" l="1"/>
  <c r="AI765" i="3"/>
  <c r="O765" i="3"/>
  <c r="G764" i="4"/>
  <c r="I764" i="4" s="1"/>
  <c r="J764" i="4" s="1"/>
  <c r="H764" i="4"/>
  <c r="K764" i="4" l="1"/>
  <c r="M764" i="4"/>
  <c r="P765" i="3"/>
  <c r="Q765" i="3" s="1"/>
  <c r="L765" i="4" l="1"/>
  <c r="V765" i="3"/>
  <c r="W765" i="3" l="1"/>
  <c r="X765" i="3" s="1"/>
  <c r="Y765" i="3" s="1"/>
  <c r="Z765" i="3" s="1"/>
  <c r="AA765" i="3" s="1"/>
  <c r="AB765" i="3" s="1"/>
  <c r="C765" i="4" l="1"/>
  <c r="M766" i="3"/>
  <c r="AC765" i="3"/>
  <c r="AD765" i="3" s="1"/>
  <c r="AI766" i="3" l="1"/>
  <c r="N766" i="3"/>
  <c r="O766" i="3"/>
  <c r="G765" i="4"/>
  <c r="I765" i="4" s="1"/>
  <c r="J765" i="4" s="1"/>
  <c r="H765" i="4"/>
  <c r="K765" i="4" l="1"/>
  <c r="M765" i="4"/>
  <c r="P766" i="3"/>
  <c r="Q766" i="3" s="1"/>
  <c r="L766" i="4" l="1"/>
  <c r="V766" i="3"/>
  <c r="W766" i="3" l="1"/>
  <c r="X766" i="3"/>
  <c r="Y766" i="3" s="1"/>
  <c r="Z766" i="3" s="1"/>
  <c r="AA766" i="3" s="1"/>
  <c r="AB766" i="3" s="1"/>
  <c r="C766" i="4" l="1"/>
  <c r="M767" i="3"/>
  <c r="AC766" i="3"/>
  <c r="AD766" i="3" s="1"/>
  <c r="O767" i="3" l="1"/>
  <c r="AI767" i="3"/>
  <c r="N767" i="3"/>
  <c r="P767" i="3" s="1"/>
  <c r="Q767" i="3" s="1"/>
  <c r="G766" i="4"/>
  <c r="I766" i="4" s="1"/>
  <c r="J766" i="4" s="1"/>
  <c r="H766" i="4"/>
  <c r="K766" i="4" l="1"/>
  <c r="M766" i="4"/>
  <c r="L767" i="4"/>
  <c r="V767" i="3"/>
  <c r="W767" i="3" l="1"/>
  <c r="X767" i="3" s="1"/>
  <c r="Y767" i="3" s="1"/>
  <c r="Z767" i="3" s="1"/>
  <c r="AA767" i="3" s="1"/>
  <c r="AB767" i="3" s="1"/>
  <c r="C767" i="4" l="1"/>
  <c r="M768" i="3"/>
  <c r="AC767" i="3"/>
  <c r="AD767" i="3" s="1"/>
  <c r="O768" i="3" l="1"/>
  <c r="AI768" i="3"/>
  <c r="N768" i="3"/>
  <c r="P768" i="3" s="1"/>
  <c r="Q768" i="3" s="1"/>
  <c r="G767" i="4"/>
  <c r="I767" i="4" s="1"/>
  <c r="J767" i="4" s="1"/>
  <c r="H767" i="4"/>
  <c r="M767" i="4" l="1"/>
  <c r="K767" i="4"/>
  <c r="L768" i="4"/>
  <c r="V768" i="3"/>
  <c r="W768" i="3" l="1"/>
  <c r="X768" i="3" s="1"/>
  <c r="Y768" i="3" s="1"/>
  <c r="Z768" i="3" s="1"/>
  <c r="AA768" i="3" s="1"/>
  <c r="AB768" i="3" s="1"/>
  <c r="M769" i="3" l="1"/>
  <c r="C768" i="4"/>
  <c r="AC768" i="3"/>
  <c r="AD768" i="3" s="1"/>
  <c r="H768" i="4" l="1"/>
  <c r="G768" i="4"/>
  <c r="I768" i="4" s="1"/>
  <c r="J768" i="4" s="1"/>
  <c r="O769" i="3"/>
  <c r="AI769" i="3"/>
  <c r="N769" i="3"/>
  <c r="M768" i="4" l="1"/>
  <c r="K768" i="4"/>
  <c r="P769" i="3"/>
  <c r="Q769" i="3" s="1"/>
  <c r="L769" i="4" l="1"/>
  <c r="V769" i="3"/>
  <c r="W769" i="3" l="1"/>
  <c r="X769" i="3"/>
  <c r="Y769" i="3" s="1"/>
  <c r="Z769" i="3" s="1"/>
  <c r="AA769" i="3" s="1"/>
  <c r="AB769" i="3" s="1"/>
  <c r="AC769" i="3" l="1"/>
  <c r="AD769" i="3" s="1"/>
  <c r="M770" i="3"/>
  <c r="C769" i="4"/>
  <c r="H769" i="4" l="1"/>
  <c r="G769" i="4"/>
  <c r="I769" i="4" s="1"/>
  <c r="J769" i="4" s="1"/>
  <c r="AI770" i="3"/>
  <c r="N770" i="3"/>
  <c r="P770" i="3" s="1"/>
  <c r="Q770" i="3" s="1"/>
  <c r="O770" i="3"/>
  <c r="L770" i="4" l="1"/>
  <c r="V770" i="3"/>
  <c r="M769" i="4"/>
  <c r="K769" i="4"/>
  <c r="W770" i="3" l="1"/>
  <c r="X770" i="3"/>
  <c r="Y770" i="3" s="1"/>
  <c r="Z770" i="3" s="1"/>
  <c r="AA770" i="3" s="1"/>
  <c r="AB770" i="3" s="1"/>
  <c r="AC770" i="3" l="1"/>
  <c r="AD770" i="3" s="1"/>
  <c r="C770" i="4"/>
  <c r="M771" i="3"/>
  <c r="AI771" i="3" l="1"/>
  <c r="N771" i="3"/>
  <c r="O771" i="3"/>
  <c r="G770" i="4"/>
  <c r="I770" i="4" s="1"/>
  <c r="J770" i="4" s="1"/>
  <c r="H770" i="4"/>
  <c r="M770" i="4" l="1"/>
  <c r="K770" i="4"/>
  <c r="P771" i="3"/>
  <c r="Q771" i="3" s="1"/>
  <c r="L771" i="4" l="1"/>
  <c r="V771" i="3"/>
  <c r="W771" i="3" l="1"/>
  <c r="X771" i="3" s="1"/>
  <c r="Y771" i="3" s="1"/>
  <c r="Z771" i="3" s="1"/>
  <c r="AA771" i="3" s="1"/>
  <c r="AB771" i="3" s="1"/>
  <c r="C771" i="4" l="1"/>
  <c r="AC771" i="3"/>
  <c r="AD771" i="3" s="1"/>
  <c r="M772" i="3"/>
  <c r="AI772" i="3" l="1"/>
  <c r="O772" i="3"/>
  <c r="N772" i="3"/>
  <c r="P772" i="3" s="1"/>
  <c r="Q772" i="3" s="1"/>
  <c r="H771" i="4"/>
  <c r="G771" i="4"/>
  <c r="I771" i="4" s="1"/>
  <c r="J771" i="4" s="1"/>
  <c r="L772" i="4" l="1"/>
  <c r="V772" i="3"/>
  <c r="K771" i="4"/>
  <c r="M771" i="4"/>
  <c r="W772" i="3" l="1"/>
  <c r="X772" i="3"/>
  <c r="Y772" i="3" s="1"/>
  <c r="Z772" i="3" s="1"/>
  <c r="AA772" i="3" s="1"/>
  <c r="AB772" i="3" s="1"/>
  <c r="AC772" i="3" l="1"/>
  <c r="AD772" i="3" s="1"/>
  <c r="M773" i="3"/>
  <c r="C772" i="4"/>
  <c r="G772" i="4" l="1"/>
  <c r="I772" i="4" s="1"/>
  <c r="J772" i="4" s="1"/>
  <c r="H772" i="4"/>
  <c r="O773" i="3"/>
  <c r="AI773" i="3"/>
  <c r="N773" i="3"/>
  <c r="P773" i="3" l="1"/>
  <c r="Q773" i="3" s="1"/>
  <c r="M772" i="4"/>
  <c r="K772" i="4"/>
  <c r="L773" i="4" l="1"/>
  <c r="V773" i="3"/>
  <c r="W773" i="3" l="1"/>
  <c r="X773" i="3" s="1"/>
  <c r="Y773" i="3" s="1"/>
  <c r="Z773" i="3" s="1"/>
  <c r="AA773" i="3" s="1"/>
  <c r="AB773" i="3" s="1"/>
  <c r="AC773" i="3" l="1"/>
  <c r="AD773" i="3" s="1"/>
  <c r="M774" i="3"/>
  <c r="C773" i="4"/>
  <c r="H773" i="4" l="1"/>
  <c r="G773" i="4"/>
  <c r="I773" i="4" s="1"/>
  <c r="J773" i="4" s="1"/>
  <c r="AI774" i="3"/>
  <c r="O774" i="3"/>
  <c r="N774" i="3"/>
  <c r="M773" i="4" l="1"/>
  <c r="K773" i="4"/>
  <c r="P774" i="3"/>
  <c r="Q774" i="3" s="1"/>
  <c r="L774" i="4" l="1"/>
  <c r="V774" i="3"/>
  <c r="W774" i="3" l="1"/>
  <c r="X774" i="3"/>
  <c r="Y774" i="3" s="1"/>
  <c r="Z774" i="3" s="1"/>
  <c r="AA774" i="3" s="1"/>
  <c r="AB774" i="3" s="1"/>
  <c r="M775" i="3" l="1"/>
  <c r="C774" i="4"/>
  <c r="AC774" i="3"/>
  <c r="AD774" i="3" s="1"/>
  <c r="H774" i="4" l="1"/>
  <c r="G774" i="4"/>
  <c r="I774" i="4" s="1"/>
  <c r="J774" i="4" s="1"/>
  <c r="AI775" i="3"/>
  <c r="O775" i="3"/>
  <c r="N775" i="3"/>
  <c r="M774" i="4" l="1"/>
  <c r="K774" i="4"/>
  <c r="P775" i="3"/>
  <c r="Q775" i="3" s="1"/>
  <c r="L775" i="4" l="1"/>
  <c r="V775" i="3"/>
  <c r="W775" i="3" l="1"/>
  <c r="X775" i="3" s="1"/>
  <c r="Y775" i="3" s="1"/>
  <c r="Z775" i="3" s="1"/>
  <c r="AA775" i="3" s="1"/>
  <c r="AB775" i="3" s="1"/>
  <c r="M776" i="3" l="1"/>
  <c r="C775" i="4"/>
  <c r="AC775" i="3"/>
  <c r="AD775" i="3" s="1"/>
  <c r="H775" i="4" l="1"/>
  <c r="G775" i="4"/>
  <c r="I775" i="4" s="1"/>
  <c r="J775" i="4" s="1"/>
  <c r="O776" i="3"/>
  <c r="AI776" i="3"/>
  <c r="N776" i="3"/>
  <c r="M775" i="4" l="1"/>
  <c r="K775" i="4"/>
  <c r="P776" i="3"/>
  <c r="Q776" i="3" s="1"/>
  <c r="L776" i="4" l="1"/>
  <c r="V776" i="3"/>
  <c r="W776" i="3" l="1"/>
  <c r="X776" i="3"/>
  <c r="Y776" i="3" s="1"/>
  <c r="Z776" i="3" s="1"/>
  <c r="AA776" i="3" s="1"/>
  <c r="AB776" i="3" s="1"/>
  <c r="M777" i="3" l="1"/>
  <c r="C776" i="4"/>
  <c r="AC776" i="3"/>
  <c r="AD776" i="3" s="1"/>
  <c r="G776" i="4" l="1"/>
  <c r="I776" i="4" s="1"/>
  <c r="J776" i="4" s="1"/>
  <c r="H776" i="4"/>
  <c r="N777" i="3"/>
  <c r="O777" i="3"/>
  <c r="AI777" i="3"/>
  <c r="P777" i="3" l="1"/>
  <c r="Q777" i="3" s="1"/>
  <c r="M776" i="4"/>
  <c r="K776" i="4"/>
  <c r="L777" i="4" l="1"/>
  <c r="V777" i="3"/>
  <c r="W777" i="3" l="1"/>
  <c r="X777" i="3"/>
  <c r="Y777" i="3" s="1"/>
  <c r="Z777" i="3" s="1"/>
  <c r="AA777" i="3" s="1"/>
  <c r="AB777" i="3" s="1"/>
  <c r="C777" i="4" l="1"/>
  <c r="M778" i="3"/>
  <c r="AC777" i="3"/>
  <c r="AD777" i="3" s="1"/>
  <c r="AI778" i="3" l="1"/>
  <c r="O778" i="3"/>
  <c r="N778" i="3"/>
  <c r="P778" i="3" s="1"/>
  <c r="Q778" i="3" s="1"/>
  <c r="G777" i="4"/>
  <c r="I777" i="4" s="1"/>
  <c r="J777" i="4" s="1"/>
  <c r="H777" i="4"/>
  <c r="K777" i="4" l="1"/>
  <c r="M777" i="4"/>
  <c r="L778" i="4"/>
  <c r="V778" i="3"/>
  <c r="W778" i="3" l="1"/>
  <c r="X778" i="3"/>
  <c r="Y778" i="3" s="1"/>
  <c r="Z778" i="3" s="1"/>
  <c r="AA778" i="3" s="1"/>
  <c r="AB778" i="3" s="1"/>
  <c r="C778" i="4" l="1"/>
  <c r="M779" i="3"/>
  <c r="AC778" i="3"/>
  <c r="AD778" i="3" s="1"/>
  <c r="AI779" i="3" l="1"/>
  <c r="O779" i="3"/>
  <c r="N779" i="3"/>
  <c r="P779" i="3" s="1"/>
  <c r="Q779" i="3" s="1"/>
  <c r="G778" i="4"/>
  <c r="I778" i="4" s="1"/>
  <c r="J778" i="4" s="1"/>
  <c r="H778" i="4"/>
  <c r="K778" i="4" l="1"/>
  <c r="M778" i="4"/>
  <c r="L779" i="4"/>
  <c r="V779" i="3"/>
  <c r="W779" i="3" l="1"/>
  <c r="X779" i="3" s="1"/>
  <c r="Y779" i="3" s="1"/>
  <c r="Z779" i="3" s="1"/>
  <c r="AA779" i="3" s="1"/>
  <c r="AB779" i="3" s="1"/>
  <c r="C779" i="4" l="1"/>
  <c r="M780" i="3"/>
  <c r="AC779" i="3"/>
  <c r="AD779" i="3" s="1"/>
  <c r="O780" i="3" l="1"/>
  <c r="AI780" i="3"/>
  <c r="N780" i="3"/>
  <c r="P780" i="3" s="1"/>
  <c r="Q780" i="3" s="1"/>
  <c r="H779" i="4"/>
  <c r="G779" i="4"/>
  <c r="I779" i="4" s="1"/>
  <c r="J779" i="4" s="1"/>
  <c r="L780" i="4" l="1"/>
  <c r="V780" i="3"/>
  <c r="M779" i="4"/>
  <c r="K779" i="4"/>
  <c r="W780" i="3" l="1"/>
  <c r="X780" i="3"/>
  <c r="Y780" i="3" s="1"/>
  <c r="Z780" i="3" s="1"/>
  <c r="AA780" i="3" s="1"/>
  <c r="AB780" i="3" s="1"/>
  <c r="M781" i="3" l="1"/>
  <c r="AC780" i="3"/>
  <c r="AD780" i="3" s="1"/>
  <c r="C780" i="4"/>
  <c r="G780" i="4" l="1"/>
  <c r="I780" i="4" s="1"/>
  <c r="J780" i="4" s="1"/>
  <c r="H780" i="4"/>
  <c r="N781" i="3"/>
  <c r="O781" i="3"/>
  <c r="AI781" i="3"/>
  <c r="P781" i="3" l="1"/>
  <c r="Q781" i="3" s="1"/>
  <c r="K780" i="4"/>
  <c r="M780" i="4"/>
  <c r="L781" i="4" l="1"/>
  <c r="V781" i="3"/>
  <c r="W781" i="3" l="1"/>
  <c r="X781" i="3" s="1"/>
  <c r="Y781" i="3" s="1"/>
  <c r="Z781" i="3" s="1"/>
  <c r="AA781" i="3" s="1"/>
  <c r="AB781" i="3" s="1"/>
  <c r="M782" i="3" l="1"/>
  <c r="C781" i="4"/>
  <c r="AC781" i="3"/>
  <c r="AD781" i="3" s="1"/>
  <c r="H781" i="4" l="1"/>
  <c r="G781" i="4"/>
  <c r="I781" i="4" s="1"/>
  <c r="J781" i="4" s="1"/>
  <c r="AI782" i="3"/>
  <c r="O782" i="3"/>
  <c r="N782" i="3"/>
  <c r="K781" i="4" l="1"/>
  <c r="M781" i="4"/>
  <c r="P782" i="3"/>
  <c r="Q782" i="3" s="1"/>
  <c r="L782" i="4" l="1"/>
  <c r="V782" i="3"/>
  <c r="W782" i="3" l="1"/>
  <c r="X782" i="3"/>
  <c r="Y782" i="3" s="1"/>
  <c r="Z782" i="3" s="1"/>
  <c r="AA782" i="3" s="1"/>
  <c r="AB782" i="3" s="1"/>
  <c r="M783" i="3" l="1"/>
  <c r="AC782" i="3"/>
  <c r="AD782" i="3" s="1"/>
  <c r="C782" i="4"/>
  <c r="H782" i="4" l="1"/>
  <c r="G782" i="4"/>
  <c r="I782" i="4" s="1"/>
  <c r="J782" i="4" s="1"/>
  <c r="O783" i="3"/>
  <c r="N783" i="3"/>
  <c r="P783" i="3" s="1"/>
  <c r="Q783" i="3" s="1"/>
  <c r="AI783" i="3"/>
  <c r="L783" i="4" l="1"/>
  <c r="V783" i="3"/>
  <c r="K782" i="4"/>
  <c r="M782" i="4"/>
  <c r="W783" i="3" l="1"/>
  <c r="X783" i="3" s="1"/>
  <c r="Y783" i="3" s="1"/>
  <c r="Z783" i="3" s="1"/>
  <c r="AA783" i="3" s="1"/>
  <c r="AB783" i="3" s="1"/>
  <c r="C783" i="4" l="1"/>
  <c r="AC783" i="3"/>
  <c r="AD783" i="3" s="1"/>
  <c r="M784" i="3"/>
  <c r="AI784" i="3" l="1"/>
  <c r="N784" i="3"/>
  <c r="O784" i="3"/>
  <c r="H783" i="4"/>
  <c r="G783" i="4"/>
  <c r="I783" i="4" s="1"/>
  <c r="J783" i="4" s="1"/>
  <c r="P784" i="3" l="1"/>
  <c r="Q784" i="3" s="1"/>
  <c r="M783" i="4"/>
  <c r="K783" i="4"/>
  <c r="L784" i="4" l="1"/>
  <c r="C43" i="5" s="1"/>
  <c r="N43" i="5" s="1"/>
  <c r="V784" i="3"/>
  <c r="W784" i="3" l="1"/>
  <c r="X784" i="3"/>
  <c r="Y784" i="3" s="1"/>
  <c r="Z784" i="3" s="1"/>
  <c r="AA784" i="3" s="1"/>
  <c r="AB784" i="3" s="1"/>
  <c r="M785" i="3" l="1"/>
  <c r="AC784" i="3"/>
  <c r="AD784" i="3" s="1"/>
  <c r="C784" i="4"/>
  <c r="G784" i="4" l="1"/>
  <c r="I784" i="4" s="1"/>
  <c r="J784" i="4" s="1"/>
  <c r="H784" i="4"/>
  <c r="O785" i="3"/>
  <c r="AI785" i="3"/>
  <c r="N785" i="3"/>
  <c r="P785" i="3" l="1"/>
  <c r="Q785" i="3" s="1"/>
  <c r="M784" i="4"/>
  <c r="D43" i="5"/>
  <c r="K784" i="4"/>
  <c r="E43" i="5" s="1"/>
  <c r="L785" i="4" l="1"/>
  <c r="V785" i="3"/>
  <c r="W785" i="3" l="1"/>
  <c r="X785" i="3" s="1"/>
  <c r="Y785" i="3" s="1"/>
  <c r="Z785" i="3" s="1"/>
  <c r="AA785" i="3" s="1"/>
  <c r="AB785" i="3" s="1"/>
  <c r="C785" i="4" l="1"/>
  <c r="M786" i="3"/>
  <c r="AC785" i="3"/>
  <c r="AD785" i="3" s="1"/>
  <c r="O786" i="3" l="1"/>
  <c r="N786" i="3"/>
  <c r="P786" i="3" s="1"/>
  <c r="Q786" i="3" s="1"/>
  <c r="AI786" i="3"/>
  <c r="G785" i="4"/>
  <c r="I785" i="4" s="1"/>
  <c r="J785" i="4" s="1"/>
  <c r="H785" i="4"/>
  <c r="M785" i="4" l="1"/>
  <c r="K785" i="4"/>
  <c r="L786" i="4"/>
  <c r="V786" i="3"/>
  <c r="W786" i="3" l="1"/>
  <c r="X786" i="3"/>
  <c r="Y786" i="3" s="1"/>
  <c r="Z786" i="3" s="1"/>
  <c r="AA786" i="3" s="1"/>
  <c r="AB786" i="3" s="1"/>
  <c r="M787" i="3" l="1"/>
  <c r="AC786" i="3"/>
  <c r="AD786" i="3" s="1"/>
  <c r="C786" i="4"/>
  <c r="H786" i="4" l="1"/>
  <c r="G786" i="4"/>
  <c r="I786" i="4" s="1"/>
  <c r="J786" i="4" s="1"/>
  <c r="O787" i="3"/>
  <c r="AI787" i="3"/>
  <c r="N787" i="3"/>
  <c r="K786" i="4" l="1"/>
  <c r="M786" i="4"/>
  <c r="P787" i="3"/>
  <c r="Q787" i="3" s="1"/>
  <c r="L787" i="4" l="1"/>
  <c r="V787" i="3"/>
  <c r="W787" i="3" l="1"/>
  <c r="X787" i="3" s="1"/>
  <c r="Y787" i="3" s="1"/>
  <c r="Z787" i="3" s="1"/>
  <c r="AA787" i="3" s="1"/>
  <c r="AB787" i="3" s="1"/>
  <c r="C787" i="4" l="1"/>
  <c r="M788" i="3"/>
  <c r="AC787" i="3"/>
  <c r="AD787" i="3" s="1"/>
  <c r="AI788" i="3" l="1"/>
  <c r="N788" i="3"/>
  <c r="O788" i="3"/>
  <c r="G787" i="4"/>
  <c r="I787" i="4" s="1"/>
  <c r="J787" i="4" s="1"/>
  <c r="H787" i="4"/>
  <c r="K787" i="4" l="1"/>
  <c r="M787" i="4"/>
  <c r="P788" i="3"/>
  <c r="Q788" i="3" s="1"/>
  <c r="L788" i="4" l="1"/>
  <c r="V788" i="3"/>
  <c r="W788" i="3" l="1"/>
  <c r="X788" i="3" s="1"/>
  <c r="Y788" i="3" s="1"/>
  <c r="Z788" i="3" s="1"/>
  <c r="AA788" i="3" s="1"/>
  <c r="AB788" i="3" s="1"/>
  <c r="C788" i="4" l="1"/>
  <c r="AC788" i="3"/>
  <c r="AD788" i="3" s="1"/>
  <c r="M789" i="3"/>
  <c r="N789" i="3" l="1"/>
  <c r="AI789" i="3"/>
  <c r="O789" i="3"/>
  <c r="G788" i="4"/>
  <c r="I788" i="4" s="1"/>
  <c r="J788" i="4" s="1"/>
  <c r="H788" i="4"/>
  <c r="K788" i="4" l="1"/>
  <c r="M788" i="4"/>
  <c r="P789" i="3"/>
  <c r="Q789" i="3" s="1"/>
  <c r="L789" i="4" l="1"/>
  <c r="V789" i="3"/>
  <c r="W789" i="3" l="1"/>
  <c r="X789" i="3"/>
  <c r="Y789" i="3" s="1"/>
  <c r="Z789" i="3" s="1"/>
  <c r="AA789" i="3" s="1"/>
  <c r="AB789" i="3" s="1"/>
  <c r="M790" i="3" l="1"/>
  <c r="C789" i="4"/>
  <c r="AC789" i="3"/>
  <c r="AD789" i="3" s="1"/>
  <c r="G789" i="4" l="1"/>
  <c r="I789" i="4" s="1"/>
  <c r="J789" i="4" s="1"/>
  <c r="H789" i="4"/>
  <c r="AI790" i="3"/>
  <c r="N790" i="3"/>
  <c r="P790" i="3" s="1"/>
  <c r="Q790" i="3" s="1"/>
  <c r="O790" i="3"/>
  <c r="L790" i="4" l="1"/>
  <c r="V790" i="3"/>
  <c r="K789" i="4"/>
  <c r="M789" i="4"/>
  <c r="W790" i="3" l="1"/>
  <c r="X790" i="3"/>
  <c r="Y790" i="3" s="1"/>
  <c r="Z790" i="3" s="1"/>
  <c r="AA790" i="3" s="1"/>
  <c r="AB790" i="3" s="1"/>
  <c r="M791" i="3" l="1"/>
  <c r="C790" i="4"/>
  <c r="AC790" i="3"/>
  <c r="AD790" i="3" s="1"/>
  <c r="H790" i="4" l="1"/>
  <c r="G790" i="4"/>
  <c r="I790" i="4" s="1"/>
  <c r="J790" i="4" s="1"/>
  <c r="AI791" i="3"/>
  <c r="N791" i="3"/>
  <c r="P791" i="3" s="1"/>
  <c r="Q791" i="3" s="1"/>
  <c r="O791" i="3"/>
  <c r="L791" i="4" l="1"/>
  <c r="V791" i="3"/>
  <c r="K790" i="4"/>
  <c r="M790" i="4"/>
  <c r="W791" i="3" l="1"/>
  <c r="X791" i="3" s="1"/>
  <c r="Y791" i="3" s="1"/>
  <c r="Z791" i="3" s="1"/>
  <c r="AA791" i="3" s="1"/>
  <c r="AB791" i="3" s="1"/>
  <c r="M792" i="3" l="1"/>
  <c r="AC791" i="3"/>
  <c r="AD791" i="3" s="1"/>
  <c r="C791" i="4"/>
  <c r="H791" i="4" l="1"/>
  <c r="G791" i="4"/>
  <c r="I791" i="4" s="1"/>
  <c r="J791" i="4" s="1"/>
  <c r="N792" i="3"/>
  <c r="P792" i="3" s="1"/>
  <c r="Q792" i="3" s="1"/>
  <c r="AI792" i="3"/>
  <c r="O792" i="3"/>
  <c r="L792" i="4" l="1"/>
  <c r="V792" i="3"/>
  <c r="K791" i="4"/>
  <c r="M791" i="4"/>
  <c r="W792" i="3" l="1"/>
  <c r="X792" i="3"/>
  <c r="Y792" i="3" s="1"/>
  <c r="Z792" i="3" s="1"/>
  <c r="AA792" i="3" s="1"/>
  <c r="AB792" i="3" s="1"/>
  <c r="C792" i="4" l="1"/>
  <c r="M793" i="3"/>
  <c r="AC792" i="3"/>
  <c r="AD792" i="3" s="1"/>
  <c r="AI793" i="3" l="1"/>
  <c r="O793" i="3"/>
  <c r="N793" i="3"/>
  <c r="P793" i="3" s="1"/>
  <c r="Q793" i="3" s="1"/>
  <c r="G792" i="4"/>
  <c r="I792" i="4" s="1"/>
  <c r="J792" i="4" s="1"/>
  <c r="H792" i="4"/>
  <c r="K792" i="4" l="1"/>
  <c r="M792" i="4"/>
  <c r="L793" i="4"/>
  <c r="V793" i="3"/>
  <c r="W793" i="3" l="1"/>
  <c r="X793" i="3" s="1"/>
  <c r="Y793" i="3" s="1"/>
  <c r="Z793" i="3" s="1"/>
  <c r="AA793" i="3" s="1"/>
  <c r="AB793" i="3" s="1"/>
  <c r="C793" i="4" l="1"/>
  <c r="AC793" i="3"/>
  <c r="AD793" i="3" s="1"/>
  <c r="M794" i="3"/>
  <c r="O794" i="3" l="1"/>
  <c r="N794" i="3"/>
  <c r="P794" i="3" s="1"/>
  <c r="Q794" i="3" s="1"/>
  <c r="AI794" i="3"/>
  <c r="G793" i="4"/>
  <c r="I793" i="4" s="1"/>
  <c r="J793" i="4" s="1"/>
  <c r="H793" i="4"/>
  <c r="M793" i="4" l="1"/>
  <c r="K793" i="4"/>
  <c r="L794" i="4"/>
  <c r="V794" i="3"/>
  <c r="W794" i="3" l="1"/>
  <c r="X794" i="3"/>
  <c r="Y794" i="3" s="1"/>
  <c r="Z794" i="3" s="1"/>
  <c r="AA794" i="3" s="1"/>
  <c r="AB794" i="3" s="1"/>
  <c r="AC794" i="3" l="1"/>
  <c r="AD794" i="3" s="1"/>
  <c r="C794" i="4"/>
  <c r="M795" i="3"/>
  <c r="AI795" i="3" l="1"/>
  <c r="N795" i="3"/>
  <c r="O795" i="3"/>
  <c r="G794" i="4"/>
  <c r="I794" i="4" s="1"/>
  <c r="J794" i="4" s="1"/>
  <c r="H794" i="4"/>
  <c r="M794" i="4" l="1"/>
  <c r="K794" i="4"/>
  <c r="P795" i="3"/>
  <c r="Q795" i="3" s="1"/>
  <c r="L795" i="4" l="1"/>
  <c r="V795" i="3"/>
  <c r="W795" i="3" l="1"/>
  <c r="X795" i="3" s="1"/>
  <c r="Y795" i="3" s="1"/>
  <c r="Z795" i="3" s="1"/>
  <c r="AA795" i="3" s="1"/>
  <c r="AB795" i="3" s="1"/>
  <c r="M796" i="3" l="1"/>
  <c r="C795" i="4"/>
  <c r="AC795" i="3"/>
  <c r="AD795" i="3" s="1"/>
  <c r="H795" i="4" l="1"/>
  <c r="G795" i="4"/>
  <c r="I795" i="4" s="1"/>
  <c r="J795" i="4" s="1"/>
  <c r="N796" i="3"/>
  <c r="P796" i="3" s="1"/>
  <c r="Q796" i="3" s="1"/>
  <c r="AI796" i="3"/>
  <c r="O796" i="3"/>
  <c r="L796" i="4" l="1"/>
  <c r="V796" i="3"/>
  <c r="K795" i="4"/>
  <c r="M795" i="4"/>
  <c r="W796" i="3" l="1"/>
  <c r="X796" i="3"/>
  <c r="Y796" i="3" s="1"/>
  <c r="Z796" i="3" s="1"/>
  <c r="AA796" i="3" s="1"/>
  <c r="AB796" i="3" s="1"/>
  <c r="C796" i="4" l="1"/>
  <c r="AC796" i="3"/>
  <c r="AD796" i="3" s="1"/>
  <c r="M797" i="3"/>
  <c r="AI797" i="3" l="1"/>
  <c r="O797" i="3"/>
  <c r="N797" i="3"/>
  <c r="P797" i="3" s="1"/>
  <c r="Q797" i="3" s="1"/>
  <c r="H796" i="4"/>
  <c r="G796" i="4"/>
  <c r="I796" i="4" s="1"/>
  <c r="J796" i="4" s="1"/>
  <c r="L797" i="4" l="1"/>
  <c r="V797" i="3"/>
  <c r="M796" i="4"/>
  <c r="K796" i="4"/>
  <c r="W797" i="3" l="1"/>
  <c r="X797" i="3" s="1"/>
  <c r="Y797" i="3" s="1"/>
  <c r="Z797" i="3" s="1"/>
  <c r="AA797" i="3" s="1"/>
  <c r="AB797" i="3" s="1"/>
  <c r="C797" i="4" l="1"/>
  <c r="M798" i="3"/>
  <c r="AC797" i="3"/>
  <c r="AD797" i="3" s="1"/>
  <c r="N798" i="3" l="1"/>
  <c r="O798" i="3"/>
  <c r="AI798" i="3"/>
  <c r="H797" i="4"/>
  <c r="G797" i="4"/>
  <c r="I797" i="4" s="1"/>
  <c r="J797" i="4" s="1"/>
  <c r="M797" i="4" l="1"/>
  <c r="K797" i="4"/>
  <c r="P798" i="3"/>
  <c r="Q798" i="3" s="1"/>
  <c r="L798" i="4" l="1"/>
  <c r="V798" i="3"/>
  <c r="W798" i="3" l="1"/>
  <c r="X798" i="3"/>
  <c r="Y798" i="3" s="1"/>
  <c r="Z798" i="3" s="1"/>
  <c r="AA798" i="3" s="1"/>
  <c r="AB798" i="3" s="1"/>
  <c r="AC798" i="3" l="1"/>
  <c r="AD798" i="3" s="1"/>
  <c r="C798" i="4"/>
  <c r="M799" i="3"/>
  <c r="AI799" i="3" l="1"/>
  <c r="O799" i="3"/>
  <c r="N799" i="3"/>
  <c r="P799" i="3" s="1"/>
  <c r="Q799" i="3" s="1"/>
  <c r="H798" i="4"/>
  <c r="G798" i="4"/>
  <c r="I798" i="4" s="1"/>
  <c r="J798" i="4" s="1"/>
  <c r="L799" i="4" l="1"/>
  <c r="V799" i="3"/>
  <c r="K798" i="4"/>
  <c r="M798" i="4"/>
  <c r="W799" i="3" l="1"/>
  <c r="X799" i="3" s="1"/>
  <c r="Y799" i="3" s="1"/>
  <c r="Z799" i="3" s="1"/>
  <c r="AA799" i="3" s="1"/>
  <c r="AB799" i="3" s="1"/>
  <c r="M800" i="3" l="1"/>
  <c r="AC799" i="3"/>
  <c r="AD799" i="3" s="1"/>
  <c r="C799" i="4"/>
  <c r="H799" i="4" l="1"/>
  <c r="G799" i="4"/>
  <c r="I799" i="4" s="1"/>
  <c r="J799" i="4" s="1"/>
  <c r="AI800" i="3"/>
  <c r="N800" i="3"/>
  <c r="P800" i="3" s="1"/>
  <c r="Q800" i="3" s="1"/>
  <c r="O800" i="3"/>
  <c r="L800" i="4" l="1"/>
  <c r="V800" i="3"/>
  <c r="K799" i="4"/>
  <c r="M799" i="4"/>
  <c r="W800" i="3" l="1"/>
  <c r="X800" i="3" s="1"/>
  <c r="Y800" i="3" s="1"/>
  <c r="Z800" i="3" s="1"/>
  <c r="AA800" i="3" s="1"/>
  <c r="AB800" i="3" s="1"/>
  <c r="M801" i="3" l="1"/>
  <c r="AC800" i="3"/>
  <c r="AD800" i="3" s="1"/>
  <c r="C800" i="4"/>
  <c r="G800" i="4" l="1"/>
  <c r="I800" i="4" s="1"/>
  <c r="J800" i="4" s="1"/>
  <c r="H800" i="4"/>
  <c r="N801" i="3"/>
  <c r="O801" i="3"/>
  <c r="AI801" i="3"/>
  <c r="P801" i="3" l="1"/>
  <c r="Q801" i="3" s="1"/>
  <c r="M800" i="4"/>
  <c r="K800" i="4"/>
  <c r="L801" i="4" l="1"/>
  <c r="V801" i="3"/>
  <c r="W801" i="3" l="1"/>
  <c r="X801" i="3" s="1"/>
  <c r="Y801" i="3" s="1"/>
  <c r="Z801" i="3" s="1"/>
  <c r="AA801" i="3" s="1"/>
  <c r="AB801" i="3" s="1"/>
  <c r="AC801" i="3" l="1"/>
  <c r="AD801" i="3" s="1"/>
  <c r="C801" i="4"/>
  <c r="M802" i="3"/>
  <c r="O802" i="3" l="1"/>
  <c r="AI802" i="3"/>
  <c r="N802" i="3"/>
  <c r="P802" i="3" s="1"/>
  <c r="Q802" i="3" s="1"/>
  <c r="H801" i="4"/>
  <c r="G801" i="4"/>
  <c r="I801" i="4" s="1"/>
  <c r="J801" i="4" s="1"/>
  <c r="L802" i="4" l="1"/>
  <c r="V802" i="3"/>
  <c r="K801" i="4"/>
  <c r="M801" i="4"/>
  <c r="W802" i="3" l="1"/>
  <c r="X802" i="3"/>
  <c r="Y802" i="3" s="1"/>
  <c r="Z802" i="3" s="1"/>
  <c r="AA802" i="3" s="1"/>
  <c r="AB802" i="3" s="1"/>
  <c r="AC802" i="3" l="1"/>
  <c r="AD802" i="3" s="1"/>
  <c r="M803" i="3"/>
  <c r="C802" i="4"/>
  <c r="H802" i="4" l="1"/>
  <c r="G802" i="4"/>
  <c r="I802" i="4" s="1"/>
  <c r="J802" i="4" s="1"/>
  <c r="AI803" i="3"/>
  <c r="N803" i="3"/>
  <c r="P803" i="3" s="1"/>
  <c r="Q803" i="3" s="1"/>
  <c r="O803" i="3"/>
  <c r="L803" i="4" l="1"/>
  <c r="V803" i="3"/>
  <c r="M802" i="4"/>
  <c r="K802" i="4"/>
  <c r="W803" i="3" l="1"/>
  <c r="X803" i="3" s="1"/>
  <c r="Y803" i="3" s="1"/>
  <c r="Z803" i="3" s="1"/>
  <c r="AA803" i="3" s="1"/>
  <c r="AB803" i="3" s="1"/>
  <c r="C803" i="4" l="1"/>
  <c r="M804" i="3"/>
  <c r="AC803" i="3"/>
  <c r="AD803" i="3" s="1"/>
  <c r="AI804" i="3" l="1"/>
  <c r="O804" i="3"/>
  <c r="N804" i="3"/>
  <c r="P804" i="3" s="1"/>
  <c r="Q804" i="3" s="1"/>
  <c r="H803" i="4"/>
  <c r="G803" i="4"/>
  <c r="I803" i="4" s="1"/>
  <c r="J803" i="4" s="1"/>
  <c r="L804" i="4" l="1"/>
  <c r="V804" i="3"/>
  <c r="K803" i="4"/>
  <c r="M803" i="4"/>
  <c r="W804" i="3" l="1"/>
  <c r="X804" i="3" s="1"/>
  <c r="Y804" i="3" s="1"/>
  <c r="Z804" i="3" s="1"/>
  <c r="AA804" i="3" s="1"/>
  <c r="AB804" i="3" s="1"/>
  <c r="M805" i="3" l="1"/>
  <c r="AC804" i="3"/>
  <c r="AD804" i="3" s="1"/>
  <c r="C804" i="4"/>
  <c r="H804" i="4" l="1"/>
  <c r="G804" i="4"/>
  <c r="I804" i="4" s="1"/>
  <c r="J804" i="4" s="1"/>
  <c r="O805" i="3"/>
  <c r="AI805" i="3"/>
  <c r="N805" i="3"/>
  <c r="K804" i="4" l="1"/>
  <c r="M804" i="4"/>
  <c r="P805" i="3"/>
  <c r="Q805" i="3" s="1"/>
  <c r="L805" i="4" l="1"/>
  <c r="V805" i="3"/>
  <c r="W805" i="3" l="1"/>
  <c r="X805" i="3"/>
  <c r="Y805" i="3" s="1"/>
  <c r="Z805" i="3" s="1"/>
  <c r="AA805" i="3" s="1"/>
  <c r="AB805" i="3" s="1"/>
  <c r="M806" i="3" l="1"/>
  <c r="C805" i="4"/>
  <c r="AC805" i="3"/>
  <c r="AD805" i="3" s="1"/>
  <c r="H805" i="4" l="1"/>
  <c r="G805" i="4"/>
  <c r="I805" i="4" s="1"/>
  <c r="J805" i="4" s="1"/>
  <c r="AI806" i="3"/>
  <c r="O806" i="3"/>
  <c r="N806" i="3"/>
  <c r="M805" i="4" l="1"/>
  <c r="K805" i="4"/>
  <c r="P806" i="3"/>
  <c r="Q806" i="3" s="1"/>
  <c r="L806" i="4" l="1"/>
  <c r="V806" i="3"/>
  <c r="W806" i="3" l="1"/>
  <c r="X806" i="3"/>
  <c r="Y806" i="3" s="1"/>
  <c r="Z806" i="3" s="1"/>
  <c r="AA806" i="3" s="1"/>
  <c r="AB806" i="3" s="1"/>
  <c r="M807" i="3" l="1"/>
  <c r="C806" i="4"/>
  <c r="AC806" i="3"/>
  <c r="AD806" i="3" s="1"/>
  <c r="H806" i="4" l="1"/>
  <c r="G806" i="4"/>
  <c r="I806" i="4" s="1"/>
  <c r="J806" i="4" s="1"/>
  <c r="AI807" i="3"/>
  <c r="N807" i="3"/>
  <c r="P807" i="3" s="1"/>
  <c r="Q807" i="3" s="1"/>
  <c r="O807" i="3"/>
  <c r="L807" i="4" l="1"/>
  <c r="V807" i="3"/>
  <c r="M806" i="4"/>
  <c r="K806" i="4"/>
  <c r="W807" i="3" l="1"/>
  <c r="X807" i="3" s="1"/>
  <c r="Y807" i="3" s="1"/>
  <c r="Z807" i="3" s="1"/>
  <c r="AA807" i="3" s="1"/>
  <c r="AB807" i="3" s="1"/>
  <c r="M808" i="3" l="1"/>
  <c r="AC807" i="3"/>
  <c r="AD807" i="3" s="1"/>
  <c r="C807" i="4"/>
  <c r="G807" i="4" l="1"/>
  <c r="I807" i="4" s="1"/>
  <c r="J807" i="4" s="1"/>
  <c r="H807" i="4"/>
  <c r="AI808" i="3"/>
  <c r="O808" i="3"/>
  <c r="N808" i="3"/>
  <c r="P808" i="3" l="1"/>
  <c r="Q808" i="3" s="1"/>
  <c r="K807" i="4"/>
  <c r="M807" i="4"/>
  <c r="L808" i="4" l="1"/>
  <c r="V808" i="3"/>
  <c r="W808" i="3" l="1"/>
  <c r="X808" i="3"/>
  <c r="Y808" i="3" s="1"/>
  <c r="Z808" i="3" s="1"/>
  <c r="AA808" i="3" s="1"/>
  <c r="AB808" i="3" s="1"/>
  <c r="AC808" i="3" l="1"/>
  <c r="AD808" i="3" s="1"/>
  <c r="M809" i="3"/>
  <c r="C808" i="4"/>
  <c r="H808" i="4" l="1"/>
  <c r="G808" i="4"/>
  <c r="I808" i="4" s="1"/>
  <c r="J808" i="4" s="1"/>
  <c r="AI809" i="3"/>
  <c r="N809" i="3"/>
  <c r="P809" i="3" s="1"/>
  <c r="Q809" i="3" s="1"/>
  <c r="O809" i="3"/>
  <c r="L809" i="4" l="1"/>
  <c r="V809" i="3"/>
  <c r="K808" i="4"/>
  <c r="M808" i="4"/>
  <c r="W809" i="3" l="1"/>
  <c r="X809" i="3"/>
  <c r="Y809" i="3" s="1"/>
  <c r="Z809" i="3" s="1"/>
  <c r="AA809" i="3" s="1"/>
  <c r="AB809" i="3" s="1"/>
  <c r="M810" i="3" l="1"/>
  <c r="AC809" i="3"/>
  <c r="AD809" i="3" s="1"/>
  <c r="C809" i="4"/>
  <c r="G809" i="4" l="1"/>
  <c r="I809" i="4" s="1"/>
  <c r="J809" i="4" s="1"/>
  <c r="H809" i="4"/>
  <c r="AI810" i="3"/>
  <c r="N810" i="3"/>
  <c r="P810" i="3" s="1"/>
  <c r="Q810" i="3" s="1"/>
  <c r="O810" i="3"/>
  <c r="L810" i="4" l="1"/>
  <c r="V810" i="3"/>
  <c r="M809" i="4"/>
  <c r="K809" i="4"/>
  <c r="W810" i="3" l="1"/>
  <c r="X810" i="3"/>
  <c r="Y810" i="3" s="1"/>
  <c r="Z810" i="3" s="1"/>
  <c r="AA810" i="3" s="1"/>
  <c r="AB810" i="3" s="1"/>
  <c r="C810" i="4" l="1"/>
  <c r="M811" i="3"/>
  <c r="AC810" i="3"/>
  <c r="AD810" i="3" s="1"/>
  <c r="AI811" i="3" l="1"/>
  <c r="N811" i="3"/>
  <c r="O811" i="3"/>
  <c r="H810" i="4"/>
  <c r="G810" i="4"/>
  <c r="I810" i="4" s="1"/>
  <c r="J810" i="4" s="1"/>
  <c r="P811" i="3" l="1"/>
  <c r="Q811" i="3" s="1"/>
  <c r="M810" i="4"/>
  <c r="K810" i="4"/>
  <c r="L811" i="4" l="1"/>
  <c r="V811" i="3"/>
  <c r="W811" i="3" l="1"/>
  <c r="X811" i="3" s="1"/>
  <c r="Y811" i="3" s="1"/>
  <c r="Z811" i="3" s="1"/>
  <c r="AA811" i="3" s="1"/>
  <c r="AB811" i="3" s="1"/>
  <c r="C811" i="4" l="1"/>
  <c r="AC811" i="3"/>
  <c r="AD811" i="3" s="1"/>
  <c r="M812" i="3"/>
  <c r="N812" i="3" l="1"/>
  <c r="O812" i="3"/>
  <c r="AI812" i="3"/>
  <c r="G811" i="4"/>
  <c r="I811" i="4" s="1"/>
  <c r="J811" i="4" s="1"/>
  <c r="H811" i="4"/>
  <c r="K811" i="4" l="1"/>
  <c r="M811" i="4"/>
  <c r="P812" i="3"/>
  <c r="Q812" i="3" s="1"/>
  <c r="L812" i="4" l="1"/>
  <c r="V812" i="3"/>
  <c r="W812" i="3" l="1"/>
  <c r="X812" i="3"/>
  <c r="Y812" i="3" s="1"/>
  <c r="Z812" i="3" s="1"/>
  <c r="AA812" i="3" s="1"/>
  <c r="AB812" i="3" s="1"/>
  <c r="M813" i="3" l="1"/>
  <c r="C812" i="4"/>
  <c r="AC812" i="3"/>
  <c r="AD812" i="3" s="1"/>
  <c r="H812" i="4" l="1"/>
  <c r="G812" i="4"/>
  <c r="I812" i="4" s="1"/>
  <c r="J812" i="4" s="1"/>
  <c r="AI813" i="3"/>
  <c r="O813" i="3"/>
  <c r="N813" i="3"/>
  <c r="K812" i="4" l="1"/>
  <c r="M812" i="4"/>
  <c r="P813" i="3"/>
  <c r="Q813" i="3" s="1"/>
  <c r="L813" i="4" l="1"/>
  <c r="V813" i="3"/>
  <c r="W813" i="3" l="1"/>
  <c r="X813" i="3" s="1"/>
  <c r="Y813" i="3" s="1"/>
  <c r="Z813" i="3" s="1"/>
  <c r="AA813" i="3" s="1"/>
  <c r="AB813" i="3" s="1"/>
  <c r="AC813" i="3" l="1"/>
  <c r="AD813" i="3" s="1"/>
  <c r="C813" i="4"/>
  <c r="M814" i="3"/>
  <c r="AI814" i="3" l="1"/>
  <c r="N814" i="3"/>
  <c r="O814" i="3"/>
  <c r="G813" i="4"/>
  <c r="I813" i="4" s="1"/>
  <c r="J813" i="4" s="1"/>
  <c r="H813" i="4"/>
  <c r="K813" i="4" l="1"/>
  <c r="M813" i="4"/>
  <c r="P814" i="3"/>
  <c r="Q814" i="3" s="1"/>
  <c r="L814" i="4" l="1"/>
  <c r="V814" i="3"/>
  <c r="W814" i="3" l="1"/>
  <c r="X814" i="3"/>
  <c r="Y814" i="3" s="1"/>
  <c r="Z814" i="3" s="1"/>
  <c r="AA814" i="3" s="1"/>
  <c r="AB814" i="3" s="1"/>
  <c r="AC814" i="3" l="1"/>
  <c r="AD814" i="3" s="1"/>
  <c r="M815" i="3"/>
  <c r="C814" i="4"/>
  <c r="G814" i="4" l="1"/>
  <c r="I814" i="4" s="1"/>
  <c r="J814" i="4" s="1"/>
  <c r="H814" i="4"/>
  <c r="N815" i="3"/>
  <c r="P815" i="3" s="1"/>
  <c r="Q815" i="3" s="1"/>
  <c r="AI815" i="3"/>
  <c r="O815" i="3"/>
  <c r="L815" i="4" l="1"/>
  <c r="V815" i="3"/>
  <c r="K814" i="4"/>
  <c r="M814" i="4"/>
  <c r="W815" i="3" l="1"/>
  <c r="X815" i="3" s="1"/>
  <c r="Y815" i="3" s="1"/>
  <c r="Z815" i="3" s="1"/>
  <c r="AA815" i="3" s="1"/>
  <c r="AB815" i="3" s="1"/>
  <c r="M816" i="3" l="1"/>
  <c r="AC815" i="3"/>
  <c r="AD815" i="3" s="1"/>
  <c r="C815" i="4"/>
  <c r="H815" i="4" l="1"/>
  <c r="G815" i="4"/>
  <c r="I815" i="4" s="1"/>
  <c r="J815" i="4" s="1"/>
  <c r="AI816" i="3"/>
  <c r="O816" i="3"/>
  <c r="N816" i="3"/>
  <c r="K815" i="4" l="1"/>
  <c r="M815" i="4"/>
  <c r="P816" i="3"/>
  <c r="Q816" i="3" s="1"/>
  <c r="L816" i="4" l="1"/>
  <c r="V816" i="3"/>
  <c r="W816" i="3" l="1"/>
  <c r="X816" i="3"/>
  <c r="Y816" i="3" s="1"/>
  <c r="Z816" i="3" s="1"/>
  <c r="AA816" i="3" s="1"/>
  <c r="AB816" i="3" s="1"/>
  <c r="C816" i="4" l="1"/>
  <c r="AC816" i="3"/>
  <c r="AD816" i="3" s="1"/>
  <c r="M817" i="3"/>
  <c r="N817" i="3" l="1"/>
  <c r="AI817" i="3"/>
  <c r="O817" i="3"/>
  <c r="G816" i="4"/>
  <c r="I816" i="4" s="1"/>
  <c r="J816" i="4" s="1"/>
  <c r="H816" i="4"/>
  <c r="K816" i="4" l="1"/>
  <c r="M816" i="4"/>
  <c r="P817" i="3"/>
  <c r="Q817" i="3" s="1"/>
  <c r="L817" i="4" l="1"/>
  <c r="V817" i="3"/>
  <c r="W817" i="3" l="1"/>
  <c r="X817" i="3" s="1"/>
  <c r="Y817" i="3" s="1"/>
  <c r="Z817" i="3" s="1"/>
  <c r="AA817" i="3" s="1"/>
  <c r="AB817" i="3" s="1"/>
  <c r="M818" i="3" l="1"/>
  <c r="C817" i="4"/>
  <c r="AC817" i="3"/>
  <c r="AD817" i="3" s="1"/>
  <c r="H817" i="4" l="1"/>
  <c r="G817" i="4"/>
  <c r="I817" i="4" s="1"/>
  <c r="J817" i="4" s="1"/>
  <c r="AI818" i="3"/>
  <c r="N818" i="3"/>
  <c r="P818" i="3" s="1"/>
  <c r="Q818" i="3" s="1"/>
  <c r="O818" i="3"/>
  <c r="L818" i="4" l="1"/>
  <c r="V818" i="3"/>
  <c r="K817" i="4"/>
  <c r="M817" i="4"/>
  <c r="W818" i="3" l="1"/>
  <c r="X818" i="3"/>
  <c r="Y818" i="3" s="1"/>
  <c r="Z818" i="3" s="1"/>
  <c r="AA818" i="3" s="1"/>
  <c r="AB818" i="3" s="1"/>
  <c r="C818" i="4" l="1"/>
  <c r="M819" i="3"/>
  <c r="AC818" i="3"/>
  <c r="AD818" i="3" s="1"/>
  <c r="O819" i="3" l="1"/>
  <c r="N819" i="3"/>
  <c r="P819" i="3" s="1"/>
  <c r="Q819" i="3" s="1"/>
  <c r="AI819" i="3"/>
  <c r="H818" i="4"/>
  <c r="G818" i="4"/>
  <c r="I818" i="4" s="1"/>
  <c r="J818" i="4" s="1"/>
  <c r="L819" i="4" l="1"/>
  <c r="V819" i="3"/>
  <c r="M818" i="4"/>
  <c r="K818" i="4"/>
  <c r="W819" i="3" l="1"/>
  <c r="X819" i="3" s="1"/>
  <c r="Y819" i="3" s="1"/>
  <c r="Z819" i="3" s="1"/>
  <c r="AA819" i="3" s="1"/>
  <c r="AB819" i="3" s="1"/>
  <c r="M820" i="3" l="1"/>
  <c r="C819" i="4"/>
  <c r="AC819" i="3"/>
  <c r="AD819" i="3" s="1"/>
  <c r="G819" i="4" l="1"/>
  <c r="I819" i="4" s="1"/>
  <c r="J819" i="4" s="1"/>
  <c r="H819" i="4"/>
  <c r="AI820" i="3"/>
  <c r="O820" i="3"/>
  <c r="N820" i="3"/>
  <c r="P820" i="3" l="1"/>
  <c r="Q820" i="3" s="1"/>
  <c r="K819" i="4"/>
  <c r="M819" i="4"/>
  <c r="L820" i="4" l="1"/>
  <c r="V820" i="3"/>
  <c r="W820" i="3" l="1"/>
  <c r="X820" i="3" s="1"/>
  <c r="Y820" i="3" s="1"/>
  <c r="Z820" i="3" s="1"/>
  <c r="AA820" i="3" s="1"/>
  <c r="AB820" i="3" s="1"/>
  <c r="C820" i="4" l="1"/>
  <c r="AC820" i="3"/>
  <c r="AD820" i="3" s="1"/>
  <c r="M821" i="3"/>
  <c r="N821" i="3" l="1"/>
  <c r="AI821" i="3"/>
  <c r="O821" i="3"/>
  <c r="G820" i="4"/>
  <c r="I820" i="4" s="1"/>
  <c r="J820" i="4" s="1"/>
  <c r="H820" i="4"/>
  <c r="M820" i="4" l="1"/>
  <c r="K820" i="4"/>
  <c r="P821" i="3"/>
  <c r="Q821" i="3" s="1"/>
  <c r="L821" i="4" l="1"/>
  <c r="V821" i="3"/>
  <c r="W821" i="3" l="1"/>
  <c r="X821" i="3"/>
  <c r="Y821" i="3" s="1"/>
  <c r="Z821" i="3" s="1"/>
  <c r="AA821" i="3" s="1"/>
  <c r="AB821" i="3" s="1"/>
  <c r="M822" i="3" l="1"/>
  <c r="C821" i="4"/>
  <c r="AC821" i="3"/>
  <c r="AD821" i="3" s="1"/>
  <c r="G821" i="4" l="1"/>
  <c r="I821" i="4" s="1"/>
  <c r="J821" i="4" s="1"/>
  <c r="H821" i="4"/>
  <c r="N822" i="3"/>
  <c r="O822" i="3"/>
  <c r="AI822" i="3"/>
  <c r="P822" i="3" l="1"/>
  <c r="Q822" i="3" s="1"/>
  <c r="M821" i="4"/>
  <c r="K821" i="4"/>
  <c r="L822" i="4" l="1"/>
  <c r="V822" i="3"/>
  <c r="W822" i="3" l="1"/>
  <c r="X822" i="3"/>
  <c r="Y822" i="3" s="1"/>
  <c r="Z822" i="3" s="1"/>
  <c r="AA822" i="3" s="1"/>
  <c r="AB822" i="3" s="1"/>
  <c r="C822" i="4" l="1"/>
  <c r="M823" i="3"/>
  <c r="AC822" i="3"/>
  <c r="AD822" i="3" s="1"/>
  <c r="O823" i="3" l="1"/>
  <c r="N823" i="3"/>
  <c r="P823" i="3" s="1"/>
  <c r="Q823" i="3" s="1"/>
  <c r="AI823" i="3"/>
  <c r="G822" i="4"/>
  <c r="I822" i="4" s="1"/>
  <c r="J822" i="4" s="1"/>
  <c r="H822" i="4"/>
  <c r="M822" i="4" l="1"/>
  <c r="K822" i="4"/>
  <c r="L823" i="4"/>
  <c r="V823" i="3"/>
  <c r="W823" i="3" l="1"/>
  <c r="X823" i="3" s="1"/>
  <c r="Y823" i="3" s="1"/>
  <c r="Z823" i="3" s="1"/>
  <c r="AA823" i="3" s="1"/>
  <c r="AB823" i="3" s="1"/>
  <c r="M824" i="3" l="1"/>
  <c r="C823" i="4"/>
  <c r="AC823" i="3"/>
  <c r="AD823" i="3" s="1"/>
  <c r="H823" i="4" l="1"/>
  <c r="G823" i="4"/>
  <c r="I823" i="4" s="1"/>
  <c r="J823" i="4" s="1"/>
  <c r="O824" i="3"/>
  <c r="AI824" i="3"/>
  <c r="N824" i="3"/>
  <c r="M823" i="4" l="1"/>
  <c r="K823" i="4"/>
  <c r="P824" i="3"/>
  <c r="Q824" i="3" s="1"/>
  <c r="L824" i="4" l="1"/>
  <c r="V824" i="3"/>
  <c r="W824" i="3" l="1"/>
  <c r="X824" i="3"/>
  <c r="Y824" i="3" s="1"/>
  <c r="Z824" i="3" s="1"/>
  <c r="AA824" i="3" s="1"/>
  <c r="AB824" i="3" s="1"/>
  <c r="C824" i="4" l="1"/>
  <c r="M825" i="3"/>
  <c r="AC824" i="3"/>
  <c r="AD824" i="3" s="1"/>
  <c r="O825" i="3" l="1"/>
  <c r="AI825" i="3"/>
  <c r="N825" i="3"/>
  <c r="P825" i="3" s="1"/>
  <c r="Q825" i="3" s="1"/>
  <c r="G824" i="4"/>
  <c r="I824" i="4" s="1"/>
  <c r="J824" i="4" s="1"/>
  <c r="H824" i="4"/>
  <c r="M824" i="4" l="1"/>
  <c r="K824" i="4"/>
  <c r="L825" i="4"/>
  <c r="V825" i="3"/>
  <c r="W825" i="3" l="1"/>
  <c r="X825" i="3"/>
  <c r="Y825" i="3" s="1"/>
  <c r="Z825" i="3" s="1"/>
  <c r="AA825" i="3" s="1"/>
  <c r="AB825" i="3" s="1"/>
  <c r="C825" i="4" l="1"/>
  <c r="M826" i="3"/>
  <c r="AC825" i="3"/>
  <c r="AD825" i="3" s="1"/>
  <c r="O826" i="3" l="1"/>
  <c r="N826" i="3"/>
  <c r="P826" i="3" s="1"/>
  <c r="Q826" i="3" s="1"/>
  <c r="AI826" i="3"/>
  <c r="H825" i="4"/>
  <c r="G825" i="4"/>
  <c r="I825" i="4" s="1"/>
  <c r="J825" i="4" s="1"/>
  <c r="L826" i="4" l="1"/>
  <c r="C44" i="5" s="1"/>
  <c r="N44" i="5" s="1"/>
  <c r="V826" i="3"/>
  <c r="K825" i="4"/>
  <c r="M825" i="4"/>
  <c r="W826" i="3" l="1"/>
  <c r="X826" i="3"/>
  <c r="Y826" i="3" s="1"/>
  <c r="Z826" i="3" s="1"/>
  <c r="AA826" i="3" s="1"/>
  <c r="AB826" i="3" s="1"/>
  <c r="M827" i="3" l="1"/>
  <c r="AC826" i="3"/>
  <c r="AD826" i="3" s="1"/>
  <c r="C826" i="4"/>
  <c r="H826" i="4" l="1"/>
  <c r="G826" i="4"/>
  <c r="I826" i="4" s="1"/>
  <c r="J826" i="4" s="1"/>
  <c r="AI827" i="3"/>
  <c r="O827" i="3"/>
  <c r="N827" i="3"/>
  <c r="K826" i="4" l="1"/>
  <c r="E44" i="5" s="1"/>
  <c r="M826" i="4"/>
  <c r="D44" i="5"/>
  <c r="P827" i="3"/>
  <c r="Q827" i="3" s="1"/>
  <c r="L827" i="4" l="1"/>
  <c r="V827" i="3"/>
  <c r="W827" i="3" l="1"/>
  <c r="X827" i="3" s="1"/>
  <c r="Y827" i="3" s="1"/>
  <c r="Z827" i="3" s="1"/>
  <c r="AA827" i="3" s="1"/>
  <c r="AB827" i="3" s="1"/>
  <c r="M828" i="3" l="1"/>
  <c r="AC827" i="3"/>
  <c r="AD827" i="3" s="1"/>
  <c r="C827" i="4"/>
  <c r="H827" i="4" l="1"/>
  <c r="G827" i="4"/>
  <c r="I827" i="4" s="1"/>
  <c r="J827" i="4" s="1"/>
  <c r="N828" i="3"/>
  <c r="O828" i="3"/>
  <c r="AI828" i="3"/>
  <c r="P828" i="3" l="1"/>
  <c r="Q828" i="3" s="1"/>
  <c r="M827" i="4"/>
  <c r="K827" i="4"/>
  <c r="L828" i="4" l="1"/>
  <c r="V828" i="3"/>
  <c r="W828" i="3" l="1"/>
  <c r="X828" i="3"/>
  <c r="Y828" i="3" s="1"/>
  <c r="Z828" i="3" s="1"/>
  <c r="AA828" i="3" s="1"/>
  <c r="AB828" i="3" s="1"/>
  <c r="AC828" i="3" l="1"/>
  <c r="AD828" i="3" s="1"/>
  <c r="C828" i="4"/>
  <c r="M829" i="3"/>
  <c r="O829" i="3" l="1"/>
  <c r="N829" i="3"/>
  <c r="P829" i="3" s="1"/>
  <c r="Q829" i="3" s="1"/>
  <c r="AI829" i="3"/>
  <c r="G828" i="4"/>
  <c r="I828" i="4" s="1"/>
  <c r="J828" i="4" s="1"/>
  <c r="H828" i="4"/>
  <c r="M828" i="4" l="1"/>
  <c r="K828" i="4"/>
  <c r="L829" i="4"/>
  <c r="V829" i="3"/>
  <c r="W829" i="3" l="1"/>
  <c r="X829" i="3" s="1"/>
  <c r="Y829" i="3" s="1"/>
  <c r="Z829" i="3" s="1"/>
  <c r="AA829" i="3" s="1"/>
  <c r="AB829" i="3" s="1"/>
  <c r="AC829" i="3" l="1"/>
  <c r="AD829" i="3" s="1"/>
  <c r="C829" i="4"/>
  <c r="M830" i="3"/>
  <c r="AI830" i="3" l="1"/>
  <c r="O830" i="3"/>
  <c r="N830" i="3"/>
  <c r="P830" i="3" s="1"/>
  <c r="Q830" i="3" s="1"/>
  <c r="G829" i="4"/>
  <c r="I829" i="4" s="1"/>
  <c r="J829" i="4" s="1"/>
  <c r="H829" i="4"/>
  <c r="M829" i="4" l="1"/>
  <c r="K829" i="4"/>
  <c r="L830" i="4"/>
  <c r="V830" i="3"/>
  <c r="W830" i="3" l="1"/>
  <c r="X830" i="3"/>
  <c r="Y830" i="3" s="1"/>
  <c r="Z830" i="3" s="1"/>
  <c r="AA830" i="3" s="1"/>
  <c r="AB830" i="3" s="1"/>
  <c r="C830" i="4" l="1"/>
  <c r="AC830" i="3"/>
  <c r="AD830" i="3" s="1"/>
  <c r="M831" i="3"/>
  <c r="AI831" i="3" l="1"/>
  <c r="N831" i="3"/>
  <c r="O831" i="3"/>
  <c r="H830" i="4"/>
  <c r="G830" i="4"/>
  <c r="I830" i="4" s="1"/>
  <c r="J830" i="4" s="1"/>
  <c r="P831" i="3" l="1"/>
  <c r="Q831" i="3" s="1"/>
  <c r="M830" i="4"/>
  <c r="K830" i="4"/>
  <c r="L831" i="4" l="1"/>
  <c r="V831" i="3"/>
  <c r="W831" i="3" l="1"/>
  <c r="X831" i="3" s="1"/>
  <c r="Y831" i="3" s="1"/>
  <c r="Z831" i="3" s="1"/>
  <c r="AA831" i="3" s="1"/>
  <c r="AB831" i="3" s="1"/>
  <c r="M832" i="3" l="1"/>
  <c r="AC831" i="3"/>
  <c r="AD831" i="3" s="1"/>
  <c r="C831" i="4"/>
  <c r="G831" i="4" l="1"/>
  <c r="I831" i="4" s="1"/>
  <c r="J831" i="4" s="1"/>
  <c r="H831" i="4"/>
  <c r="AI832" i="3"/>
  <c r="O832" i="3"/>
  <c r="N832" i="3"/>
  <c r="P832" i="3" l="1"/>
  <c r="Q832" i="3" s="1"/>
  <c r="M831" i="4"/>
  <c r="K831" i="4"/>
  <c r="L832" i="4" l="1"/>
  <c r="V832" i="3"/>
  <c r="W832" i="3" l="1"/>
  <c r="X832" i="3" s="1"/>
  <c r="Y832" i="3" s="1"/>
  <c r="Z832" i="3" s="1"/>
  <c r="AA832" i="3" s="1"/>
  <c r="AB832" i="3" s="1"/>
  <c r="M833" i="3" l="1"/>
  <c r="C832" i="4"/>
  <c r="AC832" i="3"/>
  <c r="AD832" i="3" s="1"/>
  <c r="G832" i="4" l="1"/>
  <c r="I832" i="4" s="1"/>
  <c r="J832" i="4" s="1"/>
  <c r="H832" i="4"/>
  <c r="AI833" i="3"/>
  <c r="O833" i="3"/>
  <c r="N833" i="3"/>
  <c r="P833" i="3" l="1"/>
  <c r="Q833" i="3" s="1"/>
  <c r="M832" i="4"/>
  <c r="K832" i="4"/>
  <c r="L833" i="4" l="1"/>
  <c r="V833" i="3"/>
  <c r="W833" i="3" l="1"/>
  <c r="X833" i="3" s="1"/>
  <c r="Y833" i="3" s="1"/>
  <c r="Z833" i="3" s="1"/>
  <c r="AA833" i="3" s="1"/>
  <c r="AB833" i="3" s="1"/>
  <c r="M834" i="3" l="1"/>
  <c r="AC833" i="3"/>
  <c r="AD833" i="3" s="1"/>
  <c r="C833" i="4"/>
  <c r="H833" i="4" l="1"/>
  <c r="G833" i="4"/>
  <c r="I833" i="4" s="1"/>
  <c r="J833" i="4" s="1"/>
  <c r="AI834" i="3"/>
  <c r="O834" i="3"/>
  <c r="N834" i="3"/>
  <c r="K833" i="4" l="1"/>
  <c r="M833" i="4"/>
  <c r="P834" i="3"/>
  <c r="Q834" i="3" s="1"/>
  <c r="L834" i="4" l="1"/>
  <c r="V834" i="3"/>
  <c r="W834" i="3" l="1"/>
  <c r="X834" i="3"/>
  <c r="Y834" i="3" s="1"/>
  <c r="Z834" i="3" s="1"/>
  <c r="AA834" i="3" s="1"/>
  <c r="AB834" i="3" s="1"/>
  <c r="C834" i="4" l="1"/>
  <c r="AC834" i="3"/>
  <c r="AD834" i="3" s="1"/>
  <c r="M835" i="3"/>
  <c r="AI835" i="3" l="1"/>
  <c r="O835" i="3"/>
  <c r="N835" i="3"/>
  <c r="P835" i="3" s="1"/>
  <c r="Q835" i="3" s="1"/>
  <c r="H834" i="4"/>
  <c r="G834" i="4"/>
  <c r="I834" i="4" s="1"/>
  <c r="J834" i="4" s="1"/>
  <c r="L835" i="4" l="1"/>
  <c r="V835" i="3"/>
  <c r="M834" i="4"/>
  <c r="K834" i="4"/>
  <c r="W835" i="3" l="1"/>
  <c r="X835" i="3" s="1"/>
  <c r="Y835" i="3" s="1"/>
  <c r="Z835" i="3" s="1"/>
  <c r="AA835" i="3" s="1"/>
  <c r="AB835" i="3" s="1"/>
  <c r="C835" i="4" l="1"/>
  <c r="AC835" i="3"/>
  <c r="AD835" i="3" s="1"/>
  <c r="M836" i="3"/>
  <c r="O836" i="3" l="1"/>
  <c r="AI836" i="3"/>
  <c r="N836" i="3"/>
  <c r="P836" i="3" s="1"/>
  <c r="Q836" i="3" s="1"/>
  <c r="H835" i="4"/>
  <c r="G835" i="4"/>
  <c r="I835" i="4" s="1"/>
  <c r="J835" i="4" s="1"/>
  <c r="L836" i="4" l="1"/>
  <c r="V836" i="3"/>
  <c r="M835" i="4"/>
  <c r="K835" i="4"/>
  <c r="W836" i="3" l="1"/>
  <c r="X836" i="3"/>
  <c r="Y836" i="3" s="1"/>
  <c r="Z836" i="3" s="1"/>
  <c r="AA836" i="3" s="1"/>
  <c r="AB836" i="3" s="1"/>
  <c r="C836" i="4" l="1"/>
  <c r="AC836" i="3"/>
  <c r="AD836" i="3" s="1"/>
  <c r="M837" i="3"/>
  <c r="N837" i="3" l="1"/>
  <c r="O837" i="3"/>
  <c r="AI837" i="3"/>
  <c r="G836" i="4"/>
  <c r="I836" i="4" s="1"/>
  <c r="J836" i="4" s="1"/>
  <c r="H836" i="4"/>
  <c r="K836" i="4" l="1"/>
  <c r="M836" i="4"/>
  <c r="P837" i="3"/>
  <c r="Q837" i="3" s="1"/>
  <c r="L837" i="4" l="1"/>
  <c r="V837" i="3"/>
  <c r="W837" i="3" l="1"/>
  <c r="X837" i="3" s="1"/>
  <c r="Y837" i="3" s="1"/>
  <c r="Z837" i="3" s="1"/>
  <c r="AA837" i="3" s="1"/>
  <c r="AB837" i="3" s="1"/>
  <c r="AC837" i="3" l="1"/>
  <c r="AD837" i="3" s="1"/>
  <c r="M838" i="3"/>
  <c r="C837" i="4"/>
  <c r="G837" i="4" l="1"/>
  <c r="I837" i="4" s="1"/>
  <c r="J837" i="4" s="1"/>
  <c r="H837" i="4"/>
  <c r="N838" i="3"/>
  <c r="P838" i="3" s="1"/>
  <c r="Q838" i="3" s="1"/>
  <c r="AI838" i="3"/>
  <c r="O838" i="3"/>
  <c r="L838" i="4" l="1"/>
  <c r="V838" i="3"/>
  <c r="K837" i="4"/>
  <c r="M837" i="4"/>
  <c r="W838" i="3" l="1"/>
  <c r="X838" i="3"/>
  <c r="Y838" i="3" s="1"/>
  <c r="Z838" i="3" s="1"/>
  <c r="AA838" i="3" s="1"/>
  <c r="AB838" i="3" s="1"/>
  <c r="AC838" i="3" l="1"/>
  <c r="AD838" i="3" s="1"/>
  <c r="C838" i="4"/>
  <c r="M839" i="3"/>
  <c r="N839" i="3" l="1"/>
  <c r="AI839" i="3"/>
  <c r="O839" i="3"/>
  <c r="G838" i="4"/>
  <c r="I838" i="4" s="1"/>
  <c r="J838" i="4" s="1"/>
  <c r="H838" i="4"/>
  <c r="K838" i="4" l="1"/>
  <c r="M838" i="4"/>
  <c r="P839" i="3"/>
  <c r="Q839" i="3" s="1"/>
  <c r="L839" i="4" l="1"/>
  <c r="V839" i="3"/>
  <c r="W839" i="3" l="1"/>
  <c r="X839" i="3" s="1"/>
  <c r="Y839" i="3" s="1"/>
  <c r="Z839" i="3" s="1"/>
  <c r="AA839" i="3" s="1"/>
  <c r="AB839" i="3" s="1"/>
  <c r="M840" i="3" l="1"/>
  <c r="C839" i="4"/>
  <c r="AC839" i="3"/>
  <c r="AD839" i="3" s="1"/>
  <c r="H839" i="4" l="1"/>
  <c r="G839" i="4"/>
  <c r="I839" i="4" s="1"/>
  <c r="J839" i="4" s="1"/>
  <c r="O840" i="3"/>
  <c r="N840" i="3"/>
  <c r="P840" i="3" s="1"/>
  <c r="Q840" i="3" s="1"/>
  <c r="AI840" i="3"/>
  <c r="L840" i="4" l="1"/>
  <c r="V840" i="3"/>
  <c r="K839" i="4"/>
  <c r="M839" i="4"/>
  <c r="W840" i="3" l="1"/>
  <c r="X840" i="3" s="1"/>
  <c r="Y840" i="3" s="1"/>
  <c r="Z840" i="3" s="1"/>
  <c r="AA840" i="3" s="1"/>
  <c r="AB840" i="3" s="1"/>
  <c r="M841" i="3" l="1"/>
  <c r="C840" i="4"/>
  <c r="AC840" i="3"/>
  <c r="AD840" i="3" s="1"/>
  <c r="G840" i="4" l="1"/>
  <c r="I840" i="4" s="1"/>
  <c r="J840" i="4" s="1"/>
  <c r="H840" i="4"/>
  <c r="O841" i="3"/>
  <c r="AI841" i="3"/>
  <c r="N841" i="3"/>
  <c r="P841" i="3" l="1"/>
  <c r="Q841" i="3" s="1"/>
  <c r="M840" i="4"/>
  <c r="K840" i="4"/>
  <c r="L841" i="4" l="1"/>
  <c r="V841" i="3"/>
  <c r="W841" i="3" l="1"/>
  <c r="X841" i="3"/>
  <c r="Y841" i="3" s="1"/>
  <c r="Z841" i="3" s="1"/>
  <c r="AA841" i="3" s="1"/>
  <c r="AB841" i="3" s="1"/>
  <c r="AC841" i="3" l="1"/>
  <c r="AD841" i="3" s="1"/>
  <c r="C841" i="4"/>
  <c r="M842" i="3"/>
  <c r="AI842" i="3" l="1"/>
  <c r="O842" i="3"/>
  <c r="N842" i="3"/>
  <c r="P842" i="3" s="1"/>
  <c r="Q842" i="3" s="1"/>
  <c r="G841" i="4"/>
  <c r="I841" i="4" s="1"/>
  <c r="J841" i="4" s="1"/>
  <c r="H841" i="4"/>
  <c r="K841" i="4" l="1"/>
  <c r="M841" i="4"/>
  <c r="L842" i="4"/>
  <c r="V842" i="3"/>
  <c r="W842" i="3" l="1"/>
  <c r="X842" i="3"/>
  <c r="Y842" i="3" s="1"/>
  <c r="Z842" i="3" s="1"/>
  <c r="AA842" i="3" s="1"/>
  <c r="AB842" i="3" s="1"/>
  <c r="C842" i="4" l="1"/>
  <c r="M843" i="3"/>
  <c r="AC842" i="3"/>
  <c r="AD842" i="3" s="1"/>
  <c r="AI843" i="3" l="1"/>
  <c r="N843" i="3"/>
  <c r="O843" i="3"/>
  <c r="G842" i="4"/>
  <c r="I842" i="4" s="1"/>
  <c r="J842" i="4" s="1"/>
  <c r="H842" i="4"/>
  <c r="M842" i="4" l="1"/>
  <c r="K842" i="4"/>
  <c r="P843" i="3"/>
  <c r="Q843" i="3" s="1"/>
  <c r="L843" i="4" l="1"/>
  <c r="V843" i="3"/>
  <c r="W843" i="3" l="1"/>
  <c r="X843" i="3" s="1"/>
  <c r="Y843" i="3" s="1"/>
  <c r="Z843" i="3" s="1"/>
  <c r="AA843" i="3" s="1"/>
  <c r="AB843" i="3" s="1"/>
  <c r="M844" i="3" l="1"/>
  <c r="C843" i="4"/>
  <c r="AC843" i="3"/>
  <c r="AD843" i="3" s="1"/>
  <c r="H843" i="4" l="1"/>
  <c r="G843" i="4"/>
  <c r="I843" i="4" s="1"/>
  <c r="J843" i="4" s="1"/>
  <c r="AI844" i="3"/>
  <c r="O844" i="3"/>
  <c r="N844" i="3"/>
  <c r="K843" i="4" l="1"/>
  <c r="M843" i="4"/>
  <c r="P844" i="3"/>
  <c r="Q844" i="3" s="1"/>
  <c r="L844" i="4" l="1"/>
  <c r="V844" i="3"/>
  <c r="W844" i="3" l="1"/>
  <c r="X844" i="3"/>
  <c r="Y844" i="3" s="1"/>
  <c r="Z844" i="3" s="1"/>
  <c r="AA844" i="3" s="1"/>
  <c r="AB844" i="3" s="1"/>
  <c r="M845" i="3" l="1"/>
  <c r="C844" i="4"/>
  <c r="AC844" i="3"/>
  <c r="AD844" i="3" s="1"/>
  <c r="G844" i="4" l="1"/>
  <c r="I844" i="4" s="1"/>
  <c r="J844" i="4" s="1"/>
  <c r="H844" i="4"/>
  <c r="O845" i="3"/>
  <c r="N845" i="3"/>
  <c r="P845" i="3" s="1"/>
  <c r="Q845" i="3" s="1"/>
  <c r="AI845" i="3"/>
  <c r="L845" i="4" l="1"/>
  <c r="V845" i="3"/>
  <c r="K844" i="4"/>
  <c r="M844" i="4"/>
  <c r="W845" i="3" l="1"/>
  <c r="X845" i="3" s="1"/>
  <c r="Y845" i="3" s="1"/>
  <c r="Z845" i="3" s="1"/>
  <c r="AA845" i="3" s="1"/>
  <c r="AB845" i="3" s="1"/>
  <c r="C845" i="4" l="1"/>
  <c r="M846" i="3"/>
  <c r="AC845" i="3"/>
  <c r="AD845" i="3" s="1"/>
  <c r="AI846" i="3" l="1"/>
  <c r="O846" i="3"/>
  <c r="N846" i="3"/>
  <c r="P846" i="3" s="1"/>
  <c r="Q846" i="3" s="1"/>
  <c r="G845" i="4"/>
  <c r="I845" i="4" s="1"/>
  <c r="J845" i="4" s="1"/>
  <c r="H845" i="4"/>
  <c r="M845" i="4" l="1"/>
  <c r="K845" i="4"/>
  <c r="L846" i="4"/>
  <c r="V846" i="3"/>
  <c r="W846" i="3" l="1"/>
  <c r="X846" i="3"/>
  <c r="Y846" i="3" s="1"/>
  <c r="Z846" i="3" s="1"/>
  <c r="AA846" i="3" s="1"/>
  <c r="AB846" i="3" s="1"/>
  <c r="C846" i="4" l="1"/>
  <c r="M847" i="3"/>
  <c r="AC846" i="3"/>
  <c r="AD846" i="3" s="1"/>
  <c r="AI847" i="3" l="1"/>
  <c r="N847" i="3"/>
  <c r="O847" i="3"/>
  <c r="H846" i="4"/>
  <c r="G846" i="4"/>
  <c r="I846" i="4" s="1"/>
  <c r="J846" i="4" s="1"/>
  <c r="P847" i="3" l="1"/>
  <c r="Q847" i="3" s="1"/>
  <c r="K846" i="4"/>
  <c r="M846" i="4"/>
  <c r="L847" i="4" l="1"/>
  <c r="V847" i="3"/>
  <c r="W847" i="3" l="1"/>
  <c r="X847" i="3" s="1"/>
  <c r="Y847" i="3" s="1"/>
  <c r="Z847" i="3" s="1"/>
  <c r="AA847" i="3" s="1"/>
  <c r="AB847" i="3" s="1"/>
  <c r="M848" i="3" l="1"/>
  <c r="C847" i="4"/>
  <c r="AC847" i="3"/>
  <c r="AD847" i="3" s="1"/>
  <c r="H847" i="4" l="1"/>
  <c r="G847" i="4"/>
  <c r="I847" i="4" s="1"/>
  <c r="J847" i="4" s="1"/>
  <c r="AI848" i="3"/>
  <c r="N848" i="3"/>
  <c r="P848" i="3" s="1"/>
  <c r="Q848" i="3" s="1"/>
  <c r="O848" i="3"/>
  <c r="L848" i="4" l="1"/>
  <c r="V848" i="3"/>
  <c r="K847" i="4"/>
  <c r="M847" i="4"/>
  <c r="W848" i="3" l="1"/>
  <c r="X848" i="3"/>
  <c r="Y848" i="3" s="1"/>
  <c r="Z848" i="3" s="1"/>
  <c r="AA848" i="3" s="1"/>
  <c r="AB848" i="3" s="1"/>
  <c r="M849" i="3" l="1"/>
  <c r="C848" i="4"/>
  <c r="AC848" i="3"/>
  <c r="AD848" i="3" s="1"/>
  <c r="H848" i="4" l="1"/>
  <c r="G848" i="4"/>
  <c r="I848" i="4" s="1"/>
  <c r="J848" i="4" s="1"/>
  <c r="AI849" i="3"/>
  <c r="N849" i="3"/>
  <c r="P849" i="3" s="1"/>
  <c r="Q849" i="3" s="1"/>
  <c r="O849" i="3"/>
  <c r="L849" i="4" l="1"/>
  <c r="V849" i="3"/>
  <c r="M848" i="4"/>
  <c r="K848" i="4"/>
  <c r="W849" i="3" l="1"/>
  <c r="X849" i="3"/>
  <c r="Y849" i="3" s="1"/>
  <c r="Z849" i="3" s="1"/>
  <c r="AA849" i="3" s="1"/>
  <c r="AB849" i="3" s="1"/>
  <c r="C849" i="4" l="1"/>
  <c r="AC849" i="3"/>
  <c r="AD849" i="3" s="1"/>
  <c r="M850" i="3"/>
  <c r="AI850" i="3" l="1"/>
  <c r="O850" i="3"/>
  <c r="N850" i="3"/>
  <c r="P850" i="3" s="1"/>
  <c r="Q850" i="3" s="1"/>
  <c r="G849" i="4"/>
  <c r="I849" i="4" s="1"/>
  <c r="J849" i="4" s="1"/>
  <c r="H849" i="4"/>
  <c r="K849" i="4" l="1"/>
  <c r="M849" i="4"/>
  <c r="L850" i="4"/>
  <c r="V850" i="3"/>
  <c r="W850" i="3" l="1"/>
  <c r="X850" i="3"/>
  <c r="Y850" i="3" s="1"/>
  <c r="Z850" i="3" s="1"/>
  <c r="AA850" i="3" s="1"/>
  <c r="AB850" i="3" s="1"/>
  <c r="C850" i="4" l="1"/>
  <c r="M851" i="3"/>
  <c r="AC850" i="3"/>
  <c r="AD850" i="3" s="1"/>
  <c r="AI851" i="3" l="1"/>
  <c r="O851" i="3"/>
  <c r="N851" i="3"/>
  <c r="P851" i="3" s="1"/>
  <c r="Q851" i="3" s="1"/>
  <c r="G850" i="4"/>
  <c r="I850" i="4" s="1"/>
  <c r="J850" i="4" s="1"/>
  <c r="H850" i="4"/>
  <c r="M850" i="4" l="1"/>
  <c r="K850" i="4"/>
  <c r="L851" i="4"/>
  <c r="V851" i="3"/>
  <c r="W851" i="3" l="1"/>
  <c r="X851" i="3" s="1"/>
  <c r="Y851" i="3" s="1"/>
  <c r="Z851" i="3" s="1"/>
  <c r="AA851" i="3" s="1"/>
  <c r="AB851" i="3" s="1"/>
  <c r="C851" i="4" l="1"/>
  <c r="M852" i="3"/>
  <c r="AC851" i="3"/>
  <c r="AD851" i="3" s="1"/>
  <c r="O852" i="3" l="1"/>
  <c r="AI852" i="3"/>
  <c r="N852" i="3"/>
  <c r="P852" i="3" s="1"/>
  <c r="Q852" i="3" s="1"/>
  <c r="H851" i="4"/>
  <c r="G851" i="4"/>
  <c r="I851" i="4" s="1"/>
  <c r="J851" i="4" s="1"/>
  <c r="L852" i="4" l="1"/>
  <c r="V852" i="3"/>
  <c r="K851" i="4"/>
  <c r="M851" i="4"/>
  <c r="W852" i="3" l="1"/>
  <c r="X852" i="3"/>
  <c r="Y852" i="3" s="1"/>
  <c r="Z852" i="3" s="1"/>
  <c r="AA852" i="3" s="1"/>
  <c r="AB852" i="3" s="1"/>
  <c r="M853" i="3" l="1"/>
  <c r="AC852" i="3"/>
  <c r="AD852" i="3" s="1"/>
  <c r="C852" i="4"/>
  <c r="H852" i="4" l="1"/>
  <c r="G852" i="4"/>
  <c r="I852" i="4" s="1"/>
  <c r="J852" i="4" s="1"/>
  <c r="N853" i="3"/>
  <c r="P853" i="3" s="1"/>
  <c r="Q853" i="3" s="1"/>
  <c r="AI853" i="3"/>
  <c r="O853" i="3"/>
  <c r="L853" i="4" l="1"/>
  <c r="V853" i="3"/>
  <c r="K852" i="4"/>
  <c r="M852" i="4"/>
  <c r="W853" i="3" l="1"/>
  <c r="X853" i="3" s="1"/>
  <c r="Y853" i="3" s="1"/>
  <c r="Z853" i="3" s="1"/>
  <c r="AA853" i="3" s="1"/>
  <c r="AB853" i="3" s="1"/>
  <c r="M854" i="3" l="1"/>
  <c r="C853" i="4"/>
  <c r="AC853" i="3"/>
  <c r="AD853" i="3" s="1"/>
  <c r="H853" i="4" l="1"/>
  <c r="G853" i="4"/>
  <c r="I853" i="4" s="1"/>
  <c r="J853" i="4" s="1"/>
  <c r="AI854" i="3"/>
  <c r="O854" i="3"/>
  <c r="N854" i="3"/>
  <c r="K853" i="4" l="1"/>
  <c r="M853" i="4"/>
  <c r="P854" i="3"/>
  <c r="Q854" i="3" s="1"/>
  <c r="L854" i="4" l="1"/>
  <c r="V854" i="3"/>
  <c r="W854" i="3" l="1"/>
  <c r="X854" i="3"/>
  <c r="Y854" i="3" s="1"/>
  <c r="Z854" i="3" s="1"/>
  <c r="AA854" i="3" s="1"/>
  <c r="AB854" i="3" s="1"/>
  <c r="C854" i="4" l="1"/>
  <c r="AC854" i="3"/>
  <c r="AD854" i="3" s="1"/>
  <c r="M855" i="3"/>
  <c r="O855" i="3" l="1"/>
  <c r="AI855" i="3"/>
  <c r="N855" i="3"/>
  <c r="P855" i="3" s="1"/>
  <c r="Q855" i="3" s="1"/>
  <c r="G854" i="4"/>
  <c r="I854" i="4" s="1"/>
  <c r="J854" i="4" s="1"/>
  <c r="H854" i="4"/>
  <c r="M854" i="4" l="1"/>
  <c r="K854" i="4"/>
  <c r="L855" i="4"/>
  <c r="V855" i="3"/>
  <c r="W855" i="3" l="1"/>
  <c r="X855" i="3" s="1"/>
  <c r="Y855" i="3" s="1"/>
  <c r="Z855" i="3" s="1"/>
  <c r="AA855" i="3" s="1"/>
  <c r="AB855" i="3" s="1"/>
  <c r="C855" i="4" l="1"/>
  <c r="M856" i="3"/>
  <c r="AC855" i="3"/>
  <c r="AD855" i="3" s="1"/>
  <c r="AI856" i="3" l="1"/>
  <c r="N856" i="3"/>
  <c r="O856" i="3"/>
  <c r="H855" i="4"/>
  <c r="G855" i="4"/>
  <c r="I855" i="4" s="1"/>
  <c r="J855" i="4" s="1"/>
  <c r="P856" i="3" l="1"/>
  <c r="Q856" i="3" s="1"/>
  <c r="K855" i="4"/>
  <c r="M855" i="4"/>
  <c r="L856" i="4" l="1"/>
  <c r="V856" i="3"/>
  <c r="W856" i="3" l="1"/>
  <c r="X856" i="3" s="1"/>
  <c r="Y856" i="3" s="1"/>
  <c r="Z856" i="3" s="1"/>
  <c r="AA856" i="3" s="1"/>
  <c r="AB856" i="3" s="1"/>
  <c r="M857" i="3" l="1"/>
  <c r="AC856" i="3"/>
  <c r="AD856" i="3" s="1"/>
  <c r="C856" i="4"/>
  <c r="H856" i="4" l="1"/>
  <c r="G856" i="4"/>
  <c r="I856" i="4" s="1"/>
  <c r="J856" i="4" s="1"/>
  <c r="O857" i="3"/>
  <c r="AI857" i="3"/>
  <c r="N857" i="3"/>
  <c r="K856" i="4" l="1"/>
  <c r="M856" i="4"/>
  <c r="P857" i="3"/>
  <c r="Q857" i="3" s="1"/>
  <c r="L857" i="4" l="1"/>
  <c r="V857" i="3"/>
  <c r="W857" i="3" l="1"/>
  <c r="X857" i="3"/>
  <c r="Y857" i="3" s="1"/>
  <c r="Z857" i="3" s="1"/>
  <c r="AA857" i="3" s="1"/>
  <c r="AB857" i="3" s="1"/>
  <c r="AC857" i="3" l="1"/>
  <c r="AD857" i="3" s="1"/>
  <c r="C857" i="4"/>
  <c r="M858" i="3"/>
  <c r="AI858" i="3" l="1"/>
  <c r="N858" i="3"/>
  <c r="O858" i="3"/>
  <c r="H857" i="4"/>
  <c r="G857" i="4"/>
  <c r="I857" i="4" s="1"/>
  <c r="J857" i="4" s="1"/>
  <c r="P858" i="3" l="1"/>
  <c r="Q858" i="3" s="1"/>
  <c r="M857" i="4"/>
  <c r="K857" i="4"/>
  <c r="L858" i="4" l="1"/>
  <c r="V858" i="3"/>
  <c r="W858" i="3" l="1"/>
  <c r="X858" i="3"/>
  <c r="Y858" i="3" s="1"/>
  <c r="Z858" i="3" s="1"/>
  <c r="AA858" i="3" s="1"/>
  <c r="AB858" i="3" s="1"/>
  <c r="AC858" i="3" l="1"/>
  <c r="AD858" i="3" s="1"/>
  <c r="C858" i="4"/>
  <c r="M859" i="3"/>
  <c r="O859" i="3" l="1"/>
  <c r="N859" i="3"/>
  <c r="P859" i="3" s="1"/>
  <c r="Q859" i="3" s="1"/>
  <c r="AI859" i="3"/>
  <c r="G858" i="4"/>
  <c r="I858" i="4" s="1"/>
  <c r="J858" i="4" s="1"/>
  <c r="H858" i="4"/>
  <c r="M858" i="4" l="1"/>
  <c r="K858" i="4"/>
  <c r="L859" i="4"/>
  <c r="V859" i="3"/>
  <c r="W859" i="3" l="1"/>
  <c r="X859" i="3" s="1"/>
  <c r="Y859" i="3" s="1"/>
  <c r="Z859" i="3" s="1"/>
  <c r="AA859" i="3" s="1"/>
  <c r="AB859" i="3" s="1"/>
  <c r="C859" i="4" l="1"/>
  <c r="AC859" i="3"/>
  <c r="AD859" i="3" s="1"/>
  <c r="M860" i="3"/>
  <c r="O860" i="3" l="1"/>
  <c r="N860" i="3"/>
  <c r="P860" i="3" s="1"/>
  <c r="Q860" i="3" s="1"/>
  <c r="AI860" i="3"/>
  <c r="H859" i="4"/>
  <c r="G859" i="4"/>
  <c r="I859" i="4" s="1"/>
  <c r="J859" i="4" s="1"/>
  <c r="L860" i="4" l="1"/>
  <c r="V860" i="3"/>
  <c r="K859" i="4"/>
  <c r="M859" i="4"/>
  <c r="W860" i="3" l="1"/>
  <c r="X860" i="3"/>
  <c r="Y860" i="3" s="1"/>
  <c r="Z860" i="3" s="1"/>
  <c r="AA860" i="3" s="1"/>
  <c r="AB860" i="3" s="1"/>
  <c r="AC860" i="3" l="1"/>
  <c r="AD860" i="3" s="1"/>
  <c r="M861" i="3"/>
  <c r="C860" i="4"/>
  <c r="G860" i="4" l="1"/>
  <c r="I860" i="4" s="1"/>
  <c r="J860" i="4" s="1"/>
  <c r="H860" i="4"/>
  <c r="N861" i="3"/>
  <c r="O861" i="3"/>
  <c r="AI861" i="3"/>
  <c r="P861" i="3" l="1"/>
  <c r="Q861" i="3" s="1"/>
  <c r="M860" i="4"/>
  <c r="K860" i="4"/>
  <c r="L861" i="4" l="1"/>
  <c r="V861" i="3"/>
  <c r="W861" i="3" l="1"/>
  <c r="X861" i="3"/>
  <c r="Y861" i="3" s="1"/>
  <c r="Z861" i="3" s="1"/>
  <c r="AA861" i="3" s="1"/>
  <c r="AB861" i="3" s="1"/>
  <c r="C861" i="4" l="1"/>
  <c r="M862" i="3"/>
  <c r="AC861" i="3"/>
  <c r="AD861" i="3" s="1"/>
  <c r="N862" i="3" l="1"/>
  <c r="O862" i="3"/>
  <c r="AI862" i="3"/>
  <c r="G861" i="4"/>
  <c r="I861" i="4" s="1"/>
  <c r="J861" i="4" s="1"/>
  <c r="H861" i="4"/>
  <c r="K861" i="4" l="1"/>
  <c r="M861" i="4"/>
  <c r="P862" i="3"/>
  <c r="Q862" i="3" l="1"/>
  <c r="P863" i="3"/>
  <c r="C14" i="4" s="1"/>
  <c r="P19" i="3" l="1"/>
  <c r="Q863" i="3"/>
  <c r="K19" i="3"/>
  <c r="L862" i="4"/>
  <c r="V862" i="3"/>
  <c r="Q864" i="3" l="1"/>
  <c r="L863" i="4"/>
  <c r="W862" i="3"/>
  <c r="X862" i="3"/>
  <c r="Y862" i="3" s="1"/>
  <c r="Z862" i="3" s="1"/>
  <c r="AA862" i="3" s="1"/>
  <c r="AB862" i="3" s="1"/>
  <c r="AC862" i="3" l="1"/>
  <c r="AD862" i="3" s="1"/>
  <c r="AB864" i="3"/>
  <c r="C862" i="4"/>
  <c r="AB863" i="3"/>
  <c r="L864" i="4"/>
  <c r="Q865" i="3"/>
  <c r="L865" i="4" l="1"/>
  <c r="Q866" i="3"/>
  <c r="AC863" i="3"/>
  <c r="AD863" i="3" s="1"/>
  <c r="C863" i="4"/>
  <c r="G862" i="4"/>
  <c r="I862" i="4" s="1"/>
  <c r="J862" i="4" s="1"/>
  <c r="H862" i="4"/>
  <c r="AB865" i="3"/>
  <c r="AC864" i="3"/>
  <c r="AD864" i="3" s="1"/>
  <c r="C864" i="4"/>
  <c r="H863" i="4" l="1"/>
  <c r="G863" i="4"/>
  <c r="I863" i="4" s="1"/>
  <c r="J863" i="4" s="1"/>
  <c r="C865" i="4"/>
  <c r="AC865" i="3"/>
  <c r="AD865" i="3" s="1"/>
  <c r="L866" i="4"/>
  <c r="Q867" i="3"/>
  <c r="AB866" i="3"/>
  <c r="G864" i="4"/>
  <c r="I864" i="4" s="1"/>
  <c r="J864" i="4" s="1"/>
  <c r="H864" i="4"/>
  <c r="M862" i="4"/>
  <c r="K862" i="4"/>
  <c r="K864" i="4" l="1"/>
  <c r="M864" i="4"/>
  <c r="AC866" i="3"/>
  <c r="AD866" i="3" s="1"/>
  <c r="C866" i="4"/>
  <c r="G865" i="4"/>
  <c r="I865" i="4" s="1"/>
  <c r="J865" i="4" s="1"/>
  <c r="H865" i="4"/>
  <c r="L867" i="4"/>
  <c r="Q868" i="3"/>
  <c r="AB867" i="3"/>
  <c r="M863" i="4"/>
  <c r="K863" i="4"/>
  <c r="L868" i="4" l="1"/>
  <c r="C45" i="5" s="1"/>
  <c r="N45" i="5" s="1"/>
  <c r="N47" i="5" s="1"/>
  <c r="C20" i="5" s="1"/>
  <c r="Q869" i="3"/>
  <c r="AB868" i="3"/>
  <c r="G866" i="4"/>
  <c r="I866" i="4" s="1"/>
  <c r="J866" i="4" s="1"/>
  <c r="H866" i="4"/>
  <c r="C867" i="4"/>
  <c r="AC867" i="3"/>
  <c r="AD867" i="3" s="1"/>
  <c r="K865" i="4"/>
  <c r="M865" i="4"/>
  <c r="K866" i="4" l="1"/>
  <c r="M866" i="4"/>
  <c r="AC868" i="3"/>
  <c r="AD868" i="3" s="1"/>
  <c r="C868" i="4"/>
  <c r="G867" i="4"/>
  <c r="I867" i="4" s="1"/>
  <c r="J867" i="4" s="1"/>
  <c r="H867" i="4"/>
  <c r="L869" i="4"/>
  <c r="Q870" i="3"/>
  <c r="AB869" i="3"/>
  <c r="Q871" i="3" l="1"/>
  <c r="L870" i="4"/>
  <c r="AB870" i="3"/>
  <c r="G868" i="4"/>
  <c r="I868" i="4" s="1"/>
  <c r="J868" i="4" s="1"/>
  <c r="H868" i="4"/>
  <c r="C869" i="4"/>
  <c r="AC869" i="3"/>
  <c r="AD869" i="3" s="1"/>
  <c r="M867" i="4"/>
  <c r="K867" i="4"/>
  <c r="M868" i="4" l="1"/>
  <c r="K868" i="4"/>
  <c r="E45" i="5" s="1"/>
  <c r="D45" i="5"/>
  <c r="AC870" i="3"/>
  <c r="AD870" i="3" s="1"/>
  <c r="C870" i="4"/>
  <c r="G869" i="4"/>
  <c r="I869" i="4" s="1"/>
  <c r="J869" i="4" s="1"/>
  <c r="H869" i="4"/>
  <c r="Q872" i="3"/>
  <c r="L871" i="4"/>
  <c r="AB871" i="3"/>
  <c r="Q873" i="3" l="1"/>
  <c r="L872" i="4"/>
  <c r="AB872" i="3"/>
  <c r="C871" i="4"/>
  <c r="AC871" i="3"/>
  <c r="AD871" i="3" s="1"/>
  <c r="K869" i="4"/>
  <c r="M869" i="4"/>
  <c r="G870" i="4"/>
  <c r="I870" i="4" s="1"/>
  <c r="J870" i="4" s="1"/>
  <c r="H870" i="4"/>
  <c r="M870" i="4" l="1"/>
  <c r="K870" i="4"/>
  <c r="H871" i="4"/>
  <c r="G871" i="4"/>
  <c r="I871" i="4" s="1"/>
  <c r="J871" i="4" s="1"/>
  <c r="AC872" i="3"/>
  <c r="AD872" i="3" s="1"/>
  <c r="C872" i="4"/>
  <c r="Q874" i="3"/>
  <c r="L873" i="4"/>
  <c r="AB873" i="3"/>
  <c r="M871" i="4" l="1"/>
  <c r="K871" i="4"/>
  <c r="L874" i="4"/>
  <c r="Q875" i="3"/>
  <c r="AB874" i="3"/>
  <c r="H872" i="4"/>
  <c r="G872" i="4"/>
  <c r="I872" i="4" s="1"/>
  <c r="J872" i="4" s="1"/>
  <c r="AC873" i="3"/>
  <c r="AD873" i="3" s="1"/>
  <c r="C873" i="4"/>
  <c r="Q876" i="3" l="1"/>
  <c r="L875" i="4"/>
  <c r="AB875" i="3"/>
  <c r="K872" i="4"/>
  <c r="M872" i="4"/>
  <c r="G873" i="4"/>
  <c r="I873" i="4" s="1"/>
  <c r="J873" i="4" s="1"/>
  <c r="H873" i="4"/>
  <c r="AC874" i="3"/>
  <c r="AD874" i="3" s="1"/>
  <c r="C874" i="4"/>
  <c r="C875" i="4" l="1"/>
  <c r="AC875" i="3"/>
  <c r="AD875" i="3" s="1"/>
  <c r="M873" i="4"/>
  <c r="K873" i="4"/>
  <c r="H874" i="4"/>
  <c r="G874" i="4"/>
  <c r="I874" i="4" s="1"/>
  <c r="J874" i="4" s="1"/>
  <c r="Q877" i="3"/>
  <c r="L876" i="4"/>
  <c r="AB876" i="3"/>
  <c r="L877" i="4" l="1"/>
  <c r="Q878" i="3"/>
  <c r="AB877" i="3"/>
  <c r="M874" i="4"/>
  <c r="K874" i="4"/>
  <c r="C876" i="4"/>
  <c r="AC876" i="3"/>
  <c r="AD876" i="3" s="1"/>
  <c r="G875" i="4"/>
  <c r="I875" i="4" s="1"/>
  <c r="J875" i="4" s="1"/>
  <c r="H875" i="4"/>
  <c r="K875" i="4" l="1"/>
  <c r="M875" i="4"/>
  <c r="AC877" i="3"/>
  <c r="AD877" i="3" s="1"/>
  <c r="C877" i="4"/>
  <c r="H876" i="4"/>
  <c r="G876" i="4"/>
  <c r="I876" i="4" s="1"/>
  <c r="J876" i="4" s="1"/>
  <c r="Q879" i="3"/>
  <c r="L878" i="4"/>
  <c r="AB878" i="3"/>
  <c r="G877" i="4" l="1"/>
  <c r="I877" i="4" s="1"/>
  <c r="J877" i="4" s="1"/>
  <c r="H877" i="4"/>
  <c r="Q880" i="3"/>
  <c r="L879" i="4"/>
  <c r="AB879" i="3"/>
  <c r="K876" i="4"/>
  <c r="M876" i="4"/>
  <c r="AC878" i="3"/>
  <c r="AD878" i="3" s="1"/>
  <c r="C878" i="4"/>
  <c r="L880" i="4" l="1"/>
  <c r="Q881" i="3"/>
  <c r="AB880" i="3"/>
  <c r="H878" i="4"/>
  <c r="G878" i="4"/>
  <c r="I878" i="4" s="1"/>
  <c r="J878" i="4" s="1"/>
  <c r="AC879" i="3"/>
  <c r="AD879" i="3" s="1"/>
  <c r="C879" i="4"/>
  <c r="K877" i="4"/>
  <c r="M877" i="4"/>
  <c r="G879" i="4" l="1"/>
  <c r="I879" i="4" s="1"/>
  <c r="J879" i="4" s="1"/>
  <c r="H879" i="4"/>
  <c r="AC880" i="3"/>
  <c r="AD880" i="3" s="1"/>
  <c r="C880" i="4"/>
  <c r="Q882" i="3"/>
  <c r="L881" i="4"/>
  <c r="AB881" i="3"/>
  <c r="M878" i="4"/>
  <c r="K878" i="4"/>
  <c r="H880" i="4" l="1"/>
  <c r="G880" i="4"/>
  <c r="I880" i="4" s="1"/>
  <c r="J880" i="4" s="1"/>
  <c r="C881" i="4"/>
  <c r="AC881" i="3"/>
  <c r="AD881" i="3" s="1"/>
  <c r="Q883" i="3"/>
  <c r="L882" i="4"/>
  <c r="AB882" i="3"/>
  <c r="K879" i="4"/>
  <c r="M879" i="4"/>
  <c r="AC882" i="3" l="1"/>
  <c r="AD882" i="3" s="1"/>
  <c r="C882" i="4"/>
  <c r="H881" i="4"/>
  <c r="G881" i="4"/>
  <c r="I881" i="4" s="1"/>
  <c r="J881" i="4" s="1"/>
  <c r="K880" i="4"/>
  <c r="M880" i="4"/>
  <c r="L883" i="4"/>
  <c r="Q884" i="3"/>
  <c r="AB883" i="3"/>
  <c r="Q885" i="3" l="1"/>
  <c r="L884" i="4"/>
  <c r="AB884" i="3"/>
  <c r="M881" i="4"/>
  <c r="K881" i="4"/>
  <c r="H882" i="4"/>
  <c r="G882" i="4"/>
  <c r="I882" i="4" s="1"/>
  <c r="J882" i="4" s="1"/>
  <c r="C883" i="4"/>
  <c r="AC883" i="3"/>
  <c r="AD883" i="3" s="1"/>
  <c r="G883" i="4" l="1"/>
  <c r="I883" i="4" s="1"/>
  <c r="J883" i="4" s="1"/>
  <c r="H883" i="4"/>
  <c r="M882" i="4"/>
  <c r="K882" i="4"/>
  <c r="AC884" i="3"/>
  <c r="AD884" i="3" s="1"/>
  <c r="C884" i="4"/>
  <c r="Q886" i="3"/>
  <c r="L885" i="4"/>
  <c r="AB885" i="3"/>
  <c r="Q887" i="3" l="1"/>
  <c r="L886" i="4"/>
  <c r="AB886" i="3"/>
  <c r="G884" i="4"/>
  <c r="I884" i="4" s="1"/>
  <c r="J884" i="4" s="1"/>
  <c r="H884" i="4"/>
  <c r="C885" i="4"/>
  <c r="AC885" i="3"/>
  <c r="AD885" i="3" s="1"/>
  <c r="M883" i="4"/>
  <c r="K883" i="4"/>
  <c r="K884" i="4" l="1"/>
  <c r="M884" i="4"/>
  <c r="C886" i="4"/>
  <c r="AC886" i="3"/>
  <c r="AD886" i="3" s="1"/>
  <c r="G885" i="4"/>
  <c r="I885" i="4" s="1"/>
  <c r="J885" i="4" s="1"/>
  <c r="H885" i="4"/>
  <c r="L887" i="4"/>
  <c r="Q888" i="3"/>
  <c r="AB887" i="3"/>
  <c r="Q889" i="3" l="1"/>
  <c r="L888" i="4"/>
  <c r="AB888" i="3"/>
  <c r="G886" i="4"/>
  <c r="I886" i="4" s="1"/>
  <c r="J886" i="4" s="1"/>
  <c r="H886" i="4"/>
  <c r="C887" i="4"/>
  <c r="AC887" i="3"/>
  <c r="AD887" i="3" s="1"/>
  <c r="K885" i="4"/>
  <c r="M885" i="4"/>
  <c r="K886" i="4" l="1"/>
  <c r="M886" i="4"/>
  <c r="AC888" i="3"/>
  <c r="AD888" i="3" s="1"/>
  <c r="C888" i="4"/>
  <c r="G887" i="4"/>
  <c r="I887" i="4" s="1"/>
  <c r="J887" i="4" s="1"/>
  <c r="H887" i="4"/>
  <c r="Q890" i="3"/>
  <c r="L889" i="4"/>
  <c r="AB889" i="3"/>
  <c r="G888" i="4" l="1"/>
  <c r="I888" i="4" s="1"/>
  <c r="J888" i="4" s="1"/>
  <c r="H888" i="4"/>
  <c r="L890" i="4"/>
  <c r="Q891" i="3"/>
  <c r="AB890" i="3"/>
  <c r="C889" i="4"/>
  <c r="AC889" i="3"/>
  <c r="AD889" i="3" s="1"/>
  <c r="K887" i="4"/>
  <c r="M887" i="4"/>
  <c r="Q892" i="3" l="1"/>
  <c r="L891" i="4"/>
  <c r="AB891" i="3"/>
  <c r="G889" i="4"/>
  <c r="I889" i="4" s="1"/>
  <c r="J889" i="4" s="1"/>
  <c r="H889" i="4"/>
  <c r="C890" i="4"/>
  <c r="AC890" i="3"/>
  <c r="AD890" i="3" s="1"/>
  <c r="M888" i="4"/>
  <c r="K888" i="4"/>
  <c r="M889" i="4" l="1"/>
  <c r="K889" i="4"/>
  <c r="C891" i="4"/>
  <c r="AC891" i="3"/>
  <c r="AD891" i="3" s="1"/>
  <c r="G890" i="4"/>
  <c r="I890" i="4" s="1"/>
  <c r="J890" i="4" s="1"/>
  <c r="H890" i="4"/>
  <c r="L892" i="4"/>
  <c r="Q893" i="3"/>
  <c r="AB892" i="3"/>
  <c r="L893" i="4" l="1"/>
  <c r="Q894" i="3"/>
  <c r="AB893" i="3"/>
  <c r="G891" i="4"/>
  <c r="I891" i="4" s="1"/>
  <c r="J891" i="4" s="1"/>
  <c r="H891" i="4"/>
  <c r="AC892" i="3"/>
  <c r="AD892" i="3" s="1"/>
  <c r="C892" i="4"/>
  <c r="K890" i="4"/>
  <c r="M890" i="4"/>
  <c r="M891" i="4" l="1"/>
  <c r="K891" i="4"/>
  <c r="H892" i="4"/>
  <c r="G892" i="4"/>
  <c r="I892" i="4" s="1"/>
  <c r="J892" i="4" s="1"/>
  <c r="C893" i="4"/>
  <c r="AC893" i="3"/>
  <c r="AD893" i="3" s="1"/>
  <c r="L894" i="4"/>
  <c r="Q895" i="3"/>
  <c r="AB894" i="3"/>
  <c r="Q896" i="3" l="1"/>
  <c r="L895" i="4"/>
  <c r="AB895" i="3"/>
  <c r="K892" i="4"/>
  <c r="M892" i="4"/>
  <c r="C894" i="4"/>
  <c r="AC894" i="3"/>
  <c r="AD894" i="3" s="1"/>
  <c r="G893" i="4"/>
  <c r="I893" i="4" s="1"/>
  <c r="J893" i="4" s="1"/>
  <c r="H893" i="4"/>
  <c r="K893" i="4" l="1"/>
  <c r="M893" i="4"/>
  <c r="C895" i="4"/>
  <c r="AC895" i="3"/>
  <c r="AD895" i="3" s="1"/>
  <c r="H894" i="4"/>
  <c r="G894" i="4"/>
  <c r="I894" i="4" s="1"/>
  <c r="J894" i="4" s="1"/>
  <c r="L896" i="4"/>
  <c r="Q897" i="3"/>
  <c r="AB896" i="3"/>
  <c r="Q898" i="3" l="1"/>
  <c r="L897" i="4"/>
  <c r="AB897" i="3"/>
  <c r="G895" i="4"/>
  <c r="I895" i="4" s="1"/>
  <c r="J895" i="4" s="1"/>
  <c r="H895" i="4"/>
  <c r="K894" i="4"/>
  <c r="M894" i="4"/>
  <c r="C896" i="4"/>
  <c r="AC896" i="3"/>
  <c r="AD896" i="3" s="1"/>
  <c r="G896" i="4" l="1"/>
  <c r="I896" i="4" s="1"/>
  <c r="J896" i="4" s="1"/>
  <c r="H896" i="4"/>
  <c r="K895" i="4"/>
  <c r="M895" i="4"/>
  <c r="AC897" i="3"/>
  <c r="AD897" i="3" s="1"/>
  <c r="C897" i="4"/>
  <c r="L898" i="4"/>
  <c r="Q899" i="3"/>
  <c r="AB898" i="3"/>
  <c r="Q900" i="3" l="1"/>
  <c r="L899" i="4"/>
  <c r="AB899" i="3"/>
  <c r="G897" i="4"/>
  <c r="I897" i="4" s="1"/>
  <c r="J897" i="4" s="1"/>
  <c r="H897" i="4"/>
  <c r="AC898" i="3"/>
  <c r="AD898" i="3" s="1"/>
  <c r="C898" i="4"/>
  <c r="K896" i="4"/>
  <c r="M896" i="4"/>
  <c r="M897" i="4" l="1"/>
  <c r="K897" i="4"/>
  <c r="G898" i="4"/>
  <c r="I898" i="4" s="1"/>
  <c r="J898" i="4" s="1"/>
  <c r="H898" i="4"/>
  <c r="C899" i="4"/>
  <c r="AC899" i="3"/>
  <c r="AD899" i="3" s="1"/>
  <c r="Q901" i="3"/>
  <c r="L900" i="4"/>
  <c r="AB900" i="3"/>
  <c r="L901" i="4" l="1"/>
  <c r="Q902" i="3"/>
  <c r="AB901" i="3"/>
  <c r="M898" i="4"/>
  <c r="K898" i="4"/>
  <c r="C900" i="4"/>
  <c r="AC900" i="3"/>
  <c r="AD900" i="3" s="1"/>
  <c r="G899" i="4"/>
  <c r="I899" i="4" s="1"/>
  <c r="J899" i="4" s="1"/>
  <c r="H899" i="4"/>
  <c r="K899" i="4" l="1"/>
  <c r="M899" i="4"/>
  <c r="AC901" i="3"/>
  <c r="AD901" i="3" s="1"/>
  <c r="C901" i="4"/>
  <c r="H900" i="4"/>
  <c r="G900" i="4"/>
  <c r="I900" i="4" s="1"/>
  <c r="J900" i="4" s="1"/>
  <c r="Q903" i="3"/>
  <c r="L902" i="4"/>
  <c r="AB902" i="3"/>
  <c r="H901" i="4" l="1"/>
  <c r="G901" i="4"/>
  <c r="I901" i="4" s="1"/>
  <c r="J901" i="4" s="1"/>
  <c r="L903" i="4"/>
  <c r="Q904" i="3"/>
  <c r="AB903" i="3"/>
  <c r="M900" i="4"/>
  <c r="K900" i="4"/>
  <c r="C902" i="4"/>
  <c r="AC902" i="3"/>
  <c r="AD902" i="3" s="1"/>
  <c r="G902" i="4" l="1"/>
  <c r="I902" i="4" s="1"/>
  <c r="J902" i="4" s="1"/>
  <c r="H902" i="4"/>
  <c r="L904" i="4"/>
  <c r="Q905" i="3"/>
  <c r="AB904" i="3"/>
  <c r="M901" i="4"/>
  <c r="K901" i="4"/>
  <c r="AC903" i="3"/>
  <c r="AD903" i="3" s="1"/>
  <c r="C903" i="4"/>
  <c r="L905" i="4" l="1"/>
  <c r="Q906" i="3"/>
  <c r="AB905" i="3"/>
  <c r="H903" i="4"/>
  <c r="G903" i="4"/>
  <c r="I903" i="4" s="1"/>
  <c r="J903" i="4" s="1"/>
  <c r="AC904" i="3"/>
  <c r="AD904" i="3" s="1"/>
  <c r="C904" i="4"/>
  <c r="M902" i="4"/>
  <c r="K902" i="4"/>
  <c r="H904" i="4" l="1"/>
  <c r="G904" i="4"/>
  <c r="I904" i="4" s="1"/>
  <c r="J904" i="4" s="1"/>
  <c r="AC905" i="3"/>
  <c r="AD905" i="3" s="1"/>
  <c r="C905" i="4"/>
  <c r="Q907" i="3"/>
  <c r="L906" i="4"/>
  <c r="AB906" i="3"/>
  <c r="K903" i="4"/>
  <c r="M903" i="4"/>
  <c r="H905" i="4" l="1"/>
  <c r="G905" i="4"/>
  <c r="I905" i="4" s="1"/>
  <c r="J905" i="4" s="1"/>
  <c r="C906" i="4"/>
  <c r="AC906" i="3"/>
  <c r="AD906" i="3" s="1"/>
  <c r="K904" i="4"/>
  <c r="M904" i="4"/>
  <c r="L907" i="4"/>
  <c r="Q908" i="3"/>
  <c r="AB907" i="3"/>
  <c r="L908" i="4" l="1"/>
  <c r="Q909" i="3"/>
  <c r="AB908" i="3"/>
  <c r="H906" i="4"/>
  <c r="G906" i="4"/>
  <c r="I906" i="4" s="1"/>
  <c r="J906" i="4" s="1"/>
  <c r="M905" i="4"/>
  <c r="K905" i="4"/>
  <c r="C907" i="4"/>
  <c r="AC907" i="3"/>
  <c r="AD907" i="3" s="1"/>
  <c r="G907" i="4" l="1"/>
  <c r="I907" i="4" s="1"/>
  <c r="J907" i="4" s="1"/>
  <c r="H907" i="4"/>
  <c r="AC908" i="3"/>
  <c r="AD908" i="3" s="1"/>
  <c r="C908" i="4"/>
  <c r="K23" i="4"/>
  <c r="D15" i="5" s="1"/>
  <c r="P23" i="4"/>
  <c r="Q910" i="3"/>
  <c r="L910" i="4" s="1"/>
  <c r="C46" i="5" s="1"/>
  <c r="N46" i="5" s="1"/>
  <c r="P20" i="3"/>
  <c r="K20" i="3"/>
  <c r="L909" i="4"/>
  <c r="AB909" i="3"/>
  <c r="K906" i="4"/>
  <c r="M906" i="4"/>
  <c r="G908" i="4" l="1"/>
  <c r="I908" i="4" s="1"/>
  <c r="J908" i="4" s="1"/>
  <c r="H908" i="4"/>
  <c r="C909" i="4"/>
  <c r="AC909" i="3"/>
  <c r="M907" i="4"/>
  <c r="K907" i="4"/>
  <c r="AD909" i="3" l="1"/>
  <c r="AB22" i="3"/>
  <c r="G909" i="4"/>
  <c r="I909" i="4" s="1"/>
  <c r="H909" i="4"/>
  <c r="M908" i="4"/>
  <c r="K908" i="4"/>
  <c r="J909" i="4" l="1"/>
  <c r="I910" i="4"/>
  <c r="AA908" i="3"/>
  <c r="AA909" i="3" s="1"/>
  <c r="P18" i="3"/>
  <c r="K18" i="3"/>
  <c r="J910" i="4" l="1"/>
  <c r="C15" i="4"/>
  <c r="M909" i="4"/>
  <c r="K909" i="4"/>
  <c r="K910" i="4" l="1"/>
  <c r="E46" i="5" s="1"/>
  <c r="D46" i="5"/>
  <c r="M910" i="4"/>
  <c r="L911" i="4" s="1"/>
  <c r="C16" i="4"/>
  <c r="P21" i="4" l="1"/>
  <c r="K21" i="4"/>
  <c r="C18" i="4"/>
  <c r="D16" i="5" s="1"/>
  <c r="C17" i="4"/>
  <c r="C19" i="4"/>
  <c r="D17" i="5" s="1"/>
  <c r="K22" i="4" l="1"/>
  <c r="D11" i="5"/>
  <c r="D12" i="5" s="1"/>
  <c r="P22" i="4"/>
  <c r="D14" i="5" s="1"/>
  <c r="E17" i="5" l="1"/>
  <c r="D13" i="5"/>
</calcChain>
</file>

<file path=xl/comments1.xml><?xml version="1.0" encoding="utf-8"?>
<comments xmlns="http://schemas.openxmlformats.org/spreadsheetml/2006/main">
  <authors>
    <author>Richard   Nakka</author>
    <author>vq591d</author>
  </authors>
  <commentList>
    <comment ref="C6" authorId="0" shapeId="0">
      <text>
        <r>
          <rPr>
            <b/>
            <sz val="8"/>
            <color indexed="81"/>
            <rFont val="Tahoma"/>
            <family val="2"/>
          </rPr>
          <t>Enter title in this box.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1" authorId="0" shapeId="0">
      <text>
        <r>
          <rPr>
            <b/>
            <sz val="8"/>
            <color indexed="81"/>
            <rFont val="Tahoma"/>
            <family val="2"/>
          </rPr>
          <t>Length from throat to bulkhead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5" authorId="0" shapeId="0">
      <text>
        <r>
          <rPr>
            <b/>
            <sz val="8"/>
            <color indexed="81"/>
            <rFont val="Tahoma"/>
            <family val="2"/>
          </rPr>
          <t>Fraction of chamber volume utilized for propellant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7" authorId="0" shapeId="0">
      <text>
        <r>
          <rPr>
            <b/>
            <sz val="8"/>
            <color indexed="81"/>
            <rFont val="Tahoma"/>
            <family val="2"/>
          </rPr>
          <t>Typically 0.90 to 0.98</t>
        </r>
      </text>
    </comment>
    <comment ref="X31" authorId="0" shapeId="0">
      <text>
        <r>
          <rPr>
            <b/>
            <sz val="8"/>
            <color indexed="81"/>
            <rFont val="Tahoma"/>
            <family val="2"/>
          </rPr>
          <t>See "Propellant Data" worksheet...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4" authorId="1" shapeId="0">
      <text>
        <r>
          <rPr>
            <b/>
            <sz val="8"/>
            <color indexed="81"/>
            <rFont val="Tahoma"/>
            <family val="2"/>
          </rPr>
          <t>Select target value for max chamber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5" authorId="0" shapeId="0">
      <text>
        <r>
          <rPr>
            <b/>
            <sz val="8"/>
            <color indexed="81"/>
            <rFont val="Tahoma"/>
            <family val="2"/>
          </rPr>
          <t>A key design parameter, the Kn sizes the throat diameter and determines chamber pressure.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9" authorId="0" shapeId="0">
      <text>
        <r>
          <rPr>
            <sz val="8"/>
            <color indexed="81"/>
            <rFont val="Tahoma"/>
            <family val="2"/>
          </rPr>
          <t xml:space="preserve">Increase in throat  diameter due to erosion. Usually set to zero.
</t>
        </r>
      </text>
    </comment>
    <comment ref="E42" authorId="0" shapeId="0">
      <text>
        <r>
          <rPr>
            <b/>
            <sz val="8"/>
            <color indexed="81"/>
            <rFont val="Tahoma"/>
            <family val="2"/>
          </rPr>
          <t>This table provides the values of Kn as the web regresses during burning.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43" authorId="0" shapeId="0">
      <text>
        <r>
          <rPr>
            <b/>
            <sz val="8"/>
            <color indexed="81"/>
            <rFont val="Tahoma"/>
            <family val="2"/>
          </rPr>
          <t>Grain regression (depth burned)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43" authorId="0" shapeId="0">
      <text>
        <r>
          <rPr>
            <b/>
            <sz val="8"/>
            <color indexed="81"/>
            <rFont val="Tahoma"/>
            <family val="2"/>
          </rPr>
          <t>Core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43" authorId="0" shapeId="0">
      <text>
        <r>
          <rPr>
            <b/>
            <sz val="8"/>
            <color indexed="81"/>
            <rFont val="Tahoma"/>
            <family val="2"/>
          </rPr>
          <t>Grain outer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3" authorId="0" shapeId="0">
      <text>
        <r>
          <rPr>
            <b/>
            <sz val="8"/>
            <color indexed="81"/>
            <rFont val="Tahoma"/>
            <family val="2"/>
          </rPr>
          <t>Grain total length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3" authorId="0" shapeId="0">
      <text>
        <r>
          <rPr>
            <b/>
            <sz val="8"/>
            <color indexed="81"/>
            <rFont val="Tahoma"/>
            <family val="2"/>
          </rPr>
          <t>Grain web thickness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43" authorId="0" shapeId="0">
      <text>
        <r>
          <rPr>
            <b/>
            <sz val="8"/>
            <color indexed="81"/>
            <rFont val="Tahoma"/>
            <family val="2"/>
          </rPr>
          <t>Burning area, ends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43" authorId="0" shapeId="0">
      <text>
        <r>
          <rPr>
            <b/>
            <sz val="8"/>
            <color indexed="81"/>
            <rFont val="Tahoma"/>
            <family val="2"/>
          </rPr>
          <t>Burning area, core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43" authorId="0" shapeId="0">
      <text>
        <r>
          <rPr>
            <b/>
            <sz val="8"/>
            <color indexed="81"/>
            <rFont val="Tahoma"/>
            <family val="2"/>
          </rPr>
          <t>Burning area,
outer diametrical surfaces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43" authorId="0" shapeId="0">
      <text>
        <r>
          <rPr>
            <b/>
            <sz val="8"/>
            <color indexed="81"/>
            <rFont val="Tahoma"/>
            <family val="2"/>
          </rPr>
          <t>Total burning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43" authorId="0" shapeId="0">
      <text>
        <r>
          <rPr>
            <b/>
            <sz val="8"/>
            <color indexed="81"/>
            <rFont val="Tahoma"/>
            <family val="2"/>
          </rPr>
          <t>Throat cross-section area</t>
        </r>
      </text>
    </comment>
    <comment ref="M43" authorId="0" shapeId="0">
      <text>
        <r>
          <rPr>
            <b/>
            <sz val="8"/>
            <color indexed="81"/>
            <rFont val="Tahoma"/>
            <family val="2"/>
          </rPr>
          <t>Ratio of burning area to throat area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Richard   Nakka</author>
    <author>vq591d</author>
  </authors>
  <commentList>
    <comment ref="C13" authorId="0" shapeId="0">
      <text>
        <r>
          <rPr>
            <b/>
            <sz val="8"/>
            <color indexed="81"/>
            <rFont val="Tahoma"/>
            <family val="2"/>
          </rPr>
          <t>Use 0.95 for fine grain propellant. Use 0.93 for coarse grain propellant.</t>
        </r>
      </text>
    </comment>
    <comment ref="C16" authorId="0" shapeId="0">
      <text>
        <r>
          <rPr>
            <b/>
            <sz val="8"/>
            <color indexed="81"/>
            <rFont val="Tahoma"/>
            <family val="2"/>
          </rPr>
          <t>Local barometric pressure, typically 0.101 MPa.  at sea level.</t>
        </r>
      </text>
    </comment>
    <comment ref="AA16" authorId="1" shapeId="0">
      <text>
        <r>
          <rPr>
            <b/>
            <sz val="8"/>
            <color indexed="81"/>
            <rFont val="Tahoma"/>
            <family val="2"/>
          </rPr>
          <t>vq591d: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8" authorId="0" shapeId="0">
      <text>
        <r>
          <rPr>
            <b/>
            <sz val="8"/>
            <color indexed="81"/>
            <rFont val="Tahoma"/>
            <family val="2"/>
          </rPr>
          <t>Ratio of core to throat cross-sectional areas, above which no erosive burning occurs.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9" authorId="0" shapeId="0">
      <text>
        <r>
          <rPr>
            <b/>
            <sz val="8"/>
            <color indexed="81"/>
            <rFont val="Tahoma"/>
            <family val="2"/>
          </rPr>
          <t>An empirical constant. Enter zero if no erosive burning expected.
Typically 0.0 to 1.0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5" authorId="0" shapeId="0">
      <text>
        <r>
          <rPr>
            <b/>
            <sz val="8"/>
            <color indexed="81"/>
            <rFont val="Tahoma"/>
            <family val="2"/>
          </rPr>
          <t>Web regression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5" authorId="0" shapeId="0">
      <text>
        <r>
          <rPr>
            <b/>
            <sz val="8"/>
            <color indexed="81"/>
            <rFont val="Tahoma"/>
            <family val="2"/>
          </rPr>
          <t>Web thickness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25" authorId="0" shapeId="0">
      <text>
        <r>
          <rPr>
            <b/>
            <sz val="8"/>
            <color indexed="81"/>
            <rFont val="Tahoma"/>
            <family val="2"/>
          </rPr>
          <t>Grain core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5" authorId="0" shapeId="0">
      <text>
        <r>
          <rPr>
            <b/>
            <sz val="8"/>
            <color indexed="81"/>
            <rFont val="Tahoma"/>
            <family val="2"/>
          </rPr>
          <t>Grain outside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5" authorId="0" shapeId="0">
      <text>
        <r>
          <rPr>
            <b/>
            <sz val="8"/>
            <color indexed="81"/>
            <rFont val="Tahoma"/>
            <family val="2"/>
          </rPr>
          <t>Grain total length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25" authorId="0" shapeId="0">
      <text>
        <r>
          <rPr>
            <b/>
            <sz val="8"/>
            <color indexed="81"/>
            <rFont val="Tahoma"/>
            <family val="2"/>
          </rPr>
          <t>Throat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25" authorId="0" shapeId="0">
      <text>
        <r>
          <rPr>
            <b/>
            <sz val="8"/>
            <color indexed="81"/>
            <rFont val="Tahoma"/>
            <family val="2"/>
          </rPr>
          <t>Nozzle critical passage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5" authorId="0" shapeId="0">
      <text>
        <r>
          <rPr>
            <b/>
            <sz val="8"/>
            <color indexed="81"/>
            <rFont val="Tahoma"/>
            <family val="2"/>
          </rPr>
          <t>Difference in chamber and grain cross-sectional area
(flow area)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25" authorId="0" shapeId="0">
      <text>
        <r>
          <rPr>
            <b/>
            <sz val="8"/>
            <color indexed="81"/>
            <rFont val="Tahoma"/>
            <family val="2"/>
          </rPr>
          <t>Erosive burning factor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5" authorId="0" shapeId="0">
      <text>
        <r>
          <rPr>
            <b/>
            <sz val="8"/>
            <color indexed="81"/>
            <rFont val="Tahoma"/>
            <family val="2"/>
          </rPr>
          <t>Chamber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5" authorId="0" shapeId="0">
      <text>
        <r>
          <rPr>
            <b/>
            <sz val="8"/>
            <color indexed="81"/>
            <rFont val="Tahoma"/>
            <family val="2"/>
          </rPr>
          <t>Burn rate coefficient valid at Po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5" authorId="0" shapeId="0">
      <text>
        <r>
          <rPr>
            <b/>
            <sz val="8"/>
            <color indexed="81"/>
            <rFont val="Tahoma"/>
            <family val="2"/>
          </rPr>
          <t>Pressure exponent valid at Po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25" authorId="0" shapeId="0">
      <text>
        <r>
          <rPr>
            <b/>
            <sz val="8"/>
            <color indexed="81"/>
            <rFont val="Tahoma"/>
            <family val="2"/>
          </rPr>
          <t>Propellant burn rate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25" authorId="0" shapeId="0">
      <text>
        <r>
          <rPr>
            <b/>
            <sz val="8"/>
            <color indexed="81"/>
            <rFont val="Tahoma"/>
            <family val="2"/>
          </rPr>
          <t>Time since start of burn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25" authorId="0" shapeId="0">
      <text>
        <r>
          <rPr>
            <b/>
            <sz val="8"/>
            <color indexed="81"/>
            <rFont val="Tahoma"/>
            <family val="2"/>
          </rPr>
          <t>Grain volume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T25" authorId="0" shapeId="0">
      <text>
        <r>
          <rPr>
            <b/>
            <sz val="8"/>
            <color indexed="81"/>
            <rFont val="Tahoma"/>
            <family val="2"/>
          </rPr>
          <t>Free volume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U25" authorId="0" shapeId="0">
      <text>
        <r>
          <rPr>
            <b/>
            <sz val="8"/>
            <color indexed="81"/>
            <rFont val="Tahoma"/>
            <family val="2"/>
          </rPr>
          <t>Grain mass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V25" authorId="0" shapeId="0">
      <text>
        <r>
          <rPr>
            <b/>
            <sz val="8"/>
            <color indexed="81"/>
            <rFont val="Tahoma"/>
            <family val="2"/>
          </rPr>
          <t>Mass generation rate of combustion products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W25" authorId="0" shapeId="0">
      <text>
        <r>
          <rPr>
            <b/>
            <sz val="8"/>
            <color indexed="81"/>
            <rFont val="Tahoma"/>
            <family val="2"/>
          </rPr>
          <t>Mass flow rate through nozzle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X25" authorId="0" shapeId="0">
      <text>
        <r>
          <rPr>
            <b/>
            <sz val="8"/>
            <color indexed="81"/>
            <rFont val="Tahoma"/>
            <family val="2"/>
          </rPr>
          <t>Mass storage rate of combustion products (in chamber)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Y25" authorId="0" shapeId="0">
      <text>
        <r>
          <rPr>
            <b/>
            <sz val="8"/>
            <color indexed="81"/>
            <rFont val="Tahoma"/>
            <family val="2"/>
          </rPr>
          <t>Mass of combustion products stored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Z25" authorId="0" shapeId="0">
      <text>
        <r>
          <rPr>
            <b/>
            <sz val="8"/>
            <color indexed="81"/>
            <rFont val="Tahoma"/>
            <family val="2"/>
          </rPr>
          <t>Density of combustion products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Richard   Nakka</author>
  </authors>
  <commentList>
    <comment ref="C4" authorId="0" shapeId="0">
      <text>
        <r>
          <rPr>
            <b/>
            <sz val="8"/>
            <color indexed="81"/>
            <rFont val="Tahoma"/>
            <family val="2"/>
          </rPr>
          <t>For a well-contoured, smooth nozzle, typically 0.75 to 0.85. For KNPSB, 0.85-0.90 may be used.</t>
        </r>
      </text>
    </comment>
    <comment ref="C5" authorId="0" shapeId="0">
      <text>
        <r>
          <rPr>
            <b/>
            <sz val="8"/>
            <color indexed="81"/>
            <rFont val="Tahoma"/>
            <family val="2"/>
          </rPr>
          <t>Ratio of cross-sectional areas of nozzle exit  to throat.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9" authorId="0" shapeId="0">
      <text>
        <r>
          <rPr>
            <b/>
            <sz val="8"/>
            <color indexed="81"/>
            <rFont val="Tahoma"/>
            <family val="2"/>
          </rPr>
          <t>Based on initial throat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0" authorId="0" shapeId="0">
      <text>
        <r>
          <rPr>
            <b/>
            <sz val="8"/>
            <color indexed="81"/>
            <rFont val="Tahoma"/>
            <family val="2"/>
          </rPr>
          <t>Based on final (eroded) throat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4" authorId="0" shapeId="0">
      <text>
        <r>
          <rPr>
            <b/>
            <sz val="8"/>
            <color indexed="81"/>
            <rFont val="Tahoma"/>
            <family val="2"/>
          </rPr>
          <t>Ratio of web to grain outer radius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9" authorId="0" shapeId="0">
      <text>
        <r>
          <rPr>
            <b/>
            <sz val="8"/>
            <color indexed="81"/>
            <rFont val="Tahoma"/>
            <family val="2"/>
          </rPr>
          <t>See "Class" worksheet for definition...</t>
        </r>
      </text>
    </comment>
    <comment ref="G25" authorId="0" shapeId="0">
      <text>
        <r>
          <rPr>
            <b/>
            <sz val="8"/>
            <color indexed="81"/>
            <rFont val="Tahoma"/>
            <family val="2"/>
          </rPr>
          <t>Nozzle exit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25" authorId="0" shapeId="0">
      <text>
        <r>
          <rPr>
            <b/>
            <sz val="8"/>
            <color indexed="81"/>
            <rFont val="Tahoma"/>
            <family val="2"/>
          </rPr>
          <t>Optimum expansion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25" authorId="0" shapeId="0">
      <text>
        <r>
          <rPr>
            <b/>
            <sz val="8"/>
            <color indexed="81"/>
            <rFont val="Tahoma"/>
            <family val="2"/>
          </rPr>
          <t>Delivered C</t>
        </r>
        <r>
          <rPr>
            <b/>
            <sz val="8"/>
            <color indexed="81"/>
            <rFont val="Tahoma"/>
            <family val="2"/>
          </rPr>
          <t>F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5" authorId="0" shapeId="0">
      <text>
        <r>
          <rPr>
            <b/>
            <sz val="8"/>
            <color indexed="81"/>
            <rFont val="Tahoma"/>
            <family val="2"/>
          </rPr>
          <t>Thrust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5" authorId="0" shapeId="0">
      <text>
        <r>
          <rPr>
            <b/>
            <sz val="8"/>
            <color indexed="81"/>
            <rFont val="Tahoma"/>
            <family val="2"/>
          </rPr>
          <t>Delivered
impulse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5" authorId="0" shapeId="0">
      <text>
        <r>
          <rPr>
            <b/>
            <sz val="8"/>
            <color indexed="81"/>
            <rFont val="Tahoma"/>
            <family val="2"/>
          </rPr>
          <t>Mach number at nozzle exit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vq591d</author>
  </authors>
  <commentList>
    <comment ref="C5" authorId="0" shapeId="0">
      <text>
        <r>
          <rPr>
            <b/>
            <sz val="8"/>
            <color indexed="81"/>
            <rFont val="Tahoma"/>
            <family val="2"/>
          </rPr>
          <t>Suggested range: 25-50 degrees, 30 is typical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6" authorId="0" shapeId="0">
      <text>
        <r>
          <rPr>
            <b/>
            <sz val="8"/>
            <color indexed="81"/>
            <rFont val="Tahoma"/>
            <family val="2"/>
          </rPr>
          <t>Suggested range: 10-15 degrees, 12 is typical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Richard   Nakka</author>
    <author>Nakka, Richard</author>
  </authors>
  <commentList>
    <comment ref="F8" authorId="0" shapeId="0">
      <text>
        <r>
          <rPr>
            <b/>
            <sz val="8"/>
            <color indexed="81"/>
            <rFont val="Tahoma"/>
            <family val="2"/>
          </rPr>
          <t>Potassium Nitrate/Dextrose
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8" authorId="0" shapeId="0">
      <text>
        <r>
          <rPr>
            <b/>
            <sz val="8"/>
            <color indexed="81"/>
            <rFont val="Tahoma"/>
            <family val="2"/>
          </rPr>
          <t>Potassium Nitrate/Sorbitol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8" authorId="0" shapeId="0">
      <text>
        <r>
          <rPr>
            <b/>
            <sz val="8"/>
            <color indexed="81"/>
            <rFont val="Tahoma"/>
            <family val="2"/>
          </rPr>
          <t>Potassium Nitrate/Sucrose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8" authorId="0" shapeId="0">
      <text>
        <r>
          <rPr>
            <b/>
            <sz val="8"/>
            <color indexed="81"/>
            <rFont val="Tahoma"/>
            <family val="2"/>
          </rPr>
          <t>Potassium Nitrate/Erythritol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8" authorId="0" shapeId="0">
      <text>
        <r>
          <rPr>
            <b/>
            <sz val="8"/>
            <color indexed="81"/>
            <rFont val="Tahoma"/>
            <family val="2"/>
          </rPr>
          <t>Potassium Nitrate/Mannitol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8" authorId="1" shapeId="0">
      <text>
        <r>
          <rPr>
            <sz val="9"/>
            <color indexed="81"/>
            <rFont val="Tahoma"/>
            <family val="2"/>
          </rPr>
          <t>Potassium Nitrate/Fructose
65/35 O/F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8" authorId="0" shapeId="0">
      <text>
        <r>
          <rPr>
            <b/>
            <sz val="8"/>
            <color indexed="81"/>
            <rFont val="Tahoma"/>
            <family val="2"/>
          </rPr>
          <t>Potassium Nitrate/Potassium Perchlorate/Sorbitol
35/30/35 O/O/F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>
  <authors>
    <author>Richard   Nakka</author>
  </authors>
  <commentList>
    <comment ref="B5" authorId="0" shapeId="0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the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16" authorId="0" shapeId="0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5" authorId="0" shapeId="0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30" authorId="0" shapeId="0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<sst xmlns="http://schemas.openxmlformats.org/spreadsheetml/2006/main" count="886" uniqueCount="557">
  <si>
    <t>Dc</t>
  </si>
  <si>
    <t>Lc</t>
  </si>
  <si>
    <t>mm</t>
  </si>
  <si>
    <t>Chamber diameter (inside)</t>
  </si>
  <si>
    <t>Chamber length (inside)</t>
  </si>
  <si>
    <t>Propellant grain:</t>
  </si>
  <si>
    <t>Do</t>
  </si>
  <si>
    <t>do</t>
  </si>
  <si>
    <t>Lo</t>
  </si>
  <si>
    <t>Outer diameter (initial)</t>
  </si>
  <si>
    <t>Segment length (initial)</t>
  </si>
  <si>
    <t>N</t>
  </si>
  <si>
    <t>Number of segments</t>
  </si>
  <si>
    <t>Kn</t>
  </si>
  <si>
    <r>
      <t>A</t>
    </r>
    <r>
      <rPr>
        <sz val="8"/>
        <rFont val="Arial"/>
        <family val="2"/>
      </rPr>
      <t>bo</t>
    </r>
  </si>
  <si>
    <r>
      <t>mm</t>
    </r>
    <r>
      <rPr>
        <vertAlign val="superscript"/>
        <sz val="10"/>
        <rFont val="Arial"/>
        <family val="2"/>
      </rPr>
      <t>2</t>
    </r>
  </si>
  <si>
    <t xml:space="preserve">e </t>
  </si>
  <si>
    <t>Core diameter (initial)</t>
  </si>
  <si>
    <r>
      <t>A</t>
    </r>
    <r>
      <rPr>
        <sz val="8"/>
        <rFont val="Arial"/>
        <family val="2"/>
      </rPr>
      <t>be</t>
    </r>
  </si>
  <si>
    <r>
      <t>A</t>
    </r>
    <r>
      <rPr>
        <sz val="8"/>
        <rFont val="Arial"/>
        <family val="2"/>
      </rPr>
      <t>bc</t>
    </r>
  </si>
  <si>
    <r>
      <t>A</t>
    </r>
    <r>
      <rPr>
        <sz val="8"/>
        <rFont val="Arial"/>
        <family val="2"/>
      </rPr>
      <t>bs</t>
    </r>
  </si>
  <si>
    <t>Outer surface:</t>
  </si>
  <si>
    <t>Vc</t>
  </si>
  <si>
    <r>
      <t>mm</t>
    </r>
    <r>
      <rPr>
        <vertAlign val="superscript"/>
        <sz val="10"/>
        <rFont val="Arial"/>
        <family val="2"/>
      </rPr>
      <t>3</t>
    </r>
  </si>
  <si>
    <t>Chamber volume (empty)</t>
  </si>
  <si>
    <r>
      <t xml:space="preserve">r </t>
    </r>
    <r>
      <rPr>
        <sz val="8"/>
        <rFont val="Arial"/>
        <family val="2"/>
      </rPr>
      <t>grain</t>
    </r>
  </si>
  <si>
    <r>
      <t xml:space="preserve">m </t>
    </r>
    <r>
      <rPr>
        <sz val="8"/>
        <rFont val="Arial"/>
        <family val="2"/>
      </rPr>
      <t>grain</t>
    </r>
  </si>
  <si>
    <r>
      <t>g/cm</t>
    </r>
    <r>
      <rPr>
        <vertAlign val="superscript"/>
        <sz val="10"/>
        <rFont val="Arial"/>
        <family val="2"/>
      </rPr>
      <t>3</t>
    </r>
  </si>
  <si>
    <t>kg.</t>
  </si>
  <si>
    <r>
      <t xml:space="preserve">r </t>
    </r>
    <r>
      <rPr>
        <sz val="8"/>
        <rFont val="Arial"/>
        <family val="2"/>
      </rPr>
      <t>p</t>
    </r>
  </si>
  <si>
    <r>
      <t>Lg</t>
    </r>
    <r>
      <rPr>
        <sz val="8"/>
        <rFont val="Arial"/>
        <family val="2"/>
      </rPr>
      <t>o</t>
    </r>
  </si>
  <si>
    <t>Vg</t>
  </si>
  <si>
    <t>Grain length (initial)</t>
  </si>
  <si>
    <t>Grain volume (initial)</t>
  </si>
  <si>
    <t>Grain mass (initial)</t>
  </si>
  <si>
    <t>Motor chamber:</t>
  </si>
  <si>
    <t xml:space="preserve">mm </t>
  </si>
  <si>
    <t>Throat cross-section area (initial)</t>
  </si>
  <si>
    <t>End burning area (initial)</t>
  </si>
  <si>
    <t>Core burning area (initial)</t>
  </si>
  <si>
    <t>Outer surface burning area (initial)</t>
  </si>
  <si>
    <t>Total burning area (initial)</t>
  </si>
  <si>
    <t>Throat diameter (final)</t>
  </si>
  <si>
    <r>
      <t>Dt</t>
    </r>
    <r>
      <rPr>
        <sz val="8"/>
        <rFont val="Arial"/>
        <family val="2"/>
      </rPr>
      <t>f</t>
    </r>
  </si>
  <si>
    <t>Interval</t>
  </si>
  <si>
    <t>d</t>
  </si>
  <si>
    <t>L</t>
  </si>
  <si>
    <t>x</t>
  </si>
  <si>
    <r>
      <t>t</t>
    </r>
    <r>
      <rPr>
        <sz val="8"/>
        <rFont val="Arial"/>
        <family val="2"/>
      </rPr>
      <t>web</t>
    </r>
  </si>
  <si>
    <r>
      <t>A</t>
    </r>
    <r>
      <rPr>
        <sz val="8"/>
        <rFont val="Arial"/>
        <family val="2"/>
      </rPr>
      <t>beo</t>
    </r>
  </si>
  <si>
    <r>
      <t>A</t>
    </r>
    <r>
      <rPr>
        <sz val="8"/>
        <rFont val="Arial"/>
        <family val="2"/>
      </rPr>
      <t>bco</t>
    </r>
  </si>
  <si>
    <r>
      <t>A</t>
    </r>
    <r>
      <rPr>
        <sz val="8"/>
        <rFont val="Arial"/>
        <family val="2"/>
      </rPr>
      <t>bso</t>
    </r>
  </si>
  <si>
    <r>
      <t>A</t>
    </r>
    <r>
      <rPr>
        <sz val="8"/>
        <rFont val="Arial"/>
        <family val="2"/>
      </rPr>
      <t>b</t>
    </r>
    <r>
      <rPr>
        <sz val="10"/>
        <rFont val="Arial"/>
      </rPr>
      <t xml:space="preserve"> </t>
    </r>
    <r>
      <rPr>
        <sz val="8"/>
        <rFont val="Arial"/>
        <family val="2"/>
      </rPr>
      <t>total</t>
    </r>
  </si>
  <si>
    <t>D</t>
  </si>
  <si>
    <r>
      <t>A</t>
    </r>
    <r>
      <rPr>
        <sz val="8"/>
        <rFont val="Arial"/>
        <family val="2"/>
      </rPr>
      <t>t</t>
    </r>
    <r>
      <rPr>
        <sz val="10"/>
        <rFont val="Arial"/>
      </rPr>
      <t xml:space="preserve"> </t>
    </r>
  </si>
  <si>
    <r>
      <t>A</t>
    </r>
    <r>
      <rPr>
        <sz val="8"/>
        <rFont val="Arial"/>
        <family val="2"/>
      </rPr>
      <t>e</t>
    </r>
    <r>
      <rPr>
        <sz val="10"/>
        <rFont val="Arial"/>
      </rPr>
      <t>/A</t>
    </r>
    <r>
      <rPr>
        <sz val="8"/>
        <rFont val="Arial"/>
        <family val="2"/>
      </rPr>
      <t>t</t>
    </r>
  </si>
  <si>
    <r>
      <t xml:space="preserve">Kn </t>
    </r>
    <r>
      <rPr>
        <sz val="8"/>
        <color indexed="10"/>
        <rFont val="Arial"/>
        <family val="2"/>
      </rPr>
      <t>max</t>
    </r>
  </si>
  <si>
    <r>
      <t xml:space="preserve">Kn </t>
    </r>
    <r>
      <rPr>
        <sz val="8"/>
        <color indexed="10"/>
        <rFont val="Arial"/>
        <family val="2"/>
      </rPr>
      <t>min</t>
    </r>
  </si>
  <si>
    <r>
      <t xml:space="preserve">Kn </t>
    </r>
    <r>
      <rPr>
        <sz val="8"/>
        <color indexed="10"/>
        <rFont val="Arial"/>
        <family val="2"/>
      </rPr>
      <t>avg</t>
    </r>
  </si>
  <si>
    <t>Rocket Motor Classification</t>
  </si>
  <si>
    <t>Class</t>
  </si>
  <si>
    <t>Total Impulse</t>
  </si>
  <si>
    <t>(Newton-sec.)</t>
  </si>
  <si>
    <t>A</t>
  </si>
  <si>
    <t>-</t>
  </si>
  <si>
    <t>B</t>
  </si>
  <si>
    <t>C</t>
  </si>
  <si>
    <t>E</t>
  </si>
  <si>
    <t>F</t>
  </si>
  <si>
    <t>G</t>
  </si>
  <si>
    <t>H</t>
  </si>
  <si>
    <t>I</t>
  </si>
  <si>
    <t>J</t>
  </si>
  <si>
    <t>K</t>
  </si>
  <si>
    <t>M</t>
  </si>
  <si>
    <t>O</t>
  </si>
  <si>
    <t>P</t>
  </si>
  <si>
    <t>Q</t>
  </si>
  <si>
    <t>xi</t>
  </si>
  <si>
    <t>tweb</t>
  </si>
  <si>
    <t>a</t>
  </si>
  <si>
    <t>n</t>
  </si>
  <si>
    <t>Pressure, psia</t>
  </si>
  <si>
    <t>psi, in/sec</t>
  </si>
  <si>
    <t>Pressure, Mpa</t>
  </si>
  <si>
    <t>Mpa, mm/sec</t>
  </si>
  <si>
    <t>to</t>
  </si>
  <si>
    <t>Mpa</t>
  </si>
  <si>
    <t>r</t>
  </si>
  <si>
    <t>mm/s.</t>
  </si>
  <si>
    <t>t</t>
  </si>
  <si>
    <t>s.</t>
  </si>
  <si>
    <r>
      <t>A</t>
    </r>
    <r>
      <rPr>
        <sz val="7"/>
        <rFont val="Arial"/>
        <family val="2"/>
      </rPr>
      <t>DUCT</t>
    </r>
  </si>
  <si>
    <r>
      <t>k</t>
    </r>
    <r>
      <rPr>
        <sz val="8"/>
        <rFont val="Arial"/>
        <family val="2"/>
      </rPr>
      <t>v</t>
    </r>
  </si>
  <si>
    <t>G*</t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</si>
  <si>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GRAIN</t>
    </r>
  </si>
  <si>
    <t>A*</t>
  </si>
  <si>
    <r>
      <t>m</t>
    </r>
    <r>
      <rPr>
        <vertAlign val="superscript"/>
        <sz val="10"/>
        <rFont val="Arial"/>
        <family val="2"/>
      </rPr>
      <t>2</t>
    </r>
  </si>
  <si>
    <t>At</t>
  </si>
  <si>
    <r>
      <t>A</t>
    </r>
    <r>
      <rPr>
        <sz val="7"/>
        <rFont val="Arial"/>
        <family val="2"/>
      </rPr>
      <t xml:space="preserve">DUCT </t>
    </r>
    <r>
      <rPr>
        <sz val="10"/>
        <rFont val="Arial"/>
      </rPr>
      <t>/A</t>
    </r>
    <r>
      <rPr>
        <sz val="8"/>
        <rFont val="Arial"/>
        <family val="2"/>
      </rPr>
      <t>t</t>
    </r>
  </si>
  <si>
    <r>
      <t xml:space="preserve">V </t>
    </r>
    <r>
      <rPr>
        <sz val="7"/>
        <rFont val="Arial"/>
        <family val="2"/>
      </rPr>
      <t>GRAIN</t>
    </r>
  </si>
  <si>
    <r>
      <t xml:space="preserve">V </t>
    </r>
    <r>
      <rPr>
        <sz val="7"/>
        <rFont val="Arial"/>
        <family val="2"/>
      </rPr>
      <t>FREE</t>
    </r>
  </si>
  <si>
    <r>
      <t>m</t>
    </r>
    <r>
      <rPr>
        <vertAlign val="superscript"/>
        <sz val="10"/>
        <rFont val="Arial"/>
        <family val="2"/>
      </rPr>
      <t>3</t>
    </r>
  </si>
  <si>
    <t>kg/s</t>
  </si>
  <si>
    <t>kg</t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</si>
  <si>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GEN</t>
    </r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</si>
  <si>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NOZ</t>
    </r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</si>
  <si>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STO</t>
    </r>
  </si>
  <si>
    <r>
      <t>mass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STO</t>
    </r>
  </si>
  <si>
    <r>
      <t>Mpa</t>
    </r>
    <r>
      <rPr>
        <sz val="8"/>
        <rFont val="Arial"/>
        <family val="2"/>
      </rPr>
      <t xml:space="preserve"> (abs)</t>
    </r>
  </si>
  <si>
    <t>k</t>
  </si>
  <si>
    <t>Propellant type</t>
  </si>
  <si>
    <t>R</t>
  </si>
  <si>
    <t>R'</t>
  </si>
  <si>
    <t>J/mol-K</t>
  </si>
  <si>
    <t>kg/kmol</t>
  </si>
  <si>
    <t>J/kg-K</t>
  </si>
  <si>
    <t>To</t>
  </si>
  <si>
    <r>
      <t>h</t>
    </r>
    <r>
      <rPr>
        <sz val="9"/>
        <rFont val="Arial"/>
        <family val="2"/>
      </rPr>
      <t>c</t>
    </r>
  </si>
  <si>
    <t>Combustion efficiency</t>
  </si>
  <si>
    <t>Chamber temperature</t>
  </si>
  <si>
    <t>Effective molecular wt.</t>
  </si>
  <si>
    <t>Universal gas constant</t>
  </si>
  <si>
    <r>
      <t>To</t>
    </r>
    <r>
      <rPr>
        <sz val="8"/>
        <rFont val="Arial"/>
        <family val="2"/>
      </rPr>
      <t xml:space="preserve"> act</t>
    </r>
  </si>
  <si>
    <t>Ideal combustion temperature</t>
  </si>
  <si>
    <t>Actual chamber temperature</t>
  </si>
  <si>
    <r>
      <t>P</t>
    </r>
    <r>
      <rPr>
        <sz val="8"/>
        <rFont val="Arial"/>
        <family val="2"/>
      </rPr>
      <t>atm</t>
    </r>
  </si>
  <si>
    <t>MPa</t>
  </si>
  <si>
    <t>Ambient pressure</t>
  </si>
  <si>
    <t>Specific gas constant</t>
  </si>
  <si>
    <r>
      <t xml:space="preserve">r </t>
    </r>
    <r>
      <rPr>
        <sz val="8"/>
        <rFont val="Arial"/>
        <family val="2"/>
      </rPr>
      <t>prod</t>
    </r>
  </si>
  <si>
    <r>
      <t>kg/m</t>
    </r>
    <r>
      <rPr>
        <vertAlign val="superscript"/>
        <sz val="10"/>
        <rFont val="Arial"/>
        <family val="2"/>
      </rPr>
      <t>3</t>
    </r>
  </si>
  <si>
    <t>Grain ideal density</t>
  </si>
  <si>
    <t>Density ratio (actual/ideal)</t>
  </si>
  <si>
    <t>Grain actual density</t>
  </si>
  <si>
    <t>Propellant &amp; combustion products physical/thermochemical properties</t>
  </si>
  <si>
    <t>symb.</t>
  </si>
  <si>
    <t>units</t>
  </si>
  <si>
    <t>notes</t>
  </si>
  <si>
    <t>[2]</t>
  </si>
  <si>
    <t>[3]</t>
  </si>
  <si>
    <t>[4]</t>
  </si>
  <si>
    <t>[1]</t>
  </si>
  <si>
    <t>Propellant erosive burning velocity coefficient</t>
  </si>
  <si>
    <t>Propellant erosive burning area ratio threshold</t>
  </si>
  <si>
    <r>
      <t>x</t>
    </r>
    <r>
      <rPr>
        <sz val="8"/>
        <color indexed="23"/>
        <rFont val="Arial"/>
        <family val="2"/>
      </rPr>
      <t>inc</t>
    </r>
  </si>
  <si>
    <t>Rocket Motor chamber pressure</t>
  </si>
  <si>
    <r>
      <t>t</t>
    </r>
    <r>
      <rPr>
        <sz val="8"/>
        <color indexed="53"/>
        <rFont val="Arial"/>
        <family val="2"/>
      </rPr>
      <t xml:space="preserve">webo </t>
    </r>
    <r>
      <rPr>
        <sz val="10"/>
        <color indexed="53"/>
        <rFont val="Arial"/>
        <family val="2"/>
      </rPr>
      <t>-t</t>
    </r>
    <r>
      <rPr>
        <sz val="8"/>
        <color indexed="53"/>
        <rFont val="Arial"/>
        <family val="2"/>
      </rPr>
      <t>webf</t>
    </r>
    <r>
      <rPr>
        <sz val="10"/>
        <color indexed="53"/>
        <rFont val="Arial"/>
        <family val="2"/>
      </rPr>
      <t xml:space="preserve"> =</t>
    </r>
  </si>
  <si>
    <t>c*</t>
  </si>
  <si>
    <t>Characteristic exhaust velocity</t>
  </si>
  <si>
    <t>m/s</t>
  </si>
  <si>
    <t>Percent of Pmax:</t>
  </si>
  <si>
    <t>Pfinal =</t>
  </si>
  <si>
    <t>Pmax=</t>
  </si>
  <si>
    <r>
      <t>D</t>
    </r>
    <r>
      <rPr>
        <sz val="10"/>
        <rFont val="Arial"/>
      </rPr>
      <t>P =</t>
    </r>
  </si>
  <si>
    <t>tbinc =</t>
  </si>
  <si>
    <r>
      <t>P</t>
    </r>
    <r>
      <rPr>
        <sz val="8"/>
        <color indexed="10"/>
        <rFont val="Arial"/>
        <family val="2"/>
      </rPr>
      <t>max</t>
    </r>
    <r>
      <rPr>
        <sz val="10"/>
        <color indexed="10"/>
        <rFont val="Arial"/>
        <family val="2"/>
      </rPr>
      <t xml:space="preserve"> =</t>
    </r>
  </si>
  <si>
    <r>
      <t xml:space="preserve">t </t>
    </r>
    <r>
      <rPr>
        <sz val="8"/>
        <color indexed="10"/>
        <rFont val="Arial"/>
        <family val="2"/>
      </rPr>
      <t>burn</t>
    </r>
    <r>
      <rPr>
        <sz val="10"/>
        <color indexed="10"/>
        <rFont val="Arial"/>
        <family val="2"/>
      </rPr>
      <t xml:space="preserve"> =</t>
    </r>
  </si>
  <si>
    <r>
      <t xml:space="preserve">t </t>
    </r>
    <r>
      <rPr>
        <sz val="8"/>
        <color indexed="10"/>
        <rFont val="Arial"/>
        <family val="2"/>
      </rPr>
      <t>thrust</t>
    </r>
    <r>
      <rPr>
        <sz val="10"/>
        <color indexed="10"/>
        <rFont val="Arial"/>
        <family val="2"/>
      </rPr>
      <t xml:space="preserve"> =</t>
    </r>
  </si>
  <si>
    <r>
      <t>Pa</t>
    </r>
    <r>
      <rPr>
        <sz val="8"/>
        <rFont val="Arial"/>
        <family val="2"/>
      </rPr>
      <t xml:space="preserve"> (abs)</t>
    </r>
  </si>
  <si>
    <r>
      <t>MPa</t>
    </r>
    <r>
      <rPr>
        <sz val="8"/>
        <rFont val="Arial"/>
        <family val="2"/>
      </rPr>
      <t xml:space="preserve"> (abs)</t>
    </r>
  </si>
  <si>
    <r>
      <t>Mpa</t>
    </r>
    <r>
      <rPr>
        <sz val="8"/>
        <rFont val="Arial"/>
        <family val="2"/>
      </rPr>
      <t xml:space="preserve"> (gage)</t>
    </r>
  </si>
  <si>
    <t>psig</t>
  </si>
  <si>
    <t>Pe</t>
  </si>
  <si>
    <t>Pa (abs)</t>
  </si>
  <si>
    <r>
      <t>A</t>
    </r>
    <r>
      <rPr>
        <sz val="8"/>
        <rFont val="Arial"/>
        <family val="2"/>
      </rPr>
      <t>e</t>
    </r>
    <r>
      <rPr>
        <sz val="10"/>
        <rFont val="Arial"/>
      </rPr>
      <t/>
    </r>
  </si>
  <si>
    <t>Nozzle exit cross-section area</t>
  </si>
  <si>
    <r>
      <t>A</t>
    </r>
    <r>
      <rPr>
        <sz val="8"/>
        <rFont val="Arial"/>
        <family val="2"/>
      </rPr>
      <t>e</t>
    </r>
    <r>
      <rPr>
        <sz val="10"/>
        <rFont val="Arial"/>
      </rPr>
      <t>/A</t>
    </r>
    <r>
      <rPr>
        <sz val="8"/>
        <rFont val="Arial"/>
        <family val="2"/>
      </rPr>
      <t>t opt</t>
    </r>
  </si>
  <si>
    <t>N.</t>
  </si>
  <si>
    <t>sec.</t>
  </si>
  <si>
    <r>
      <t>Optimum Nozzle expansion ratio at P</t>
    </r>
    <r>
      <rPr>
        <sz val="8"/>
        <rFont val="Arial"/>
        <family val="2"/>
      </rPr>
      <t>o max</t>
    </r>
  </si>
  <si>
    <r>
      <t>C</t>
    </r>
    <r>
      <rPr>
        <sz val="8"/>
        <rFont val="Arial"/>
        <family val="2"/>
      </rPr>
      <t>Fmax</t>
    </r>
  </si>
  <si>
    <t>Thrust coefficient, maximum</t>
  </si>
  <si>
    <r>
      <t xml:space="preserve">I </t>
    </r>
    <r>
      <rPr>
        <sz val="8"/>
        <rFont val="Arial"/>
        <family val="2"/>
      </rPr>
      <t>t</t>
    </r>
  </si>
  <si>
    <t>N-sec.</t>
  </si>
  <si>
    <t>Maximum thrust</t>
  </si>
  <si>
    <t>Total impulse</t>
  </si>
  <si>
    <r>
      <t xml:space="preserve">h </t>
    </r>
    <r>
      <rPr>
        <sz val="8"/>
        <rFont val="Arial"/>
        <family val="2"/>
      </rPr>
      <t>noz</t>
    </r>
  </si>
  <si>
    <t>Nozzle  efficiency</t>
  </si>
  <si>
    <r>
      <t>C</t>
    </r>
    <r>
      <rPr>
        <sz val="7"/>
        <rFont val="Arial"/>
        <family val="2"/>
      </rPr>
      <t xml:space="preserve">F </t>
    </r>
    <r>
      <rPr>
        <sz val="10"/>
        <rFont val="symbol"/>
        <family val="1"/>
        <charset val="2"/>
      </rPr>
      <t>*</t>
    </r>
    <r>
      <rPr>
        <sz val="10"/>
        <rFont val="Arial"/>
        <family val="2"/>
      </rPr>
      <t xml:space="preserve"> </t>
    </r>
    <r>
      <rPr>
        <sz val="10"/>
        <rFont val="symbol"/>
        <family val="1"/>
        <charset val="2"/>
      </rPr>
      <t>h</t>
    </r>
    <r>
      <rPr>
        <sz val="8"/>
        <rFont val="Arial"/>
        <family val="2"/>
      </rPr>
      <t>noz</t>
    </r>
  </si>
  <si>
    <t>Specific impulse, delivered</t>
  </si>
  <si>
    <t>Class:</t>
  </si>
  <si>
    <t>Motor classification</t>
  </si>
  <si>
    <t>Rocket Motor Performance</t>
  </si>
  <si>
    <r>
      <t>lb</t>
    </r>
    <r>
      <rPr>
        <sz val="8"/>
        <rFont val="Arial"/>
        <family val="2"/>
      </rPr>
      <t>f</t>
    </r>
  </si>
  <si>
    <r>
      <t xml:space="preserve">F </t>
    </r>
    <r>
      <rPr>
        <sz val="8"/>
        <color indexed="10"/>
        <rFont val="Arial"/>
        <family val="2"/>
      </rPr>
      <t>max</t>
    </r>
    <r>
      <rPr>
        <sz val="10"/>
        <color indexed="10"/>
        <rFont val="Arial"/>
        <family val="2"/>
      </rPr>
      <t xml:space="preserve"> =</t>
    </r>
  </si>
  <si>
    <r>
      <t xml:space="preserve">F </t>
    </r>
    <r>
      <rPr>
        <sz val="8"/>
        <color indexed="10"/>
        <rFont val="Arial"/>
        <family val="2"/>
      </rPr>
      <t>avg</t>
    </r>
    <r>
      <rPr>
        <sz val="10"/>
        <color indexed="10"/>
        <rFont val="Arial"/>
        <family val="2"/>
      </rPr>
      <t xml:space="preserve"> =</t>
    </r>
  </si>
  <si>
    <r>
      <t>lb</t>
    </r>
    <r>
      <rPr>
        <sz val="8"/>
        <color indexed="10"/>
        <rFont val="Arial"/>
        <family val="2"/>
      </rPr>
      <t>f</t>
    </r>
  </si>
  <si>
    <t>Avg. optimum nozzle expansion ratio</t>
  </si>
  <si>
    <t>psi</t>
  </si>
  <si>
    <t xml:space="preserve"> Written by:</t>
  </si>
  <si>
    <t xml:space="preserve"> Version:</t>
  </si>
  <si>
    <t xml:space="preserve"> Date:</t>
  </si>
  <si>
    <t>Introduction</t>
  </si>
  <si>
    <r>
      <t xml:space="preserve">F </t>
    </r>
    <r>
      <rPr>
        <sz val="8"/>
        <color indexed="10"/>
        <rFont val="Arial"/>
        <family val="2"/>
      </rPr>
      <t>max</t>
    </r>
  </si>
  <si>
    <r>
      <t>I</t>
    </r>
    <r>
      <rPr>
        <sz val="10"/>
        <color indexed="10"/>
        <rFont val="Arial"/>
        <family val="2"/>
      </rPr>
      <t xml:space="preserve"> </t>
    </r>
    <r>
      <rPr>
        <sz val="8"/>
        <color indexed="10"/>
        <rFont val="Arial"/>
        <family val="2"/>
      </rPr>
      <t>t</t>
    </r>
  </si>
  <si>
    <r>
      <t>I</t>
    </r>
    <r>
      <rPr>
        <sz val="8"/>
        <color indexed="10"/>
        <rFont val="Arial"/>
        <family val="2"/>
      </rPr>
      <t>sp</t>
    </r>
  </si>
  <si>
    <t>Effective molecular wt.of products</t>
  </si>
  <si>
    <r>
      <t>Basic Data and K</t>
    </r>
    <r>
      <rPr>
        <b/>
        <u/>
        <sz val="8"/>
        <color indexed="16"/>
        <rFont val="Arial"/>
        <family val="2"/>
      </rPr>
      <t>n</t>
    </r>
    <r>
      <rPr>
        <b/>
        <u/>
        <sz val="10"/>
        <color indexed="16"/>
        <rFont val="Arial"/>
        <family val="2"/>
      </rPr>
      <t xml:space="preserve"> Calculation</t>
    </r>
  </si>
  <si>
    <t>Propellant Data</t>
  </si>
  <si>
    <t>Propellant Burn Rate Empirical Data</t>
  </si>
  <si>
    <t>Po</t>
  </si>
  <si>
    <t>Title:</t>
  </si>
  <si>
    <r>
      <t>D</t>
    </r>
    <r>
      <rPr>
        <sz val="8"/>
        <rFont val="Arial"/>
        <family val="2"/>
      </rPr>
      <t>e</t>
    </r>
  </si>
  <si>
    <t>Nozzle exit diameter</t>
  </si>
  <si>
    <t>Pburst =</t>
  </si>
  <si>
    <t>MPa.</t>
  </si>
  <si>
    <t>inch -&gt;</t>
  </si>
  <si>
    <t>mm.</t>
  </si>
  <si>
    <t>cm.</t>
  </si>
  <si>
    <r>
      <t>lb(</t>
    </r>
    <r>
      <rPr>
        <sz val="8"/>
        <rFont val="Arial"/>
        <family val="2"/>
      </rPr>
      <t>mass)</t>
    </r>
    <r>
      <rPr>
        <sz val="10"/>
        <rFont val="Arial"/>
      </rPr>
      <t xml:space="preserve"> -&gt;</t>
    </r>
  </si>
  <si>
    <r>
      <t>lb(</t>
    </r>
    <r>
      <rPr>
        <sz val="8"/>
        <rFont val="Arial"/>
        <family val="2"/>
      </rPr>
      <t>force)</t>
    </r>
    <r>
      <rPr>
        <sz val="10"/>
        <rFont val="Arial"/>
      </rPr>
      <t xml:space="preserve"> -&gt;</t>
    </r>
  </si>
  <si>
    <r>
      <t>lb/in</t>
    </r>
    <r>
      <rPr>
        <vertAlign val="superscript"/>
        <sz val="10"/>
        <rFont val="Arial"/>
        <family val="2"/>
      </rPr>
      <t>3</t>
    </r>
    <r>
      <rPr>
        <sz val="10"/>
        <rFont val="Arial"/>
      </rPr>
      <t xml:space="preserve"> -&gt;</t>
    </r>
  </si>
  <si>
    <t>Length</t>
  </si>
  <si>
    <t>Mass</t>
  </si>
  <si>
    <t>Force</t>
  </si>
  <si>
    <t>Density</t>
  </si>
  <si>
    <t>Pressure</t>
  </si>
  <si>
    <r>
      <t>lb/in</t>
    </r>
    <r>
      <rPr>
        <vertAlign val="superscript"/>
        <sz val="10"/>
        <rFont val="Arial"/>
        <family val="2"/>
      </rPr>
      <t>2</t>
    </r>
    <r>
      <rPr>
        <sz val="10"/>
        <rFont val="Arial"/>
      </rPr>
      <t xml:space="preserve"> -&gt;</t>
    </r>
  </si>
  <si>
    <t>Area</t>
  </si>
  <si>
    <r>
      <t>in</t>
    </r>
    <r>
      <rPr>
        <vertAlign val="superscript"/>
        <sz val="10"/>
        <rFont val="Arial"/>
        <family val="2"/>
      </rPr>
      <t>2</t>
    </r>
    <r>
      <rPr>
        <sz val="10"/>
        <rFont val="Arial"/>
      </rPr>
      <t xml:space="preserve"> -&gt;</t>
    </r>
  </si>
  <si>
    <r>
      <t>mm</t>
    </r>
    <r>
      <rPr>
        <vertAlign val="superscript"/>
        <sz val="10"/>
        <rFont val="Arial"/>
        <family val="2"/>
      </rPr>
      <t>2</t>
    </r>
    <r>
      <rPr>
        <sz val="10"/>
        <rFont val="Arial"/>
      </rPr>
      <t xml:space="preserve"> -&gt;</t>
    </r>
  </si>
  <si>
    <r>
      <t>g/cm</t>
    </r>
    <r>
      <rPr>
        <vertAlign val="superscript"/>
        <sz val="10"/>
        <rFont val="Arial"/>
        <family val="2"/>
      </rPr>
      <t>3</t>
    </r>
    <r>
      <rPr>
        <sz val="10"/>
        <rFont val="Arial"/>
      </rPr>
      <t xml:space="preserve"> -&gt;</t>
    </r>
  </si>
  <si>
    <t>Impulse</t>
  </si>
  <si>
    <t>lb-sec -&gt;</t>
  </si>
  <si>
    <t>Temperature</t>
  </si>
  <si>
    <t>R. -&gt;</t>
  </si>
  <si>
    <t>K.</t>
  </si>
  <si>
    <t>Abs. temperature</t>
  </si>
  <si>
    <t>deg.F. -&gt;</t>
  </si>
  <si>
    <t>deg.C.</t>
  </si>
  <si>
    <t>English -&gt; Metric Converter</t>
  </si>
  <si>
    <t>Metric -&gt; English Converter</t>
  </si>
  <si>
    <t>inch</t>
  </si>
  <si>
    <t xml:space="preserve">inch </t>
  </si>
  <si>
    <r>
      <t>lb(</t>
    </r>
    <r>
      <rPr>
        <sz val="8"/>
        <rFont val="Arial"/>
        <family val="2"/>
      </rPr>
      <t>mass)</t>
    </r>
  </si>
  <si>
    <r>
      <t>lb(</t>
    </r>
    <r>
      <rPr>
        <sz val="8"/>
        <rFont val="Arial"/>
        <family val="2"/>
      </rPr>
      <t>force)</t>
    </r>
  </si>
  <si>
    <r>
      <t>lb/in</t>
    </r>
    <r>
      <rPr>
        <vertAlign val="superscript"/>
        <sz val="10"/>
        <rFont val="Arial"/>
        <family val="2"/>
      </rPr>
      <t>3</t>
    </r>
  </si>
  <si>
    <r>
      <t>lb/in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</si>
  <si>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2</t>
    </r>
    <r>
      <rPr>
        <sz val="10"/>
        <rFont val="Arial"/>
      </rPr>
      <t xml:space="preserve"> </t>
    </r>
  </si>
  <si>
    <t>lb-sec</t>
  </si>
  <si>
    <t>deg.F.</t>
  </si>
  <si>
    <t>R.</t>
  </si>
  <si>
    <t>mm. -&gt;</t>
  </si>
  <si>
    <t>cm. -&gt;</t>
  </si>
  <si>
    <t>kg. -&gt;</t>
  </si>
  <si>
    <t>N. -&gt;</t>
  </si>
  <si>
    <t>MPa. -&gt;</t>
  </si>
  <si>
    <t>N-sec. -&gt;</t>
  </si>
  <si>
    <t>deg.C.-&gt;</t>
  </si>
  <si>
    <t>K. -&gt;</t>
  </si>
  <si>
    <r>
      <t>g/cm</t>
    </r>
    <r>
      <rPr>
        <vertAlign val="superscript"/>
        <sz val="10"/>
        <rFont val="Arial"/>
        <family val="2"/>
      </rPr>
      <t>3</t>
    </r>
    <r>
      <rPr>
        <sz val="10"/>
        <rFont val="Arial"/>
      </rPr>
      <t xml:space="preserve"> </t>
    </r>
  </si>
  <si>
    <r>
      <t>mm</t>
    </r>
    <r>
      <rPr>
        <vertAlign val="superscript"/>
        <sz val="10"/>
        <rFont val="Arial"/>
        <family val="2"/>
      </rPr>
      <t>2</t>
    </r>
    <r>
      <rPr>
        <sz val="10"/>
        <rFont val="Arial"/>
      </rPr>
      <t xml:space="preserve"> </t>
    </r>
  </si>
  <si>
    <t>Kn Table</t>
  </si>
  <si>
    <r>
      <t>&lt;=</t>
    </r>
    <r>
      <rPr>
        <b/>
        <i/>
        <sz val="9"/>
        <rFont val="Arial"/>
        <family val="2"/>
      </rPr>
      <t>Note: In case of non-convergence to zero, change value in this cell to a small "seed" value (e.g. .01)</t>
    </r>
  </si>
  <si>
    <t>of actual performance difficult, it was felt that a reasonably close approximation</t>
  </si>
  <si>
    <t>to expected performance would be attainable, and be very useful for design purposes.</t>
  </si>
  <si>
    <t>In particular, erosive burning is difficult to model. This spreadsheet uses a simple</t>
  </si>
  <si>
    <t>Pressure and performance predictions are based upon standard thermodynamic</t>
  </si>
  <si>
    <t>relate propellant burn rate to pressure. These parameters (a,n) are provided for</t>
  </si>
  <si>
    <t>To provide guidance in use of this spreadsheet, and to clarify various terms,</t>
  </si>
  <si>
    <t>"pop up" text boxes will appear over cells with a red corner flag. These may be</t>
  </si>
  <si>
    <t>(including BATES). Any number of segments may be specified. The user can also</t>
  </si>
  <si>
    <t>specify which surfaces are to be inhibited from burning (if any).</t>
  </si>
  <si>
    <t>Please forward any comments, suggestions, or notice of problems to the author:</t>
  </si>
  <si>
    <t xml:space="preserve">and fluid flow equations, in conjunction with empirically obtained parameters that </t>
  </si>
  <si>
    <t>Note that this spreadsheet is solely intended for hollow-cylindrical propellant grains</t>
  </si>
  <si>
    <t>Richard A.Nakka</t>
  </si>
  <si>
    <t>utilizing KNDX propellant.</t>
  </si>
  <si>
    <t>The two most significant factors that will affect the actual (delivered) performance</t>
  </si>
  <si>
    <r>
      <t xml:space="preserve">compared to predicted are </t>
    </r>
    <r>
      <rPr>
        <i/>
        <sz val="10"/>
        <rFont val="Arial"/>
        <family val="2"/>
      </rPr>
      <t>propellant preparation</t>
    </r>
    <r>
      <rPr>
        <sz val="10"/>
        <rFont val="Arial"/>
      </rPr>
      <t xml:space="preserve"> and </t>
    </r>
    <r>
      <rPr>
        <i/>
        <sz val="10"/>
        <rFont val="Arial"/>
        <family val="2"/>
      </rPr>
      <t>nozzle construction</t>
    </r>
    <r>
      <rPr>
        <sz val="10"/>
        <rFont val="Arial"/>
      </rPr>
      <t>. Propellant</t>
    </r>
  </si>
  <si>
    <t>preparation affects the burn rate characteristics and combustion efficiency. Care must</t>
  </si>
  <si>
    <t>be taken to have propellant constituents well-blended and of consistent oxidizer particle</t>
  </si>
  <si>
    <t>erosive burning model, intended more for contemplative purpose than actual prediction.</t>
  </si>
  <si>
    <t>Blending time (powdered) 1hr/100g. typical</t>
  </si>
  <si>
    <t xml:space="preserve">Nozzle erosion    </t>
  </si>
  <si>
    <t>ignition of the propellant occurs on all surfaces immediately and simultaneously. As</t>
  </si>
  <si>
    <t>well, burnout of the propellant is assumed to occur instantaneously. In reality, burning</t>
  </si>
  <si>
    <t>would normally initiate on those surfaces directly exposed to the ignition flame only,</t>
  </si>
  <si>
    <t>and as the chamber pressure rises, ignition occurs then on the remaining exposed</t>
  </si>
  <si>
    <t>propellant surfaces. The net affect is that the actual pressure rise and tail-off occur</t>
  </si>
  <si>
    <t>less rapidly than predicted, resulting in a more "rounded" shape to the pressure/time</t>
  </si>
  <si>
    <t>Ae/At</t>
  </si>
  <si>
    <t>Nozzle expansion ratio (initial)</t>
  </si>
  <si>
    <t>Mach No. at nozzle exit (initial)</t>
  </si>
  <si>
    <t>Mach No. at nozzle exit (final)</t>
  </si>
  <si>
    <r>
      <t>M</t>
    </r>
    <r>
      <rPr>
        <sz val="8"/>
        <rFont val="Arial"/>
        <family val="2"/>
      </rPr>
      <t>eo</t>
    </r>
  </si>
  <si>
    <r>
      <t>A</t>
    </r>
    <r>
      <rPr>
        <sz val="8"/>
        <rFont val="Arial"/>
        <family val="2"/>
      </rPr>
      <t>to</t>
    </r>
  </si>
  <si>
    <r>
      <t>M</t>
    </r>
    <r>
      <rPr>
        <sz val="8"/>
        <rFont val="Arial"/>
        <family val="2"/>
      </rPr>
      <t>ef</t>
    </r>
  </si>
  <si>
    <t>Me</t>
  </si>
  <si>
    <t>Web fraction</t>
  </si>
  <si>
    <r>
      <t>w</t>
    </r>
    <r>
      <rPr>
        <sz val="6"/>
        <rFont val="Arial"/>
        <family val="2"/>
      </rPr>
      <t xml:space="preserve"> </t>
    </r>
    <r>
      <rPr>
        <sz val="8"/>
        <rFont val="Arial"/>
        <family val="2"/>
      </rPr>
      <t>f</t>
    </r>
  </si>
  <si>
    <r>
      <t>r</t>
    </r>
    <r>
      <rPr>
        <sz val="10"/>
        <rFont val="Arial"/>
        <family val="2"/>
      </rPr>
      <t>'</t>
    </r>
    <r>
      <rPr>
        <sz val="10"/>
        <rFont val="symbol"/>
        <family val="1"/>
        <charset val="2"/>
      </rPr>
      <t xml:space="preserve"> </t>
    </r>
    <r>
      <rPr>
        <sz val="8"/>
        <rFont val="Arial"/>
        <family val="2"/>
      </rPr>
      <t>grain</t>
    </r>
  </si>
  <si>
    <t>Volumetric loading fraction</t>
  </si>
  <si>
    <r>
      <t>V</t>
    </r>
    <r>
      <rPr>
        <sz val="6"/>
        <rFont val="Arial"/>
        <family val="2"/>
      </rPr>
      <t xml:space="preserve"> </t>
    </r>
    <r>
      <rPr>
        <sz val="10"/>
        <rFont val="Script"/>
        <family val="4"/>
        <charset val="255"/>
      </rPr>
      <t>l</t>
    </r>
  </si>
  <si>
    <t>Version</t>
  </si>
  <si>
    <t>Date</t>
  </si>
  <si>
    <t>Worksheet</t>
  </si>
  <si>
    <t>Changes</t>
  </si>
  <si>
    <t>Record of Revisions</t>
  </si>
  <si>
    <t>Beta</t>
  </si>
  <si>
    <t>1 Dec. 99</t>
  </si>
  <si>
    <t>Beta-1</t>
  </si>
  <si>
    <t>1 Sep. 00</t>
  </si>
  <si>
    <t>- Revised perfomance to take into account varying Ae/At due to throat erosion.</t>
  </si>
  <si>
    <t>- Original release.</t>
  </si>
  <si>
    <t xml:space="preserve"> - </t>
  </si>
  <si>
    <t>Performance</t>
  </si>
  <si>
    <t>- Added web fraction calculation.</t>
  </si>
  <si>
    <t>- Edited comment for nozzle efficiency.</t>
  </si>
  <si>
    <t>Data and Kn</t>
  </si>
  <si>
    <t>- Added volumetric loading fraction calculation.</t>
  </si>
  <si>
    <t>1.00</t>
  </si>
  <si>
    <r>
      <t>- Fixed bug wrt computing t</t>
    </r>
    <r>
      <rPr>
        <sz val="8"/>
        <rFont val="Arial"/>
        <family val="2"/>
      </rPr>
      <t>web</t>
    </r>
    <r>
      <rPr>
        <sz val="10"/>
        <rFont val="Arial"/>
      </rPr>
      <t xml:space="preserve"> with core inhibited.</t>
    </r>
  </si>
  <si>
    <t>Ratio of specific heats, mixture</t>
  </si>
  <si>
    <t>Notes:</t>
  </si>
  <si>
    <t>Additional Notes:</t>
  </si>
  <si>
    <t>Grain mass density, ideal</t>
  </si>
  <si>
    <t>Adiabatic flame temperature.</t>
  </si>
  <si>
    <r>
      <t xml:space="preserve">Given by </t>
    </r>
    <r>
      <rPr>
        <i/>
        <sz val="9"/>
        <rFont val="Arial"/>
        <family val="2"/>
      </rPr>
      <t>system mass</t>
    </r>
    <r>
      <rPr>
        <sz val="9"/>
        <rFont val="Arial"/>
        <family val="2"/>
      </rPr>
      <t xml:space="preserve"> divided by number of</t>
    </r>
    <r>
      <rPr>
        <i/>
        <sz val="9"/>
        <rFont val="Arial"/>
        <family val="2"/>
      </rPr>
      <t xml:space="preserve"> gas moles</t>
    </r>
    <r>
      <rPr>
        <sz val="9"/>
        <rFont val="Arial"/>
        <family val="2"/>
      </rPr>
      <t xml:space="preserve"> in system.</t>
    </r>
  </si>
  <si>
    <t>Propellant data</t>
  </si>
  <si>
    <t>(all)</t>
  </si>
  <si>
    <t>- Various font &amp; chart colours changed.</t>
  </si>
  <si>
    <t>Intro</t>
  </si>
  <si>
    <t>- URL added.</t>
  </si>
  <si>
    <t>- Hint added.</t>
  </si>
  <si>
    <r>
      <t xml:space="preserve">- </t>
    </r>
    <r>
      <rPr>
        <sz val="10"/>
        <rFont val="Arial"/>
        <family val="2"/>
      </rPr>
      <t>Note</t>
    </r>
    <r>
      <rPr>
        <sz val="10"/>
        <rFont val="Arial"/>
      </rPr>
      <t>s added.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</si>
  <si>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</rPr>
      <t xml:space="preserve"> for static mixture added.</t>
    </r>
  </si>
  <si>
    <r>
      <t>Instructions for use:</t>
    </r>
    <r>
      <rPr>
        <sz val="10"/>
        <rFont val="Arial"/>
      </rPr>
      <t xml:space="preserve"> </t>
    </r>
    <r>
      <rPr>
        <sz val="10"/>
        <color indexed="12"/>
        <rFont val="Arial"/>
        <family val="2"/>
      </rPr>
      <t>Enter required data in the blue-outlined cells (with blue text)</t>
    </r>
  </si>
  <si>
    <r>
      <t>Hint!</t>
    </r>
    <r>
      <rPr>
        <sz val="8"/>
        <rFont val="Arial"/>
        <family val="2"/>
      </rPr>
      <t xml:space="preserve"> </t>
    </r>
    <r>
      <rPr>
        <sz val="8"/>
        <color indexed="23"/>
        <rFont val="Arial"/>
        <family val="2"/>
      </rPr>
      <t>To directly convert inches to mm, simply type</t>
    </r>
    <r>
      <rPr>
        <sz val="8"/>
        <rFont val="Arial"/>
        <family val="2"/>
      </rPr>
      <t xml:space="preserve">  =25.4</t>
    </r>
    <r>
      <rPr>
        <sz val="9"/>
        <rFont val="Arial"/>
        <family val="2"/>
      </rPr>
      <t>*</t>
    </r>
    <r>
      <rPr>
        <i/>
        <sz val="8"/>
        <color indexed="12"/>
        <rFont val="Arial"/>
        <family val="2"/>
      </rPr>
      <t>number</t>
    </r>
    <r>
      <rPr>
        <sz val="8"/>
        <rFont val="Arial"/>
        <family val="2"/>
      </rPr>
      <t xml:space="preserve">  </t>
    </r>
    <r>
      <rPr>
        <sz val="8"/>
        <color indexed="23"/>
        <rFont val="Arial"/>
        <family val="2"/>
      </rPr>
      <t>where</t>
    </r>
    <r>
      <rPr>
        <sz val="8"/>
        <rFont val="Arial"/>
        <family val="2"/>
      </rPr>
      <t xml:space="preserve"> </t>
    </r>
    <r>
      <rPr>
        <i/>
        <sz val="8"/>
        <color indexed="12"/>
        <rFont val="Arial"/>
        <family val="2"/>
      </rPr>
      <t>number</t>
    </r>
    <r>
      <rPr>
        <sz val="8"/>
        <rFont val="Arial"/>
        <family val="2"/>
      </rPr>
      <t xml:space="preserve"> </t>
    </r>
    <r>
      <rPr>
        <sz val="8"/>
        <color indexed="23"/>
        <rFont val="Arial"/>
        <family val="2"/>
      </rPr>
      <t>is dimension in inches.</t>
    </r>
  </si>
  <si>
    <r>
      <t xml:space="preserve">This spreadsheet was created in order to predict the performance of a </t>
    </r>
    <r>
      <rPr>
        <b/>
        <sz val="10"/>
        <rFont val="Arial"/>
        <family val="2"/>
      </rPr>
      <t>Solid Rocket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</si>
  <si>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</rPr>
      <t xml:space="preserve"> for static mixture now used for pressure &amp; c* computation.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</si>
  <si>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</rPr>
      <t xml:space="preserve"> for 2-phase flow inserted.</t>
    </r>
  </si>
  <si>
    <t>Motor Output Data</t>
  </si>
  <si>
    <t>may be used in trajectory simulation software, such as SOAR.</t>
  </si>
  <si>
    <t>This page presents a summary of the key parameters of  motor performance, which</t>
  </si>
  <si>
    <t>Grain mass</t>
  </si>
  <si>
    <t>Specific Impulse</t>
  </si>
  <si>
    <t>lb.</t>
  </si>
  <si>
    <t>lb-sec.</t>
  </si>
  <si>
    <t>Average thrust</t>
  </si>
  <si>
    <t>Thrust time</t>
  </si>
  <si>
    <t>Data pt.</t>
  </si>
  <si>
    <t>Time</t>
  </si>
  <si>
    <t>(sec.)</t>
  </si>
  <si>
    <t>Thrust</t>
  </si>
  <si>
    <t>(N.)</t>
  </si>
  <si>
    <t>(lb.)</t>
  </si>
  <si>
    <r>
      <t xml:space="preserve">sec. </t>
    </r>
    <r>
      <rPr>
        <sz val="8"/>
        <rFont val="Arial"/>
        <family val="2"/>
      </rPr>
      <t>[see note2]</t>
    </r>
  </si>
  <si>
    <t>Time step</t>
  </si>
  <si>
    <r>
      <t>Thrust-time data</t>
    </r>
    <r>
      <rPr>
        <sz val="10"/>
        <rFont val="Arial"/>
      </rPr>
      <t xml:space="preserve"> </t>
    </r>
    <r>
      <rPr>
        <sz val="8"/>
        <rFont val="Arial"/>
        <family val="2"/>
      </rPr>
      <t xml:space="preserve"> [see note 1]</t>
    </r>
  </si>
  <si>
    <r>
      <t xml:space="preserve">[1 ] This table </t>
    </r>
    <r>
      <rPr>
        <i/>
        <sz val="9"/>
        <rFont val="Arial"/>
        <family val="2"/>
      </rPr>
      <t>approximates</t>
    </r>
    <r>
      <rPr>
        <sz val="9"/>
        <rFont val="Arial"/>
        <family val="2"/>
      </rPr>
      <t xml:space="preserve"> the actual thrust-time profile.</t>
    </r>
  </si>
  <si>
    <r>
      <t xml:space="preserve">[2]  The </t>
    </r>
    <r>
      <rPr>
        <i/>
        <sz val="9"/>
        <rFont val="Arial"/>
        <family val="2"/>
      </rPr>
      <t>effective</t>
    </r>
    <r>
      <rPr>
        <sz val="9"/>
        <rFont val="Arial"/>
        <family val="2"/>
      </rPr>
      <t xml:space="preserve"> time increment between data points.</t>
    </r>
  </si>
  <si>
    <t>Motor Classification</t>
  </si>
  <si>
    <t>Output</t>
  </si>
  <si>
    <t>- New worksheet</t>
  </si>
  <si>
    <r>
      <t xml:space="preserve">Then click on the </t>
    </r>
    <r>
      <rPr>
        <b/>
        <u/>
        <sz val="10"/>
        <color indexed="10"/>
        <rFont val="Arial"/>
        <family val="2"/>
      </rPr>
      <t>Solve</t>
    </r>
    <r>
      <rPr>
        <b/>
        <u/>
        <sz val="10"/>
        <color indexed="16"/>
        <rFont val="Arial"/>
        <family val="2"/>
      </rPr>
      <t xml:space="preserve"> buttons (1-3)</t>
    </r>
  </si>
  <si>
    <t>- Text modified</t>
  </si>
  <si>
    <t>- Solve buttons edited &amp; arrow added.</t>
  </si>
  <si>
    <t>6 April 02</t>
  </si>
  <si>
    <t xml:space="preserve">R </t>
  </si>
  <si>
    <t>S</t>
  </si>
  <si>
    <t>T</t>
  </si>
  <si>
    <t>U</t>
  </si>
  <si>
    <t>V</t>
  </si>
  <si>
    <t>KNSB</t>
  </si>
  <si>
    <t>KNDX</t>
  </si>
  <si>
    <t>KNSU</t>
  </si>
  <si>
    <t xml:space="preserve">Exposed </t>
  </si>
  <si>
    <t>Inhibited</t>
  </si>
  <si>
    <t>Core surface:</t>
  </si>
  <si>
    <t>Ends surface:</t>
  </si>
  <si>
    <t>KNSB coarse</t>
  </si>
  <si>
    <t>KNSB fine</t>
  </si>
  <si>
    <t>See Note [1] below</t>
  </si>
  <si>
    <t>Note [1]</t>
  </si>
  <si>
    <t>KNDX = potassium nitrate/dextrose, 65/35 O/F ratio, oxidizer finely milled</t>
  </si>
  <si>
    <t>Max =&gt;</t>
  </si>
  <si>
    <t>9 MPa</t>
  </si>
  <si>
    <t>8 MPa</t>
  </si>
  <si>
    <t>7 MPa</t>
  </si>
  <si>
    <t>6 MPa</t>
  </si>
  <si>
    <t>5 MPa</t>
  </si>
  <si>
    <t>4 MPa</t>
  </si>
  <si>
    <t>3 MPa</t>
  </si>
  <si>
    <t>2 MPa</t>
  </si>
  <si>
    <t>1200 psi</t>
  </si>
  <si>
    <t>1100 psi</t>
  </si>
  <si>
    <t>1000 psi</t>
  </si>
  <si>
    <t>900 psi</t>
  </si>
  <si>
    <t>800 psi</t>
  </si>
  <si>
    <t>700 psi</t>
  </si>
  <si>
    <t>600 psi</t>
  </si>
  <si>
    <t>500 psi</t>
  </si>
  <si>
    <t>400 psi</t>
  </si>
  <si>
    <t>300 psi</t>
  </si>
  <si>
    <t>200 psi</t>
  </si>
  <si>
    <r>
      <t xml:space="preserve">Nozzle:         </t>
    </r>
    <r>
      <rPr>
        <sz val="10"/>
        <rFont val="Arial"/>
        <family val="2"/>
      </rPr>
      <t xml:space="preserve"> At</t>
    </r>
    <r>
      <rPr>
        <sz val="8"/>
        <rFont val="Arial"/>
        <family val="2"/>
      </rPr>
      <t>o</t>
    </r>
  </si>
  <si>
    <t>Maximum chamber pressure (target)</t>
  </si>
  <si>
    <t>KNDX = Potassium Nitrate/Dextrose, 65/35 O/F ratio</t>
  </si>
  <si>
    <t>KNSB = Potassium Nitrate/Sorbitol, 65/35 O/F ratio</t>
  </si>
  <si>
    <t>KNSU = Potassium Nitrate/Sucrose, 65/35 O/F ratio</t>
  </si>
  <si>
    <t>KNSB Fine</t>
  </si>
  <si>
    <t>KNSB Coarse</t>
  </si>
  <si>
    <t>Grain temperature 20C.</t>
  </si>
  <si>
    <t>[1]  Milled in electric coffee grinder for approx. 40 sec.</t>
  </si>
  <si>
    <t xml:space="preserve">[2]  As obtained (fine granular) or prills milled in electric </t>
  </si>
  <si>
    <t>Conditions for applicability of burn rate parameters:</t>
  </si>
  <si>
    <t>8.5 MPa</t>
  </si>
  <si>
    <t>7.5 MPa</t>
  </si>
  <si>
    <t>6.5 MPa</t>
  </si>
  <si>
    <t>5.5 MPa</t>
  </si>
  <si>
    <t>4.5 MPa</t>
  </si>
  <si>
    <t>3.5 MPa</t>
  </si>
  <si>
    <t>2.5 MPa</t>
  </si>
  <si>
    <t>1.5 MPa</t>
  </si>
  <si>
    <t>1 MPa</t>
  </si>
  <si>
    <t>1300 psi</t>
  </si>
  <si>
    <t>1150 psi</t>
  </si>
  <si>
    <t>1050 psi</t>
  </si>
  <si>
    <t>950 psi</t>
  </si>
  <si>
    <t>850 psi</t>
  </si>
  <si>
    <t>750 psi</t>
  </si>
  <si>
    <t>650 psi</t>
  </si>
  <si>
    <t>550 psi</t>
  </si>
  <si>
    <t>450 psi</t>
  </si>
  <si>
    <t>350 psi</t>
  </si>
  <si>
    <t>250 psi</t>
  </si>
  <si>
    <t>150 psi</t>
  </si>
  <si>
    <t>1250 psi</t>
  </si>
  <si>
    <r>
      <t xml:space="preserve"> </t>
    </r>
    <r>
      <rPr>
        <b/>
        <sz val="14"/>
        <color indexed="60"/>
        <rFont val="Arial"/>
        <family val="2"/>
      </rPr>
      <t>S</t>
    </r>
    <r>
      <rPr>
        <b/>
        <sz val="11"/>
        <color indexed="60"/>
        <rFont val="Arial"/>
        <family val="2"/>
      </rPr>
      <t>olid</t>
    </r>
    <r>
      <rPr>
        <b/>
        <sz val="12"/>
        <color indexed="60"/>
        <rFont val="Arial"/>
        <family val="2"/>
      </rPr>
      <t xml:space="preserve"> </t>
    </r>
    <r>
      <rPr>
        <b/>
        <sz val="14"/>
        <color indexed="60"/>
        <rFont val="Arial"/>
        <family val="2"/>
      </rPr>
      <t>R</t>
    </r>
    <r>
      <rPr>
        <b/>
        <sz val="11"/>
        <color indexed="60"/>
        <rFont val="Arial"/>
        <family val="2"/>
      </rPr>
      <t>ocket</t>
    </r>
    <r>
      <rPr>
        <b/>
        <sz val="12"/>
        <color indexed="60"/>
        <rFont val="Arial"/>
        <family val="2"/>
      </rPr>
      <t xml:space="preserve"> </t>
    </r>
    <r>
      <rPr>
        <b/>
        <sz val="14"/>
        <color indexed="60"/>
        <rFont val="Arial"/>
        <family val="2"/>
      </rPr>
      <t>M</t>
    </r>
    <r>
      <rPr>
        <b/>
        <sz val="11"/>
        <color indexed="60"/>
        <rFont val="Arial"/>
        <family val="2"/>
      </rPr>
      <t>otor</t>
    </r>
    <r>
      <rPr>
        <b/>
        <sz val="12"/>
        <color indexed="60"/>
        <rFont val="Arial"/>
        <family val="2"/>
      </rPr>
      <t xml:space="preserve"> Performance </t>
    </r>
  </si>
  <si>
    <r>
      <t xml:space="preserve">size (see "Conditions for Applicability", </t>
    </r>
    <r>
      <rPr>
        <i/>
        <sz val="10"/>
        <color indexed="17"/>
        <rFont val="Arial"/>
        <family val="2"/>
      </rPr>
      <t>Burnrate</t>
    </r>
    <r>
      <rPr>
        <sz val="10"/>
        <rFont val="Arial"/>
      </rPr>
      <t xml:space="preserve"> worksheet).  Good nozzle performance</t>
    </r>
  </si>
  <si>
    <t>can be achieved with use of proper geometry and enhanced  through careful contouring</t>
  </si>
  <si>
    <t>and polishing of flow surfaces.</t>
  </si>
  <si>
    <t>A key factor that leads to inaccuracy in prediction is that the analysis assumes that</t>
  </si>
  <si>
    <t>propellants. Sugar propellants generate a large amount of condensed-phase</t>
  </si>
  <si>
    <t>combustion products. The resulting "two-phase flow" has a significant effect upon</t>
  </si>
  <si>
    <t>motor performance and cannot be ignored. This spreadsheet accounts for two-</t>
  </si>
  <si>
    <t>phase flow by using suitably modified parameters and flow equations.</t>
  </si>
  <si>
    <r>
      <t xml:space="preserve">Oxidizer particle size 60-125 </t>
    </r>
    <r>
      <rPr>
        <sz val="10"/>
        <color indexed="16"/>
        <rFont val="symbol"/>
        <family val="1"/>
        <charset val="2"/>
      </rPr>
      <t>m</t>
    </r>
    <r>
      <rPr>
        <sz val="10"/>
        <color indexed="16"/>
        <rFont val="Arial"/>
        <family val="2"/>
      </rPr>
      <t>m majority</t>
    </r>
    <r>
      <rPr>
        <sz val="10"/>
        <color indexed="36"/>
        <rFont val="Arial"/>
        <family val="2"/>
      </rPr>
      <t xml:space="preserve"> </t>
    </r>
    <r>
      <rPr>
        <sz val="10"/>
        <color indexed="18"/>
        <rFont val="Arial"/>
        <family val="2"/>
      </rPr>
      <t>[Note 1]</t>
    </r>
  </si>
  <si>
    <r>
      <t xml:space="preserve">Oxidizer particle size 150-250 </t>
    </r>
    <r>
      <rPr>
        <sz val="10"/>
        <color indexed="16"/>
        <rFont val="symbol"/>
        <family val="1"/>
        <charset val="2"/>
      </rPr>
      <t>m</t>
    </r>
    <r>
      <rPr>
        <sz val="10"/>
        <color indexed="16"/>
        <rFont val="Arial"/>
        <family val="2"/>
      </rPr>
      <t>m majority</t>
    </r>
    <r>
      <rPr>
        <sz val="10"/>
        <color indexed="18"/>
        <rFont val="Arial"/>
        <family val="2"/>
      </rPr>
      <t xml:space="preserve"> [Note 2]</t>
    </r>
  </si>
  <si>
    <t>- Propellant choices enhanced.</t>
  </si>
  <si>
    <t>b</t>
  </si>
  <si>
    <t>c</t>
  </si>
  <si>
    <t>order</t>
  </si>
  <si>
    <t>e</t>
  </si>
  <si>
    <t>f</t>
  </si>
  <si>
    <t>g</t>
  </si>
  <si>
    <t>Kn init</t>
  </si>
  <si>
    <t>Ratio of Burning area / throat area  (max)</t>
  </si>
  <si>
    <t>where units of P is "MPa"</t>
  </si>
  <si>
    <t>Kn versus Pressure for  propellants.</t>
  </si>
  <si>
    <t>Target MEOP:</t>
  </si>
  <si>
    <t>Kn max:</t>
  </si>
  <si>
    <t>150-400 psi</t>
  </si>
  <si>
    <t>900-1300 psi</t>
  </si>
  <si>
    <t>450-850 psi</t>
  </si>
  <si>
    <t>Polynomial coefficients for Least Squares Fit of Kn as fcn of Pressure data</t>
  </si>
  <si>
    <t>select</t>
  </si>
  <si>
    <t>calc Kn</t>
  </si>
  <si>
    <r>
      <t>Kn = a + b*P + c*P</t>
    </r>
    <r>
      <rPr>
        <vertAlign val="superscript"/>
        <sz val="10"/>
        <color indexed="23"/>
        <rFont val="Arial"/>
        <family val="2"/>
      </rPr>
      <t>2</t>
    </r>
    <r>
      <rPr>
        <sz val="10"/>
        <color indexed="23"/>
        <rFont val="Arial"/>
        <family val="2"/>
      </rPr>
      <t xml:space="preserve"> + d*P</t>
    </r>
    <r>
      <rPr>
        <vertAlign val="superscript"/>
        <sz val="10"/>
        <color indexed="23"/>
        <rFont val="Arial"/>
        <family val="2"/>
      </rPr>
      <t>3</t>
    </r>
    <r>
      <rPr>
        <sz val="10"/>
        <color indexed="23"/>
        <rFont val="Arial"/>
        <family val="2"/>
      </rPr>
      <t xml:space="preserve"> + e*P</t>
    </r>
    <r>
      <rPr>
        <vertAlign val="superscript"/>
        <sz val="10"/>
        <color indexed="23"/>
        <rFont val="Arial"/>
        <family val="2"/>
      </rPr>
      <t>4</t>
    </r>
    <r>
      <rPr>
        <sz val="10"/>
        <color indexed="23"/>
        <rFont val="Arial"/>
        <family val="2"/>
      </rPr>
      <t xml:space="preserve"> + f*P</t>
    </r>
    <r>
      <rPr>
        <vertAlign val="superscript"/>
        <sz val="10"/>
        <color indexed="23"/>
        <rFont val="Arial"/>
        <family val="2"/>
      </rPr>
      <t>5</t>
    </r>
    <r>
      <rPr>
        <sz val="10"/>
        <color indexed="23"/>
        <rFont val="Arial"/>
        <family val="2"/>
      </rPr>
      <t xml:space="preserve"> + g*P</t>
    </r>
    <r>
      <rPr>
        <vertAlign val="superscript"/>
        <sz val="10"/>
        <color indexed="23"/>
        <rFont val="Arial"/>
        <family val="2"/>
      </rPr>
      <t>6</t>
    </r>
  </si>
  <si>
    <r>
      <t>P</t>
    </r>
    <r>
      <rPr>
        <sz val="8"/>
        <color indexed="23"/>
        <rFont val="Arial"/>
        <family val="2"/>
      </rPr>
      <t>target</t>
    </r>
    <r>
      <rPr>
        <sz val="10"/>
        <color indexed="23"/>
        <rFont val="Arial"/>
        <family val="2"/>
      </rPr>
      <t>:</t>
    </r>
  </si>
  <si>
    <t>0-1300 psi</t>
  </si>
  <si>
    <t>Range incr</t>
  </si>
  <si>
    <t>fueltype</t>
  </si>
  <si>
    <t xml:space="preserve">     coffee grinder approx. 5 sec.</t>
  </si>
  <si>
    <t>Dec.2013</t>
  </si>
  <si>
    <t>Note that some data cells have drop-down lists</t>
  </si>
  <si>
    <t>website: www.nakka-rocketry.net</t>
  </si>
  <si>
    <t>e-mail: richard.rocketry@gmail.com</t>
  </si>
  <si>
    <t>KNER coarse</t>
  </si>
  <si>
    <t>KNMN coarse</t>
  </si>
  <si>
    <t>KNER</t>
  </si>
  <si>
    <t>KNMN</t>
  </si>
  <si>
    <t>KNMN = Potassium Nitrate/Mannitol, 65/35 O/F ratio</t>
  </si>
  <si>
    <t>KNER = Potassium Nitrate/Erythritol, 65/35 O/F ratio</t>
  </si>
  <si>
    <r>
      <t xml:space="preserve">KNSB Coarse, KNMN Coarse </t>
    </r>
    <r>
      <rPr>
        <sz val="9"/>
        <color indexed="12"/>
        <rFont val="Arial"/>
        <family val="2"/>
      </rPr>
      <t xml:space="preserve"> Note [3]</t>
    </r>
  </si>
  <si>
    <r>
      <t xml:space="preserve">KNER Coarse </t>
    </r>
    <r>
      <rPr>
        <sz val="9"/>
        <color indexed="12"/>
        <rFont val="Arial"/>
        <family val="2"/>
      </rPr>
      <t xml:space="preserve"> Note [3]</t>
    </r>
  </si>
  <si>
    <t>KNER coarse = potassium nitrate/erythritol 65/35 O/F ratio, oxidizer granular or lightly milled prills</t>
  </si>
  <si>
    <t>KNSB coarse = potassium nitrate/sorbitol 65/35 O/F ratio, oxidizer granular or lightly milled prills</t>
  </si>
  <si>
    <t>KNSU= potassium nitrate/sucrose 65/35 O/F ratio, oxidizer finely milled</t>
  </si>
  <si>
    <t>KNMN coarse = potassium nitrate/mannitol 65/35 O/F ratio, oxidizer granular or lightly milled prills</t>
  </si>
  <si>
    <t>KNSB fine = potassium nitrate/sorbitol 65/35 O/F ratio, oxidizer finely milled</t>
  </si>
  <si>
    <t>"coarse", KNER "coarse" &amp; KNMN "coarse"). Fine and coarse refer to the oxidizer</t>
  </si>
  <si>
    <r>
      <t xml:space="preserve">disabled, if desired, via the </t>
    </r>
    <r>
      <rPr>
        <sz val="10"/>
        <color indexed="17"/>
        <rFont val="Arial"/>
        <family val="2"/>
      </rPr>
      <t>Tools/Options/View/Comments</t>
    </r>
    <r>
      <rPr>
        <sz val="10"/>
        <rFont val="Arial"/>
      </rPr>
      <t xml:space="preserve"> menu.</t>
    </r>
  </si>
  <si>
    <r>
      <t xml:space="preserve">Motor </t>
    </r>
    <r>
      <rPr>
        <sz val="10"/>
        <rFont val="Arial"/>
      </rPr>
      <t>(SRM). Although there are many factors which make a precise prediction</t>
    </r>
  </si>
  <si>
    <t>curve and a longer overall burn time.</t>
  </si>
  <si>
    <t>Erosive burning may generally be neglected in the design of a new motor without serious</t>
  </si>
  <si>
    <t>consequence.</t>
  </si>
  <si>
    <t>This spreadsheet is dedicated to the design of rocket motors that use "sugar"</t>
  </si>
  <si>
    <t>Note on chamber pressure calculation:</t>
  </si>
  <si>
    <t xml:space="preserve">chamber pressure may differ from the user-selected TARGET maximum chamber </t>
  </si>
  <si>
    <t>pressure by +/- 0.3 MPa (50 psi).</t>
  </si>
  <si>
    <t xml:space="preserve">Due to the algorithm that is utilized to compute chamber pressure, the maximum </t>
  </si>
  <si>
    <r>
      <t>Dt</t>
    </r>
    <r>
      <rPr>
        <b/>
        <sz val="8"/>
        <rFont val="Arial"/>
        <family val="2"/>
      </rPr>
      <t>o</t>
    </r>
  </si>
  <si>
    <r>
      <t>Throat diameter</t>
    </r>
    <r>
      <rPr>
        <sz val="10"/>
        <rFont val="Arial"/>
        <family val="2"/>
      </rPr>
      <t xml:space="preserve"> (initial)</t>
    </r>
  </si>
  <si>
    <t>Pt.</t>
  </si>
  <si>
    <t>X</t>
  </si>
  <si>
    <t>Y</t>
  </si>
  <si>
    <t>-Y</t>
  </si>
  <si>
    <t>- Added Nozzle Design worksheet</t>
  </si>
  <si>
    <t>Nozzle Design</t>
  </si>
  <si>
    <t>Chamber inside diameter</t>
  </si>
  <si>
    <t>Nozzle throat diameter</t>
  </si>
  <si>
    <r>
      <t>D</t>
    </r>
    <r>
      <rPr>
        <sz val="8"/>
        <rFont val="Arial"/>
        <family val="2"/>
      </rPr>
      <t>e</t>
    </r>
    <r>
      <rPr>
        <sz val="8"/>
        <rFont val="Arial"/>
        <family val="2"/>
      </rPr>
      <t xml:space="preserve"> opt</t>
    </r>
  </si>
  <si>
    <t>Optimum nozzle exit diameter</t>
  </si>
  <si>
    <t>alpha</t>
  </si>
  <si>
    <t>beta</t>
  </si>
  <si>
    <t>degrees</t>
  </si>
  <si>
    <t>Nozzle divergence half-angle</t>
  </si>
  <si>
    <t>Nozzle convergence half-angle</t>
  </si>
  <si>
    <t>Graphing:</t>
  </si>
  <si>
    <t>Ld</t>
  </si>
  <si>
    <t>Convergence length</t>
  </si>
  <si>
    <t>Divergence length</t>
  </si>
  <si>
    <t>Overall length</t>
  </si>
  <si>
    <r>
      <t>D</t>
    </r>
    <r>
      <rPr>
        <sz val="8"/>
        <rFont val="Arial"/>
        <family val="2"/>
      </rPr>
      <t>t</t>
    </r>
  </si>
  <si>
    <t>- Multiple changes to user interface and formating</t>
  </si>
  <si>
    <t>Reference worksheets:</t>
  </si>
  <si>
    <t>- Fixed issue with calculation failure (#NUM) when selecting low chamber pressure (caused by negative mass storage rate)</t>
  </si>
  <si>
    <t>KNPSB</t>
  </si>
  <si>
    <t>KNPSB = Potassium Nitrate/Potassium Perchlorate/Sorbitol 35/30/35 O/O/F ratio</t>
  </si>
  <si>
    <t>Mar. 2023</t>
  </si>
  <si>
    <t>May 2020</t>
  </si>
  <si>
    <r>
      <t>SRM</t>
    </r>
    <r>
      <rPr>
        <b/>
        <sz val="12"/>
        <color indexed="60"/>
        <rFont val="Lucida Console"/>
        <family val="3"/>
      </rPr>
      <t xml:space="preserve"> </t>
    </r>
    <r>
      <rPr>
        <b/>
        <sz val="14"/>
        <color indexed="60"/>
        <rFont val="Lucida Console"/>
        <family val="3"/>
      </rPr>
      <t>2023</t>
    </r>
    <r>
      <rPr>
        <b/>
        <sz val="16"/>
        <color indexed="60"/>
        <rFont val="Lucida Console"/>
        <family val="3"/>
      </rPr>
      <t>.XLS</t>
    </r>
  </si>
  <si>
    <t>Changes incorporated into SRM 2023 version</t>
  </si>
  <si>
    <t>Ref. ProPEP</t>
  </si>
  <si>
    <t>For the  gas-particle mixture.</t>
  </si>
  <si>
    <t>particle size. Burn rate parameters for KNPSB were obtained through BEM static</t>
  </si>
  <si>
    <t>tests.</t>
  </si>
  <si>
    <t>KNPSB propellant should be produced using the process described in the</t>
  </si>
  <si>
    <t>www.nakka-rocketry.net/knpsb.html</t>
  </si>
  <si>
    <t xml:space="preserve">following web page: </t>
  </si>
  <si>
    <t>KNPSB= potassium nitrate/potassium perchlorate/sorbitol 35/30/35 O/O/F ratio, oxidizers finely milled</t>
  </si>
  <si>
    <t>2023 (for free distribution). Supercedes SRM_2014.XLS version 1.1 (2014)</t>
  </si>
  <si>
    <t>- Fixed minor error with fuel type selection of k and To.</t>
  </si>
  <si>
    <t>KNFR</t>
  </si>
  <si>
    <t>KNFR = Potassium Nitrate/Fructose, 65/35 OF ratio</t>
  </si>
  <si>
    <t>six "sugar" propellants: KNDX, KNSB, KNSU, KNER, KNFR and KNMN. These burn</t>
  </si>
  <si>
    <t>rate parameters were obtained through careful strand burner measurements conducted</t>
  </si>
  <si>
    <t>by Richard Nakka (KNSB "fine", KNDX, KNFR &amp; KNSU) and Magnus Gudnasen (KNSB</t>
  </si>
  <si>
    <t>KNPSB and KNFR have been added to the choice of propellants. All propellant properties have been</t>
  </si>
  <si>
    <t>- Removed 2-phase value for "k" (replaced with "k" for mixture)</t>
  </si>
  <si>
    <t>- Updated for revisions</t>
  </si>
  <si>
    <t>KNFR = potassium nitrate/fructose, 65/35 O/F ratio, oxidizer finely milled</t>
  </si>
  <si>
    <t>- Table expanded to "V-Class"</t>
  </si>
  <si>
    <t>overall effect of these updated property values is a small reduction in predicted performance (thrust, total</t>
  </si>
  <si>
    <t>impulse &amp; specific impulse) compared to SRM_2014. Motor performance up to "V" class is now supported.</t>
  </si>
  <si>
    <t>tweaked based on revised two-phase flow analysis. The value of "k" is corrected to a single value. The</t>
  </si>
  <si>
    <t>KNSB Fine, KNDX, KNFR and KNSU :</t>
  </si>
  <si>
    <t>KNSB Coarse, KNMN Coarse &amp; KNER Coarse :</t>
  </si>
  <si>
    <t>[3]  Coarse burn rate parameters courtesy Magnus Gudnasen.</t>
  </si>
  <si>
    <t>Burnrate</t>
  </si>
  <si>
    <t>- Added parameters for KNPSB and KNFR</t>
  </si>
  <si>
    <t>- Added KNFR and KNPSB propellants</t>
  </si>
  <si>
    <t>Example Rocket Motor (L-Class)</t>
  </si>
  <si>
    <t>- Updated graph titles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</si>
</sst>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0.0"/>
    <numFmt numFmtId="165" formatCode="0.000"/>
    <numFmt numFmtId="166" formatCode="0.0000"/>
    <numFmt numFmtId="167" formatCode="0.00000"/>
    <numFmt numFmtId="168" formatCode="0.000000"/>
    <numFmt numFmtId="169" formatCode="0.0000E+00"/>
    <numFmt numFmtId="170" formatCode="0.000E+00"/>
  </numFmts>
  <fonts count="96">
    <font>
      <sz val="10"/>
      <name val="Arial"/>
    </font>
    <font>
      <b/>
      <sz val="10"/>
      <color indexed="10"/>
      <name val="Arial"/>
      <family val="2"/>
    </font>
    <font>
      <b/>
      <sz val="10"/>
      <color indexed="8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vertAlign val="superscript"/>
      <sz val="10"/>
      <name val="Arial"/>
      <family val="2"/>
    </font>
    <font>
      <b/>
      <sz val="10"/>
      <color indexed="16"/>
      <name val="Arial"/>
      <family val="2"/>
    </font>
    <font>
      <sz val="10"/>
      <color indexed="48"/>
      <name val="Arial"/>
      <family val="2"/>
    </font>
    <font>
      <sz val="10"/>
      <name val="symbol"/>
      <family val="1"/>
      <charset val="2"/>
    </font>
    <font>
      <sz val="10"/>
      <name val="Arial"/>
      <family val="2"/>
    </font>
    <font>
      <sz val="7"/>
      <name val="Arial"/>
      <family val="2"/>
    </font>
    <font>
      <sz val="10"/>
      <color indexed="10"/>
      <name val="Arial"/>
      <family val="2"/>
    </font>
    <font>
      <sz val="8"/>
      <color indexed="10"/>
      <name val="Arial"/>
      <family val="2"/>
    </font>
    <font>
      <b/>
      <sz val="10"/>
      <color indexed="48"/>
      <name val="Arial"/>
      <family val="2"/>
    </font>
    <font>
      <sz val="10"/>
      <color indexed="53"/>
      <name val="Arial"/>
      <family val="2"/>
    </font>
    <font>
      <b/>
      <sz val="8"/>
      <color indexed="10"/>
      <name val="Arial"/>
      <family val="2"/>
    </font>
    <font>
      <b/>
      <sz val="10"/>
      <color indexed="12"/>
      <name val="Arial"/>
      <family val="2"/>
    </font>
    <font>
      <vertAlign val="subscript"/>
      <sz val="10"/>
      <name val="Arial"/>
      <family val="2"/>
    </font>
    <font>
      <vertAlign val="subscript"/>
      <sz val="9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0"/>
      <color indexed="23"/>
      <name val="Arial"/>
      <family val="2"/>
    </font>
    <font>
      <sz val="8"/>
      <color indexed="23"/>
      <name val="Arial"/>
      <family val="2"/>
    </font>
    <font>
      <sz val="8"/>
      <color indexed="53"/>
      <name val="Arial"/>
      <family val="2"/>
    </font>
    <font>
      <sz val="10"/>
      <color indexed="55"/>
      <name val="Arial"/>
      <family val="2"/>
    </font>
    <font>
      <sz val="10"/>
      <color indexed="15"/>
      <name val="Arial"/>
      <family val="2"/>
    </font>
    <font>
      <sz val="10"/>
      <color indexed="57"/>
      <name val="Arial"/>
      <family val="2"/>
    </font>
    <font>
      <sz val="10"/>
      <name val="Times New Roman"/>
      <family val="1"/>
    </font>
    <font>
      <b/>
      <sz val="10"/>
      <color indexed="10"/>
      <name val="Arial"/>
      <family val="2"/>
    </font>
    <font>
      <b/>
      <sz val="10"/>
      <color indexed="10"/>
      <name val="Times New Roman"/>
      <family val="1"/>
    </font>
    <font>
      <sz val="10"/>
      <color indexed="22"/>
      <name val="Arial"/>
      <family val="2"/>
    </font>
    <font>
      <sz val="9"/>
      <color indexed="54"/>
      <name val="Arial"/>
      <family val="2"/>
    </font>
    <font>
      <sz val="12"/>
      <name val="Arial"/>
      <family val="2"/>
    </font>
    <font>
      <sz val="10"/>
      <color indexed="10"/>
      <name val="Arial"/>
      <family val="2"/>
    </font>
    <font>
      <sz val="10"/>
      <color indexed="10"/>
      <name val="Times New Roman"/>
      <family val="1"/>
    </font>
    <font>
      <b/>
      <u/>
      <sz val="10"/>
      <color indexed="16"/>
      <name val="Arial"/>
      <family val="2"/>
    </font>
    <font>
      <b/>
      <u/>
      <sz val="8"/>
      <color indexed="16"/>
      <name val="Arial"/>
      <family val="2"/>
    </font>
    <font>
      <i/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i/>
      <sz val="10"/>
      <name val="Arial"/>
      <family val="2"/>
    </font>
    <font>
      <b/>
      <i/>
      <sz val="9"/>
      <name val="Arial"/>
      <family val="2"/>
    </font>
    <font>
      <sz val="10"/>
      <color indexed="16"/>
      <name val="Arial"/>
      <family val="2"/>
    </font>
    <font>
      <sz val="10"/>
      <color indexed="62"/>
      <name val="Arial"/>
      <family val="2"/>
    </font>
    <font>
      <u/>
      <sz val="10"/>
      <color indexed="16"/>
      <name val="Arial"/>
      <family val="2"/>
    </font>
    <font>
      <sz val="10"/>
      <color indexed="17"/>
      <name val="Arial"/>
      <family val="2"/>
    </font>
    <font>
      <i/>
      <sz val="10"/>
      <color indexed="16"/>
      <name val="Arial"/>
      <family val="2"/>
    </font>
    <font>
      <sz val="10"/>
      <color indexed="16"/>
      <name val="Arial"/>
      <family val="2"/>
    </font>
    <font>
      <sz val="10"/>
      <color indexed="16"/>
      <name val="symbol"/>
      <family val="1"/>
      <charset val="2"/>
    </font>
    <font>
      <i/>
      <sz val="10"/>
      <color indexed="17"/>
      <name val="Arial"/>
      <family val="2"/>
    </font>
    <font>
      <sz val="6"/>
      <name val="Arial"/>
      <family val="2"/>
    </font>
    <font>
      <sz val="10"/>
      <name val="Script"/>
      <family val="4"/>
      <charset val="255"/>
    </font>
    <font>
      <u/>
      <sz val="10"/>
      <name val="Arial"/>
      <family val="2"/>
    </font>
    <font>
      <i/>
      <sz val="9"/>
      <name val="Arial"/>
      <family val="2"/>
    </font>
    <font>
      <sz val="11"/>
      <color indexed="8"/>
      <name val="Arial"/>
      <family val="2"/>
    </font>
    <font>
      <b/>
      <sz val="11"/>
      <color indexed="10"/>
      <name val="Arial"/>
      <family val="2"/>
    </font>
    <font>
      <b/>
      <sz val="11"/>
      <color indexed="10"/>
      <name val="motorclass"/>
    </font>
    <font>
      <u/>
      <sz val="10"/>
      <color indexed="12"/>
      <name val="Arial"/>
      <family val="2"/>
    </font>
    <font>
      <i/>
      <sz val="8"/>
      <color indexed="12"/>
      <name val="Arial"/>
      <family val="2"/>
    </font>
    <font>
      <sz val="10"/>
      <color indexed="20"/>
      <name val="Arial"/>
      <family val="2"/>
    </font>
    <font>
      <b/>
      <u/>
      <sz val="10"/>
      <color indexed="10"/>
      <name val="Arial"/>
      <family val="2"/>
    </font>
    <font>
      <i/>
      <u/>
      <sz val="10"/>
      <color indexed="12"/>
      <name val="Arial"/>
      <family val="2"/>
    </font>
    <font>
      <sz val="9"/>
      <color indexed="16"/>
      <name val="Arial"/>
      <family val="2"/>
    </font>
    <font>
      <sz val="9"/>
      <color indexed="12"/>
      <name val="Arial"/>
      <family val="2"/>
    </font>
    <font>
      <b/>
      <i/>
      <sz val="10"/>
      <color indexed="16"/>
      <name val="Arial"/>
      <family val="2"/>
    </font>
    <font>
      <b/>
      <sz val="12"/>
      <color indexed="60"/>
      <name val="Arial"/>
      <family val="2"/>
    </font>
    <font>
      <b/>
      <sz val="14"/>
      <color indexed="60"/>
      <name val="Arial"/>
      <family val="2"/>
    </font>
    <font>
      <b/>
      <sz val="11"/>
      <color indexed="60"/>
      <name val="Arial"/>
      <family val="2"/>
    </font>
    <font>
      <sz val="10"/>
      <color indexed="36"/>
      <name val="Arial"/>
      <family val="2"/>
    </font>
    <font>
      <sz val="10"/>
      <color indexed="18"/>
      <name val="Arial"/>
      <family val="2"/>
    </font>
    <font>
      <vertAlign val="superscript"/>
      <sz val="10"/>
      <color indexed="23"/>
      <name val="Arial"/>
      <family val="2"/>
    </font>
    <font>
      <b/>
      <i/>
      <u/>
      <sz val="10"/>
      <color indexed="16"/>
      <name val="Arial"/>
      <family val="2"/>
    </font>
    <font>
      <b/>
      <sz val="14"/>
      <color indexed="60"/>
      <name val="Lucida Console"/>
      <family val="3"/>
    </font>
    <font>
      <b/>
      <sz val="16"/>
      <color indexed="60"/>
      <name val="Lucida Console"/>
      <family val="3"/>
    </font>
    <font>
      <b/>
      <sz val="12"/>
      <color indexed="60"/>
      <name val="Lucida Console"/>
      <family val="3"/>
    </font>
    <font>
      <b/>
      <sz val="8"/>
      <name val="Arial"/>
      <family val="2"/>
    </font>
    <font>
      <sz val="11"/>
      <color indexed="60"/>
      <name val="Lucida Console"/>
      <family val="3"/>
    </font>
    <font>
      <b/>
      <sz val="12"/>
      <color indexed="60"/>
      <name val="Arial"/>
      <family val="2"/>
    </font>
    <font>
      <sz val="9"/>
      <color indexed="18"/>
      <name val="Arial"/>
      <family val="2"/>
    </font>
    <font>
      <i/>
      <sz val="8"/>
      <color indexed="23"/>
      <name val="Arial"/>
      <family val="2"/>
    </font>
    <font>
      <sz val="10"/>
      <color indexed="23"/>
      <name val="Arial"/>
      <family val="2"/>
    </font>
    <font>
      <i/>
      <sz val="10"/>
      <color indexed="23"/>
      <name val="Arial"/>
      <family val="2"/>
    </font>
    <font>
      <sz val="10"/>
      <color indexed="12"/>
      <name val="Arial"/>
      <family val="2"/>
    </font>
    <font>
      <b/>
      <sz val="10"/>
      <color indexed="36"/>
      <name val="Arial"/>
      <family val="2"/>
    </font>
    <font>
      <sz val="9"/>
      <color indexed="22"/>
      <name val="Arial"/>
      <family val="2"/>
    </font>
    <font>
      <sz val="10"/>
      <color indexed="22"/>
      <name val="Arial"/>
      <family val="2"/>
    </font>
    <font>
      <b/>
      <sz val="10"/>
      <color indexed="22"/>
      <name val="Arial"/>
      <family val="2"/>
    </font>
    <font>
      <sz val="10"/>
      <color indexed="55"/>
      <name val="Arial"/>
      <family val="2"/>
    </font>
    <font>
      <i/>
      <sz val="10"/>
      <color indexed="55"/>
      <name val="Arial"/>
      <family val="2"/>
    </font>
    <font>
      <i/>
      <sz val="10"/>
      <color indexed="53"/>
      <name val="Arial"/>
      <family val="2"/>
    </font>
    <font>
      <b/>
      <i/>
      <sz val="10"/>
      <color indexed="53"/>
      <name val="Arial"/>
      <family val="2"/>
    </font>
    <font>
      <sz val="9"/>
      <color indexed="81"/>
      <name val="Tahoma"/>
      <family val="2"/>
    </font>
    <font>
      <sz val="10"/>
      <color rgb="FFFF0000"/>
      <name val="Arial"/>
      <family val="2"/>
    </font>
    <font>
      <sz val="10"/>
      <color theme="0"/>
      <name val="Arial"/>
      <family val="2"/>
    </font>
    <font>
      <b/>
      <sz val="10"/>
      <color rgb="FFFF0000"/>
      <name val="Arial"/>
    </font>
    <font>
      <sz val="10"/>
      <color rgb="FFFF0000"/>
      <name val="Arial"/>
    </font>
  </fonts>
  <fills count="6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</fills>
  <borders count="10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16"/>
      </top>
      <bottom/>
      <diagonal/>
    </border>
    <border>
      <left/>
      <right style="thin">
        <color indexed="16"/>
      </right>
      <top style="thin">
        <color indexed="16"/>
      </top>
      <bottom/>
      <diagonal/>
    </border>
    <border>
      <left/>
      <right/>
      <top/>
      <bottom style="thin">
        <color indexed="16"/>
      </bottom>
      <diagonal/>
    </border>
    <border>
      <left/>
      <right style="thin">
        <color indexed="16"/>
      </right>
      <top/>
      <bottom style="thin">
        <color indexed="16"/>
      </bottom>
      <diagonal/>
    </border>
    <border>
      <left style="thin">
        <color indexed="16"/>
      </left>
      <right/>
      <top style="thin">
        <color indexed="16"/>
      </top>
      <bottom/>
      <diagonal/>
    </border>
    <border>
      <left/>
      <right style="thin">
        <color indexed="16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12"/>
      </left>
      <right/>
      <top style="thin">
        <color indexed="12"/>
      </top>
      <bottom/>
      <diagonal/>
    </border>
    <border>
      <left/>
      <right/>
      <top style="thin">
        <color indexed="12"/>
      </top>
      <bottom/>
      <diagonal/>
    </border>
    <border>
      <left/>
      <right style="thin">
        <color indexed="12"/>
      </right>
      <top style="thin">
        <color indexed="12"/>
      </top>
      <bottom/>
      <diagonal/>
    </border>
    <border>
      <left style="thin">
        <color indexed="12"/>
      </left>
      <right/>
      <top/>
      <bottom style="thin">
        <color indexed="12"/>
      </bottom>
      <diagonal/>
    </border>
    <border>
      <left/>
      <right/>
      <top/>
      <bottom style="thin">
        <color indexed="12"/>
      </bottom>
      <diagonal/>
    </border>
    <border>
      <left/>
      <right style="thin">
        <color indexed="12"/>
      </right>
      <top/>
      <bottom style="thin">
        <color indexed="12"/>
      </bottom>
      <diagonal/>
    </border>
    <border>
      <left style="thin">
        <color indexed="55"/>
      </left>
      <right/>
      <top style="thin">
        <color indexed="55"/>
      </top>
      <bottom/>
      <diagonal/>
    </border>
    <border>
      <left/>
      <right/>
      <top style="thin">
        <color indexed="55"/>
      </top>
      <bottom/>
      <diagonal/>
    </border>
    <border>
      <left/>
      <right style="thin">
        <color indexed="55"/>
      </right>
      <top style="thin">
        <color indexed="55"/>
      </top>
      <bottom/>
      <diagonal/>
    </border>
    <border>
      <left style="thin">
        <color indexed="55"/>
      </left>
      <right/>
      <top/>
      <bottom style="thin">
        <color indexed="55"/>
      </bottom>
      <diagonal/>
    </border>
    <border>
      <left/>
      <right/>
      <top/>
      <bottom style="thin">
        <color indexed="55"/>
      </bottom>
      <diagonal/>
    </border>
    <border>
      <left/>
      <right style="thin">
        <color indexed="55"/>
      </right>
      <top/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/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/>
      <top/>
      <bottom style="thin">
        <color indexed="23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16"/>
      </left>
      <right/>
      <top/>
      <bottom style="thin">
        <color indexed="16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0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0"/>
      </bottom>
      <diagonal/>
    </border>
    <border>
      <left/>
      <right style="medium">
        <color indexed="64"/>
      </right>
      <top/>
      <bottom style="thin">
        <color indexed="60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16"/>
      </left>
      <right/>
      <top/>
      <bottom/>
      <diagonal/>
    </border>
    <border>
      <left/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64"/>
      </left>
      <right style="thin">
        <color indexed="64"/>
      </right>
      <top style="thin">
        <color indexed="12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55"/>
      </left>
      <right/>
      <top/>
      <bottom/>
      <diagonal/>
    </border>
    <border>
      <left/>
      <right style="thin">
        <color indexed="55"/>
      </right>
      <top/>
      <bottom/>
      <diagonal/>
    </border>
    <border>
      <left style="thin">
        <color indexed="36"/>
      </left>
      <right/>
      <top style="thin">
        <color indexed="36"/>
      </top>
      <bottom/>
      <diagonal/>
    </border>
    <border>
      <left/>
      <right/>
      <top style="thin">
        <color indexed="36"/>
      </top>
      <bottom/>
      <diagonal/>
    </border>
    <border>
      <left/>
      <right style="thin">
        <color indexed="36"/>
      </right>
      <top style="thin">
        <color indexed="36"/>
      </top>
      <bottom/>
      <diagonal/>
    </border>
    <border>
      <left style="thin">
        <color indexed="36"/>
      </left>
      <right/>
      <top/>
      <bottom/>
      <diagonal/>
    </border>
    <border>
      <left/>
      <right style="thin">
        <color indexed="36"/>
      </right>
      <top/>
      <bottom/>
      <diagonal/>
    </border>
    <border>
      <left style="thin">
        <color indexed="36"/>
      </left>
      <right/>
      <top/>
      <bottom style="thin">
        <color indexed="36"/>
      </bottom>
      <diagonal/>
    </border>
    <border>
      <left/>
      <right/>
      <top/>
      <bottom style="thin">
        <color indexed="36"/>
      </bottom>
      <diagonal/>
    </border>
    <border>
      <left/>
      <right style="thin">
        <color indexed="36"/>
      </right>
      <top/>
      <bottom style="thin">
        <color indexed="36"/>
      </bottom>
      <diagonal/>
    </border>
    <border>
      <left style="thin">
        <color indexed="52"/>
      </left>
      <right style="thin">
        <color indexed="52"/>
      </right>
      <top style="thin">
        <color indexed="52"/>
      </top>
      <bottom/>
      <diagonal/>
    </border>
    <border>
      <left style="thin">
        <color indexed="52"/>
      </left>
      <right style="thin">
        <color indexed="52"/>
      </right>
      <top style="thin">
        <color indexed="52"/>
      </top>
      <bottom style="thin">
        <color indexed="52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64"/>
      </bottom>
      <diagonal/>
    </border>
    <border>
      <left style="thin">
        <color indexed="23"/>
      </left>
      <right/>
      <top style="thin">
        <color indexed="23"/>
      </top>
      <bottom/>
      <diagonal/>
    </border>
    <border>
      <left/>
      <right/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57" fillId="0" borderId="0" applyNumberFormat="0" applyFill="0" applyBorder="0" applyAlignment="0" applyProtection="0">
      <alignment vertical="top"/>
      <protection locked="0"/>
    </xf>
  </cellStyleXfs>
  <cellXfs count="462">
    <xf numFmtId="0" fontId="0" fillId="0" borderId="0" xfId="0"/>
    <xf numFmtId="0" fontId="1" fillId="0" borderId="0" xfId="0" applyFont="1"/>
    <xf numFmtId="0" fontId="0" fillId="0" borderId="0" xfId="0" applyAlignment="1">
      <alignment horizontal="right"/>
    </xf>
    <xf numFmtId="164" fontId="0" fillId="0" borderId="0" xfId="0" applyNumberFormat="1"/>
    <xf numFmtId="1" fontId="0" fillId="0" borderId="0" xfId="0" applyNumberFormat="1"/>
    <xf numFmtId="0" fontId="6" fillId="0" borderId="0" xfId="0" applyFont="1" applyAlignment="1">
      <alignment horizontal="right"/>
    </xf>
    <xf numFmtId="0" fontId="7" fillId="0" borderId="0" xfId="0" applyFont="1"/>
    <xf numFmtId="0" fontId="8" fillId="0" borderId="0" xfId="0" applyFont="1" applyAlignment="1">
      <alignment horizontal="right"/>
    </xf>
    <xf numFmtId="0" fontId="9" fillId="0" borderId="0" xfId="0" applyFont="1"/>
    <xf numFmtId="1" fontId="9" fillId="0" borderId="0" xfId="0" applyNumberFormat="1" applyFont="1"/>
    <xf numFmtId="165" fontId="0" fillId="0" borderId="0" xfId="0" applyNumberFormat="1"/>
    <xf numFmtId="0" fontId="6" fillId="0" borderId="0" xfId="0" applyFont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164" fontId="0" fillId="0" borderId="2" xfId="0" applyNumberFormat="1" applyBorder="1"/>
    <xf numFmtId="1" fontId="0" fillId="0" borderId="2" xfId="0" applyNumberFormat="1" applyBorder="1"/>
    <xf numFmtId="2" fontId="0" fillId="0" borderId="3" xfId="0" applyNumberFormat="1" applyBorder="1"/>
    <xf numFmtId="0" fontId="14" fillId="0" borderId="0" xfId="0" applyFont="1"/>
    <xf numFmtId="0" fontId="15" fillId="0" borderId="0" xfId="0" applyFont="1"/>
    <xf numFmtId="0" fontId="4" fillId="0" borderId="0" xfId="0" applyFont="1"/>
    <xf numFmtId="0" fontId="11" fillId="0" borderId="0" xfId="0" applyFont="1"/>
    <xf numFmtId="0" fontId="9" fillId="0" borderId="0" xfId="0" applyFont="1" applyProtection="1">
      <protection locked="0" hidden="1"/>
    </xf>
    <xf numFmtId="0" fontId="0" fillId="0" borderId="3" xfId="0" applyBorder="1" applyAlignment="1">
      <alignment horizontal="right"/>
    </xf>
    <xf numFmtId="0" fontId="0" fillId="0" borderId="7" xfId="0" applyBorder="1"/>
    <xf numFmtId="0" fontId="0" fillId="0" borderId="8" xfId="0" applyBorder="1" applyAlignment="1">
      <alignment horizontal="center"/>
    </xf>
    <xf numFmtId="0" fontId="0" fillId="0" borderId="9" xfId="0" applyBorder="1"/>
    <xf numFmtId="165" fontId="0" fillId="0" borderId="2" xfId="0" applyNumberFormat="1" applyBorder="1"/>
    <xf numFmtId="165" fontId="0" fillId="0" borderId="7" xfId="0" applyNumberFormat="1" applyBorder="1"/>
    <xf numFmtId="165" fontId="0" fillId="0" borderId="9" xfId="0" applyNumberFormat="1" applyBorder="1"/>
    <xf numFmtId="0" fontId="0" fillId="0" borderId="10" xfId="0" applyBorder="1"/>
    <xf numFmtId="0" fontId="0" fillId="0" borderId="11" xfId="0" applyBorder="1" applyAlignment="1">
      <alignment horizontal="center"/>
    </xf>
    <xf numFmtId="0" fontId="0" fillId="0" borderId="12" xfId="0" applyBorder="1"/>
    <xf numFmtId="165" fontId="0" fillId="0" borderId="3" xfId="0" applyNumberFormat="1" applyBorder="1"/>
    <xf numFmtId="165" fontId="0" fillId="0" borderId="10" xfId="0" applyNumberFormat="1" applyBorder="1"/>
    <xf numFmtId="165" fontId="0" fillId="0" borderId="12" xfId="0" applyNumberFormat="1" applyBorder="1"/>
    <xf numFmtId="2" fontId="0" fillId="0" borderId="9" xfId="0" applyNumberFormat="1" applyBorder="1"/>
    <xf numFmtId="0" fontId="0" fillId="0" borderId="0" xfId="0" applyAlignment="1">
      <alignment horizontal="center"/>
    </xf>
    <xf numFmtId="2" fontId="0" fillId="0" borderId="0" xfId="0" applyNumberFormat="1"/>
    <xf numFmtId="0" fontId="0" fillId="0" borderId="0" xfId="0" applyBorder="1" applyAlignment="1">
      <alignment horizontal="center"/>
    </xf>
    <xf numFmtId="1" fontId="0" fillId="0" borderId="0" xfId="0" applyNumberFormat="1" applyBorder="1"/>
    <xf numFmtId="0" fontId="0" fillId="0" borderId="0" xfId="0" applyBorder="1"/>
    <xf numFmtId="167" fontId="0" fillId="0" borderId="0" xfId="0" applyNumberFormat="1"/>
    <xf numFmtId="166" fontId="0" fillId="0" borderId="0" xfId="0" applyNumberFormat="1"/>
    <xf numFmtId="0" fontId="0" fillId="0" borderId="13" xfId="0" applyBorder="1" applyAlignment="1">
      <alignment horizontal="center"/>
    </xf>
    <xf numFmtId="0" fontId="0" fillId="0" borderId="3" xfId="0" quotePrefix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20" fillId="0" borderId="6" xfId="0" applyFont="1" applyBorder="1" applyAlignment="1">
      <alignment horizontal="center"/>
    </xf>
    <xf numFmtId="0" fontId="20" fillId="0" borderId="3" xfId="0" applyFont="1" applyBorder="1" applyAlignment="1">
      <alignment horizontal="center"/>
    </xf>
    <xf numFmtId="0" fontId="20" fillId="0" borderId="2" xfId="0" applyFont="1" applyBorder="1" applyAlignment="1">
      <alignment horizontal="center"/>
    </xf>
    <xf numFmtId="0" fontId="3" fillId="0" borderId="0" xfId="0" applyFont="1"/>
    <xf numFmtId="0" fontId="21" fillId="0" borderId="0" xfId="0" applyFont="1"/>
    <xf numFmtId="0" fontId="21" fillId="0" borderId="0" xfId="0" applyFont="1" applyAlignment="1">
      <alignment horizontal="right"/>
    </xf>
    <xf numFmtId="165" fontId="21" fillId="0" borderId="11" xfId="0" applyNumberFormat="1" applyFont="1" applyBorder="1" applyProtection="1">
      <protection locked="0"/>
    </xf>
    <xf numFmtId="0" fontId="21" fillId="0" borderId="12" xfId="0" applyFont="1" applyBorder="1"/>
    <xf numFmtId="0" fontId="21" fillId="0" borderId="10" xfId="0" applyFont="1" applyBorder="1" applyAlignment="1">
      <alignment horizontal="right"/>
    </xf>
    <xf numFmtId="0" fontId="0" fillId="0" borderId="0" xfId="0" applyAlignment="1">
      <alignment horizontal="left"/>
    </xf>
    <xf numFmtId="0" fontId="14" fillId="0" borderId="0" xfId="0" applyFont="1" applyAlignment="1">
      <alignment horizontal="right"/>
    </xf>
    <xf numFmtId="0" fontId="24" fillId="0" borderId="0" xfId="0" applyFont="1"/>
    <xf numFmtId="166" fontId="25" fillId="0" borderId="0" xfId="0" applyNumberFormat="1" applyFont="1"/>
    <xf numFmtId="165" fontId="26" fillId="0" borderId="0" xfId="0" applyNumberFormat="1" applyFont="1"/>
    <xf numFmtId="164" fontId="26" fillId="0" borderId="0" xfId="0" applyNumberFormat="1" applyFont="1"/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0" fontId="3" fillId="0" borderId="14" xfId="0" applyFont="1" applyBorder="1" applyProtection="1">
      <protection locked="0"/>
    </xf>
    <xf numFmtId="164" fontId="3" fillId="0" borderId="14" xfId="0" applyNumberFormat="1" applyFont="1" applyBorder="1" applyProtection="1">
      <protection locked="0"/>
    </xf>
    <xf numFmtId="1" fontId="28" fillId="0" borderId="0" xfId="0" applyNumberFormat="1" applyFont="1"/>
    <xf numFmtId="164" fontId="28" fillId="0" borderId="0" xfId="0" applyNumberFormat="1" applyFont="1"/>
    <xf numFmtId="0" fontId="9" fillId="0" borderId="0" xfId="0" applyFont="1" applyBorder="1"/>
    <xf numFmtId="0" fontId="8" fillId="0" borderId="3" xfId="0" applyFont="1" applyBorder="1" applyAlignment="1">
      <alignment horizontal="center"/>
    </xf>
    <xf numFmtId="0" fontId="27" fillId="0" borderId="3" xfId="0" applyFont="1" applyBorder="1" applyAlignment="1">
      <alignment horizontal="center"/>
    </xf>
    <xf numFmtId="0" fontId="2" fillId="0" borderId="0" xfId="0" applyFont="1" applyFill="1"/>
    <xf numFmtId="0" fontId="0" fillId="0" borderId="0" xfId="0" applyFill="1"/>
    <xf numFmtId="0" fontId="0" fillId="0" borderId="0" xfId="0" applyFill="1" applyBorder="1"/>
    <xf numFmtId="0" fontId="32" fillId="0" borderId="0" xfId="0" applyFont="1" applyBorder="1"/>
    <xf numFmtId="0" fontId="33" fillId="0" borderId="0" xfId="0" applyFont="1" applyAlignment="1">
      <alignment horizontal="right"/>
    </xf>
    <xf numFmtId="0" fontId="33" fillId="0" borderId="0" xfId="0" applyFont="1" applyAlignment="1">
      <alignment horizontal="left"/>
    </xf>
    <xf numFmtId="0" fontId="34" fillId="0" borderId="0" xfId="0" applyFont="1" applyAlignment="1">
      <alignment horizontal="right"/>
    </xf>
    <xf numFmtId="0" fontId="33" fillId="0" borderId="0" xfId="0" applyFont="1"/>
    <xf numFmtId="0" fontId="35" fillId="0" borderId="0" xfId="0" applyFont="1" applyAlignment="1">
      <alignment horizontal="left"/>
    </xf>
    <xf numFmtId="0" fontId="35" fillId="0" borderId="0" xfId="0" applyFont="1"/>
    <xf numFmtId="2" fontId="0" fillId="0" borderId="2" xfId="0" applyNumberFormat="1" applyBorder="1"/>
    <xf numFmtId="168" fontId="0" fillId="0" borderId="0" xfId="0" applyNumberFormat="1"/>
    <xf numFmtId="168" fontId="25" fillId="0" borderId="0" xfId="0" applyNumberFormat="1" applyFont="1"/>
    <xf numFmtId="168" fontId="26" fillId="0" borderId="0" xfId="0" applyNumberFormat="1" applyFont="1"/>
    <xf numFmtId="0" fontId="7" fillId="0" borderId="14" xfId="0" applyFont="1" applyBorder="1" applyProtection="1">
      <protection locked="0"/>
    </xf>
    <xf numFmtId="0" fontId="3" fillId="0" borderId="15" xfId="0" applyFont="1" applyBorder="1" applyProtection="1">
      <protection locked="0"/>
    </xf>
    <xf numFmtId="165" fontId="0" fillId="0" borderId="0" xfId="0" applyNumberFormat="1" applyProtection="1">
      <protection locked="0"/>
    </xf>
    <xf numFmtId="166" fontId="21" fillId="0" borderId="0" xfId="0" applyNumberFormat="1" applyFont="1" applyProtection="1">
      <protection locked="0"/>
    </xf>
    <xf numFmtId="2" fontId="3" fillId="0" borderId="15" xfId="0" applyNumberFormat="1" applyFont="1" applyBorder="1" applyProtection="1">
      <protection locked="0"/>
    </xf>
    <xf numFmtId="0" fontId="16" fillId="0" borderId="15" xfId="0" applyFont="1" applyBorder="1" applyProtection="1">
      <protection locked="0"/>
    </xf>
    <xf numFmtId="2" fontId="3" fillId="0" borderId="14" xfId="0" applyNumberFormat="1" applyFont="1" applyBorder="1" applyProtection="1">
      <protection locked="0"/>
    </xf>
    <xf numFmtId="0" fontId="0" fillId="0" borderId="3" xfId="0" applyBorder="1"/>
    <xf numFmtId="0" fontId="24" fillId="0" borderId="0" xfId="0" applyFont="1" applyAlignment="1">
      <alignment horizontal="right"/>
    </xf>
    <xf numFmtId="165" fontId="24" fillId="0" borderId="0" xfId="0" applyNumberFormat="1" applyFont="1"/>
    <xf numFmtId="0" fontId="29" fillId="0" borderId="0" xfId="0" applyFont="1" applyAlignment="1">
      <alignment horizontal="center"/>
    </xf>
    <xf numFmtId="0" fontId="24" fillId="0" borderId="0" xfId="0" applyFont="1" applyProtection="1">
      <protection hidden="1"/>
    </xf>
    <xf numFmtId="0" fontId="0" fillId="0" borderId="0" xfId="0" applyProtection="1">
      <protection hidden="1"/>
    </xf>
    <xf numFmtId="166" fontId="24" fillId="0" borderId="0" xfId="0" applyNumberFormat="1" applyFont="1"/>
    <xf numFmtId="0" fontId="40" fillId="0" borderId="0" xfId="0" applyFont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44" fillId="0" borderId="20" xfId="0" applyFont="1" applyBorder="1"/>
    <xf numFmtId="0" fontId="43" fillId="0" borderId="0" xfId="0" applyFont="1" applyBorder="1"/>
    <xf numFmtId="0" fontId="0" fillId="0" borderId="21" xfId="0" applyBorder="1"/>
    <xf numFmtId="0" fontId="20" fillId="0" borderId="0" xfId="0" applyFont="1"/>
    <xf numFmtId="0" fontId="0" fillId="0" borderId="8" xfId="0" applyBorder="1"/>
    <xf numFmtId="0" fontId="0" fillId="0" borderId="0" xfId="0" applyBorder="1" applyAlignment="1">
      <alignment horizontal="right"/>
    </xf>
    <xf numFmtId="165" fontId="9" fillId="0" borderId="0" xfId="0" applyNumberFormat="1" applyFont="1" applyBorder="1"/>
    <xf numFmtId="167" fontId="9" fillId="0" borderId="0" xfId="0" applyNumberFormat="1" applyFont="1" applyBorder="1"/>
    <xf numFmtId="1" fontId="9" fillId="0" borderId="0" xfId="0" applyNumberFormat="1" applyFont="1" applyBorder="1"/>
    <xf numFmtId="164" fontId="9" fillId="0" borderId="0" xfId="0" applyNumberFormat="1" applyFont="1" applyBorder="1"/>
    <xf numFmtId="0" fontId="9" fillId="0" borderId="0" xfId="0" applyFont="1" applyFill="1"/>
    <xf numFmtId="2" fontId="30" fillId="2" borderId="3" xfId="0" applyNumberFormat="1" applyFont="1" applyFill="1" applyBorder="1" applyAlignment="1">
      <alignment horizontal="center"/>
    </xf>
    <xf numFmtId="2" fontId="30" fillId="2" borderId="3" xfId="0" applyNumberFormat="1" applyFont="1" applyFill="1" applyBorder="1" applyAlignment="1" applyProtection="1">
      <alignment horizontal="center"/>
      <protection locked="0"/>
    </xf>
    <xf numFmtId="2" fontId="30" fillId="2" borderId="3" xfId="0" applyNumberFormat="1" applyFont="1" applyFill="1" applyBorder="1" applyAlignment="1" applyProtection="1">
      <alignment horizontal="left"/>
      <protection locked="0"/>
    </xf>
    <xf numFmtId="2" fontId="25" fillId="0" borderId="0" xfId="0" applyNumberFormat="1" applyFont="1"/>
    <xf numFmtId="2" fontId="11" fillId="0" borderId="0" xfId="0" applyNumberFormat="1" applyFont="1"/>
    <xf numFmtId="165" fontId="11" fillId="0" borderId="0" xfId="0" applyNumberFormat="1" applyFont="1"/>
    <xf numFmtId="1" fontId="25" fillId="0" borderId="0" xfId="0" applyNumberFormat="1" applyFont="1"/>
    <xf numFmtId="165" fontId="11" fillId="0" borderId="3" xfId="0" applyNumberFormat="1" applyFont="1" applyBorder="1"/>
    <xf numFmtId="0" fontId="0" fillId="0" borderId="22" xfId="0" applyBorder="1"/>
    <xf numFmtId="17" fontId="0" fillId="0" borderId="13" xfId="0" applyNumberFormat="1" applyBorder="1"/>
    <xf numFmtId="0" fontId="0" fillId="0" borderId="23" xfId="0" applyBorder="1"/>
    <xf numFmtId="0" fontId="52" fillId="0" borderId="22" xfId="0" applyFont="1" applyBorder="1" applyAlignment="1">
      <alignment horizontal="right"/>
    </xf>
    <xf numFmtId="0" fontId="52" fillId="0" borderId="13" xfId="0" applyFont="1" applyBorder="1" applyAlignment="1">
      <alignment horizontal="right"/>
    </xf>
    <xf numFmtId="0" fontId="52" fillId="0" borderId="13" xfId="0" applyFont="1" applyBorder="1" applyAlignment="1">
      <alignment horizontal="center"/>
    </xf>
    <xf numFmtId="0" fontId="52" fillId="0" borderId="24" xfId="0" applyFont="1" applyBorder="1" applyAlignment="1">
      <alignment horizontal="center"/>
    </xf>
    <xf numFmtId="0" fontId="0" fillId="0" borderId="24" xfId="0" quotePrefix="1" applyBorder="1"/>
    <xf numFmtId="0" fontId="0" fillId="0" borderId="25" xfId="0" quotePrefix="1" applyBorder="1"/>
    <xf numFmtId="0" fontId="0" fillId="0" borderId="9" xfId="0" quotePrefix="1" applyBorder="1"/>
    <xf numFmtId="17" fontId="0" fillId="0" borderId="11" xfId="0" applyNumberFormat="1" applyBorder="1"/>
    <xf numFmtId="0" fontId="0" fillId="0" borderId="12" xfId="0" quotePrefix="1" applyBorder="1"/>
    <xf numFmtId="0" fontId="0" fillId="0" borderId="25" xfId="0" quotePrefix="1" applyFill="1" applyBorder="1"/>
    <xf numFmtId="0" fontId="20" fillId="0" borderId="0" xfId="0" applyFont="1" applyAlignment="1">
      <alignment horizontal="center"/>
    </xf>
    <xf numFmtId="0" fontId="20" fillId="0" borderId="0" xfId="0" applyFont="1" applyAlignment="1">
      <alignment horizontal="left"/>
    </xf>
    <xf numFmtId="0" fontId="20" fillId="0" borderId="0" xfId="0" applyFont="1" applyFill="1" applyBorder="1" applyAlignment="1">
      <alignment horizontal="left"/>
    </xf>
    <xf numFmtId="0" fontId="20" fillId="0" borderId="0" xfId="0" applyFont="1" applyAlignment="1">
      <alignment horizontal="right"/>
    </xf>
    <xf numFmtId="0" fontId="11" fillId="3" borderId="22" xfId="0" applyFont="1" applyFill="1" applyBorder="1" applyAlignment="1">
      <alignment horizontal="right"/>
    </xf>
    <xf numFmtId="1" fontId="11" fillId="3" borderId="13" xfId="0" applyNumberFormat="1" applyFont="1" applyFill="1" applyBorder="1"/>
    <xf numFmtId="0" fontId="11" fillId="3" borderId="24" xfId="0" applyFont="1" applyFill="1" applyBorder="1"/>
    <xf numFmtId="0" fontId="11" fillId="3" borderId="23" xfId="0" applyFont="1" applyFill="1" applyBorder="1" applyAlignment="1">
      <alignment horizontal="right"/>
    </xf>
    <xf numFmtId="1" fontId="11" fillId="3" borderId="0" xfId="0" applyNumberFormat="1" applyFont="1" applyFill="1" applyBorder="1"/>
    <xf numFmtId="0" fontId="11" fillId="3" borderId="25" xfId="0" applyFont="1" applyFill="1" applyBorder="1"/>
    <xf numFmtId="0" fontId="11" fillId="3" borderId="7" xfId="0" applyFont="1" applyFill="1" applyBorder="1" applyAlignment="1">
      <alignment horizontal="right"/>
    </xf>
    <xf numFmtId="165" fontId="11" fillId="3" borderId="8" xfId="0" applyNumberFormat="1" applyFont="1" applyFill="1" applyBorder="1"/>
    <xf numFmtId="0" fontId="11" fillId="3" borderId="9" xfId="0" applyFont="1" applyFill="1" applyBorder="1"/>
    <xf numFmtId="2" fontId="11" fillId="3" borderId="13" xfId="0" applyNumberFormat="1" applyFont="1" applyFill="1" applyBorder="1"/>
    <xf numFmtId="165" fontId="11" fillId="3" borderId="0" xfId="0" applyNumberFormat="1" applyFont="1" applyFill="1" applyBorder="1"/>
    <xf numFmtId="0" fontId="0" fillId="3" borderId="0" xfId="0" applyFill="1"/>
    <xf numFmtId="0" fontId="57" fillId="0" borderId="0" xfId="1" applyAlignment="1" applyProtection="1"/>
    <xf numFmtId="0" fontId="15" fillId="3" borderId="0" xfId="0" applyFont="1" applyFill="1"/>
    <xf numFmtId="0" fontId="11" fillId="3" borderId="22" xfId="0" applyFont="1" applyFill="1" applyBorder="1" applyAlignment="1">
      <alignment horizontal="center"/>
    </xf>
    <xf numFmtId="1" fontId="11" fillId="3" borderId="24" xfId="0" applyNumberFormat="1" applyFont="1" applyFill="1" applyBorder="1" applyAlignment="1">
      <alignment horizontal="left"/>
    </xf>
    <xf numFmtId="0" fontId="11" fillId="3" borderId="23" xfId="0" applyFont="1" applyFill="1" applyBorder="1" applyAlignment="1">
      <alignment horizontal="center"/>
    </xf>
    <xf numFmtId="1" fontId="11" fillId="3" borderId="25" xfId="0" applyNumberFormat="1" applyFont="1" applyFill="1" applyBorder="1" applyAlignment="1">
      <alignment horizontal="left"/>
    </xf>
    <xf numFmtId="0" fontId="11" fillId="3" borderId="7" xfId="0" applyFont="1" applyFill="1" applyBorder="1" applyAlignment="1">
      <alignment horizontal="center"/>
    </xf>
    <xf numFmtId="1" fontId="11" fillId="3" borderId="9" xfId="0" applyNumberFormat="1" applyFont="1" applyFill="1" applyBorder="1" applyAlignment="1">
      <alignment horizontal="left"/>
    </xf>
    <xf numFmtId="0" fontId="19" fillId="0" borderId="0" xfId="0" applyFont="1" applyBorder="1"/>
    <xf numFmtId="0" fontId="0" fillId="0" borderId="22" xfId="0" quotePrefix="1" applyBorder="1"/>
    <xf numFmtId="0" fontId="0" fillId="0" borderId="13" xfId="0" quotePrefix="1" applyBorder="1"/>
    <xf numFmtId="0" fontId="0" fillId="0" borderId="24" xfId="0" quotePrefix="1" applyFill="1" applyBorder="1"/>
    <xf numFmtId="0" fontId="0" fillId="0" borderId="9" xfId="0" quotePrefix="1" applyFill="1" applyBorder="1"/>
    <xf numFmtId="0" fontId="3" fillId="0" borderId="26" xfId="0" applyFont="1" applyBorder="1" applyProtection="1">
      <protection locked="0"/>
    </xf>
    <xf numFmtId="0" fontId="3" fillId="0" borderId="27" xfId="0" applyFont="1" applyBorder="1" applyProtection="1">
      <protection locked="0"/>
    </xf>
    <xf numFmtId="0" fontId="3" fillId="0" borderId="28" xfId="0" applyFont="1" applyBorder="1" applyProtection="1">
      <protection locked="0"/>
    </xf>
    <xf numFmtId="0" fontId="3" fillId="0" borderId="29" xfId="0" applyFont="1" applyBorder="1" applyProtection="1">
      <protection locked="0"/>
    </xf>
    <xf numFmtId="0" fontId="3" fillId="0" borderId="30" xfId="0" applyFont="1" applyBorder="1" applyProtection="1">
      <protection locked="0"/>
    </xf>
    <xf numFmtId="0" fontId="3" fillId="0" borderId="31" xfId="0" applyFont="1" applyBorder="1" applyProtection="1">
      <protection locked="0"/>
    </xf>
    <xf numFmtId="0" fontId="0" fillId="0" borderId="32" xfId="0" applyBorder="1"/>
    <xf numFmtId="0" fontId="0" fillId="0" borderId="33" xfId="0" applyBorder="1" applyAlignment="1">
      <alignment horizontal="right"/>
    </xf>
    <xf numFmtId="165" fontId="19" fillId="0" borderId="33" xfId="0" applyNumberFormat="1" applyFont="1" applyBorder="1"/>
    <xf numFmtId="0" fontId="0" fillId="0" borderId="34" xfId="0" applyBorder="1"/>
    <xf numFmtId="0" fontId="0" fillId="0" borderId="35" xfId="0" applyBorder="1"/>
    <xf numFmtId="0" fontId="0" fillId="0" borderId="36" xfId="0" applyBorder="1" applyAlignment="1">
      <alignment horizontal="right"/>
    </xf>
    <xf numFmtId="165" fontId="19" fillId="0" borderId="36" xfId="0" applyNumberFormat="1" applyFont="1" applyBorder="1"/>
    <xf numFmtId="0" fontId="0" fillId="0" borderId="37" xfId="0" applyBorder="1"/>
    <xf numFmtId="164" fontId="19" fillId="0" borderId="33" xfId="0" applyNumberFormat="1" applyFont="1" applyBorder="1"/>
    <xf numFmtId="164" fontId="19" fillId="0" borderId="36" xfId="0" applyNumberFormat="1" applyFont="1" applyBorder="1"/>
    <xf numFmtId="0" fontId="0" fillId="0" borderId="36" xfId="0" applyBorder="1"/>
    <xf numFmtId="0" fontId="0" fillId="0" borderId="38" xfId="0" applyBorder="1"/>
    <xf numFmtId="0" fontId="0" fillId="0" borderId="39" xfId="0" applyBorder="1" applyAlignment="1">
      <alignment horizontal="right"/>
    </xf>
    <xf numFmtId="165" fontId="19" fillId="0" borderId="39" xfId="0" applyNumberFormat="1" applyFont="1" applyBorder="1"/>
    <xf numFmtId="0" fontId="0" fillId="0" borderId="40" xfId="0" applyBorder="1"/>
    <xf numFmtId="164" fontId="19" fillId="0" borderId="39" xfId="0" applyNumberFormat="1" applyFont="1" applyBorder="1"/>
    <xf numFmtId="0" fontId="9" fillId="0" borderId="41" xfId="0" applyFont="1" applyBorder="1" applyAlignment="1">
      <alignment horizontal="right"/>
    </xf>
    <xf numFmtId="0" fontId="9" fillId="0" borderId="42" xfId="0" applyFont="1" applyBorder="1" applyAlignment="1">
      <alignment horizontal="right"/>
    </xf>
    <xf numFmtId="0" fontId="11" fillId="0" borderId="41" xfId="0" applyFont="1" applyBorder="1" applyAlignment="1">
      <alignment horizontal="right"/>
    </xf>
    <xf numFmtId="0" fontId="11" fillId="0" borderId="42" xfId="0" applyFont="1" applyBorder="1" applyAlignment="1">
      <alignment horizontal="right"/>
    </xf>
    <xf numFmtId="0" fontId="3" fillId="0" borderId="41" xfId="0" applyFont="1" applyBorder="1" applyAlignment="1">
      <alignment horizontal="right"/>
    </xf>
    <xf numFmtId="0" fontId="3" fillId="0" borderId="42" xfId="0" applyFont="1" applyBorder="1" applyAlignment="1">
      <alignment horizontal="right"/>
    </xf>
    <xf numFmtId="0" fontId="59" fillId="0" borderId="41" xfId="0" applyFont="1" applyBorder="1" applyAlignment="1">
      <alignment horizontal="right"/>
    </xf>
    <xf numFmtId="0" fontId="59" fillId="0" borderId="42" xfId="0" applyFont="1" applyBorder="1" applyAlignment="1">
      <alignment horizontal="right"/>
    </xf>
    <xf numFmtId="0" fontId="9" fillId="0" borderId="1" xfId="0" applyFont="1" applyBorder="1"/>
    <xf numFmtId="165" fontId="11" fillId="0" borderId="1" xfId="0" applyNumberFormat="1" applyFont="1" applyBorder="1"/>
    <xf numFmtId="1" fontId="3" fillId="0" borderId="1" xfId="0" applyNumberFormat="1" applyFont="1" applyBorder="1"/>
    <xf numFmtId="1" fontId="59" fillId="0" borderId="1" xfId="0" applyNumberFormat="1" applyFont="1" applyBorder="1"/>
    <xf numFmtId="0" fontId="0" fillId="0" borderId="43" xfId="0" applyBorder="1" applyAlignment="1">
      <alignment horizontal="right"/>
    </xf>
    <xf numFmtId="166" fontId="19" fillId="0" borderId="0" xfId="0" applyNumberFormat="1" applyFont="1" applyBorder="1"/>
    <xf numFmtId="0" fontId="0" fillId="0" borderId="44" xfId="0" applyBorder="1"/>
    <xf numFmtId="0" fontId="0" fillId="0" borderId="45" xfId="0" applyBorder="1" applyAlignment="1">
      <alignment horizontal="right"/>
    </xf>
    <xf numFmtId="0" fontId="0" fillId="0" borderId="46" xfId="0" applyBorder="1"/>
    <xf numFmtId="0" fontId="0" fillId="0" borderId="47" xfId="0" applyBorder="1"/>
    <xf numFmtId="0" fontId="46" fillId="0" borderId="0" xfId="0" applyFont="1"/>
    <xf numFmtId="0" fontId="0" fillId="0" borderId="33" xfId="0" applyBorder="1"/>
    <xf numFmtId="0" fontId="37" fillId="0" borderId="32" xfId="0" applyFont="1" applyBorder="1"/>
    <xf numFmtId="0" fontId="9" fillId="0" borderId="33" xfId="0" applyFont="1" applyBorder="1"/>
    <xf numFmtId="0" fontId="37" fillId="0" borderId="35" xfId="0" applyFont="1" applyBorder="1"/>
    <xf numFmtId="0" fontId="9" fillId="0" borderId="36" xfId="0" applyFont="1" applyBorder="1"/>
    <xf numFmtId="164" fontId="19" fillId="0" borderId="39" xfId="0" applyNumberFormat="1" applyFont="1" applyBorder="1" applyAlignment="1">
      <alignment horizontal="right"/>
    </xf>
    <xf numFmtId="1" fontId="19" fillId="0" borderId="40" xfId="0" applyNumberFormat="1" applyFont="1" applyBorder="1" applyAlignment="1">
      <alignment horizontal="left"/>
    </xf>
    <xf numFmtId="0" fontId="0" fillId="0" borderId="0" xfId="0" applyFill="1" applyBorder="1" applyAlignment="1">
      <alignment horizontal="center"/>
    </xf>
    <xf numFmtId="0" fontId="35" fillId="0" borderId="48" xfId="0" applyFont="1" applyBorder="1"/>
    <xf numFmtId="0" fontId="9" fillId="0" borderId="0" xfId="0" applyFont="1" applyAlignment="1">
      <alignment horizontal="right"/>
    </xf>
    <xf numFmtId="0" fontId="37" fillId="0" borderId="0" xfId="0" applyFont="1"/>
    <xf numFmtId="0" fontId="61" fillId="0" borderId="0" xfId="1" applyFont="1" applyAlignment="1" applyProtection="1"/>
    <xf numFmtId="1" fontId="0" fillId="0" borderId="49" xfId="0" applyNumberFormat="1" applyBorder="1"/>
    <xf numFmtId="1" fontId="19" fillId="0" borderId="50" xfId="0" applyNumberFormat="1" applyFont="1" applyBorder="1"/>
    <xf numFmtId="0" fontId="9" fillId="0" borderId="0" xfId="0" applyFont="1" applyBorder="1" applyAlignment="1">
      <alignment horizontal="left"/>
    </xf>
    <xf numFmtId="1" fontId="9" fillId="0" borderId="0" xfId="0" applyNumberFormat="1" applyFont="1" applyBorder="1" applyAlignment="1">
      <alignment horizontal="left"/>
    </xf>
    <xf numFmtId="1" fontId="0" fillId="0" borderId="0" xfId="0" applyNumberFormat="1" applyBorder="1" applyAlignment="1">
      <alignment horizontal="left"/>
    </xf>
    <xf numFmtId="1" fontId="9" fillId="0" borderId="0" xfId="0" applyNumberFormat="1" applyFont="1" applyFill="1" applyBorder="1" applyAlignment="1">
      <alignment horizontal="left"/>
    </xf>
    <xf numFmtId="0" fontId="0" fillId="0" borderId="0" xfId="0" applyFont="1" applyFill="1" applyBorder="1" applyAlignment="1">
      <alignment horizontal="right"/>
    </xf>
    <xf numFmtId="0" fontId="9" fillId="0" borderId="5" xfId="0" applyFont="1" applyBorder="1" applyAlignment="1">
      <alignment horizontal="center"/>
    </xf>
    <xf numFmtId="0" fontId="62" fillId="0" borderId="0" xfId="0" applyFont="1"/>
    <xf numFmtId="0" fontId="0" fillId="0" borderId="51" xfId="0" applyBorder="1"/>
    <xf numFmtId="0" fontId="6" fillId="0" borderId="52" xfId="0" applyFont="1" applyBorder="1"/>
    <xf numFmtId="0" fontId="0" fillId="0" borderId="53" xfId="0" applyBorder="1"/>
    <xf numFmtId="0" fontId="42" fillId="0" borderId="52" xfId="0" applyFont="1" applyBorder="1"/>
    <xf numFmtId="0" fontId="47" fillId="0" borderId="52" xfId="0" applyFont="1" applyBorder="1"/>
    <xf numFmtId="0" fontId="42" fillId="0" borderId="54" xfId="0" applyFont="1" applyBorder="1"/>
    <xf numFmtId="0" fontId="0" fillId="0" borderId="55" xfId="0" applyBorder="1"/>
    <xf numFmtId="0" fontId="0" fillId="0" borderId="56" xfId="0" applyBorder="1"/>
    <xf numFmtId="0" fontId="0" fillId="0" borderId="57" xfId="0" applyBorder="1"/>
    <xf numFmtId="0" fontId="64" fillId="0" borderId="58" xfId="0" applyFont="1" applyBorder="1"/>
    <xf numFmtId="0" fontId="19" fillId="0" borderId="59" xfId="0" applyFont="1" applyBorder="1"/>
    <xf numFmtId="0" fontId="19" fillId="0" borderId="60" xfId="0" applyFont="1" applyBorder="1"/>
    <xf numFmtId="0" fontId="24" fillId="0" borderId="0" xfId="0" applyFont="1" applyAlignment="1" applyProtection="1">
      <alignment horizontal="right"/>
      <protection hidden="1"/>
    </xf>
    <xf numFmtId="0" fontId="76" fillId="0" borderId="0" xfId="0" applyFont="1"/>
    <xf numFmtId="0" fontId="77" fillId="4" borderId="61" xfId="0" applyFont="1" applyFill="1" applyBorder="1"/>
    <xf numFmtId="0" fontId="9" fillId="0" borderId="0" xfId="0" applyFont="1" applyFill="1" applyBorder="1"/>
    <xf numFmtId="0" fontId="31" fillId="0" borderId="22" xfId="0" applyFont="1" applyFill="1" applyBorder="1"/>
    <xf numFmtId="0" fontId="31" fillId="0" borderId="23" xfId="0" applyFont="1" applyFill="1" applyBorder="1"/>
    <xf numFmtId="0" fontId="31" fillId="0" borderId="7" xfId="0" applyFont="1" applyFill="1" applyBorder="1"/>
    <xf numFmtId="0" fontId="78" fillId="0" borderId="52" xfId="0" applyFont="1" applyBorder="1"/>
    <xf numFmtId="0" fontId="78" fillId="0" borderId="62" xfId="0" applyFont="1" applyBorder="1"/>
    <xf numFmtId="0" fontId="9" fillId="0" borderId="7" xfId="0" applyFont="1" applyBorder="1" applyAlignment="1">
      <alignment horizontal="center"/>
    </xf>
    <xf numFmtId="11" fontId="0" fillId="0" borderId="0" xfId="0" applyNumberFormat="1" applyAlignment="1">
      <alignment horizontal="center"/>
    </xf>
    <xf numFmtId="11" fontId="0" fillId="0" borderId="0" xfId="0" applyNumberFormat="1"/>
    <xf numFmtId="164" fontId="0" fillId="0" borderId="49" xfId="0" applyNumberFormat="1" applyBorder="1"/>
    <xf numFmtId="164" fontId="19" fillId="0" borderId="50" xfId="0" applyNumberFormat="1" applyFont="1" applyFill="1" applyBorder="1"/>
    <xf numFmtId="2" fontId="3" fillId="5" borderId="14" xfId="0" applyNumberFormat="1" applyFont="1" applyFill="1" applyBorder="1" applyAlignment="1" applyProtection="1">
      <alignment horizontal="right"/>
      <protection locked="0"/>
    </xf>
    <xf numFmtId="2" fontId="3" fillId="5" borderId="14" xfId="0" applyNumberFormat="1" applyFont="1" applyFill="1" applyBorder="1" applyAlignment="1" applyProtection="1">
      <alignment horizontal="center"/>
      <protection locked="0"/>
    </xf>
    <xf numFmtId="0" fontId="3" fillId="5" borderId="14" xfId="0" applyFont="1" applyFill="1" applyBorder="1" applyAlignment="1" applyProtection="1">
      <alignment horizontal="center"/>
      <protection locked="0"/>
    </xf>
    <xf numFmtId="1" fontId="9" fillId="0" borderId="0" xfId="0" applyNumberFormat="1" applyFont="1" applyBorder="1" applyProtection="1">
      <protection locked="0"/>
    </xf>
    <xf numFmtId="0" fontId="79" fillId="0" borderId="0" xfId="0" applyFont="1"/>
    <xf numFmtId="0" fontId="80" fillId="0" borderId="3" xfId="0" applyFont="1" applyBorder="1" applyAlignment="1">
      <alignment horizontal="center"/>
    </xf>
    <xf numFmtId="165" fontId="80" fillId="0" borderId="3" xfId="0" applyNumberFormat="1" applyFont="1" applyBorder="1" applyAlignment="1">
      <alignment horizontal="right"/>
    </xf>
    <xf numFmtId="167" fontId="80" fillId="0" borderId="3" xfId="0" applyNumberFormat="1" applyFont="1" applyBorder="1" applyAlignment="1">
      <alignment horizontal="right"/>
    </xf>
    <xf numFmtId="166" fontId="80" fillId="0" borderId="3" xfId="0" applyNumberFormat="1" applyFont="1" applyBorder="1" applyAlignment="1">
      <alignment horizontal="right"/>
    </xf>
    <xf numFmtId="169" fontId="80" fillId="0" borderId="3" xfId="0" applyNumberFormat="1" applyFont="1" applyBorder="1" applyAlignment="1">
      <alignment horizontal="right"/>
    </xf>
    <xf numFmtId="2" fontId="80" fillId="0" borderId="3" xfId="0" applyNumberFormat="1" applyFont="1" applyBorder="1" applyAlignment="1">
      <alignment horizontal="right"/>
    </xf>
    <xf numFmtId="168" fontId="80" fillId="0" borderId="3" xfId="0" applyNumberFormat="1" applyFont="1" applyBorder="1" applyAlignment="1">
      <alignment horizontal="right"/>
    </xf>
    <xf numFmtId="0" fontId="80" fillId="0" borderId="3" xfId="0" applyFont="1" applyBorder="1" applyAlignment="1">
      <alignment horizontal="right"/>
    </xf>
    <xf numFmtId="164" fontId="80" fillId="0" borderId="3" xfId="0" applyNumberFormat="1" applyFont="1" applyBorder="1" applyAlignment="1">
      <alignment horizontal="right"/>
    </xf>
    <xf numFmtId="11" fontId="80" fillId="0" borderId="3" xfId="0" applyNumberFormat="1" applyFont="1" applyBorder="1" applyAlignment="1">
      <alignment horizontal="right"/>
    </xf>
    <xf numFmtId="0" fontId="80" fillId="0" borderId="0" xfId="0" applyFont="1"/>
    <xf numFmtId="0" fontId="81" fillId="0" borderId="0" xfId="0" applyFont="1"/>
    <xf numFmtId="0" fontId="80" fillId="0" borderId="3" xfId="0" applyFont="1" applyBorder="1"/>
    <xf numFmtId="0" fontId="80" fillId="0" borderId="10" xfId="0" applyFont="1" applyBorder="1"/>
    <xf numFmtId="0" fontId="80" fillId="0" borderId="11" xfId="0" applyFont="1" applyBorder="1"/>
    <xf numFmtId="0" fontId="80" fillId="0" borderId="12" xfId="0" applyFont="1" applyBorder="1"/>
    <xf numFmtId="0" fontId="80" fillId="0" borderId="2" xfId="0" applyFont="1" applyBorder="1" applyAlignment="1">
      <alignment horizontal="center"/>
    </xf>
    <xf numFmtId="0" fontId="81" fillId="0" borderId="3" xfId="0" applyFont="1" applyBorder="1" applyAlignment="1">
      <alignment horizontal="center"/>
    </xf>
    <xf numFmtId="1" fontId="80" fillId="0" borderId="3" xfId="0" applyNumberFormat="1" applyFont="1" applyBorder="1"/>
    <xf numFmtId="0" fontId="80" fillId="0" borderId="3" xfId="0" quotePrefix="1" applyFont="1" applyBorder="1"/>
    <xf numFmtId="0" fontId="80" fillId="0" borderId="4" xfId="0" applyFont="1" applyBorder="1"/>
    <xf numFmtId="1" fontId="80" fillId="0" borderId="2" xfId="0" applyNumberFormat="1" applyFont="1" applyBorder="1"/>
    <xf numFmtId="165" fontId="80" fillId="0" borderId="0" xfId="0" applyNumberFormat="1" applyFont="1"/>
    <xf numFmtId="0" fontId="80" fillId="0" borderId="0" xfId="0" applyFont="1" applyBorder="1"/>
    <xf numFmtId="170" fontId="80" fillId="0" borderId="3" xfId="0" applyNumberFormat="1" applyFont="1" applyBorder="1" applyAlignment="1">
      <alignment horizontal="right"/>
    </xf>
    <xf numFmtId="1" fontId="80" fillId="0" borderId="3" xfId="0" applyNumberFormat="1" applyFont="1" applyBorder="1" applyAlignment="1">
      <alignment horizontal="right"/>
    </xf>
    <xf numFmtId="0" fontId="82" fillId="0" borderId="63" xfId="0" applyFont="1" applyBorder="1"/>
    <xf numFmtId="0" fontId="0" fillId="0" borderId="13" xfId="0" applyBorder="1"/>
    <xf numFmtId="0" fontId="0" fillId="0" borderId="24" xfId="0" applyBorder="1"/>
    <xf numFmtId="0" fontId="0" fillId="0" borderId="25" xfId="0" applyBorder="1"/>
    <xf numFmtId="0" fontId="83" fillId="0" borderId="0" xfId="0" applyFont="1" applyBorder="1"/>
    <xf numFmtId="0" fontId="3" fillId="0" borderId="64" xfId="0" applyFont="1" applyBorder="1" applyAlignment="1" applyProtection="1">
      <alignment horizontal="center"/>
      <protection locked="0"/>
    </xf>
    <xf numFmtId="0" fontId="9" fillId="0" borderId="4" xfId="0" applyFont="1" applyBorder="1"/>
    <xf numFmtId="0" fontId="9" fillId="0" borderId="49" xfId="0" applyFont="1" applyBorder="1"/>
    <xf numFmtId="0" fontId="0" fillId="0" borderId="49" xfId="0" applyBorder="1"/>
    <xf numFmtId="0" fontId="13" fillId="0" borderId="65" xfId="0" applyFont="1" applyBorder="1" applyAlignment="1" applyProtection="1">
      <alignment horizontal="center"/>
      <protection locked="0"/>
    </xf>
    <xf numFmtId="0" fontId="9" fillId="0" borderId="66" xfId="0" applyFont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165" fontId="80" fillId="0" borderId="0" xfId="0" applyNumberFormat="1" applyFont="1" applyBorder="1" applyAlignment="1">
      <alignment horizontal="right"/>
    </xf>
    <xf numFmtId="2" fontId="80" fillId="0" borderId="0" xfId="0" applyNumberFormat="1" applyFont="1" applyBorder="1" applyAlignment="1">
      <alignment horizontal="right"/>
    </xf>
    <xf numFmtId="164" fontId="80" fillId="0" borderId="0" xfId="0" applyNumberFormat="1" applyFont="1" applyBorder="1" applyAlignment="1">
      <alignment horizontal="right"/>
    </xf>
    <xf numFmtId="0" fontId="0" fillId="0" borderId="67" xfId="0" applyBorder="1" applyAlignment="1">
      <alignment horizontal="right"/>
    </xf>
    <xf numFmtId="0" fontId="0" fillId="0" borderId="68" xfId="0" applyBorder="1" applyAlignment="1">
      <alignment horizontal="right"/>
    </xf>
    <xf numFmtId="0" fontId="9" fillId="0" borderId="69" xfId="0" applyFont="1" applyBorder="1" applyAlignment="1">
      <alignment horizontal="center"/>
    </xf>
    <xf numFmtId="0" fontId="0" fillId="0" borderId="70" xfId="0" applyBorder="1" applyAlignment="1">
      <alignment horizontal="right"/>
    </xf>
    <xf numFmtId="0" fontId="9" fillId="0" borderId="71" xfId="0" applyFont="1" applyBorder="1" applyAlignment="1">
      <alignment horizontal="center"/>
    </xf>
    <xf numFmtId="0" fontId="0" fillId="0" borderId="72" xfId="0" applyBorder="1" applyAlignment="1">
      <alignment horizontal="right"/>
    </xf>
    <xf numFmtId="0" fontId="0" fillId="0" borderId="73" xfId="0" applyBorder="1" applyAlignment="1">
      <alignment horizontal="right"/>
    </xf>
    <xf numFmtId="0" fontId="0" fillId="0" borderId="74" xfId="0" applyBorder="1" applyAlignment="1">
      <alignment horizontal="center"/>
    </xf>
    <xf numFmtId="0" fontId="0" fillId="0" borderId="75" xfId="0" applyBorder="1" applyAlignment="1">
      <alignment horizontal="center"/>
    </xf>
    <xf numFmtId="165" fontId="9" fillId="0" borderId="7" xfId="0" applyNumberFormat="1" applyFont="1" applyBorder="1" applyAlignment="1">
      <alignment horizontal="center"/>
    </xf>
    <xf numFmtId="165" fontId="0" fillId="0" borderId="71" xfId="0" applyNumberFormat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2" fontId="0" fillId="0" borderId="71" xfId="0" applyNumberFormat="1" applyBorder="1" applyAlignment="1">
      <alignment horizontal="center"/>
    </xf>
    <xf numFmtId="0" fontId="24" fillId="0" borderId="0" xfId="0" applyFont="1" applyBorder="1"/>
    <xf numFmtId="164" fontId="21" fillId="0" borderId="0" xfId="0" applyNumberFormat="1" applyFont="1" applyBorder="1"/>
    <xf numFmtId="0" fontId="21" fillId="0" borderId="0" xfId="0" applyFont="1" applyBorder="1" applyAlignment="1">
      <alignment horizontal="center"/>
    </xf>
    <xf numFmtId="2" fontId="21" fillId="0" borderId="0" xfId="0" applyNumberFormat="1" applyFont="1" applyBorder="1"/>
    <xf numFmtId="165" fontId="21" fillId="0" borderId="0" xfId="0" applyNumberFormat="1" applyFont="1" applyBorder="1"/>
    <xf numFmtId="165" fontId="0" fillId="0" borderId="0" xfId="0" applyNumberFormat="1" applyBorder="1"/>
    <xf numFmtId="165" fontId="3" fillId="0" borderId="0" xfId="0" applyNumberFormat="1" applyFont="1" applyBorder="1" applyProtection="1">
      <protection locked="0"/>
    </xf>
    <xf numFmtId="0" fontId="0" fillId="0" borderId="76" xfId="0" applyBorder="1"/>
    <xf numFmtId="0" fontId="0" fillId="0" borderId="77" xfId="0" applyBorder="1" applyAlignment="1">
      <alignment horizontal="center"/>
    </xf>
    <xf numFmtId="0" fontId="0" fillId="0" borderId="78" xfId="0" applyBorder="1"/>
    <xf numFmtId="165" fontId="0" fillId="0" borderId="79" xfId="0" applyNumberFormat="1" applyBorder="1"/>
    <xf numFmtId="165" fontId="0" fillId="0" borderId="76" xfId="0" applyNumberFormat="1" applyBorder="1"/>
    <xf numFmtId="165" fontId="0" fillId="0" borderId="78" xfId="0" applyNumberFormat="1" applyBorder="1"/>
    <xf numFmtId="0" fontId="3" fillId="0" borderId="0" xfId="0" applyFont="1" applyFill="1" applyBorder="1" applyProtection="1">
      <protection locked="0"/>
    </xf>
    <xf numFmtId="166" fontId="3" fillId="0" borderId="0" xfId="0" applyNumberFormat="1" applyFont="1" applyFill="1" applyBorder="1" applyProtection="1">
      <protection locked="0"/>
    </xf>
    <xf numFmtId="165" fontId="3" fillId="0" borderId="0" xfId="0" applyNumberFormat="1" applyFont="1" applyFill="1" applyBorder="1" applyProtection="1">
      <protection locked="0"/>
    </xf>
    <xf numFmtId="1" fontId="9" fillId="0" borderId="0" xfId="0" applyNumberFormat="1" applyFont="1" applyFill="1" applyBorder="1"/>
    <xf numFmtId="1" fontId="3" fillId="0" borderId="0" xfId="0" applyNumberFormat="1" applyFont="1" applyFill="1" applyBorder="1" applyProtection="1">
      <protection locked="0"/>
    </xf>
    <xf numFmtId="166" fontId="0" fillId="0" borderId="79" xfId="0" applyNumberFormat="1" applyBorder="1"/>
    <xf numFmtId="166" fontId="0" fillId="0" borderId="2" xfId="0" applyNumberFormat="1" applyBorder="1"/>
    <xf numFmtId="166" fontId="0" fillId="0" borderId="3" xfId="0" applyNumberFormat="1" applyBorder="1"/>
    <xf numFmtId="2" fontId="84" fillId="0" borderId="0" xfId="0" applyNumberFormat="1" applyFont="1" applyAlignment="1" applyProtection="1">
      <alignment horizontal="left"/>
    </xf>
    <xf numFmtId="0" fontId="31" fillId="0" borderId="0" xfId="0" applyFont="1" applyFill="1" applyBorder="1"/>
    <xf numFmtId="0" fontId="31" fillId="0" borderId="13" xfId="0" applyFont="1" applyFill="1" applyBorder="1"/>
    <xf numFmtId="0" fontId="0" fillId="0" borderId="22" xfId="0" applyBorder="1" applyAlignment="1">
      <alignment horizontal="left"/>
    </xf>
    <xf numFmtId="0" fontId="9" fillId="0" borderId="13" xfId="0" applyFont="1" applyBorder="1"/>
    <xf numFmtId="0" fontId="9" fillId="0" borderId="9" xfId="0" quotePrefix="1" applyFont="1" applyFill="1" applyBorder="1"/>
    <xf numFmtId="0" fontId="0" fillId="0" borderId="0" xfId="0" applyFont="1" applyFill="1" applyBorder="1"/>
    <xf numFmtId="0" fontId="19" fillId="0" borderId="0" xfId="0" applyFont="1" applyAlignment="1">
      <alignment horizontal="right"/>
    </xf>
    <xf numFmtId="165" fontId="19" fillId="0" borderId="0" xfId="0" applyNumberFormat="1" applyFont="1"/>
    <xf numFmtId="0" fontId="19" fillId="0" borderId="0" xfId="0" applyFont="1"/>
    <xf numFmtId="166" fontId="85" fillId="0" borderId="0" xfId="0" applyNumberFormat="1" applyFont="1"/>
    <xf numFmtId="166" fontId="85" fillId="0" borderId="0" xfId="0" applyNumberFormat="1" applyFont="1" applyProtection="1">
      <protection hidden="1"/>
    </xf>
    <xf numFmtId="166" fontId="86" fillId="0" borderId="0" xfId="0" applyNumberFormat="1" applyFont="1" applyProtection="1">
      <protection hidden="1"/>
    </xf>
    <xf numFmtId="0" fontId="0" fillId="0" borderId="23" xfId="0" applyBorder="1" applyAlignment="1">
      <alignment horizontal="left"/>
    </xf>
    <xf numFmtId="0" fontId="9" fillId="0" borderId="25" xfId="0" quotePrefix="1" applyFont="1" applyFill="1" applyBorder="1"/>
    <xf numFmtId="164" fontId="3" fillId="0" borderId="15" xfId="0" applyNumberFormat="1" applyFont="1" applyBorder="1" applyProtection="1">
      <protection locked="0"/>
    </xf>
    <xf numFmtId="0" fontId="0" fillId="0" borderId="0" xfId="0" applyProtection="1"/>
    <xf numFmtId="0" fontId="35" fillId="0" borderId="0" xfId="0" applyFont="1" applyAlignment="1" applyProtection="1">
      <alignment horizontal="left"/>
    </xf>
    <xf numFmtId="0" fontId="9" fillId="0" borderId="0" xfId="0" applyFont="1" applyProtection="1"/>
    <xf numFmtId="0" fontId="0" fillId="0" borderId="0" xfId="0" applyAlignment="1" applyProtection="1">
      <alignment horizontal="right"/>
    </xf>
    <xf numFmtId="0" fontId="9" fillId="0" borderId="0" xfId="0" applyFont="1" applyAlignment="1" applyProtection="1">
      <alignment horizontal="right"/>
    </xf>
    <xf numFmtId="0" fontId="87" fillId="0" borderId="32" xfId="0" applyFont="1" applyBorder="1" applyProtection="1"/>
    <xf numFmtId="166" fontId="87" fillId="0" borderId="33" xfId="0" applyNumberFormat="1" applyFont="1" applyBorder="1" applyProtection="1"/>
    <xf numFmtId="0" fontId="88" fillId="0" borderId="33" xfId="0" applyFont="1" applyBorder="1" applyProtection="1"/>
    <xf numFmtId="0" fontId="87" fillId="0" borderId="34" xfId="0" applyFont="1" applyBorder="1" applyProtection="1"/>
    <xf numFmtId="0" fontId="87" fillId="0" borderId="0" xfId="0" applyFont="1" applyProtection="1"/>
    <xf numFmtId="2" fontId="0" fillId="0" borderId="0" xfId="0" applyNumberFormat="1" applyProtection="1"/>
    <xf numFmtId="0" fontId="87" fillId="0" borderId="80" xfId="0" applyFont="1" applyBorder="1" applyProtection="1"/>
    <xf numFmtId="166" fontId="87" fillId="0" borderId="0" xfId="0" applyNumberFormat="1" applyFont="1" applyBorder="1" applyProtection="1"/>
    <xf numFmtId="0" fontId="88" fillId="0" borderId="0" xfId="0" applyFont="1" applyBorder="1" applyProtection="1"/>
    <xf numFmtId="0" fontId="87" fillId="0" borderId="81" xfId="0" applyFont="1" applyBorder="1" applyProtection="1"/>
    <xf numFmtId="0" fontId="0" fillId="0" borderId="0" xfId="0" applyBorder="1" applyProtection="1"/>
    <xf numFmtId="0" fontId="87" fillId="0" borderId="0" xfId="0" applyFont="1" applyBorder="1" applyProtection="1"/>
    <xf numFmtId="0" fontId="87" fillId="0" borderId="80" xfId="0" applyFont="1" applyBorder="1" applyAlignment="1" applyProtection="1">
      <alignment horizontal="right"/>
    </xf>
    <xf numFmtId="0" fontId="87" fillId="0" borderId="0" xfId="0" applyFont="1" applyBorder="1" applyAlignment="1" applyProtection="1">
      <alignment horizontal="right"/>
    </xf>
    <xf numFmtId="0" fontId="87" fillId="0" borderId="81" xfId="0" quotePrefix="1" applyFont="1" applyBorder="1" applyAlignment="1" applyProtection="1">
      <alignment horizontal="right"/>
    </xf>
    <xf numFmtId="0" fontId="87" fillId="0" borderId="0" xfId="0" applyFont="1" applyAlignment="1" applyProtection="1">
      <alignment horizontal="right"/>
    </xf>
    <xf numFmtId="2" fontId="87" fillId="0" borderId="0" xfId="0" applyNumberFormat="1" applyFont="1" applyBorder="1" applyProtection="1"/>
    <xf numFmtId="2" fontId="87" fillId="0" borderId="81" xfId="0" applyNumberFormat="1" applyFont="1" applyBorder="1" applyProtection="1"/>
    <xf numFmtId="0" fontId="87" fillId="0" borderId="35" xfId="0" applyFont="1" applyBorder="1" applyProtection="1"/>
    <xf numFmtId="2" fontId="87" fillId="0" borderId="36" xfId="0" applyNumberFormat="1" applyFont="1" applyBorder="1" applyProtection="1"/>
    <xf numFmtId="0" fontId="87" fillId="0" borderId="36" xfId="0" applyFont="1" applyBorder="1" applyProtection="1"/>
    <xf numFmtId="0" fontId="87" fillId="0" borderId="37" xfId="0" applyFont="1" applyBorder="1" applyProtection="1"/>
    <xf numFmtId="0" fontId="9" fillId="0" borderId="24" xfId="0" quotePrefix="1" applyFont="1" applyFill="1" applyBorder="1"/>
    <xf numFmtId="0" fontId="71" fillId="0" borderId="82" xfId="0" applyFont="1" applyBorder="1" applyAlignment="1">
      <alignment horizontal="left"/>
    </xf>
    <xf numFmtId="0" fontId="0" fillId="0" borderId="83" xfId="0" applyBorder="1"/>
    <xf numFmtId="0" fontId="0" fillId="0" borderId="84" xfId="0" applyBorder="1"/>
    <xf numFmtId="0" fontId="35" fillId="0" borderId="85" xfId="0" applyFont="1" applyBorder="1" applyAlignment="1">
      <alignment horizontal="left"/>
    </xf>
    <xf numFmtId="0" fontId="0" fillId="0" borderId="86" xfId="0" applyBorder="1"/>
    <xf numFmtId="0" fontId="83" fillId="0" borderId="85" xfId="0" applyFont="1" applyBorder="1"/>
    <xf numFmtId="0" fontId="83" fillId="0" borderId="86" xfId="0" applyFont="1" applyBorder="1"/>
    <xf numFmtId="0" fontId="83" fillId="0" borderId="87" xfId="0" applyFont="1" applyBorder="1"/>
    <xf numFmtId="0" fontId="83" fillId="0" borderId="88" xfId="0" applyFont="1" applyBorder="1"/>
    <xf numFmtId="0" fontId="83" fillId="0" borderId="89" xfId="0" applyFont="1" applyBorder="1"/>
    <xf numFmtId="164" fontId="3" fillId="0" borderId="0" xfId="0" applyNumberFormat="1" applyFont="1" applyBorder="1" applyProtection="1">
      <protection locked="0"/>
    </xf>
    <xf numFmtId="0" fontId="89" fillId="0" borderId="0" xfId="0" applyFont="1" applyBorder="1" applyProtection="1"/>
    <xf numFmtId="0" fontId="90" fillId="0" borderId="90" xfId="0" applyFont="1" applyBorder="1" applyProtection="1"/>
    <xf numFmtId="0" fontId="89" fillId="0" borderId="91" xfId="0" applyFont="1" applyBorder="1" applyProtection="1"/>
    <xf numFmtId="0" fontId="19" fillId="0" borderId="0" xfId="0" applyFont="1" applyAlignment="1" applyProtection="1">
      <alignment horizontal="right"/>
    </xf>
    <xf numFmtId="2" fontId="19" fillId="0" borderId="0" xfId="0" applyNumberFormat="1" applyFont="1" applyProtection="1"/>
    <xf numFmtId="0" fontId="19" fillId="0" borderId="0" xfId="0" applyFont="1" applyProtection="1"/>
    <xf numFmtId="0" fontId="0" fillId="0" borderId="12" xfId="0" quotePrefix="1" applyBorder="1" applyAlignment="1">
      <alignment horizontal="left" wrapText="1"/>
    </xf>
    <xf numFmtId="0" fontId="0" fillId="0" borderId="22" xfId="0" applyBorder="1" applyAlignment="1">
      <alignment horizontal="center"/>
    </xf>
    <xf numFmtId="0" fontId="0" fillId="0" borderId="92" xfId="0" applyBorder="1" applyAlignment="1">
      <alignment horizontal="center"/>
    </xf>
    <xf numFmtId="0" fontId="54" fillId="0" borderId="93" xfId="0" applyFont="1" applyFill="1" applyBorder="1" applyAlignment="1">
      <alignment horizontal="right"/>
    </xf>
    <xf numFmtId="0" fontId="54" fillId="0" borderId="67" xfId="0" applyFont="1" applyFill="1" applyBorder="1" applyAlignment="1">
      <alignment horizontal="right"/>
    </xf>
    <xf numFmtId="0" fontId="30" fillId="0" borderId="0" xfId="0" applyFont="1" applyFill="1" applyProtection="1">
      <protection locked="0" hidden="1"/>
    </xf>
    <xf numFmtId="0" fontId="56" fillId="0" borderId="72" xfId="0" applyFont="1" applyFill="1" applyBorder="1" applyAlignment="1">
      <alignment horizontal="center"/>
    </xf>
    <xf numFmtId="0" fontId="54" fillId="0" borderId="3" xfId="0" applyFont="1" applyFill="1" applyBorder="1" applyAlignment="1">
      <alignment horizontal="right"/>
    </xf>
    <xf numFmtId="0" fontId="54" fillId="0" borderId="3" xfId="0" applyFont="1" applyFill="1" applyBorder="1" applyAlignment="1">
      <alignment horizontal="center"/>
    </xf>
    <xf numFmtId="0" fontId="54" fillId="0" borderId="71" xfId="0" applyFont="1" applyFill="1" applyBorder="1" applyAlignment="1">
      <alignment horizontal="left"/>
    </xf>
    <xf numFmtId="1" fontId="0" fillId="0" borderId="0" xfId="0" applyNumberFormat="1" applyFill="1"/>
    <xf numFmtId="0" fontId="56" fillId="0" borderId="73" xfId="0" applyFont="1" applyFill="1" applyBorder="1" applyAlignment="1">
      <alignment horizontal="center"/>
    </xf>
    <xf numFmtId="0" fontId="54" fillId="0" borderId="6" xfId="0" applyFont="1" applyFill="1" applyBorder="1" applyAlignment="1">
      <alignment horizontal="right"/>
    </xf>
    <xf numFmtId="0" fontId="54" fillId="0" borderId="6" xfId="0" applyFont="1" applyFill="1" applyBorder="1" applyAlignment="1">
      <alignment horizontal="center"/>
    </xf>
    <xf numFmtId="0" fontId="54" fillId="0" borderId="75" xfId="0" applyFont="1" applyFill="1" applyBorder="1" applyAlignment="1">
      <alignment horizontal="left"/>
    </xf>
    <xf numFmtId="0" fontId="73" fillId="4" borderId="94" xfId="0" applyFont="1" applyFill="1" applyBorder="1"/>
    <xf numFmtId="0" fontId="57" fillId="0" borderId="0" xfId="1" applyFill="1" applyBorder="1" applyAlignment="1" applyProtection="1"/>
    <xf numFmtId="0" fontId="21" fillId="0" borderId="3" xfId="0" applyFont="1" applyBorder="1"/>
    <xf numFmtId="0" fontId="92" fillId="0" borderId="3" xfId="0" applyFont="1" applyFill="1" applyBorder="1" applyAlignment="1">
      <alignment horizontal="center"/>
    </xf>
    <xf numFmtId="11" fontId="80" fillId="0" borderId="3" xfId="0" applyNumberFormat="1" applyFont="1" applyBorder="1"/>
    <xf numFmtId="0" fontId="93" fillId="0" borderId="0" xfId="0" applyFont="1"/>
    <xf numFmtId="0" fontId="93" fillId="0" borderId="0" xfId="0" applyFont="1" applyAlignment="1">
      <alignment horizontal="right"/>
    </xf>
    <xf numFmtId="165" fontId="93" fillId="0" borderId="0" xfId="0" applyNumberFormat="1" applyFont="1"/>
    <xf numFmtId="15" fontId="31" fillId="0" borderId="8" xfId="0" quotePrefix="1" applyNumberFormat="1" applyFont="1" applyFill="1" applyBorder="1" applyAlignment="1">
      <alignment horizontal="left"/>
    </xf>
    <xf numFmtId="0" fontId="0" fillId="0" borderId="23" xfId="0" applyBorder="1" applyAlignment="1">
      <alignment horizontal="right"/>
    </xf>
    <xf numFmtId="0" fontId="0" fillId="0" borderId="7" xfId="0" applyBorder="1" applyAlignment="1">
      <alignment horizontal="right"/>
    </xf>
    <xf numFmtId="0" fontId="16" fillId="0" borderId="95" xfId="0" applyFont="1" applyBorder="1" applyProtection="1">
      <protection locked="0"/>
    </xf>
    <xf numFmtId="1" fontId="9" fillId="0" borderId="8" xfId="0" applyNumberFormat="1" applyFont="1" applyBorder="1"/>
    <xf numFmtId="0" fontId="0" fillId="0" borderId="8" xfId="0" applyBorder="1" applyAlignment="1">
      <alignment horizontal="right"/>
    </xf>
    <xf numFmtId="16" fontId="0" fillId="0" borderId="13" xfId="0" quotePrefix="1" applyNumberFormat="1" applyBorder="1"/>
    <xf numFmtId="0" fontId="0" fillId="0" borderId="10" xfId="0" applyBorder="1" applyAlignment="1">
      <alignment horizontal="left" vertical="top"/>
    </xf>
    <xf numFmtId="17" fontId="0" fillId="0" borderId="11" xfId="0" quotePrefix="1" applyNumberFormat="1" applyBorder="1" applyAlignment="1">
      <alignment horizontal="left" vertical="top"/>
    </xf>
    <xf numFmtId="0" fontId="0" fillId="0" borderId="11" xfId="0" applyBorder="1" applyAlignment="1">
      <alignment horizontal="center" vertical="top"/>
    </xf>
    <xf numFmtId="0" fontId="19" fillId="0" borderId="96" xfId="0" applyFont="1" applyBorder="1" applyAlignment="1">
      <alignment horizontal="center"/>
    </xf>
    <xf numFmtId="0" fontId="0" fillId="0" borderId="97" xfId="0" applyBorder="1" applyAlignment="1">
      <alignment horizontal="center"/>
    </xf>
    <xf numFmtId="0" fontId="0" fillId="0" borderId="98" xfId="0" applyBorder="1" applyAlignment="1">
      <alignment horizontal="center"/>
    </xf>
    <xf numFmtId="0" fontId="19" fillId="0" borderId="99" xfId="0" applyFont="1" applyBorder="1" applyAlignment="1">
      <alignment horizontal="center"/>
    </xf>
    <xf numFmtId="0" fontId="19" fillId="0" borderId="13" xfId="0" applyFont="1" applyBorder="1" applyAlignment="1">
      <alignment horizontal="center"/>
    </xf>
    <xf numFmtId="0" fontId="19" fillId="0" borderId="24" xfId="0" applyFont="1" applyBorder="1" applyAlignment="1">
      <alignment horizontal="center"/>
    </xf>
    <xf numFmtId="0" fontId="16" fillId="0" borderId="10" xfId="0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16" fillId="0" borderId="12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0" xfId="0" applyBorder="1" applyAlignment="1">
      <alignment horizontal="center"/>
    </xf>
    <xf numFmtId="0" fontId="0" fillId="0" borderId="101" xfId="0" applyBorder="1" applyAlignment="1">
      <alignment horizontal="center"/>
    </xf>
    <xf numFmtId="0" fontId="0" fillId="0" borderId="102" xfId="0" applyBorder="1" applyAlignment="1">
      <alignment horizontal="center"/>
    </xf>
    <xf numFmtId="0" fontId="0" fillId="0" borderId="103" xfId="0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55" fillId="0" borderId="104" xfId="0" applyFont="1" applyFill="1" applyBorder="1" applyAlignment="1">
      <alignment horizontal="center"/>
    </xf>
    <xf numFmtId="0" fontId="55" fillId="0" borderId="105" xfId="0" applyFont="1" applyFill="1" applyBorder="1" applyAlignment="1">
      <alignment horizontal="center"/>
    </xf>
    <xf numFmtId="0" fontId="55" fillId="0" borderId="106" xfId="0" applyFont="1" applyFill="1" applyBorder="1" applyAlignment="1">
      <alignment horizontal="center"/>
    </xf>
    <xf numFmtId="0" fontId="54" fillId="0" borderId="22" xfId="0" applyFont="1" applyFill="1" applyBorder="1" applyAlignment="1">
      <alignment horizontal="center"/>
    </xf>
    <xf numFmtId="0" fontId="54" fillId="0" borderId="13" xfId="0" applyFont="1" applyFill="1" applyBorder="1" applyAlignment="1">
      <alignment horizontal="center"/>
    </xf>
    <xf numFmtId="0" fontId="54" fillId="0" borderId="107" xfId="0" applyFont="1" applyFill="1" applyBorder="1" applyAlignment="1">
      <alignment horizontal="center"/>
    </xf>
    <xf numFmtId="0" fontId="54" fillId="0" borderId="23" xfId="0" applyFont="1" applyFill="1" applyBorder="1" applyAlignment="1">
      <alignment horizontal="center"/>
    </xf>
    <xf numFmtId="0" fontId="54" fillId="0" borderId="0" xfId="0" applyFont="1" applyFill="1" applyBorder="1" applyAlignment="1">
      <alignment horizontal="center"/>
    </xf>
    <xf numFmtId="0" fontId="54" fillId="0" borderId="53" xfId="0" applyFont="1" applyFill="1" applyBorder="1" applyAlignment="1">
      <alignment horizontal="center"/>
    </xf>
    <xf numFmtId="0" fontId="19" fillId="0" borderId="23" xfId="0" applyFont="1" applyBorder="1" applyAlignment="1">
      <alignment horizontal="center"/>
    </xf>
    <xf numFmtId="0" fontId="19" fillId="0" borderId="0" xfId="0" applyFont="1" applyBorder="1" applyAlignment="1">
      <alignment horizontal="center"/>
    </xf>
    <xf numFmtId="0" fontId="19" fillId="0" borderId="25" xfId="0" applyFont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Kn  vs  Web Regression         </a:t>
            </a:r>
          </a:p>
        </c:rich>
      </c:tx>
      <c:layout>
        <c:manualLayout>
          <c:xMode val="edge"/>
          <c:yMode val="edge"/>
          <c:x val="0.25108352446935123"/>
          <c:y val="0.13692310420656878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17654154976201"/>
          <c:y val="0.24000013020840397"/>
          <c:w val="0.59608042880811585"/>
          <c:h val="0.48888915412823031"/>
        </c:manualLayout>
      </c:layout>
      <c:scatterChart>
        <c:scatterStyle val="smoothMarker"/>
        <c:varyColors val="0"/>
        <c:ser>
          <c:idx val="1"/>
          <c:order val="1"/>
          <c:tx>
            <c:v>Kn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'Data and Kn'!$C$45:$C$95</c:f>
              <c:numCache>
                <c:formatCode>0.00</c:formatCode>
                <c:ptCount val="51"/>
                <c:pt idx="0">
                  <c:v>0</c:v>
                </c:pt>
                <c:pt idx="1">
                  <c:v>0.3089999999999995</c:v>
                </c:pt>
                <c:pt idx="2">
                  <c:v>0.61799999999999899</c:v>
                </c:pt>
                <c:pt idx="3">
                  <c:v>0.92699999999999849</c:v>
                </c:pt>
                <c:pt idx="4">
                  <c:v>1.235999999999998</c:v>
                </c:pt>
                <c:pt idx="5">
                  <c:v>1.5449999999999975</c:v>
                </c:pt>
                <c:pt idx="6">
                  <c:v>1.853999999999997</c:v>
                </c:pt>
                <c:pt idx="7">
                  <c:v>2.1629999999999967</c:v>
                </c:pt>
                <c:pt idx="8">
                  <c:v>2.471999999999996</c:v>
                </c:pt>
                <c:pt idx="9">
                  <c:v>2.7809999999999953</c:v>
                </c:pt>
                <c:pt idx="10">
                  <c:v>3.0899999999999945</c:v>
                </c:pt>
                <c:pt idx="11">
                  <c:v>3.3989999999999938</c:v>
                </c:pt>
                <c:pt idx="12">
                  <c:v>3.7079999999999931</c:v>
                </c:pt>
                <c:pt idx="13">
                  <c:v>4.0169999999999924</c:v>
                </c:pt>
                <c:pt idx="14">
                  <c:v>4.3259999999999916</c:v>
                </c:pt>
                <c:pt idx="15">
                  <c:v>4.6349999999999909</c:v>
                </c:pt>
                <c:pt idx="16">
                  <c:v>4.9439999999999902</c:v>
                </c:pt>
                <c:pt idx="17">
                  <c:v>5.2529999999999895</c:v>
                </c:pt>
                <c:pt idx="18">
                  <c:v>5.5619999999999887</c:v>
                </c:pt>
                <c:pt idx="19">
                  <c:v>5.870999999999988</c:v>
                </c:pt>
                <c:pt idx="20">
                  <c:v>6.1799999999999873</c:v>
                </c:pt>
                <c:pt idx="21">
                  <c:v>6.4889999999999866</c:v>
                </c:pt>
                <c:pt idx="22">
                  <c:v>6.7979999999999858</c:v>
                </c:pt>
                <c:pt idx="23">
                  <c:v>7.1069999999999851</c:v>
                </c:pt>
                <c:pt idx="24">
                  <c:v>7.4159999999999844</c:v>
                </c:pt>
                <c:pt idx="25">
                  <c:v>7.7249999999999837</c:v>
                </c:pt>
                <c:pt idx="26">
                  <c:v>8.0339999999999829</c:v>
                </c:pt>
                <c:pt idx="27">
                  <c:v>8.3429999999999822</c:v>
                </c:pt>
                <c:pt idx="28">
                  <c:v>8.6519999999999815</c:v>
                </c:pt>
                <c:pt idx="29">
                  <c:v>8.9609999999999808</c:v>
                </c:pt>
                <c:pt idx="30">
                  <c:v>9.26999999999998</c:v>
                </c:pt>
                <c:pt idx="31">
                  <c:v>9.5789999999999793</c:v>
                </c:pt>
                <c:pt idx="32">
                  <c:v>9.8879999999999786</c:v>
                </c:pt>
                <c:pt idx="33">
                  <c:v>10.196999999999978</c:v>
                </c:pt>
                <c:pt idx="34">
                  <c:v>10.505999999999977</c:v>
                </c:pt>
                <c:pt idx="35">
                  <c:v>10.814999999999976</c:v>
                </c:pt>
                <c:pt idx="36">
                  <c:v>11.123999999999976</c:v>
                </c:pt>
                <c:pt idx="37">
                  <c:v>11.432999999999975</c:v>
                </c:pt>
                <c:pt idx="38">
                  <c:v>11.741999999999974</c:v>
                </c:pt>
                <c:pt idx="39">
                  <c:v>12.050999999999974</c:v>
                </c:pt>
                <c:pt idx="40">
                  <c:v>12.359999999999973</c:v>
                </c:pt>
                <c:pt idx="41">
                  <c:v>12.668999999999972</c:v>
                </c:pt>
                <c:pt idx="42">
                  <c:v>12.977999999999971</c:v>
                </c:pt>
                <c:pt idx="43">
                  <c:v>13.286999999999971</c:v>
                </c:pt>
                <c:pt idx="44">
                  <c:v>13.59599999999997</c:v>
                </c:pt>
                <c:pt idx="45">
                  <c:v>13.904999999999969</c:v>
                </c:pt>
                <c:pt idx="46">
                  <c:v>14.213999999999968</c:v>
                </c:pt>
                <c:pt idx="47">
                  <c:v>14.522999999999968</c:v>
                </c:pt>
                <c:pt idx="48">
                  <c:v>14.831999999999967</c:v>
                </c:pt>
                <c:pt idx="49">
                  <c:v>15.140999999999966</c:v>
                </c:pt>
                <c:pt idx="50">
                  <c:v>15.449999999999966</c:v>
                </c:pt>
              </c:numCache>
            </c:numRef>
          </c:xVal>
          <c:yVal>
            <c:numRef>
              <c:f>'Data and Kn'!$M$45:$M$95</c:f>
              <c:numCache>
                <c:formatCode>0.0</c:formatCode>
                <c:ptCount val="51"/>
                <c:pt idx="0">
                  <c:v>90.595941048129291</c:v>
                </c:pt>
                <c:pt idx="1">
                  <c:v>91.338173745234869</c:v>
                </c:pt>
                <c:pt idx="2">
                  <c:v>92.031768990658605</c:v>
                </c:pt>
                <c:pt idx="3">
                  <c:v>92.676726784400529</c:v>
                </c:pt>
                <c:pt idx="4">
                  <c:v>93.273047126460639</c:v>
                </c:pt>
                <c:pt idx="5">
                  <c:v>93.820730016838922</c:v>
                </c:pt>
                <c:pt idx="6">
                  <c:v>94.319775455535392</c:v>
                </c:pt>
                <c:pt idx="7">
                  <c:v>94.770183442550035</c:v>
                </c:pt>
                <c:pt idx="8">
                  <c:v>95.171953977882865</c:v>
                </c:pt>
                <c:pt idx="9">
                  <c:v>95.525087061533867</c:v>
                </c:pt>
                <c:pt idx="10">
                  <c:v>95.829582693503056</c:v>
                </c:pt>
                <c:pt idx="11">
                  <c:v>96.085440873790432</c:v>
                </c:pt>
                <c:pt idx="12">
                  <c:v>96.292661602395995</c:v>
                </c:pt>
                <c:pt idx="13">
                  <c:v>96.451244879319717</c:v>
                </c:pt>
                <c:pt idx="14">
                  <c:v>96.561190704561611</c:v>
                </c:pt>
                <c:pt idx="15">
                  <c:v>96.62249907812172</c:v>
                </c:pt>
                <c:pt idx="16">
                  <c:v>96.635170000000002</c:v>
                </c:pt>
                <c:pt idx="17">
                  <c:v>96.599203470196457</c:v>
                </c:pt>
                <c:pt idx="18">
                  <c:v>96.514599488711085</c:v>
                </c:pt>
                <c:pt idx="19">
                  <c:v>96.381358055543885</c:v>
                </c:pt>
                <c:pt idx="20">
                  <c:v>96.1994791706949</c:v>
                </c:pt>
                <c:pt idx="21">
                  <c:v>95.968962834164074</c:v>
                </c:pt>
                <c:pt idx="22">
                  <c:v>95.689809045951435</c:v>
                </c:pt>
                <c:pt idx="23">
                  <c:v>95.362017806056983</c:v>
                </c:pt>
                <c:pt idx="24">
                  <c:v>94.985589114480703</c:v>
                </c:pt>
                <c:pt idx="25">
                  <c:v>94.560522971222611</c:v>
                </c:pt>
                <c:pt idx="26">
                  <c:v>94.086819376282676</c:v>
                </c:pt>
                <c:pt idx="27">
                  <c:v>93.564478329660943</c:v>
                </c:pt>
                <c:pt idx="28">
                  <c:v>92.993499831357411</c:v>
                </c:pt>
                <c:pt idx="29">
                  <c:v>92.373883881372038</c:v>
                </c:pt>
                <c:pt idx="30">
                  <c:v>91.705630479704837</c:v>
                </c:pt>
                <c:pt idx="31">
                  <c:v>90.988739626355823</c:v>
                </c:pt>
                <c:pt idx="32">
                  <c:v>90.223211321324996</c:v>
                </c:pt>
                <c:pt idx="33">
                  <c:v>89.409045564612327</c:v>
                </c:pt>
                <c:pt idx="34">
                  <c:v>88.546242356217874</c:v>
                </c:pt>
                <c:pt idx="35">
                  <c:v>87.634801696141594</c:v>
                </c:pt>
                <c:pt idx="36">
                  <c:v>86.674723584383486</c:v>
                </c:pt>
                <c:pt idx="37">
                  <c:v>85.666008020943551</c:v>
                </c:pt>
                <c:pt idx="38">
                  <c:v>84.608655005821802</c:v>
                </c:pt>
                <c:pt idx="39">
                  <c:v>83.502664539018227</c:v>
                </c:pt>
                <c:pt idx="40">
                  <c:v>82.348036620532866</c:v>
                </c:pt>
                <c:pt idx="41">
                  <c:v>81.14477125036565</c:v>
                </c:pt>
                <c:pt idx="42">
                  <c:v>79.892868428516621</c:v>
                </c:pt>
                <c:pt idx="43">
                  <c:v>78.592328154985793</c:v>
                </c:pt>
                <c:pt idx="44">
                  <c:v>77.243150429773138</c:v>
                </c:pt>
                <c:pt idx="45">
                  <c:v>75.845335252878641</c:v>
                </c:pt>
                <c:pt idx="46">
                  <c:v>74.398882624302345</c:v>
                </c:pt>
                <c:pt idx="47">
                  <c:v>72.903792544044236</c:v>
                </c:pt>
                <c:pt idx="48">
                  <c:v>71.3600650121043</c:v>
                </c:pt>
                <c:pt idx="49">
                  <c:v>69.767700028482537</c:v>
                </c:pt>
                <c:pt idx="50">
                  <c:v>68.12669759317896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456072"/>
        <c:axId val="257654352"/>
      </c:scatterChart>
      <c:scatterChart>
        <c:scatterStyle val="lineMarker"/>
        <c:varyColors val="0"/>
        <c:ser>
          <c:idx val="0"/>
          <c:order val="0"/>
          <c:tx>
            <c:v>web thickness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'Data and Kn'!$C$45:$C$95</c:f>
              <c:numCache>
                <c:formatCode>0.00</c:formatCode>
                <c:ptCount val="51"/>
                <c:pt idx="0">
                  <c:v>0</c:v>
                </c:pt>
                <c:pt idx="1">
                  <c:v>0.3089999999999995</c:v>
                </c:pt>
                <c:pt idx="2">
                  <c:v>0.61799999999999899</c:v>
                </c:pt>
                <c:pt idx="3">
                  <c:v>0.92699999999999849</c:v>
                </c:pt>
                <c:pt idx="4">
                  <c:v>1.235999999999998</c:v>
                </c:pt>
                <c:pt idx="5">
                  <c:v>1.5449999999999975</c:v>
                </c:pt>
                <c:pt idx="6">
                  <c:v>1.853999999999997</c:v>
                </c:pt>
                <c:pt idx="7">
                  <c:v>2.1629999999999967</c:v>
                </c:pt>
                <c:pt idx="8">
                  <c:v>2.471999999999996</c:v>
                </c:pt>
                <c:pt idx="9">
                  <c:v>2.7809999999999953</c:v>
                </c:pt>
                <c:pt idx="10">
                  <c:v>3.0899999999999945</c:v>
                </c:pt>
                <c:pt idx="11">
                  <c:v>3.3989999999999938</c:v>
                </c:pt>
                <c:pt idx="12">
                  <c:v>3.7079999999999931</c:v>
                </c:pt>
                <c:pt idx="13">
                  <c:v>4.0169999999999924</c:v>
                </c:pt>
                <c:pt idx="14">
                  <c:v>4.3259999999999916</c:v>
                </c:pt>
                <c:pt idx="15">
                  <c:v>4.6349999999999909</c:v>
                </c:pt>
                <c:pt idx="16">
                  <c:v>4.9439999999999902</c:v>
                </c:pt>
                <c:pt idx="17">
                  <c:v>5.2529999999999895</c:v>
                </c:pt>
                <c:pt idx="18">
                  <c:v>5.5619999999999887</c:v>
                </c:pt>
                <c:pt idx="19">
                  <c:v>5.870999999999988</c:v>
                </c:pt>
                <c:pt idx="20">
                  <c:v>6.1799999999999873</c:v>
                </c:pt>
                <c:pt idx="21">
                  <c:v>6.4889999999999866</c:v>
                </c:pt>
                <c:pt idx="22">
                  <c:v>6.7979999999999858</c:v>
                </c:pt>
                <c:pt idx="23">
                  <c:v>7.1069999999999851</c:v>
                </c:pt>
                <c:pt idx="24">
                  <c:v>7.4159999999999844</c:v>
                </c:pt>
                <c:pt idx="25">
                  <c:v>7.7249999999999837</c:v>
                </c:pt>
                <c:pt idx="26">
                  <c:v>8.0339999999999829</c:v>
                </c:pt>
                <c:pt idx="27">
                  <c:v>8.3429999999999822</c:v>
                </c:pt>
                <c:pt idx="28">
                  <c:v>8.6519999999999815</c:v>
                </c:pt>
                <c:pt idx="29">
                  <c:v>8.9609999999999808</c:v>
                </c:pt>
                <c:pt idx="30">
                  <c:v>9.26999999999998</c:v>
                </c:pt>
                <c:pt idx="31">
                  <c:v>9.5789999999999793</c:v>
                </c:pt>
                <c:pt idx="32">
                  <c:v>9.8879999999999786</c:v>
                </c:pt>
                <c:pt idx="33">
                  <c:v>10.196999999999978</c:v>
                </c:pt>
                <c:pt idx="34">
                  <c:v>10.505999999999977</c:v>
                </c:pt>
                <c:pt idx="35">
                  <c:v>10.814999999999976</c:v>
                </c:pt>
                <c:pt idx="36">
                  <c:v>11.123999999999976</c:v>
                </c:pt>
                <c:pt idx="37">
                  <c:v>11.432999999999975</c:v>
                </c:pt>
                <c:pt idx="38">
                  <c:v>11.741999999999974</c:v>
                </c:pt>
                <c:pt idx="39">
                  <c:v>12.050999999999974</c:v>
                </c:pt>
                <c:pt idx="40">
                  <c:v>12.359999999999973</c:v>
                </c:pt>
                <c:pt idx="41">
                  <c:v>12.668999999999972</c:v>
                </c:pt>
                <c:pt idx="42">
                  <c:v>12.977999999999971</c:v>
                </c:pt>
                <c:pt idx="43">
                  <c:v>13.286999999999971</c:v>
                </c:pt>
                <c:pt idx="44">
                  <c:v>13.59599999999997</c:v>
                </c:pt>
                <c:pt idx="45">
                  <c:v>13.904999999999969</c:v>
                </c:pt>
                <c:pt idx="46">
                  <c:v>14.213999999999968</c:v>
                </c:pt>
                <c:pt idx="47">
                  <c:v>14.522999999999968</c:v>
                </c:pt>
                <c:pt idx="48">
                  <c:v>14.831999999999967</c:v>
                </c:pt>
                <c:pt idx="49">
                  <c:v>15.140999999999966</c:v>
                </c:pt>
                <c:pt idx="50">
                  <c:v>15.449999999999966</c:v>
                </c:pt>
              </c:numCache>
            </c:numRef>
          </c:xVal>
          <c:yVal>
            <c:numRef>
              <c:f>'Data and Kn'!$G$45:$G$95</c:f>
              <c:numCache>
                <c:formatCode>0.00</c:formatCode>
                <c:ptCount val="51"/>
                <c:pt idx="0">
                  <c:v>15.450000000000001</c:v>
                </c:pt>
                <c:pt idx="1">
                  <c:v>15.141000000000002</c:v>
                </c:pt>
                <c:pt idx="2">
                  <c:v>14.832000000000003</c:v>
                </c:pt>
                <c:pt idx="3">
                  <c:v>14.523000000000003</c:v>
                </c:pt>
                <c:pt idx="4">
                  <c:v>14.214000000000002</c:v>
                </c:pt>
                <c:pt idx="5">
                  <c:v>13.905000000000003</c:v>
                </c:pt>
                <c:pt idx="6">
                  <c:v>13.596000000000004</c:v>
                </c:pt>
                <c:pt idx="7">
                  <c:v>13.287000000000004</c:v>
                </c:pt>
                <c:pt idx="8">
                  <c:v>12.978000000000005</c:v>
                </c:pt>
                <c:pt idx="9">
                  <c:v>12.669000000000006</c:v>
                </c:pt>
                <c:pt idx="10">
                  <c:v>12.360000000000007</c:v>
                </c:pt>
                <c:pt idx="11">
                  <c:v>12.051000000000007</c:v>
                </c:pt>
                <c:pt idx="12">
                  <c:v>11.742000000000008</c:v>
                </c:pt>
                <c:pt idx="13">
                  <c:v>11.433000000000009</c:v>
                </c:pt>
                <c:pt idx="14">
                  <c:v>11.124000000000009</c:v>
                </c:pt>
                <c:pt idx="15">
                  <c:v>10.81500000000001</c:v>
                </c:pt>
                <c:pt idx="16">
                  <c:v>10.506000000000011</c:v>
                </c:pt>
                <c:pt idx="17">
                  <c:v>10.197000000000012</c:v>
                </c:pt>
                <c:pt idx="18">
                  <c:v>9.8880000000000123</c:v>
                </c:pt>
                <c:pt idx="19">
                  <c:v>9.5790000000000131</c:v>
                </c:pt>
                <c:pt idx="20">
                  <c:v>9.2700000000000138</c:v>
                </c:pt>
                <c:pt idx="21">
                  <c:v>8.9610000000000145</c:v>
                </c:pt>
                <c:pt idx="22">
                  <c:v>8.6520000000000152</c:v>
                </c:pt>
                <c:pt idx="23">
                  <c:v>8.343000000000016</c:v>
                </c:pt>
                <c:pt idx="24">
                  <c:v>8.0340000000000167</c:v>
                </c:pt>
                <c:pt idx="25">
                  <c:v>7.7250000000000156</c:v>
                </c:pt>
                <c:pt idx="26">
                  <c:v>7.4160000000000181</c:v>
                </c:pt>
                <c:pt idx="27">
                  <c:v>7.1070000000000206</c:v>
                </c:pt>
                <c:pt idx="28">
                  <c:v>6.7980000000000196</c:v>
                </c:pt>
                <c:pt idx="29">
                  <c:v>6.4890000000000185</c:v>
                </c:pt>
                <c:pt idx="30">
                  <c:v>6.180000000000021</c:v>
                </c:pt>
                <c:pt idx="31">
                  <c:v>5.8710000000000235</c:v>
                </c:pt>
                <c:pt idx="32">
                  <c:v>5.5620000000000225</c:v>
                </c:pt>
                <c:pt idx="33">
                  <c:v>5.2530000000000214</c:v>
                </c:pt>
                <c:pt idx="34">
                  <c:v>4.9440000000000239</c:v>
                </c:pt>
                <c:pt idx="35">
                  <c:v>4.6350000000000264</c:v>
                </c:pt>
                <c:pt idx="36">
                  <c:v>4.3260000000000254</c:v>
                </c:pt>
                <c:pt idx="37">
                  <c:v>4.0170000000000243</c:v>
                </c:pt>
                <c:pt idx="38">
                  <c:v>3.7080000000000268</c:v>
                </c:pt>
                <c:pt idx="39">
                  <c:v>3.3990000000000293</c:v>
                </c:pt>
                <c:pt idx="40">
                  <c:v>3.0900000000000283</c:v>
                </c:pt>
                <c:pt idx="41">
                  <c:v>2.7810000000000272</c:v>
                </c:pt>
                <c:pt idx="42">
                  <c:v>2.4720000000000297</c:v>
                </c:pt>
                <c:pt idx="43">
                  <c:v>2.1630000000000322</c:v>
                </c:pt>
                <c:pt idx="44">
                  <c:v>1.8540000000000312</c:v>
                </c:pt>
                <c:pt idx="45">
                  <c:v>1.5450000000000301</c:v>
                </c:pt>
                <c:pt idx="46">
                  <c:v>1.2360000000000326</c:v>
                </c:pt>
                <c:pt idx="47">
                  <c:v>0.92700000000003513</c:v>
                </c:pt>
                <c:pt idx="48">
                  <c:v>0.61800000000003408</c:v>
                </c:pt>
                <c:pt idx="49">
                  <c:v>0.30900000000003303</c:v>
                </c:pt>
                <c:pt idx="50">
                  <c:v>3.5527136788005009E-14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5259064"/>
        <c:axId val="181898304"/>
      </c:scatterChart>
      <c:valAx>
        <c:axId val="185456072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Web Regression  (mm)</a:t>
                </a:r>
              </a:p>
            </c:rich>
          </c:tx>
          <c:layout>
            <c:manualLayout>
              <c:xMode val="edge"/>
              <c:yMode val="edge"/>
              <c:x val="0.28503590204377605"/>
              <c:y val="0.7871795417464708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7654352"/>
        <c:crosses val="autoZero"/>
        <c:crossBetween val="midCat"/>
        <c:majorUnit val="2"/>
      </c:valAx>
      <c:valAx>
        <c:axId val="257654352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 sz="1200" b="1" i="0" u="none" strike="noStrike" baseline="0">
                    <a:solidFill>
                      <a:srgbClr val="FF0000"/>
                    </a:solidFill>
                    <a:latin typeface="Arial"/>
                  </a:rPr>
                  <a:t>K</a:t>
                </a:r>
                <a:r>
                  <a:rPr lang="en-US" sz="900" b="1" i="0" u="none" strike="noStrike" baseline="0">
                    <a:solidFill>
                      <a:srgbClr val="FF0000"/>
                    </a:solidFill>
                    <a:latin typeface="Arial"/>
                  </a:rPr>
                  <a:t>n</a:t>
                </a:r>
              </a:p>
            </c:rich>
          </c:tx>
          <c:layout>
            <c:manualLayout>
              <c:xMode val="edge"/>
              <c:yMode val="edge"/>
              <c:x val="3.3254356718923649E-2"/>
              <c:y val="0.42820529190607931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5456072"/>
        <c:crosses val="autoZero"/>
        <c:crossBetween val="midCat"/>
      </c:valAx>
      <c:valAx>
        <c:axId val="255259064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81898304"/>
        <c:crosses val="autoZero"/>
        <c:crossBetween val="midCat"/>
      </c:valAx>
      <c:valAx>
        <c:axId val="181898304"/>
        <c:scaling>
          <c:orientation val="minMax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web thickness</a:t>
                </a:r>
              </a:p>
            </c:rich>
          </c:tx>
          <c:layout>
            <c:manualLayout>
              <c:xMode val="edge"/>
              <c:yMode val="edge"/>
              <c:x val="0.88123619682674803"/>
              <c:y val="0.323077250478825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5259064"/>
        <c:crosses val="max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7327421910099076"/>
          <c:y val="0.89864864864864868"/>
          <c:w val="0.47147273257509476"/>
          <c:h val="7.094594594594594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Chamber Pressure vs time</a:t>
            </a:r>
          </a:p>
        </c:rich>
      </c:tx>
      <c:layout>
        <c:manualLayout>
          <c:xMode val="edge"/>
          <c:yMode val="edge"/>
          <c:x val="0.27114113961561254"/>
          <c:y val="0.1551117812401109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53125"/>
          <c:y val="0.25181598062953997"/>
          <c:w val="0.74513379153876946"/>
          <c:h val="0.56174334140435833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Pressure!$Q$28:$Q$910</c:f>
              <c:numCache>
                <c:formatCode>0.0000</c:formatCode>
                <c:ptCount val="883"/>
                <c:pt idx="0" formatCode="General">
                  <c:v>0</c:v>
                </c:pt>
                <c:pt idx="1">
                  <c:v>7.3899494585141431E-3</c:v>
                </c:pt>
                <c:pt idx="2">
                  <c:v>9.2733548584941847E-3</c:v>
                </c:pt>
                <c:pt idx="3">
                  <c:v>1.6663304317008326E-2</c:v>
                </c:pt>
                <c:pt idx="4">
                  <c:v>1.8560427292921143E-2</c:v>
                </c:pt>
                <c:pt idx="5">
                  <c:v>2.5950376751435286E-2</c:v>
                </c:pt>
                <c:pt idx="6" formatCode="0.00000">
                  <c:v>2.7860991744952109E-2</c:v>
                </c:pt>
                <c:pt idx="7" formatCode="0.00000">
                  <c:v>3.5250941203466252E-2</c:v>
                </c:pt>
                <c:pt idx="8">
                  <c:v>3.7174831615923755E-2</c:v>
                </c:pt>
                <c:pt idx="9">
                  <c:v>4.4564781074437898E-2</c:v>
                </c:pt>
                <c:pt idx="10">
                  <c:v>4.6501738736726216E-2</c:v>
                </c:pt>
                <c:pt idx="11">
                  <c:v>5.3891688195240359E-2</c:v>
                </c:pt>
                <c:pt idx="12">
                  <c:v>5.5841512879938889E-2</c:v>
                </c:pt>
                <c:pt idx="13">
                  <c:v>6.3231462338453032E-2</c:v>
                </c:pt>
                <c:pt idx="14">
                  <c:v>6.5193961310017964E-2</c:v>
                </c:pt>
                <c:pt idx="15">
                  <c:v>7.2583910768532101E-2</c:v>
                </c:pt>
                <c:pt idx="16">
                  <c:v>7.4558898367839369E-2</c:v>
                </c:pt>
                <c:pt idx="17">
                  <c:v>8.1948847826353505E-2</c:v>
                </c:pt>
                <c:pt idx="18">
                  <c:v>8.3936145086324854E-2</c:v>
                </c:pt>
                <c:pt idx="19">
                  <c:v>9.1326094544839004E-2</c:v>
                </c:pt>
                <c:pt idx="20">
                  <c:v>9.3325528834252769E-2</c:v>
                </c:pt>
                <c:pt idx="21">
                  <c:v>0.10071547829276692</c:v>
                </c:pt>
                <c:pt idx="22">
                  <c:v>0.10272688298567398</c:v>
                </c:pt>
                <c:pt idx="23">
                  <c:v>0.11011683244418813</c:v>
                </c:pt>
                <c:pt idx="24">
                  <c:v>0.11214004661263885</c:v>
                </c:pt>
                <c:pt idx="25">
                  <c:v>0.119529996071153</c:v>
                </c:pt>
                <c:pt idx="26">
                  <c:v>0.12156486419918164</c:v>
                </c:pt>
                <c:pt idx="27">
                  <c:v>0.12895481365769579</c:v>
                </c:pt>
                <c:pt idx="28">
                  <c:v>0.13100118537472791</c:v>
                </c:pt>
                <c:pt idx="29">
                  <c:v>0.13839113483324206</c:v>
                </c:pt>
                <c:pt idx="30">
                  <c:v>0.14044886466527809</c:v>
                </c:pt>
                <c:pt idx="31">
                  <c:v>0.14783881412379224</c:v>
                </c:pt>
                <c:pt idx="32">
                  <c:v>0.14990776126088667</c:v>
                </c:pt>
                <c:pt idx="33">
                  <c:v>0.15729771071940082</c:v>
                </c:pt>
                <c:pt idx="34">
                  <c:v>0.15937773879810432</c:v>
                </c:pt>
                <c:pt idx="35">
                  <c:v>0.16676768825661847</c:v>
                </c:pt>
                <c:pt idx="36">
                  <c:v>0.16885866515618048</c:v>
                </c:pt>
                <c:pt idx="37">
                  <c:v>0.17624861461469463</c:v>
                </c:pt>
                <c:pt idx="38">
                  <c:v>0.17835041226593876</c:v>
                </c:pt>
                <c:pt idx="39">
                  <c:v>0.18574036172445291</c:v>
                </c:pt>
                <c:pt idx="40">
                  <c:v>0.18785285593034051</c:v>
                </c:pt>
                <c:pt idx="41">
                  <c:v>0.19524280538885466</c:v>
                </c:pt>
                <c:pt idx="42">
                  <c:v>0.19736587565584399</c:v>
                </c:pt>
                <c:pt idx="43">
                  <c:v>0.20475582511435814</c:v>
                </c:pt>
                <c:pt idx="44">
                  <c:v>0.20688935449374743</c:v>
                </c:pt>
                <c:pt idx="45">
                  <c:v>0.21427930395226158</c:v>
                </c:pt>
                <c:pt idx="46">
                  <c:v>0.2164231788907767</c:v>
                </c:pt>
                <c:pt idx="47">
                  <c:v>0.22381312834929085</c:v>
                </c:pt>
                <c:pt idx="48">
                  <c:v>0.22596723854824563</c:v>
                </c:pt>
                <c:pt idx="49">
                  <c:v>0.23335718800675978</c:v>
                </c:pt>
                <c:pt idx="50">
                  <c:v>0.23552142628917369</c:v>
                </c:pt>
                <c:pt idx="51">
                  <c:v>0.24291137574768784</c:v>
                </c:pt>
                <c:pt idx="52">
                  <c:v>0.24508563793279894</c:v>
                </c:pt>
                <c:pt idx="53">
                  <c:v>0.25247558739131309</c:v>
                </c:pt>
                <c:pt idx="54">
                  <c:v>0.2546597721759733</c:v>
                </c:pt>
                <c:pt idx="55">
                  <c:v>0.26204972163448742</c:v>
                </c:pt>
                <c:pt idx="56">
                  <c:v>0.26424373048096728</c:v>
                </c:pt>
                <c:pt idx="57">
                  <c:v>0.2716336799394814</c:v>
                </c:pt>
                <c:pt idx="58">
                  <c:v>0.27383741696925185</c:v>
                </c:pt>
                <c:pt idx="59">
                  <c:v>0.28122736642776597</c:v>
                </c:pt>
                <c:pt idx="60">
                  <c:v>0.28344073832086047</c:v>
                </c:pt>
                <c:pt idx="61">
                  <c:v>0.2908306877793746</c:v>
                </c:pt>
                <c:pt idx="62">
                  <c:v>0.29305360367896405</c:v>
                </c:pt>
                <c:pt idx="63">
                  <c:v>0.30044355313747817</c:v>
                </c:pt>
                <c:pt idx="64">
                  <c:v>0.30267592455932263</c:v>
                </c:pt>
                <c:pt idx="65">
                  <c:v>0.31006587401783675</c:v>
                </c:pt>
                <c:pt idx="66">
                  <c:v>0.3123076147643018</c:v>
                </c:pt>
                <c:pt idx="67">
                  <c:v>0.31969756422281592</c:v>
                </c:pt>
                <c:pt idx="68">
                  <c:v>0.32194859030116757</c:v>
                </c:pt>
                <c:pt idx="69">
                  <c:v>0.32933853975968169</c:v>
                </c:pt>
                <c:pt idx="70">
                  <c:v>0.33159876930439391</c:v>
                </c:pt>
                <c:pt idx="71">
                  <c:v>0.33898871876290804</c:v>
                </c:pt>
                <c:pt idx="72">
                  <c:v>0.34125807196173613</c:v>
                </c:pt>
                <c:pt idx="73">
                  <c:v>0.34864802142025025</c:v>
                </c:pt>
                <c:pt idx="74">
                  <c:v>0.3509264204438437</c:v>
                </c:pt>
                <c:pt idx="75">
                  <c:v>0.35831636990235782</c:v>
                </c:pt>
                <c:pt idx="76">
                  <c:v>0.36060373883720098</c:v>
                </c:pt>
                <c:pt idx="77">
                  <c:v>0.36712802431995589</c:v>
                </c:pt>
                <c:pt idx="78">
                  <c:v>0.36946717034548832</c:v>
                </c:pt>
                <c:pt idx="79">
                  <c:v>0.37468038666492759</c:v>
                </c:pt>
                <c:pt idx="80">
                  <c:v>0.37713238777352909</c:v>
                </c:pt>
                <c:pt idx="81">
                  <c:v>0.38143311134175284</c:v>
                </c:pt>
                <c:pt idx="82">
                  <c:v>0.38403069064945167</c:v>
                </c:pt>
                <c:pt idx="83">
                  <c:v>0.38780543572281545</c:v>
                </c:pt>
                <c:pt idx="84">
                  <c:v>0.39054801711148535</c:v>
                </c:pt>
                <c:pt idx="85">
                  <c:v>0.3940228886861955</c:v>
                </c:pt>
                <c:pt idx="86">
                  <c:v>0.39688774767138696</c:v>
                </c:pt>
                <c:pt idx="87">
                  <c:v>0.40018987602014949</c:v>
                </c:pt>
                <c:pt idx="88">
                  <c:v>0.4031451894118242</c:v>
                </c:pt>
                <c:pt idx="89">
                  <c:v>0.4063481837029867</c:v>
                </c:pt>
                <c:pt idx="90">
                  <c:v>0.40936322838282885</c:v>
                </c:pt>
                <c:pt idx="91">
                  <c:v>0.41251049971384779</c:v>
                </c:pt>
                <c:pt idx="92">
                  <c:v>0.41556114729593557</c:v>
                </c:pt>
                <c:pt idx="93">
                  <c:v>0.41867810372983583</c:v>
                </c:pt>
                <c:pt idx="94">
                  <c:v>0.42174801467211798</c:v>
                </c:pt>
                <c:pt idx="95">
                  <c:v>0.42484907137735517</c:v>
                </c:pt>
                <c:pt idx="96">
                  <c:v>0.42792840106528035</c:v>
                </c:pt>
                <c:pt idx="97">
                  <c:v>0.43102135534281194</c:v>
                </c:pt>
                <c:pt idx="98">
                  <c:v>0.43410472525604982</c:v>
                </c:pt>
                <c:pt idx="99">
                  <c:v>0.43719355972392282</c:v>
                </c:pt>
                <c:pt idx="100">
                  <c:v>0.44027827630029681</c:v>
                </c:pt>
                <c:pt idx="101">
                  <c:v>0.44336490483177288</c:v>
                </c:pt>
                <c:pt idx="102">
                  <c:v>0.4464497269256486</c:v>
                </c:pt>
                <c:pt idx="103">
                  <c:v>0.44953501706970911</c:v>
                </c:pt>
                <c:pt idx="104">
                  <c:v>0.45261942138484934</c:v>
                </c:pt>
                <c:pt idx="105">
                  <c:v>0.45570374884899584</c:v>
                </c:pt>
                <c:pt idx="106">
                  <c:v>0.45878753895426788</c:v>
                </c:pt>
                <c:pt idx="107">
                  <c:v>0.46187106473976924</c:v>
                </c:pt>
                <c:pt idx="108">
                  <c:v>0.46495418194311222</c:v>
                </c:pt>
                <c:pt idx="109">
                  <c:v>0.46803697997132976</c:v>
                </c:pt>
                <c:pt idx="110">
                  <c:v>0.47111941942354874</c:v>
                </c:pt>
                <c:pt idx="111">
                  <c:v>0.47420153076872845</c:v>
                </c:pt>
                <c:pt idx="112">
                  <c:v>0.47728330716166956</c:v>
                </c:pt>
                <c:pt idx="113">
                  <c:v>0.48036476135370948</c:v>
                </c:pt>
                <c:pt idx="114">
                  <c:v>0.48344589595554838</c:v>
                </c:pt>
                <c:pt idx="115">
                  <c:v>0.48652671872780057</c:v>
                </c:pt>
                <c:pt idx="116">
                  <c:v>0.48960723484519164</c:v>
                </c:pt>
                <c:pt idx="117">
                  <c:v>0.49268745074735826</c:v>
                </c:pt>
                <c:pt idx="118">
                  <c:v>0.49576737225331224</c:v>
                </c:pt>
                <c:pt idx="119">
                  <c:v>0.49884700546986871</c:v>
                </c:pt>
                <c:pt idx="120">
                  <c:v>0.50192635636140015</c:v>
                </c:pt>
                <c:pt idx="121">
                  <c:v>0.50500543095048234</c:v>
                </c:pt>
                <c:pt idx="122">
                  <c:v>0.50808423522611168</c:v>
                </c:pt>
                <c:pt idx="123">
                  <c:v>0.51116277518522057</c:v>
                </c:pt>
                <c:pt idx="124">
                  <c:v>0.51424105681444388</c:v>
                </c:pt>
                <c:pt idx="125">
                  <c:v>0.51731908609821797</c:v>
                </c:pt>
                <c:pt idx="126">
                  <c:v>0.52039686901546878</c:v>
                </c:pt>
                <c:pt idx="127">
                  <c:v>0.52347441154116103</c:v>
                </c:pt>
                <c:pt idx="128">
                  <c:v>0.52655171964581127</c:v>
                </c:pt>
                <c:pt idx="129">
                  <c:v>0.52962879929583895</c:v>
                </c:pt>
                <c:pt idx="130">
                  <c:v>0.53270565645357781</c:v>
                </c:pt>
                <c:pt idx="131">
                  <c:v>0.53578229707742187</c:v>
                </c:pt>
                <c:pt idx="132">
                  <c:v>0.53885872712191951</c:v>
                </c:pt>
                <c:pt idx="133">
                  <c:v>0.54193495253788682</c:v>
                </c:pt>
                <c:pt idx="134">
                  <c:v>0.54501097927251219</c:v>
                </c:pt>
                <c:pt idx="135">
                  <c:v>0.54808681326946607</c:v>
                </c:pt>
                <c:pt idx="136">
                  <c:v>0.55116246046900708</c:v>
                </c:pt>
                <c:pt idx="137">
                  <c:v>0.55423792680808903</c:v>
                </c:pt>
                <c:pt idx="138">
                  <c:v>0.55731321822046909</c:v>
                </c:pt>
                <c:pt idx="139">
                  <c:v>0.56038834063681331</c:v>
                </c:pt>
                <c:pt idx="140">
                  <c:v>0.5634632999848046</c:v>
                </c:pt>
                <c:pt idx="141">
                  <c:v>0.56653810218924772</c:v>
                </c:pt>
                <c:pt idx="142">
                  <c:v>0.56961275317217774</c:v>
                </c:pt>
                <c:pt idx="143">
                  <c:v>0.57268725885296412</c:v>
                </c:pt>
                <c:pt idx="144">
                  <c:v>0.57576162514841855</c:v>
                </c:pt>
                <c:pt idx="145">
                  <c:v>0.57883585797290038</c:v>
                </c:pt>
                <c:pt idx="146">
                  <c:v>0.58190996323842259</c:v>
                </c:pt>
                <c:pt idx="147">
                  <c:v>0.58498394685475719</c:v>
                </c:pt>
                <c:pt idx="148">
                  <c:v>0.58805781472954144</c:v>
                </c:pt>
                <c:pt idx="149">
                  <c:v>0.5911315727683838</c:v>
                </c:pt>
                <c:pt idx="150">
                  <c:v>0.5942052268749678</c:v>
                </c:pt>
                <c:pt idx="151">
                  <c:v>0.59727878295115999</c:v>
                </c:pt>
                <c:pt idx="152">
                  <c:v>0.60035224689711264</c:v>
                </c:pt>
                <c:pt idx="153">
                  <c:v>0.60342562461137039</c:v>
                </c:pt>
                <c:pt idx="154">
                  <c:v>0.60649892199097577</c:v>
                </c:pt>
                <c:pt idx="155">
                  <c:v>0.60957214493157308</c:v>
                </c:pt>
                <c:pt idx="156">
                  <c:v>0.61264529932751399</c:v>
                </c:pt>
                <c:pt idx="157">
                  <c:v>0.61571839107196291</c:v>
                </c:pt>
                <c:pt idx="158">
                  <c:v>0.61879142605700144</c:v>
                </c:pt>
                <c:pt idx="159">
                  <c:v>0.62186441017373273</c:v>
                </c:pt>
                <c:pt idx="160">
                  <c:v>0.62493734931238754</c:v>
                </c:pt>
                <c:pt idx="161">
                  <c:v>0.62801024936242789</c:v>
                </c:pt>
                <c:pt idx="162">
                  <c:v>0.63108311621265245</c:v>
                </c:pt>
                <c:pt idx="163">
                  <c:v>0.63415595575130024</c:v>
                </c:pt>
                <c:pt idx="164">
                  <c:v>0.63722877386615673</c:v>
                </c:pt>
                <c:pt idx="165">
                  <c:v>0.64030157644465779</c:v>
                </c:pt>
                <c:pt idx="166">
                  <c:v>0.64337436937399362</c:v>
                </c:pt>
                <c:pt idx="167">
                  <c:v>0.64644715854121459</c:v>
                </c:pt>
                <c:pt idx="168">
                  <c:v>0.64951994983333528</c:v>
                </c:pt>
                <c:pt idx="169">
                  <c:v>0.65259274913743892</c:v>
                </c:pt>
                <c:pt idx="170">
                  <c:v>0.6556655623407821</c:v>
                </c:pt>
                <c:pt idx="171">
                  <c:v>0.65873839533089973</c:v>
                </c:pt>
                <c:pt idx="172">
                  <c:v>0.66181125399570928</c:v>
                </c:pt>
                <c:pt idx="173">
                  <c:v>0.66488414422361553</c:v>
                </c:pt>
                <c:pt idx="174">
                  <c:v>0.66795707190361553</c:v>
                </c:pt>
                <c:pt idx="175">
                  <c:v>0.67103004292540269</c:v>
                </c:pt>
                <c:pt idx="176">
                  <c:v>0.67410306317947233</c:v>
                </c:pt>
                <c:pt idx="177">
                  <c:v>0.67717613855722558</c:v>
                </c:pt>
                <c:pt idx="178">
                  <c:v>0.68024927495107512</c:v>
                </c:pt>
                <c:pt idx="179">
                  <c:v>0.68332247825454939</c:v>
                </c:pt>
                <c:pt idx="180">
                  <c:v>0.68639575436239786</c:v>
                </c:pt>
                <c:pt idx="181">
                  <c:v>0.68946910917069559</c:v>
                </c:pt>
                <c:pt idx="182">
                  <c:v>0.69254254857694908</c:v>
                </c:pt>
                <c:pt idx="183">
                  <c:v>0.69561607848020035</c:v>
                </c:pt>
                <c:pt idx="184">
                  <c:v>0.69868970478113324</c:v>
                </c:pt>
                <c:pt idx="185">
                  <c:v>0.70176343338217795</c:v>
                </c:pt>
                <c:pt idx="186">
                  <c:v>0.70483727018761655</c:v>
                </c:pt>
                <c:pt idx="187">
                  <c:v>0.70791122110368854</c:v>
                </c:pt>
                <c:pt idx="188">
                  <c:v>0.71098529203869643</c:v>
                </c:pt>
                <c:pt idx="189">
                  <c:v>0.71405948890311144</c:v>
                </c:pt>
                <c:pt idx="190">
                  <c:v>0.71713381760967876</c:v>
                </c:pt>
                <c:pt idx="191">
                  <c:v>0.72020828407352422</c:v>
                </c:pt>
                <c:pt idx="192">
                  <c:v>0.72328289421225977</c:v>
                </c:pt>
                <c:pt idx="193">
                  <c:v>0.72635765394608987</c:v>
                </c:pt>
                <c:pt idx="194">
                  <c:v>0.72943256919791699</c:v>
                </c:pt>
                <c:pt idx="195">
                  <c:v>0.73250764589344919</c:v>
                </c:pt>
                <c:pt idx="196">
                  <c:v>0.73558288996130583</c:v>
                </c:pt>
                <c:pt idx="197">
                  <c:v>0.73865830733312421</c:v>
                </c:pt>
                <c:pt idx="198">
                  <c:v>0.74173390394366667</c:v>
                </c:pt>
                <c:pt idx="199">
                  <c:v>0.7448096857309271</c:v>
                </c:pt>
                <c:pt idx="200">
                  <c:v>0.74788565863623879</c:v>
                </c:pt>
                <c:pt idx="201">
                  <c:v>0.7509618286043811</c:v>
                </c:pt>
                <c:pt idx="202">
                  <c:v>0.75403820158368684</c:v>
                </c:pt>
                <c:pt idx="203">
                  <c:v>0.75711478352615058</c:v>
                </c:pt>
                <c:pt idx="204">
                  <c:v>0.76019158038753565</c:v>
                </c:pt>
                <c:pt idx="205">
                  <c:v>0.76326859812748227</c:v>
                </c:pt>
                <c:pt idx="206">
                  <c:v>0.76634584270961636</c:v>
                </c:pt>
                <c:pt idx="207">
                  <c:v>0.76942332010165704</c:v>
                </c:pt>
                <c:pt idx="208">
                  <c:v>0.77250103627552591</c:v>
                </c:pt>
                <c:pt idx="209">
                  <c:v>0.77557899720745527</c:v>
                </c:pt>
                <c:pt idx="210">
                  <c:v>0.77865720887809753</c:v>
                </c:pt>
                <c:pt idx="211">
                  <c:v>0.78173567727263382</c:v>
                </c:pt>
                <c:pt idx="212">
                  <c:v>0.78481440838088434</c:v>
                </c:pt>
                <c:pt idx="213">
                  <c:v>0.78789340819741738</c:v>
                </c:pt>
                <c:pt idx="214">
                  <c:v>0.7909726827216591</c:v>
                </c:pt>
                <c:pt idx="215">
                  <c:v>0.79405223795800406</c:v>
                </c:pt>
                <c:pt idx="216">
                  <c:v>0.7971320799159255</c:v>
                </c:pt>
                <c:pt idx="217">
                  <c:v>0.80021221461008551</c:v>
                </c:pt>
                <c:pt idx="218">
                  <c:v>0.80329264806044665</c:v>
                </c:pt>
                <c:pt idx="219">
                  <c:v>0.80637338629238253</c:v>
                </c:pt>
                <c:pt idx="220">
                  <c:v>0.80945443533678962</c:v>
                </c:pt>
                <c:pt idx="221">
                  <c:v>0.81253580123019864</c:v>
                </c:pt>
                <c:pt idx="222">
                  <c:v>0.81561749001488637</c:v>
                </c:pt>
                <c:pt idx="223">
                  <c:v>0.81869950773898836</c:v>
                </c:pt>
                <c:pt idx="224">
                  <c:v>0.82178186045661161</c:v>
                </c:pt>
                <c:pt idx="225">
                  <c:v>0.82486455422794636</c:v>
                </c:pt>
                <c:pt idx="226">
                  <c:v>0.82794759511938021</c:v>
                </c:pt>
                <c:pt idx="227">
                  <c:v>0.8310309892036114</c:v>
                </c:pt>
                <c:pt idx="228">
                  <c:v>0.83411474255976226</c:v>
                </c:pt>
                <c:pt idx="229">
                  <c:v>0.83719886127349363</c:v>
                </c:pt>
                <c:pt idx="230">
                  <c:v>0.84028335143711896</c:v>
                </c:pt>
                <c:pt idx="231">
                  <c:v>0.84336821914971938</c:v>
                </c:pt>
                <c:pt idx="232">
                  <c:v>0.84645347051725828</c:v>
                </c:pt>
                <c:pt idx="233">
                  <c:v>0.84953911165269735</c:v>
                </c:pt>
                <c:pt idx="234">
                  <c:v>0.85262514867611194</c:v>
                </c:pt>
                <c:pt idx="235">
                  <c:v>0.85571158771480726</c:v>
                </c:pt>
                <c:pt idx="236">
                  <c:v>0.85879843490343521</c:v>
                </c:pt>
                <c:pt idx="237">
                  <c:v>0.86188569638411028</c:v>
                </c:pt>
                <c:pt idx="238">
                  <c:v>0.86497337830652798</c:v>
                </c:pt>
                <c:pt idx="239">
                  <c:v>0.86806148682808193</c:v>
                </c:pt>
                <c:pt idx="240">
                  <c:v>0.87115002811398157</c:v>
                </c:pt>
                <c:pt idx="241">
                  <c:v>0.87423900833737089</c:v>
                </c:pt>
                <c:pt idx="242">
                  <c:v>0.87732843367944735</c:v>
                </c:pt>
                <c:pt idx="243">
                  <c:v>0.88041831032958096</c:v>
                </c:pt>
                <c:pt idx="244">
                  <c:v>0.88350864448543343</c:v>
                </c:pt>
                <c:pt idx="245">
                  <c:v>0.88659944235307908</c:v>
                </c:pt>
                <c:pt idx="246">
                  <c:v>0.88969071014712453</c:v>
                </c:pt>
                <c:pt idx="247">
                  <c:v>0.89278245409083024</c:v>
                </c:pt>
                <c:pt idx="248">
                  <c:v>0.89587468041623131</c:v>
                </c:pt>
                <c:pt idx="249">
                  <c:v>0.8989673953642594</c:v>
                </c:pt>
                <c:pt idx="250">
                  <c:v>0.90206060518486531</c:v>
                </c:pt>
                <c:pt idx="251">
                  <c:v>0.90515431613714104</c:v>
                </c:pt>
                <c:pt idx="252">
                  <c:v>0.90824853448944376</c:v>
                </c:pt>
                <c:pt idx="253">
                  <c:v>0.91134326651951858</c:v>
                </c:pt>
                <c:pt idx="254">
                  <c:v>0.91443851851462354</c:v>
                </c:pt>
                <c:pt idx="255">
                  <c:v>0.91753429677165321</c:v>
                </c:pt>
                <c:pt idx="256">
                  <c:v>0.92063060759726489</c:v>
                </c:pt>
                <c:pt idx="257">
                  <c:v>0.92372745730800321</c:v>
                </c:pt>
                <c:pt idx="258">
                  <c:v>0.92682485223042699</c:v>
                </c:pt>
                <c:pt idx="259">
                  <c:v>0.9299227987012354</c:v>
                </c:pt>
                <c:pt idx="260">
                  <c:v>0.93302130306739528</c:v>
                </c:pt>
                <c:pt idx="261">
                  <c:v>0.93612037168626883</c:v>
                </c:pt>
                <c:pt idx="262">
                  <c:v>0.9392200109257417</c:v>
                </c:pt>
                <c:pt idx="263">
                  <c:v>0.94232022716435193</c:v>
                </c:pt>
                <c:pt idx="264">
                  <c:v>0.94542102679141926</c:v>
                </c:pt>
                <c:pt idx="265">
                  <c:v>0.94852241620717459</c:v>
                </c:pt>
                <c:pt idx="266">
                  <c:v>0.95162440182289099</c:v>
                </c:pt>
                <c:pt idx="267">
                  <c:v>0.95472699006101436</c:v>
                </c:pt>
                <c:pt idx="268">
                  <c:v>0.9578301873552949</c:v>
                </c:pt>
                <c:pt idx="269">
                  <c:v>0.9609340001509199</c:v>
                </c:pt>
                <c:pt idx="270">
                  <c:v>0.96403843490464591</c:v>
                </c:pt>
                <c:pt idx="271">
                  <c:v>0.96714349808493216</c:v>
                </c:pt>
                <c:pt idx="272">
                  <c:v>0.97024919617207506</c:v>
                </c:pt>
                <c:pt idx="273">
                  <c:v>0.97335553565834221</c:v>
                </c:pt>
                <c:pt idx="274">
                  <c:v>0.9764625230481081</c:v>
                </c:pt>
                <c:pt idx="275">
                  <c:v>0.97957016485798976</c:v>
                </c:pt>
                <c:pt idx="276">
                  <c:v>0.98267846761698341</c:v>
                </c:pt>
                <c:pt idx="277">
                  <c:v>0.9857874378666015</c:v>
                </c:pt>
                <c:pt idx="278">
                  <c:v>0.98889708216101091</c:v>
                </c:pt>
                <c:pt idx="279">
                  <c:v>0.99200740706717094</c:v>
                </c:pt>
                <c:pt idx="280">
                  <c:v>0.99511841916497279</c:v>
                </c:pt>
                <c:pt idx="281">
                  <c:v>0.99823012504737973</c:v>
                </c:pt>
                <c:pt idx="282">
                  <c:v>1.0013425313205671</c:v>
                </c:pt>
                <c:pt idx="283">
                  <c:v>1.004455644604064</c:v>
                </c:pt>
                <c:pt idx="284">
                  <c:v>1.0075694715308954</c:v>
                </c:pt>
                <c:pt idx="285">
                  <c:v>1.0106840187477242</c:v>
                </c:pt>
                <c:pt idx="286">
                  <c:v>1.0137992929149955</c:v>
                </c:pt>
                <c:pt idx="287">
                  <c:v>1.0169153007070804</c:v>
                </c:pt>
                <c:pt idx="288">
                  <c:v>1.0200320488124206</c:v>
                </c:pt>
                <c:pt idx="289">
                  <c:v>1.0231495439336751</c:v>
                </c:pt>
                <c:pt idx="290">
                  <c:v>1.0262677927878656</c:v>
                </c:pt>
                <c:pt idx="291">
                  <c:v>1.0293868021065242</c:v>
                </c:pt>
                <c:pt idx="292">
                  <c:v>1.0325065786358418</c:v>
                </c:pt>
                <c:pt idx="293">
                  <c:v>1.035627129136816</c:v>
                </c:pt>
                <c:pt idx="294">
                  <c:v>1.0387484603854018</c:v>
                </c:pt>
                <c:pt idx="295">
                  <c:v>1.0418705791726612</c:v>
                </c:pt>
                <c:pt idx="296">
                  <c:v>1.0449934923049149</c:v>
                </c:pt>
                <c:pt idx="297">
                  <c:v>1.0481172066038942</c:v>
                </c:pt>
                <c:pt idx="298">
                  <c:v>1.0512417289068943</c:v>
                </c:pt>
                <c:pt idx="299">
                  <c:v>1.0543670660669275</c:v>
                </c:pt>
                <c:pt idx="300">
                  <c:v>1.0574932249528788</c:v>
                </c:pt>
                <c:pt idx="301">
                  <c:v>1.0606202124496604</c:v>
                </c:pt>
                <c:pt idx="302">
                  <c:v>1.0637480354583688</c:v>
                </c:pt>
                <c:pt idx="303">
                  <c:v>1.0668767008964417</c:v>
                </c:pt>
                <c:pt idx="304">
                  <c:v>1.0700062156978165</c:v>
                </c:pt>
                <c:pt idx="305">
                  <c:v>1.0731365868130895</c:v>
                </c:pt>
                <c:pt idx="306">
                  <c:v>1.0762678212096759</c:v>
                </c:pt>
                <c:pt idx="307">
                  <c:v>1.0793999258719706</c:v>
                </c:pt>
                <c:pt idx="308">
                  <c:v>1.0825329078015105</c:v>
                </c:pt>
                <c:pt idx="309">
                  <c:v>1.0856667740171371</c:v>
                </c:pt>
                <c:pt idx="310">
                  <c:v>1.0888015315551602</c:v>
                </c:pt>
                <c:pt idx="311">
                  <c:v>1.0919371874695236</c:v>
                </c:pt>
                <c:pt idx="312">
                  <c:v>1.0950737488319702</c:v>
                </c:pt>
                <c:pt idx="313">
                  <c:v>1.0982112227322089</c:v>
                </c:pt>
                <c:pt idx="314">
                  <c:v>1.1013496162780831</c:v>
                </c:pt>
                <c:pt idx="315">
                  <c:v>1.1044889365957387</c:v>
                </c:pt>
                <c:pt idx="316">
                  <c:v>1.1076291908297946</c:v>
                </c:pt>
                <c:pt idx="317">
                  <c:v>1.1107703861435139</c:v>
                </c:pt>
                <c:pt idx="318">
                  <c:v>1.1139125297189751</c:v>
                </c:pt>
                <c:pt idx="319">
                  <c:v>1.1170556287572464</c:v>
                </c:pt>
                <c:pt idx="320">
                  <c:v>1.1201996904785587</c:v>
                </c:pt>
                <c:pt idx="321">
                  <c:v>1.1233447221224819</c:v>
                </c:pt>
                <c:pt idx="322">
                  <c:v>1.1264907309481009</c:v>
                </c:pt>
                <c:pt idx="323">
                  <c:v>1.1296377242341928</c:v>
                </c:pt>
                <c:pt idx="324">
                  <c:v>1.1327857092794065</c:v>
                </c:pt>
                <c:pt idx="325">
                  <c:v>1.1359346934024415</c:v>
                </c:pt>
                <c:pt idx="326">
                  <c:v>1.1390846839422297</c:v>
                </c:pt>
                <c:pt idx="327">
                  <c:v>1.1422356882581173</c:v>
                </c:pt>
                <c:pt idx="328">
                  <c:v>1.1453877137300481</c:v>
                </c:pt>
                <c:pt idx="329">
                  <c:v>1.148540767758748</c:v>
                </c:pt>
                <c:pt idx="330">
                  <c:v>1.151694857765911</c:v>
                </c:pt>
                <c:pt idx="331">
                  <c:v>1.1548499911943859</c:v>
                </c:pt>
                <c:pt idx="332">
                  <c:v>1.1580061755083653</c:v>
                </c:pt>
                <c:pt idx="333">
                  <c:v>1.1611634181935742</c:v>
                </c:pt>
                <c:pt idx="334">
                  <c:v>1.164321726757461</c:v>
                </c:pt>
                <c:pt idx="335">
                  <c:v>1.1674811087293904</c:v>
                </c:pt>
                <c:pt idx="336">
                  <c:v>1.1706415716608354</c:v>
                </c:pt>
                <c:pt idx="337">
                  <c:v>1.1738031231255732</c:v>
                </c:pt>
                <c:pt idx="338">
                  <c:v>1.1769657707198806</c:v>
                </c:pt>
                <c:pt idx="339">
                  <c:v>1.1801295220627315</c:v>
                </c:pt>
                <c:pt idx="340">
                  <c:v>1.1832943847959956</c:v>
                </c:pt>
                <c:pt idx="341">
                  <c:v>1.1864603665846385</c:v>
                </c:pt>
                <c:pt idx="342">
                  <c:v>1.1896274751169233</c:v>
                </c:pt>
                <c:pt idx="343">
                  <c:v>1.1927957181046134</c:v>
                </c:pt>
                <c:pt idx="344">
                  <c:v>1.1959651032831768</c:v>
                </c:pt>
                <c:pt idx="345">
                  <c:v>1.1991356384119922</c:v>
                </c:pt>
                <c:pt idx="346">
                  <c:v>1.2023073312745556</c:v>
                </c:pt>
                <c:pt idx="347">
                  <c:v>1.2054801896786893</c:v>
                </c:pt>
                <c:pt idx="348">
                  <c:v>1.2086542214567522</c:v>
                </c:pt>
                <c:pt idx="349">
                  <c:v>1.2118294344658511</c:v>
                </c:pt>
                <c:pt idx="350">
                  <c:v>1.2150058365880545</c:v>
                </c:pt>
                <c:pt idx="351">
                  <c:v>1.2181834357306067</c:v>
                </c:pt>
                <c:pt idx="352">
                  <c:v>1.2213622398261446</c:v>
                </c:pt>
                <c:pt idx="353">
                  <c:v>1.224542256832915</c:v>
                </c:pt>
                <c:pt idx="354">
                  <c:v>1.2277234947349944</c:v>
                </c:pt>
                <c:pt idx="355">
                  <c:v>1.2309059615425102</c:v>
                </c:pt>
                <c:pt idx="356">
                  <c:v>1.2340896652918631</c:v>
                </c:pt>
                <c:pt idx="357">
                  <c:v>1.2372746140459514</c:v>
                </c:pt>
                <c:pt idx="358">
                  <c:v>1.2404608158943971</c:v>
                </c:pt>
                <c:pt idx="359">
                  <c:v>1.2436482789537735</c:v>
                </c:pt>
                <c:pt idx="360">
                  <c:v>1.2468370113678349</c:v>
                </c:pt>
                <c:pt idx="361">
                  <c:v>1.2500270213077471</c:v>
                </c:pt>
                <c:pt idx="362">
                  <c:v>1.2532183169723208</c:v>
                </c:pt>
                <c:pt idx="363">
                  <c:v>1.2564109065882456</c:v>
                </c:pt>
                <c:pt idx="364">
                  <c:v>1.2596047984103267</c:v>
                </c:pt>
                <c:pt idx="365">
                  <c:v>1.262800000721723</c:v>
                </c:pt>
                <c:pt idx="366">
                  <c:v>1.2659965218341875</c:v>
                </c:pt>
                <c:pt idx="367">
                  <c:v>1.2691943700883082</c:v>
                </c:pt>
                <c:pt idx="368">
                  <c:v>1.2723935538537523</c:v>
                </c:pt>
                <c:pt idx="369">
                  <c:v>1.2755940815295117</c:v>
                </c:pt>
                <c:pt idx="370">
                  <c:v>1.2787959615441507</c:v>
                </c:pt>
                <c:pt idx="371">
                  <c:v>1.2819992023560547</c:v>
                </c:pt>
                <c:pt idx="372">
                  <c:v>1.2852038124536822</c:v>
                </c:pt>
                <c:pt idx="373">
                  <c:v>1.2884098003558178</c:v>
                </c:pt>
                <c:pt idx="374">
                  <c:v>1.291617174611827</c:v>
                </c:pt>
                <c:pt idx="375">
                  <c:v>1.2948259438019145</c:v>
                </c:pt>
                <c:pt idx="376">
                  <c:v>1.2980361165373828</c:v>
                </c:pt>
                <c:pt idx="377">
                  <c:v>1.3012477014608934</c:v>
                </c:pt>
                <c:pt idx="378">
                  <c:v>1.3044607072467307</c:v>
                </c:pt>
                <c:pt idx="379">
                  <c:v>1.3076751426010675</c:v>
                </c:pt>
                <c:pt idx="380">
                  <c:v>1.3108910162622325</c:v>
                </c:pt>
                <c:pt idx="381">
                  <c:v>1.3141083370009798</c:v>
                </c:pt>
                <c:pt idx="382">
                  <c:v>1.3173271136207618</c:v>
                </c:pt>
                <c:pt idx="383">
                  <c:v>1.3205473549580027</c:v>
                </c:pt>
                <c:pt idx="384">
                  <c:v>1.323769069882375</c:v>
                </c:pt>
                <c:pt idx="385">
                  <c:v>1.3269922672970782</c:v>
                </c:pt>
                <c:pt idx="386">
                  <c:v>1.3302169561391199</c:v>
                </c:pt>
                <c:pt idx="387">
                  <c:v>1.3334431453795992</c:v>
                </c:pt>
                <c:pt idx="388">
                  <c:v>1.3366708440239914</c:v>
                </c:pt>
                <c:pt idx="389">
                  <c:v>1.3399000611124372</c:v>
                </c:pt>
                <c:pt idx="390">
                  <c:v>1.3431308057200322</c:v>
                </c:pt>
                <c:pt idx="391">
                  <c:v>1.3463630869571197</c:v>
                </c:pt>
                <c:pt idx="392">
                  <c:v>1.349596913969586</c:v>
                </c:pt>
                <c:pt idx="393">
                  <c:v>1.3528322959391583</c:v>
                </c:pt>
                <c:pt idx="394">
                  <c:v>1.3560692420837042</c:v>
                </c:pt>
                <c:pt idx="395">
                  <c:v>1.3593077616575346</c:v>
                </c:pt>
                <c:pt idx="396">
                  <c:v>1.3625478639517095</c:v>
                </c:pt>
                <c:pt idx="397">
                  <c:v>1.3657895582943445</c:v>
                </c:pt>
                <c:pt idx="398">
                  <c:v>1.3690328540509225</c:v>
                </c:pt>
                <c:pt idx="399">
                  <c:v>1.3722777606246059</c:v>
                </c:pt>
                <c:pt idx="400">
                  <c:v>1.3755242874565528</c:v>
                </c:pt>
                <c:pt idx="401">
                  <c:v>1.3787724440262346</c:v>
                </c:pt>
                <c:pt idx="402">
                  <c:v>1.3820222398517581</c:v>
                </c:pt>
                <c:pt idx="403">
                  <c:v>1.385273684490189</c:v>
                </c:pt>
                <c:pt idx="404">
                  <c:v>1.3885267875378782</c:v>
                </c:pt>
                <c:pt idx="405">
                  <c:v>1.3917815586307922</c:v>
                </c:pt>
                <c:pt idx="406">
                  <c:v>1.3950380074448447</c:v>
                </c:pt>
                <c:pt idx="407">
                  <c:v>1.398296143696232</c:v>
                </c:pt>
                <c:pt idx="408">
                  <c:v>1.4015559771417716</c:v>
                </c:pt>
                <c:pt idx="409">
                  <c:v>1.4048175175792432</c:v>
                </c:pt>
                <c:pt idx="410">
                  <c:v>1.4080807748477326</c:v>
                </c:pt>
                <c:pt idx="411">
                  <c:v>1.4113457588279794</c:v>
                </c:pt>
                <c:pt idx="412">
                  <c:v>1.4146124794427268</c:v>
                </c:pt>
                <c:pt idx="413">
                  <c:v>1.4178809466570752</c:v>
                </c:pt>
                <c:pt idx="414">
                  <c:v>1.4211511704788389</c:v>
                </c:pt>
                <c:pt idx="415">
                  <c:v>1.4244231609589055</c:v>
                </c:pt>
                <c:pt idx="416">
                  <c:v>1.427696928191599</c:v>
                </c:pt>
                <c:pt idx="417">
                  <c:v>1.430972482315046</c:v>
                </c:pt>
                <c:pt idx="418">
                  <c:v>1.434249833511545</c:v>
                </c:pt>
                <c:pt idx="419">
                  <c:v>1.4375289920079395</c:v>
                </c:pt>
                <c:pt idx="420">
                  <c:v>1.440809968075994</c:v>
                </c:pt>
                <c:pt idx="421">
                  <c:v>1.4440927720327736</c:v>
                </c:pt>
                <c:pt idx="422">
                  <c:v>1.4473774142410269</c:v>
                </c:pt>
                <c:pt idx="423">
                  <c:v>1.4506639051095729</c:v>
                </c:pt>
                <c:pt idx="424">
                  <c:v>1.4539522550936907</c:v>
                </c:pt>
                <c:pt idx="425">
                  <c:v>1.4572424746955137</c:v>
                </c:pt>
                <c:pt idx="426">
                  <c:v>1.460534574464426</c:v>
                </c:pt>
                <c:pt idx="427">
                  <c:v>1.4638285649974645</c:v>
                </c:pt>
                <c:pt idx="428">
                  <c:v>1.4671244569397224</c:v>
                </c:pt>
                <c:pt idx="429">
                  <c:v>1.4704222609847581</c:v>
                </c:pt>
                <c:pt idx="430">
                  <c:v>1.4737219878750079</c:v>
                </c:pt>
                <c:pt idx="431">
                  <c:v>1.4770236484022012</c:v>
                </c:pt>
                <c:pt idx="432">
                  <c:v>1.4803272534077812</c:v>
                </c:pt>
                <c:pt idx="433">
                  <c:v>1.4836328137833279</c:v>
                </c:pt>
                <c:pt idx="434">
                  <c:v>1.4869403404709869</c:v>
                </c:pt>
                <c:pt idx="435">
                  <c:v>1.4902498444639007</c:v>
                </c:pt>
                <c:pt idx="436">
                  <c:v>1.4935613368066454</c:v>
                </c:pt>
                <c:pt idx="437">
                  <c:v>1.4968748285956694</c:v>
                </c:pt>
                <c:pt idx="438">
                  <c:v>1.5001903309797395</c:v>
                </c:pt>
                <c:pt idx="439">
                  <c:v>1.5035078551603882</c:v>
                </c:pt>
                <c:pt idx="440">
                  <c:v>1.5068274123923666</c:v>
                </c:pt>
                <c:pt idx="441">
                  <c:v>1.5101490139841023</c:v>
                </c:pt>
                <c:pt idx="442">
                  <c:v>1.5134726712981603</c:v>
                </c:pt>
                <c:pt idx="443">
                  <c:v>1.5167983957517095</c:v>
                </c:pt>
                <c:pt idx="444">
                  <c:v>1.520126198816993</c:v>
                </c:pt>
                <c:pt idx="445">
                  <c:v>1.5234560920218025</c:v>
                </c:pt>
                <c:pt idx="446">
                  <c:v>1.5267880869499597</c:v>
                </c:pt>
                <c:pt idx="447">
                  <c:v>1.5301221952417987</c:v>
                </c:pt>
                <c:pt idx="448">
                  <c:v>1.5334584285946564</c:v>
                </c:pt>
                <c:pt idx="449">
                  <c:v>1.5367967987633659</c:v>
                </c:pt>
                <c:pt idx="450">
                  <c:v>1.5401373175607553</c:v>
                </c:pt>
                <c:pt idx="451">
                  <c:v>1.5434799968581514</c:v>
                </c:pt>
                <c:pt idx="452">
                  <c:v>1.5468248485858882</c:v>
                </c:pt>
                <c:pt idx="453">
                  <c:v>1.5501718847338206</c:v>
                </c:pt>
                <c:pt idx="454">
                  <c:v>1.5535211173518433</c:v>
                </c:pt>
                <c:pt idx="455">
                  <c:v>1.5568725585504144</c:v>
                </c:pt>
                <c:pt idx="456">
                  <c:v>1.5602262205010846</c:v>
                </c:pt>
                <c:pt idx="457">
                  <c:v>1.563582115437032</c:v>
                </c:pt>
                <c:pt idx="458">
                  <c:v>1.5669402556536014</c:v>
                </c:pt>
                <c:pt idx="459">
                  <c:v>1.5703006535088497</c:v>
                </c:pt>
                <c:pt idx="460">
                  <c:v>1.5736633214240967</c:v>
                </c:pt>
                <c:pt idx="461">
                  <c:v>1.577028271884481</c:v>
                </c:pt>
                <c:pt idx="462">
                  <c:v>1.5803955174395223</c:v>
                </c:pt>
                <c:pt idx="463">
                  <c:v>1.583765070703689</c:v>
                </c:pt>
                <c:pt idx="464">
                  <c:v>1.5871369443569712</c:v>
                </c:pt>
                <c:pt idx="465">
                  <c:v>1.5905111511454602</c:v>
                </c:pt>
                <c:pt idx="466">
                  <c:v>1.5938877038819337</c:v>
                </c:pt>
                <c:pt idx="467">
                  <c:v>1.5972666154464472</c:v>
                </c:pt>
                <c:pt idx="468">
                  <c:v>1.6006478987869308</c:v>
                </c:pt>
                <c:pt idx="469">
                  <c:v>1.6040315669197929</c:v>
                </c:pt>
                <c:pt idx="470">
                  <c:v>1.6074176329305296</c:v>
                </c:pt>
                <c:pt idx="471">
                  <c:v>1.6108061099743416</c:v>
                </c:pt>
                <c:pt idx="472">
                  <c:v>1.614197011276755</c:v>
                </c:pt>
                <c:pt idx="473">
                  <c:v>1.6175903501342517</c:v>
                </c:pt>
                <c:pt idx="474">
                  <c:v>1.6209861399149039</c:v>
                </c:pt>
                <c:pt idx="475">
                  <c:v>1.624384394059017</c:v>
                </c:pt>
                <c:pt idx="476">
                  <c:v>1.6277851260797778</c:v>
                </c:pt>
                <c:pt idx="477">
                  <c:v>1.6311883495639106</c:v>
                </c:pt>
                <c:pt idx="478">
                  <c:v>1.6345940781723394</c:v>
                </c:pt>
                <c:pt idx="479">
                  <c:v>1.638002325640858</c:v>
                </c:pt>
                <c:pt idx="480">
                  <c:v>1.6414131057808066</c:v>
                </c:pt>
                <c:pt idx="481">
                  <c:v>1.6448264324797557</c:v>
                </c:pt>
                <c:pt idx="482">
                  <c:v>1.6482423197021974</c:v>
                </c:pt>
                <c:pt idx="483">
                  <c:v>1.651660781490244</c:v>
                </c:pt>
                <c:pt idx="484">
                  <c:v>1.6550818319643341</c:v>
                </c:pt>
                <c:pt idx="485">
                  <c:v>1.6585054853239465</c:v>
                </c:pt>
                <c:pt idx="486">
                  <c:v>1.6619317558483215</c:v>
                </c:pt>
                <c:pt idx="487">
                  <c:v>1.6653606578971902</c:v>
                </c:pt>
                <c:pt idx="488">
                  <c:v>1.6687922059115112</c:v>
                </c:pt>
                <c:pt idx="489">
                  <c:v>1.6722264144142165</c:v>
                </c:pt>
                <c:pt idx="490">
                  <c:v>1.675663298010964</c:v>
                </c:pt>
                <c:pt idx="491">
                  <c:v>1.6791028713908998</c:v>
                </c:pt>
                <c:pt idx="492">
                  <c:v>1.6825451493274268</c:v>
                </c:pt>
                <c:pt idx="493">
                  <c:v>1.6859901466789844</c:v>
                </c:pt>
                <c:pt idx="494">
                  <c:v>1.6894378783898341</c:v>
                </c:pt>
                <c:pt idx="495">
                  <c:v>1.6928883594908555</c:v>
                </c:pt>
                <c:pt idx="496">
                  <c:v>1.6963416051003508</c:v>
                </c:pt>
                <c:pt idx="497">
                  <c:v>1.6997976304248579</c:v>
                </c:pt>
                <c:pt idx="498">
                  <c:v>1.7032564507599723</c:v>
                </c:pt>
                <c:pt idx="499">
                  <c:v>1.7067180814911789</c:v>
                </c:pt>
                <c:pt idx="500">
                  <c:v>1.7101825380946925</c:v>
                </c:pt>
                <c:pt idx="501">
                  <c:v>1.7136498361383081</c:v>
                </c:pt>
                <c:pt idx="502">
                  <c:v>1.7171199912822606</c:v>
                </c:pt>
                <c:pt idx="503">
                  <c:v>1.7205930192800936</c:v>
                </c:pt>
                <c:pt idx="504">
                  <c:v>1.7240689359795396</c:v>
                </c:pt>
                <c:pt idx="505">
                  <c:v>1.7275477573234084</c:v>
                </c:pt>
                <c:pt idx="506">
                  <c:v>1.7310294993504864</c:v>
                </c:pt>
                <c:pt idx="507">
                  <c:v>1.7345141781964462</c:v>
                </c:pt>
                <c:pt idx="508">
                  <c:v>1.7380018100947661</c:v>
                </c:pt>
                <c:pt idx="509">
                  <c:v>1.7414924113776609</c:v>
                </c:pt>
                <c:pt idx="510">
                  <c:v>1.7449859984770228</c:v>
                </c:pt>
                <c:pt idx="511">
                  <c:v>1.7484825879253731</c:v>
                </c:pt>
                <c:pt idx="512">
                  <c:v>1.7519821963568247</c:v>
                </c:pt>
                <c:pt idx="513">
                  <c:v>1.7554848405080565</c:v>
                </c:pt>
                <c:pt idx="514">
                  <c:v>1.7589905372192987</c:v>
                </c:pt>
                <c:pt idx="515">
                  <c:v>1.7624993034353285</c:v>
                </c:pt>
                <c:pt idx="516">
                  <c:v>1.7660111562064795</c:v>
                </c:pt>
                <c:pt idx="517">
                  <c:v>1.7695261126896611</c:v>
                </c:pt>
                <c:pt idx="518">
                  <c:v>1.7730441901493907</c:v>
                </c:pt>
                <c:pt idx="519">
                  <c:v>1.7765654059588374</c:v>
                </c:pt>
                <c:pt idx="520">
                  <c:v>1.7800897776008786</c:v>
                </c:pt>
                <c:pt idx="521">
                  <c:v>1.7836173226691689</c:v>
                </c:pt>
                <c:pt idx="522">
                  <c:v>1.7871480588692217</c:v>
                </c:pt>
                <c:pt idx="523">
                  <c:v>1.7906820040195024</c:v>
                </c:pt>
                <c:pt idx="524">
                  <c:v>1.7942191760525372</c:v>
                </c:pt>
                <c:pt idx="525">
                  <c:v>1.7977595930160326</c:v>
                </c:pt>
                <c:pt idx="526">
                  <c:v>1.8013032730740097</c:v>
                </c:pt>
                <c:pt idx="527">
                  <c:v>1.8048502345079511</c:v>
                </c:pt>
                <c:pt idx="528">
                  <c:v>1.8084004957179627</c:v>
                </c:pt>
                <c:pt idx="529">
                  <c:v>1.8119540752239487</c:v>
                </c:pt>
                <c:pt idx="530">
                  <c:v>1.8155109916668011</c:v>
                </c:pt>
                <c:pt idx="531">
                  <c:v>1.8190712638096032</c:v>
                </c:pt>
                <c:pt idx="532">
                  <c:v>1.8226349105388484</c:v>
                </c:pt>
                <c:pt idx="533">
                  <c:v>1.8262019508656733</c:v>
                </c:pt>
                <c:pt idx="534">
                  <c:v>1.8297724039271057</c:v>
                </c:pt>
                <c:pt idx="535">
                  <c:v>1.8333462889873289</c:v>
                </c:pt>
                <c:pt idx="536">
                  <c:v>1.8369236254389596</c:v>
                </c:pt>
                <c:pt idx="537">
                  <c:v>1.8405044328043441</c:v>
                </c:pt>
                <c:pt idx="538">
                  <c:v>1.8440887307368676</c:v>
                </c:pt>
                <c:pt idx="539">
                  <c:v>1.8476765390222825</c:v>
                </c:pt>
                <c:pt idx="540">
                  <c:v>1.8512678775800508</c:v>
                </c:pt>
                <c:pt idx="541">
                  <c:v>1.8548627664647046</c:v>
                </c:pt>
                <c:pt idx="542">
                  <c:v>1.8584612258672233</c:v>
                </c:pt>
                <c:pt idx="543">
                  <c:v>1.8620632761164275</c:v>
                </c:pt>
                <c:pt idx="544">
                  <c:v>1.8656689376803908</c:v>
                </c:pt>
                <c:pt idx="545">
                  <c:v>1.8692782311678693</c:v>
                </c:pt>
                <c:pt idx="546">
                  <c:v>1.8728911773297494</c:v>
                </c:pt>
                <c:pt idx="547">
                  <c:v>1.8765077970605128</c:v>
                </c:pt>
                <c:pt idx="548">
                  <c:v>1.8801281113997212</c:v>
                </c:pt>
                <c:pt idx="549">
                  <c:v>1.8837521415335192</c:v>
                </c:pt>
                <c:pt idx="550">
                  <c:v>1.8873799087961569</c:v>
                </c:pt>
                <c:pt idx="551">
                  <c:v>1.8910114346715312</c:v>
                </c:pt>
                <c:pt idx="552">
                  <c:v>1.8946467407947474</c:v>
                </c:pt>
                <c:pt idx="553">
                  <c:v>1.8982858489537004</c:v>
                </c:pt>
                <c:pt idx="554">
                  <c:v>1.9019287810906766</c:v>
                </c:pt>
                <c:pt idx="555">
                  <c:v>1.9055755593039765</c:v>
                </c:pt>
                <c:pt idx="556">
                  <c:v>1.9092262058495575</c:v>
                </c:pt>
                <c:pt idx="557">
                  <c:v>1.9128807431426993</c:v>
                </c:pt>
                <c:pt idx="558">
                  <c:v>1.9165391937596898</c:v>
                </c:pt>
                <c:pt idx="559">
                  <c:v>1.9202015804395336</c:v>
                </c:pt>
                <c:pt idx="560">
                  <c:v>1.9238679260856824</c:v>
                </c:pt>
                <c:pt idx="561">
                  <c:v>1.9275382537677888</c:v>
                </c:pt>
                <c:pt idx="562">
                  <c:v>1.9312125867234822</c:v>
                </c:pt>
                <c:pt idx="563">
                  <c:v>1.9348909483601688</c:v>
                </c:pt>
                <c:pt idx="564">
                  <c:v>1.9385733622568555</c:v>
                </c:pt>
                <c:pt idx="565">
                  <c:v>1.9422598521659966</c:v>
                </c:pt>
                <c:pt idx="566">
                  <c:v>1.9459504420153673</c:v>
                </c:pt>
                <c:pt idx="567">
                  <c:v>1.9496451559099601</c:v>
                </c:pt>
                <c:pt idx="568">
                  <c:v>1.9533440181339075</c:v>
                </c:pt>
                <c:pt idx="569">
                  <c:v>1.9570470531524302</c:v>
                </c:pt>
                <c:pt idx="570">
                  <c:v>1.960754285613812</c:v>
                </c:pt>
                <c:pt idx="571">
                  <c:v>1.9644657403514005</c:v>
                </c:pt>
                <c:pt idx="572">
                  <c:v>1.968181442385635</c:v>
                </c:pt>
                <c:pt idx="573">
                  <c:v>1.971901416926102</c:v>
                </c:pt>
                <c:pt idx="574">
                  <c:v>1.9756256893736188</c:v>
                </c:pt>
                <c:pt idx="575">
                  <c:v>1.9793542853223456</c:v>
                </c:pt>
                <c:pt idx="576">
                  <c:v>1.9830872305619252</c:v>
                </c:pt>
                <c:pt idx="577">
                  <c:v>1.9868245510796536</c:v>
                </c:pt>
                <c:pt idx="578">
                  <c:v>1.9905662730626794</c:v>
                </c:pt>
                <c:pt idx="579">
                  <c:v>1.994312422900234</c:v>
                </c:pt>
                <c:pt idx="580">
                  <c:v>1.9980630271858919</c:v>
                </c:pt>
                <c:pt idx="581">
                  <c:v>2.0018181127198629</c:v>
                </c:pt>
                <c:pt idx="582">
                  <c:v>2.0055777065113163</c:v>
                </c:pt>
                <c:pt idx="583">
                  <c:v>2.0093418357807358</c:v>
                </c:pt>
                <c:pt idx="584">
                  <c:v>2.01311052796231</c:v>
                </c:pt>
                <c:pt idx="585">
                  <c:v>2.0168838107063545</c:v>
                </c:pt>
                <c:pt idx="586">
                  <c:v>2.0206617118817669</c:v>
                </c:pt>
                <c:pt idx="587">
                  <c:v>2.0244442595785199</c:v>
                </c:pt>
                <c:pt idx="588">
                  <c:v>2.0282314821101859</c:v>
                </c:pt>
                <c:pt idx="589">
                  <c:v>2.0320234080164994</c:v>
                </c:pt>
                <c:pt idx="590">
                  <c:v>2.0358200660659556</c:v>
                </c:pt>
                <c:pt idx="591">
                  <c:v>2.0396214852584444</c:v>
                </c:pt>
                <c:pt idx="592">
                  <c:v>2.0434276948279249</c:v>
                </c:pt>
                <c:pt idx="593">
                  <c:v>2.0472387242451342</c:v>
                </c:pt>
                <c:pt idx="594">
                  <c:v>2.0510546032203396</c:v>
                </c:pt>
                <c:pt idx="595">
                  <c:v>2.0548753617061268</c:v>
                </c:pt>
                <c:pt idx="596">
                  <c:v>2.0587010299002295</c:v>
                </c:pt>
                <c:pt idx="597">
                  <c:v>2.0625316382484007</c:v>
                </c:pt>
                <c:pt idx="598">
                  <c:v>2.0663672174473242</c:v>
                </c:pt>
                <c:pt idx="599">
                  <c:v>2.0702077984475697</c:v>
                </c:pt>
                <c:pt idx="600">
                  <c:v>2.0740534124565908</c:v>
                </c:pt>
                <c:pt idx="601">
                  <c:v>2.0779040909417663</c:v>
                </c:pt>
                <c:pt idx="602">
                  <c:v>2.0817598656334866</c:v>
                </c:pt>
                <c:pt idx="603">
                  <c:v>2.085620768528285</c:v>
                </c:pt>
                <c:pt idx="604">
                  <c:v>2.0894868318920161</c:v>
                </c:pt>
                <c:pt idx="605">
                  <c:v>2.0933580882630802</c:v>
                </c:pt>
                <c:pt idx="606">
                  <c:v>2.0972345704556967</c:v>
                </c:pt>
                <c:pt idx="607">
                  <c:v>2.1011163115632248</c:v>
                </c:pt>
                <c:pt idx="608">
                  <c:v>2.1050033449615349</c:v>
                </c:pt>
                <c:pt idx="609">
                  <c:v>2.1088957043124301</c:v>
                </c:pt>
                <c:pt idx="610">
                  <c:v>2.1127934235671191</c:v>
                </c:pt>
                <c:pt idx="611">
                  <c:v>2.1166965369697412</c:v>
                </c:pt>
                <c:pt idx="612">
                  <c:v>2.1206050790609448</c:v>
                </c:pt>
                <c:pt idx="613">
                  <c:v>2.124519084681519</c:v>
                </c:pt>
                <c:pt idx="614">
                  <c:v>2.1284385889760822</c:v>
                </c:pt>
                <c:pt idx="615">
                  <c:v>2.1323636273968258</c:v>
                </c:pt>
                <c:pt idx="616">
                  <c:v>2.1362942357073149</c:v>
                </c:pt>
                <c:pt idx="617">
                  <c:v>2.1402304499863471</c:v>
                </c:pt>
                <c:pt idx="618">
                  <c:v>2.1441723066318716</c:v>
                </c:pt>
                <c:pt idx="619">
                  <c:v>2.1481198423649674</c:v>
                </c:pt>
                <c:pt idx="620">
                  <c:v>2.1520730942338839</c:v>
                </c:pt>
                <c:pt idx="621">
                  <c:v>2.1560320996181432</c:v>
                </c:pt>
                <c:pt idx="622">
                  <c:v>2.1599968962327076</c:v>
                </c:pt>
                <c:pt idx="623">
                  <c:v>2.1639675221322094</c:v>
                </c:pt>
                <c:pt idx="624">
                  <c:v>2.1679440157152499</c:v>
                </c:pt>
                <c:pt idx="625">
                  <c:v>2.171926415728763</c:v>
                </c:pt>
                <c:pt idx="626">
                  <c:v>2.1759147612724505</c:v>
                </c:pt>
                <c:pt idx="627">
                  <c:v>2.179909091803284</c:v>
                </c:pt>
                <c:pt idx="628">
                  <c:v>2.1839094471400791</c:v>
                </c:pt>
                <c:pt idx="629">
                  <c:v>2.1879158674681438</c:v>
                </c:pt>
                <c:pt idx="630">
                  <c:v>2.191928393343999</c:v>
                </c:pt>
                <c:pt idx="631">
                  <c:v>2.1959470657001736</c:v>
                </c:pt>
                <c:pt idx="632">
                  <c:v>2.1999719258500789</c:v>
                </c:pt>
                <c:pt idx="633">
                  <c:v>2.2040030154929591</c:v>
                </c:pt>
                <c:pt idx="634">
                  <c:v>2.2080403767189214</c:v>
                </c:pt>
                <c:pt idx="635">
                  <c:v>2.2120840520140486</c:v>
                </c:pt>
                <c:pt idx="636">
                  <c:v>2.216134084265593</c:v>
                </c:pt>
                <c:pt idx="637">
                  <c:v>2.2201905167672562</c:v>
                </c:pt>
                <c:pt idx="638">
                  <c:v>2.224253393224553</c:v>
                </c:pt>
                <c:pt idx="639">
                  <c:v>2.2283227577602633</c:v>
                </c:pt>
                <c:pt idx="640">
                  <c:v>2.2323986549199746</c:v>
                </c:pt>
                <c:pt idx="641">
                  <c:v>2.2364811296777138</c:v>
                </c:pt>
                <c:pt idx="642">
                  <c:v>2.2405702274416734</c:v>
                </c:pt>
                <c:pt idx="643">
                  <c:v>2.2446659940600298</c:v>
                </c:pt>
                <c:pt idx="644">
                  <c:v>2.2487684758268602</c:v>
                </c:pt>
                <c:pt idx="645">
                  <c:v>2.2528777194881577</c:v>
                </c:pt>
                <c:pt idx="646">
                  <c:v>2.2569937722479447</c:v>
                </c:pt>
                <c:pt idx="647">
                  <c:v>2.2611166817744901</c:v>
                </c:pt>
                <c:pt idx="648">
                  <c:v>2.2652464962066303</c:v>
                </c:pt>
                <c:pt idx="649">
                  <c:v>2.2693832641601968</c:v>
                </c:pt>
                <c:pt idx="650">
                  <c:v>2.2735270347345504</c:v>
                </c:pt>
                <c:pt idx="651">
                  <c:v>2.2776778575192287</c:v>
                </c:pt>
                <c:pt idx="652">
                  <c:v>2.2818357826007039</c:v>
                </c:pt>
                <c:pt idx="653">
                  <c:v>2.2860008605692559</c:v>
                </c:pt>
                <c:pt idx="654">
                  <c:v>2.2901731425259637</c:v>
                </c:pt>
                <c:pt idx="655">
                  <c:v>2.294352680089816</c:v>
                </c:pt>
                <c:pt idx="656">
                  <c:v>2.298539525404943</c:v>
                </c:pt>
                <c:pt idx="657">
                  <c:v>2.3027337311479728</c:v>
                </c:pt>
                <c:pt idx="658">
                  <c:v>2.3069353505355159</c:v>
                </c:pt>
                <c:pt idx="659">
                  <c:v>2.311144437331778</c:v>
                </c:pt>
                <c:pt idx="660">
                  <c:v>2.3153610458563043</c:v>
                </c:pt>
                <c:pt idx="661">
                  <c:v>2.3195852309918616</c:v>
                </c:pt>
                <c:pt idx="662">
                  <c:v>2.323817048192454</c:v>
                </c:pt>
                <c:pt idx="663">
                  <c:v>2.3280565534914825</c:v>
                </c:pt>
                <c:pt idx="664">
                  <c:v>2.3323038035100447</c:v>
                </c:pt>
                <c:pt idx="665">
                  <c:v>2.336558855465384</c:v>
                </c:pt>
                <c:pt idx="666">
                  <c:v>2.3408217671794844</c:v>
                </c:pt>
                <c:pt idx="667">
                  <c:v>2.3450925970878216</c:v>
                </c:pt>
                <c:pt idx="668">
                  <c:v>2.3493714042482656</c:v>
                </c:pt>
                <c:pt idx="669">
                  <c:v>2.3536582483501443</c:v>
                </c:pt>
                <c:pt idx="670">
                  <c:v>2.3579531897234687</c:v>
                </c:pt>
                <c:pt idx="671">
                  <c:v>2.362256289348323</c:v>
                </c:pt>
                <c:pt idx="672">
                  <c:v>2.3665676088644236</c:v>
                </c:pt>
                <c:pt idx="673">
                  <c:v>2.3708872105808507</c:v>
                </c:pt>
                <c:pt idx="674">
                  <c:v>2.3752151574859552</c:v>
                </c:pt>
                <c:pt idx="675">
                  <c:v>2.3795515132574461</c:v>
                </c:pt>
                <c:pt idx="676">
                  <c:v>2.3838963422726591</c:v>
                </c:pt>
                <c:pt idx="677">
                  <c:v>2.3882497096190169</c:v>
                </c:pt>
                <c:pt idx="678">
                  <c:v>2.3926116811046754</c:v>
                </c:pt>
                <c:pt idx="679">
                  <c:v>2.396982323269369</c:v>
                </c:pt>
                <c:pt idx="680">
                  <c:v>2.4013617033954535</c:v>
                </c:pt>
                <c:pt idx="681">
                  <c:v>2.4057498895191531</c:v>
                </c:pt>
                <c:pt idx="682">
                  <c:v>2.4101469504420163</c:v>
                </c:pt>
                <c:pt idx="683">
                  <c:v>2.4145529557425824</c:v>
                </c:pt>
                <c:pt idx="684">
                  <c:v>2.4189679757882661</c:v>
                </c:pt>
                <c:pt idx="685">
                  <c:v>2.4233920817474646</c:v>
                </c:pt>
                <c:pt idx="686">
                  <c:v>2.4278253456018897</c:v>
                </c:pt>
                <c:pt idx="687">
                  <c:v>2.4322678401591311</c:v>
                </c:pt>
                <c:pt idx="688">
                  <c:v>2.436719639065458</c:v>
                </c:pt>
                <c:pt idx="689">
                  <c:v>2.4411808168188598</c:v>
                </c:pt>
                <c:pt idx="690">
                  <c:v>2.4456514487823346</c:v>
                </c:pt>
                <c:pt idx="691">
                  <c:v>2.4501316111974303</c:v>
                </c:pt>
                <c:pt idx="692">
                  <c:v>2.4546213811980415</c:v>
                </c:pt>
                <c:pt idx="693">
                  <c:v>2.459120836824471</c:v>
                </c:pt>
                <c:pt idx="694">
                  <c:v>2.4636300570377592</c:v>
                </c:pt>
                <c:pt idx="695">
                  <c:v>2.4681491217342897</c:v>
                </c:pt>
                <c:pt idx="696">
                  <c:v>2.4726781117606733</c:v>
                </c:pt>
                <c:pt idx="697">
                  <c:v>2.4772171089289214</c:v>
                </c:pt>
                <c:pt idx="698">
                  <c:v>2.4817661960319111</c:v>
                </c:pt>
                <c:pt idx="699">
                  <c:v>2.4863254568591504</c:v>
                </c:pt>
                <c:pt idx="700">
                  <c:v>2.4908949762128501</c:v>
                </c:pt>
                <c:pt idx="701">
                  <c:v>2.4954748399243076</c:v>
                </c:pt>
                <c:pt idx="702">
                  <c:v>2.5000651348706122</c:v>
                </c:pt>
                <c:pt idx="703">
                  <c:v>2.5046659489916769</c:v>
                </c:pt>
                <c:pt idx="704">
                  <c:v>2.5092773713076046</c:v>
                </c:pt>
                <c:pt idx="705">
                  <c:v>2.5138994919363946</c:v>
                </c:pt>
                <c:pt idx="706">
                  <c:v>2.5185324021120019</c:v>
                </c:pt>
                <c:pt idx="707">
                  <c:v>2.5231761942027497</c:v>
                </c:pt>
                <c:pt idx="708">
                  <c:v>2.5278309617301105</c:v>
                </c:pt>
                <c:pt idx="709">
                  <c:v>2.5324967993878573</c:v>
                </c:pt>
                <c:pt idx="710">
                  <c:v>2.5371738030616</c:v>
                </c:pt>
                <c:pt idx="711">
                  <c:v>2.5418620698487082</c:v>
                </c:pt>
                <c:pt idx="712">
                  <c:v>2.5465616980786359</c:v>
                </c:pt>
                <c:pt idx="713">
                  <c:v>2.551272787333652</c:v>
                </c:pt>
                <c:pt idx="714">
                  <c:v>2.5559954384699899</c:v>
                </c:pt>
                <c:pt idx="715">
                  <c:v>2.5607297536394205</c:v>
                </c:pt>
                <c:pt idx="716">
                  <c:v>2.5654758363112635</c:v>
                </c:pt>
                <c:pt idx="717">
                  <c:v>2.5702337912948447</c:v>
                </c:pt>
                <c:pt idx="718">
                  <c:v>2.5750037247624062</c:v>
                </c:pt>
                <c:pt idx="719">
                  <c:v>2.5797857442724856</c:v>
                </c:pt>
                <c:pt idx="720">
                  <c:v>2.5845799587937708</c:v>
                </c:pt>
                <c:pt idx="721">
                  <c:v>2.5893864787294407</c:v>
                </c:pt>
                <c:pt idx="722">
                  <c:v>2.5942054159420049</c:v>
                </c:pt>
                <c:pt idx="723">
                  <c:v>2.5990368837786542</c:v>
                </c:pt>
                <c:pt idx="724">
                  <c:v>2.6038809970971291</c:v>
                </c:pt>
                <c:pt idx="725">
                  <c:v>2.6087378722921231</c:v>
                </c:pt>
                <c:pt idx="726">
                  <c:v>2.6136076273222293</c:v>
                </c:pt>
                <c:pt idx="727">
                  <c:v>2.6184903817374447</c:v>
                </c:pt>
                <c:pt idx="728">
                  <c:v>2.6233862567072435</c:v>
                </c:pt>
                <c:pt idx="729">
                  <c:v>2.6282953750492304</c:v>
                </c:pt>
                <c:pt idx="730">
                  <c:v>2.6332178612583927</c:v>
                </c:pt>
                <c:pt idx="731">
                  <c:v>2.6381538415369579</c:v>
                </c:pt>
                <c:pt idx="732">
                  <c:v>2.6431034438248746</c:v>
                </c:pt>
                <c:pt idx="733">
                  <c:v>2.6480667978309289</c:v>
                </c:pt>
                <c:pt idx="734">
                  <c:v>2.6530440350645113</c:v>
                </c:pt>
                <c:pt idx="735">
                  <c:v>2.6580352888680467</c:v>
                </c:pt>
                <c:pt idx="736">
                  <c:v>2.6630406944501077</c:v>
                </c:pt>
                <c:pt idx="737">
                  <c:v>2.6680603889192178</c:v>
                </c:pt>
                <c:pt idx="738">
                  <c:v>2.6730945113183666</c:v>
                </c:pt>
                <c:pt idx="739">
                  <c:v>2.6781432026602512</c:v>
                </c:pt>
                <c:pt idx="740">
                  <c:v>2.683206605963258</c:v>
                </c:pt>
                <c:pt idx="741">
                  <c:v>2.6882848662882024</c:v>
                </c:pt>
                <c:pt idx="742">
                  <c:v>2.693378130775844</c:v>
                </c:pt>
                <c:pt idx="743">
                  <c:v>2.6984865486851914</c:v>
                </c:pt>
                <c:pt idx="744">
                  <c:v>2.7036102714326171</c:v>
                </c:pt>
                <c:pt idx="745">
                  <c:v>2.7087494526317983</c:v>
                </c:pt>
                <c:pt idx="746">
                  <c:v>2.7139042481345004</c:v>
                </c:pt>
                <c:pt idx="747">
                  <c:v>2.7190748160722236</c:v>
                </c:pt>
                <c:pt idx="748">
                  <c:v>2.7242613168987293</c:v>
                </c:pt>
                <c:pt idx="749">
                  <c:v>2.7294639134334666</c:v>
                </c:pt>
                <c:pt idx="750">
                  <c:v>2.7346827709059167</c:v>
                </c:pt>
                <c:pt idx="751">
                  <c:v>2.7399180570008728</c:v>
                </c:pt>
                <c:pt idx="752">
                  <c:v>2.7451699419046807</c:v>
                </c:pt>
                <c:pt idx="753">
                  <c:v>2.7504385983524515</c:v>
                </c:pt>
                <c:pt idx="754">
                  <c:v>2.7557242016762764</c:v>
                </c:pt>
                <c:pt idx="755">
                  <c:v>2.7610269298544554</c:v>
                </c:pt>
                <c:pt idx="756">
                  <c:v>2.7663469635617641</c:v>
                </c:pt>
                <c:pt idx="757">
                  <c:v>2.7716844862207806</c:v>
                </c:pt>
                <c:pt idx="758">
                  <c:v>2.7770396840542908</c:v>
                </c:pt>
                <c:pt idx="759">
                  <c:v>2.782412746138796</c:v>
                </c:pt>
                <c:pt idx="760">
                  <c:v>2.7878038644591419</c:v>
                </c:pt>
                <c:pt idx="761">
                  <c:v>2.7932132339642903</c:v>
                </c:pt>
                <c:pt idx="762">
                  <c:v>2.7986410526242596</c:v>
                </c:pt>
                <c:pt idx="763">
                  <c:v>2.804087521488249</c:v>
                </c:pt>
                <c:pt idx="764">
                  <c:v>2.8095528447439753</c:v>
                </c:pt>
                <c:pt idx="765">
                  <c:v>2.8150372297782376</c:v>
                </c:pt>
                <c:pt idx="766">
                  <c:v>2.8205408872387379</c:v>
                </c:pt>
                <c:pt idx="767">
                  <c:v>2.8260640310971752</c:v>
                </c:pt>
                <c:pt idx="768">
                  <c:v>2.8316068787136364</c:v>
                </c:pt>
                <c:pt idx="769">
                  <c:v>2.8371696509023061</c:v>
                </c:pt>
                <c:pt idx="770">
                  <c:v>2.8427525719985169</c:v>
                </c:pt>
                <c:pt idx="771">
                  <c:v>2.8483558699271612</c:v>
                </c:pt>
                <c:pt idx="772">
                  <c:v>2.8539797762724852</c:v>
                </c:pt>
                <c:pt idx="773">
                  <c:v>2.8596245263492883</c:v>
                </c:pt>
                <c:pt idx="774">
                  <c:v>2.8652903592755443</c:v>
                </c:pt>
                <c:pt idx="775">
                  <c:v>2.8709775180464674</c:v>
                </c:pt>
                <c:pt idx="776">
                  <c:v>2.876686249610044</c:v>
                </c:pt>
                <c:pt idx="777">
                  <c:v>2.8824168049440453</c:v>
                </c:pt>
                <c:pt idx="778">
                  <c:v>2.8881694391345385</c:v>
                </c:pt>
                <c:pt idx="779">
                  <c:v>2.8939444114559238</c:v>
                </c:pt>
                <c:pt idx="780">
                  <c:v>2.8997419854524966</c:v>
                </c:pt>
                <c:pt idx="781">
                  <c:v>2.9055624290215678</c:v>
                </c:pt>
                <c:pt idx="782">
                  <c:v>2.9114060144981462</c:v>
                </c:pt>
                <c:pt idx="783">
                  <c:v>2.9172730187412004</c:v>
                </c:pt>
                <c:pt idx="784">
                  <c:v>2.9231637232215109</c:v>
                </c:pt>
                <c:pt idx="785">
                  <c:v>2.9290784141111224</c:v>
                </c:pt>
                <c:pt idx="786">
                  <c:v>2.9350173823744075</c:v>
                </c:pt>
                <c:pt idx="787">
                  <c:v>2.9409809238607498</c:v>
                </c:pt>
                <c:pt idx="788">
                  <c:v>2.9469693393988439</c:v>
                </c:pt>
                <c:pt idx="789">
                  <c:v>2.9529829348926269</c:v>
                </c:pt>
                <c:pt idx="790">
                  <c:v>2.9590220214188334</c:v>
                </c:pt>
                <c:pt idx="791">
                  <c:v>2.9650869153261774</c:v>
                </c:pt>
                <c:pt idx="792">
                  <c:v>2.9711779383361536</c:v>
                </c:pt>
                <c:pt idx="793">
                  <c:v>2.9772954176454545</c:v>
                </c:pt>
                <c:pt idx="794">
                  <c:v>2.9834396860299872</c:v>
                </c:pt>
                <c:pt idx="795">
                  <c:v>2.9896110819504891</c:v>
                </c:pt>
                <c:pt idx="796">
                  <c:v>2.9958099496597024</c:v>
                </c:pt>
                <c:pt idx="797">
                  <c:v>3.0020366393111142</c:v>
                </c:pt>
                <c:pt idx="798">
                  <c:v>3.0082915070692144</c:v>
                </c:pt>
                <c:pt idx="799">
                  <c:v>3.0145749152212562</c:v>
                </c:pt>
                <c:pt idx="800">
                  <c:v>3.0208872322904723</c:v>
                </c:pt>
                <c:pt idx="801">
                  <c:v>3.0272288331507218</c:v>
                </c:pt>
                <c:pt idx="802">
                  <c:v>3.0336000991425101</c:v>
                </c:pt>
                <c:pt idx="803">
                  <c:v>3.0400014181903394</c:v>
                </c:pt>
                <c:pt idx="804">
                  <c:v>3.0464331849213289</c:v>
                </c:pt>
                <c:pt idx="805">
                  <c:v>3.0528958007850435</c:v>
                </c:pt>
                <c:pt idx="806">
                  <c:v>3.0593896741744611</c:v>
                </c:pt>
                <c:pt idx="807">
                  <c:v>3.0659152205479998</c:v>
                </c:pt>
                <c:pt idx="808">
                  <c:v>3.0724728625525239</c:v>
                </c:pt>
                <c:pt idx="809">
                  <c:v>3.0790630301472315</c:v>
                </c:pt>
                <c:pt idx="810">
                  <c:v>3.0856861607283248</c:v>
                </c:pt>
                <c:pt idx="811">
                  <c:v>3.0923426992543548</c:v>
                </c:pt>
                <c:pt idx="812">
                  <c:v>3.0990330983721153</c:v>
                </c:pt>
                <c:pt idx="813">
                  <c:v>3.1057578185429668</c:v>
                </c:pt>
                <c:pt idx="814">
                  <c:v>3.1125173281694396</c:v>
                </c:pt>
                <c:pt idx="815">
                  <c:v>3.1193121037219735</c:v>
                </c:pt>
                <c:pt idx="816">
                  <c:v>3.1261426298656345</c:v>
                </c:pt>
                <c:pt idx="817">
                  <c:v>3.1330093995866273</c:v>
                </c:pt>
                <c:pt idx="818">
                  <c:v>3.1399129143184332</c:v>
                </c:pt>
                <c:pt idx="819">
                  <c:v>3.1468536840673567</c:v>
                </c:pt>
                <c:pt idx="820">
                  <c:v>3.1538322275372983</c:v>
                </c:pt>
                <c:pt idx="821">
                  <c:v>3.1608490722535003</c:v>
                </c:pt>
                <c:pt idx="822">
                  <c:v>3.1679047546850607</c:v>
                </c:pt>
                <c:pt idx="823">
                  <c:v>3.1749998203659366</c:v>
                </c:pt>
                <c:pt idx="824">
                  <c:v>3.1821348240141965</c:v>
                </c:pt>
                <c:pt idx="825">
                  <c:v>3.1893103296492331</c:v>
                </c:pt>
                <c:pt idx="826">
                  <c:v>3.1965269107066372</c:v>
                </c:pt>
                <c:pt idx="827">
                  <c:v>3.2037851501504488</c:v>
                </c:pt>
                <c:pt idx="828">
                  <c:v>3.2110856405824268</c:v>
                </c:pt>
                <c:pt idx="829">
                  <c:v>3.2184289843480509</c:v>
                </c:pt>
                <c:pt idx="830">
                  <c:v>3.2258157936388456</c:v>
                </c:pt>
                <c:pt idx="831">
                  <c:v>3.23320574309736</c:v>
                </c:pt>
                <c:pt idx="832">
                  <c:v>3.2405956925558743</c:v>
                </c:pt>
                <c:pt idx="833">
                  <c:v>3.2479856420143887</c:v>
                </c:pt>
                <c:pt idx="834">
                  <c:v>3.255375591472903</c:v>
                </c:pt>
                <c:pt idx="835">
                  <c:v>3.2571421283557895</c:v>
                </c:pt>
                <c:pt idx="836">
                  <c:v>3.2589086652386761</c:v>
                </c:pt>
                <c:pt idx="837">
                  <c:v>3.2606752021215626</c:v>
                </c:pt>
                <c:pt idx="838">
                  <c:v>3.2624417390044491</c:v>
                </c:pt>
                <c:pt idx="839">
                  <c:v>3.2642082758873356</c:v>
                </c:pt>
                <c:pt idx="840">
                  <c:v>3.2659748127702222</c:v>
                </c:pt>
                <c:pt idx="841">
                  <c:v>3.2677413496531087</c:v>
                </c:pt>
                <c:pt idx="842">
                  <c:v>3.2695078865359952</c:v>
                </c:pt>
                <c:pt idx="843">
                  <c:v>3.2712744234188817</c:v>
                </c:pt>
                <c:pt idx="844">
                  <c:v>3.2730409603017683</c:v>
                </c:pt>
                <c:pt idx="845">
                  <c:v>3.2748074971846548</c:v>
                </c:pt>
                <c:pt idx="846">
                  <c:v>3.2765740340675413</c:v>
                </c:pt>
                <c:pt idx="847">
                  <c:v>3.2783405709504279</c:v>
                </c:pt>
                <c:pt idx="848">
                  <c:v>3.2801071078333144</c:v>
                </c:pt>
                <c:pt idx="849">
                  <c:v>3.2818736447162009</c:v>
                </c:pt>
                <c:pt idx="850">
                  <c:v>3.2836401815990874</c:v>
                </c:pt>
                <c:pt idx="851">
                  <c:v>3.285406718481974</c:v>
                </c:pt>
                <c:pt idx="852">
                  <c:v>3.2871732553648605</c:v>
                </c:pt>
                <c:pt idx="853">
                  <c:v>3.288939792247747</c:v>
                </c:pt>
                <c:pt idx="854">
                  <c:v>3.2907063291306335</c:v>
                </c:pt>
                <c:pt idx="855">
                  <c:v>3.2924728660135201</c:v>
                </c:pt>
                <c:pt idx="856">
                  <c:v>3.2942394028964066</c:v>
                </c:pt>
                <c:pt idx="857">
                  <c:v>3.2960059397792931</c:v>
                </c:pt>
                <c:pt idx="858">
                  <c:v>3.2977724766621797</c:v>
                </c:pt>
                <c:pt idx="859">
                  <c:v>3.2995390135450662</c:v>
                </c:pt>
                <c:pt idx="860">
                  <c:v>3.3013055504279527</c:v>
                </c:pt>
                <c:pt idx="861">
                  <c:v>3.3030720873108392</c:v>
                </c:pt>
                <c:pt idx="862">
                  <c:v>3.3048386241937258</c:v>
                </c:pt>
                <c:pt idx="863">
                  <c:v>3.3066051610766123</c:v>
                </c:pt>
                <c:pt idx="864">
                  <c:v>3.3083716979594988</c:v>
                </c:pt>
                <c:pt idx="865">
                  <c:v>3.3101382348423853</c:v>
                </c:pt>
                <c:pt idx="866">
                  <c:v>3.3119047717252719</c:v>
                </c:pt>
                <c:pt idx="867">
                  <c:v>3.3136713086081584</c:v>
                </c:pt>
                <c:pt idx="868">
                  <c:v>3.3154378454910449</c:v>
                </c:pt>
                <c:pt idx="869">
                  <c:v>3.3172043823739314</c:v>
                </c:pt>
                <c:pt idx="870">
                  <c:v>3.318970919256818</c:v>
                </c:pt>
                <c:pt idx="871">
                  <c:v>3.3207374561397045</c:v>
                </c:pt>
                <c:pt idx="872">
                  <c:v>3.322503993022591</c:v>
                </c:pt>
                <c:pt idx="873">
                  <c:v>3.3242705299054776</c:v>
                </c:pt>
                <c:pt idx="874">
                  <c:v>3.3260370667883641</c:v>
                </c:pt>
                <c:pt idx="875">
                  <c:v>3.3278036036712506</c:v>
                </c:pt>
                <c:pt idx="876">
                  <c:v>3.3295701405541371</c:v>
                </c:pt>
                <c:pt idx="877">
                  <c:v>3.3313366774370237</c:v>
                </c:pt>
                <c:pt idx="878">
                  <c:v>3.3331032143199102</c:v>
                </c:pt>
                <c:pt idx="879">
                  <c:v>3.3348697512027967</c:v>
                </c:pt>
                <c:pt idx="880">
                  <c:v>3.3366362880856832</c:v>
                </c:pt>
                <c:pt idx="881">
                  <c:v>3.3384028249685698</c:v>
                </c:pt>
                <c:pt idx="882">
                  <c:v>3.3401693618514563</c:v>
                </c:pt>
              </c:numCache>
            </c:numRef>
          </c:xVal>
          <c:yVal>
            <c:numRef>
              <c:f>Pressure!$AC$28:$AC$910</c:f>
              <c:numCache>
                <c:formatCode>0.000</c:formatCode>
                <c:ptCount val="883"/>
                <c:pt idx="0">
                  <c:v>0</c:v>
                </c:pt>
                <c:pt idx="1">
                  <c:v>7.2347167750751247</c:v>
                </c:pt>
                <c:pt idx="2">
                  <c:v>0</c:v>
                </c:pt>
                <c:pt idx="3">
                  <c:v>7.0697190015275941</c:v>
                </c:pt>
                <c:pt idx="4">
                  <c:v>0</c:v>
                </c:pt>
                <c:pt idx="5">
                  <c:v>6.9121761755126734</c:v>
                </c:pt>
                <c:pt idx="6">
                  <c:v>0</c:v>
                </c:pt>
                <c:pt idx="7">
                  <c:v>6.7615883702378135</c:v>
                </c:pt>
                <c:pt idx="8">
                  <c:v>0</c:v>
                </c:pt>
                <c:pt idx="9">
                  <c:v>6.6174994066362274</c:v>
                </c:pt>
                <c:pt idx="10">
                  <c:v>0</c:v>
                </c:pt>
                <c:pt idx="11">
                  <c:v>6.4794921699684256</c:v>
                </c:pt>
                <c:pt idx="12">
                  <c:v>0</c:v>
                </c:pt>
                <c:pt idx="13">
                  <c:v>6.3471845154953943</c:v>
                </c:pt>
                <c:pt idx="14">
                  <c:v>0</c:v>
                </c:pt>
                <c:pt idx="15">
                  <c:v>6.2202256785139367</c:v>
                </c:pt>
                <c:pt idx="16">
                  <c:v>0</c:v>
                </c:pt>
                <c:pt idx="17">
                  <c:v>6.098293117761922</c:v>
                </c:pt>
                <c:pt idx="18">
                  <c:v>0</c:v>
                </c:pt>
                <c:pt idx="19">
                  <c:v>5.9810897323357564</c:v>
                </c:pt>
                <c:pt idx="20">
                  <c:v>0</c:v>
                </c:pt>
                <c:pt idx="21">
                  <c:v>5.8683414015829278</c:v>
                </c:pt>
                <c:pt idx="22">
                  <c:v>0</c:v>
                </c:pt>
                <c:pt idx="23">
                  <c:v>5.7597948050340522</c:v>
                </c:pt>
                <c:pt idx="24">
                  <c:v>0</c:v>
                </c:pt>
                <c:pt idx="25">
                  <c:v>5.6552154859170312</c:v>
                </c:pt>
                <c:pt idx="26">
                  <c:v>0</c:v>
                </c:pt>
                <c:pt idx="27">
                  <c:v>5.5543861270521218</c:v>
                </c:pt>
                <c:pt idx="28">
                  <c:v>0</c:v>
                </c:pt>
                <c:pt idx="29">
                  <c:v>5.4571050124518878</c:v>
                </c:pt>
                <c:pt idx="30">
                  <c:v>0</c:v>
                </c:pt>
                <c:pt idx="31">
                  <c:v>5.3631846517034329</c:v>
                </c:pt>
                <c:pt idx="32">
                  <c:v>0</c:v>
                </c:pt>
                <c:pt idx="33">
                  <c:v>5.2724505473838086</c:v>
                </c:pt>
                <c:pt idx="34">
                  <c:v>0</c:v>
                </c:pt>
                <c:pt idx="35">
                  <c:v>5.1847400884477857</c:v>
                </c:pt>
                <c:pt idx="36">
                  <c:v>0</c:v>
                </c:pt>
                <c:pt idx="37">
                  <c:v>5.0999015548289597</c:v>
                </c:pt>
                <c:pt idx="38">
                  <c:v>0</c:v>
                </c:pt>
                <c:pt idx="39">
                  <c:v>5.0177932204246609</c:v>
                </c:pt>
                <c:pt idx="40">
                  <c:v>0</c:v>
                </c:pt>
                <c:pt idx="41">
                  <c:v>4.9382825432987163</c:v>
                </c:pt>
                <c:pt idx="42">
                  <c:v>0</c:v>
                </c:pt>
                <c:pt idx="43">
                  <c:v>4.8612454333734334</c:v>
                </c:pt>
                <c:pt idx="44">
                  <c:v>0</c:v>
                </c:pt>
                <c:pt idx="45">
                  <c:v>4.7865655890964343</c:v>
                </c:pt>
                <c:pt idx="46">
                  <c:v>0</c:v>
                </c:pt>
                <c:pt idx="47">
                  <c:v>4.714133895610396</c:v>
                </c:pt>
                <c:pt idx="48">
                  <c:v>0</c:v>
                </c:pt>
                <c:pt idx="49">
                  <c:v>4.6438478778846424</c:v>
                </c:pt>
                <c:pt idx="50">
                  <c:v>0</c:v>
                </c:pt>
                <c:pt idx="51">
                  <c:v>4.5756112030381413</c:v>
                </c:pt>
                <c:pt idx="52">
                  <c:v>0</c:v>
                </c:pt>
                <c:pt idx="53">
                  <c:v>4.5093332267580228</c:v>
                </c:pt>
                <c:pt idx="54">
                  <c:v>0</c:v>
                </c:pt>
                <c:pt idx="55">
                  <c:v>4.4449285793388826</c:v>
                </c:pt>
                <c:pt idx="56">
                  <c:v>0</c:v>
                </c:pt>
                <c:pt idx="57">
                  <c:v>4.3823167873496853</c:v>
                </c:pt>
                <c:pt idx="58">
                  <c:v>0</c:v>
                </c:pt>
                <c:pt idx="59">
                  <c:v>4.3214219274029926</c:v>
                </c:pt>
                <c:pt idx="60">
                  <c:v>0</c:v>
                </c:pt>
                <c:pt idx="61">
                  <c:v>4.2621723089016985</c:v>
                </c:pt>
                <c:pt idx="62">
                  <c:v>0</c:v>
                </c:pt>
                <c:pt idx="63">
                  <c:v>4.204500182959876</c:v>
                </c:pt>
                <c:pt idx="64">
                  <c:v>0</c:v>
                </c:pt>
                <c:pt idx="65">
                  <c:v>4.1483414750267134</c:v>
                </c:pt>
                <c:pt idx="66">
                  <c:v>0</c:v>
                </c:pt>
                <c:pt idx="67">
                  <c:v>4.0936355389773196</c:v>
                </c:pt>
                <c:pt idx="68">
                  <c:v>0</c:v>
                </c:pt>
                <c:pt idx="69">
                  <c:v>4.0403249306940499</c:v>
                </c:pt>
                <c:pt idx="70">
                  <c:v>0</c:v>
                </c:pt>
                <c:pt idx="71">
                  <c:v>3.9883551993653521</c:v>
                </c:pt>
                <c:pt idx="72">
                  <c:v>0</c:v>
                </c:pt>
                <c:pt idx="73">
                  <c:v>3.9376746948909194</c:v>
                </c:pt>
                <c:pt idx="74">
                  <c:v>0</c:v>
                </c:pt>
                <c:pt idx="75">
                  <c:v>3.8882343899718772</c:v>
                </c:pt>
                <c:pt idx="76">
                  <c:v>4.825900206175901E-2</c:v>
                </c:pt>
                <c:pt idx="77">
                  <c:v>3.6179114476714798</c:v>
                </c:pt>
                <c:pt idx="78">
                  <c:v>0.20054698133179918</c:v>
                </c:pt>
                <c:pt idx="79">
                  <c:v>3.1072446151479776</c:v>
                </c:pt>
                <c:pt idx="80">
                  <c:v>0.45020326198868621</c:v>
                </c:pt>
                <c:pt idx="81">
                  <c:v>2.5766056487768392</c:v>
                </c:pt>
                <c:pt idx="82">
                  <c:v>0.72867922900835702</c:v>
                </c:pt>
                <c:pt idx="83">
                  <c:v>2.1573671674153707</c:v>
                </c:pt>
                <c:pt idx="84">
                  <c:v>0.97448063639613625</c:v>
                </c:pt>
                <c:pt idx="85">
                  <c:v>1.8687442091867674</c:v>
                </c:pt>
                <c:pt idx="86">
                  <c:v>1.1608916274871139</c:v>
                </c:pt>
                <c:pt idx="87">
                  <c:v>1.6858544094263788</c:v>
                </c:pt>
                <c:pt idx="88">
                  <c:v>1.2874166642066145</c:v>
                </c:pt>
                <c:pt idx="89">
                  <c:v>1.5772131848760029</c:v>
                </c:pt>
                <c:pt idx="90">
                  <c:v>1.3659427609772004</c:v>
                </c:pt>
                <c:pt idx="91">
                  <c:v>1.5165772724299813</c:v>
                </c:pt>
                <c:pt idx="92">
                  <c:v>1.4111335135126946</c:v>
                </c:pt>
                <c:pt idx="93">
                  <c:v>1.4849713139770191</c:v>
                </c:pt>
                <c:pt idx="94">
                  <c:v>1.4355708773985443</c:v>
                </c:pt>
                <c:pt idx="95">
                  <c:v>1.4698139756747168</c:v>
                </c:pt>
                <c:pt idx="96">
                  <c:v>1.4482245752115979</c:v>
                </c:pt>
                <c:pt idx="97">
                  <c:v>1.4633707034201593</c:v>
                </c:pt>
                <c:pt idx="98">
                  <c:v>1.4547112835967466</c:v>
                </c:pt>
                <c:pt idx="99">
                  <c:v>1.4612308190430658</c:v>
                </c:pt>
                <c:pt idx="100">
                  <c:v>1.4581992974435372</c:v>
                </c:pt>
                <c:pt idx="101">
                  <c:v>1.4610633120128267</c:v>
                </c:pt>
                <c:pt idx="102">
                  <c:v>1.4603205767691243</c:v>
                </c:pt>
                <c:pt idx="103">
                  <c:v>1.4617266666451589</c:v>
                </c:pt>
                <c:pt idx="104">
                  <c:v>1.4618487321346469</c:v>
                </c:pt>
                <c:pt idx="105">
                  <c:v>1.4627025921012207</c:v>
                </c:pt>
                <c:pt idx="106">
                  <c:v>1.4631228203792039</c:v>
                </c:pt>
                <c:pt idx="107">
                  <c:v>1.4637726970763414</c:v>
                </c:pt>
                <c:pt idx="108">
                  <c:v>1.4642806138273299</c:v>
                </c:pt>
                <c:pt idx="109">
                  <c:v>1.4648514902544278</c:v>
                </c:pt>
                <c:pt idx="110">
                  <c:v>1.4653740987420738</c:v>
                </c:pt>
                <c:pt idx="111">
                  <c:v>1.4659078475939178</c:v>
                </c:pt>
                <c:pt idx="112">
                  <c:v>1.466421503489939</c:v>
                </c:pt>
                <c:pt idx="113">
                  <c:v>1.4669312168108408</c:v>
                </c:pt>
                <c:pt idx="114">
                  <c:v>1.4674287635070291</c:v>
                </c:pt>
                <c:pt idx="115">
                  <c:v>1.4679182566686744</c:v>
                </c:pt>
                <c:pt idx="116">
                  <c:v>1.4683976658733318</c:v>
                </c:pt>
                <c:pt idx="117">
                  <c:v>1.4688679704435601</c:v>
                </c:pt>
                <c:pt idx="118">
                  <c:v>1.469328699407755</c:v>
                </c:pt>
                <c:pt idx="119">
                  <c:v>1.4697800692941594</c:v>
                </c:pt>
                <c:pt idx="120">
                  <c:v>1.4702219762339064</c:v>
                </c:pt>
                <c:pt idx="121">
                  <c:v>1.4706544633163063</c:v>
                </c:pt>
                <c:pt idx="122">
                  <c:v>1.4710775074729343</c:v>
                </c:pt>
                <c:pt idx="123">
                  <c:v>1.4714911150385406</c:v>
                </c:pt>
                <c:pt idx="124">
                  <c:v>1.4718952796189895</c:v>
                </c:pt>
                <c:pt idx="125">
                  <c:v>1.472290000355376</c:v>
                </c:pt>
                <c:pt idx="126">
                  <c:v>1.4726752741399645</c:v>
                </c:pt>
                <c:pt idx="127">
                  <c:v>1.4730510988769714</c:v>
                </c:pt>
                <c:pt idx="128">
                  <c:v>1.4734174721398445</c:v>
                </c:pt>
                <c:pt idx="129">
                  <c:v>1.4737743917150747</c:v>
                </c:pt>
                <c:pt idx="130">
                  <c:v>1.4741218553859692</c:v>
                </c:pt>
                <c:pt idx="131">
                  <c:v>1.474459861015927</c:v>
                </c:pt>
                <c:pt idx="132">
                  <c:v>1.4747884065170509</c:v>
                </c:pt>
                <c:pt idx="133">
                  <c:v>1.4751074898636285</c:v>
                </c:pt>
                <c:pt idx="134">
                  <c:v>1.4754171090837422</c:v>
                </c:pt>
                <c:pt idx="135">
                  <c:v>1.4757172622649977</c:v>
                </c:pt>
                <c:pt idx="136">
                  <c:v>1.4760079475522729</c:v>
                </c:pt>
                <c:pt idx="137">
                  <c:v>1.476289163146093</c:v>
                </c:pt>
                <c:pt idx="138">
                  <c:v>1.4765609073066006</c:v>
                </c:pt>
                <c:pt idx="139">
                  <c:v>1.4768231783486374</c:v>
                </c:pt>
                <c:pt idx="140">
                  <c:v>1.4770759746472935</c:v>
                </c:pt>
                <c:pt idx="141">
                  <c:v>1.477319294631408</c:v>
                </c:pt>
                <c:pt idx="142">
                  <c:v>1.4775531367906121</c:v>
                </c:pt>
                <c:pt idx="143">
                  <c:v>1.4777774996688409</c:v>
                </c:pt>
                <c:pt idx="144">
                  <c:v>1.4779923818684857</c:v>
                </c:pt>
                <c:pt idx="145">
                  <c:v>1.4781977820489824</c:v>
                </c:pt>
                <c:pt idx="146">
                  <c:v>1.4783936989270752</c:v>
                </c:pt>
                <c:pt idx="147">
                  <c:v>1.4785801312760678</c:v>
                </c:pt>
                <c:pt idx="148">
                  <c:v>1.4787570779261383</c:v>
                </c:pt>
                <c:pt idx="149">
                  <c:v>1.4789245377667632</c:v>
                </c:pt>
                <c:pt idx="150">
                  <c:v>1.47908250974021</c:v>
                </c:pt>
                <c:pt idx="151">
                  <c:v>1.4792309928504814</c:v>
                </c:pt>
                <c:pt idx="152">
                  <c:v>1.4793699861558465</c:v>
                </c:pt>
                <c:pt idx="153">
                  <c:v>1.47949948877156</c:v>
                </c:pt>
                <c:pt idx="154">
                  <c:v>1.4796194998715451</c:v>
                </c:pt>
                <c:pt idx="155">
                  <c:v>1.47973001868552</c:v>
                </c:pt>
                <c:pt idx="156">
                  <c:v>1.4798310444998737</c:v>
                </c:pt>
                <c:pt idx="157">
                  <c:v>1.4799225766588262</c:v>
                </c:pt>
                <c:pt idx="158">
                  <c:v>1.4800046145640471</c:v>
                </c:pt>
                <c:pt idx="159">
                  <c:v>1.4800771576722007</c:v>
                </c:pt>
                <c:pt idx="160">
                  <c:v>1.4801402054988961</c:v>
                </c:pt>
                <c:pt idx="161">
                  <c:v>1.4801937576153341</c:v>
                </c:pt>
                <c:pt idx="162">
                  <c:v>1.4802378136513947</c:v>
                </c:pt>
                <c:pt idx="163">
                  <c:v>1.4802723732917804</c:v>
                </c:pt>
                <c:pt idx="164">
                  <c:v>1.4802974362791477</c:v>
                </c:pt>
                <c:pt idx="165">
                  <c:v>1.4803130024138917</c:v>
                </c:pt>
                <c:pt idx="166">
                  <c:v>1.4803190715519465</c:v>
                </c:pt>
                <c:pt idx="167">
                  <c:v>1.4803156436066258</c:v>
                </c:pt>
                <c:pt idx="168">
                  <c:v>1.4803027185487103</c:v>
                </c:pt>
                <c:pt idx="169">
                  <c:v>1.4802802964057817</c:v>
                </c:pt>
                <c:pt idx="170">
                  <c:v>1.4802483772616779</c:v>
                </c:pt>
                <c:pt idx="171">
                  <c:v>1.4802069612578377</c:v>
                </c:pt>
                <c:pt idx="172">
                  <c:v>1.480156048592709</c:v>
                </c:pt>
                <c:pt idx="173">
                  <c:v>1.4800956395207503</c:v>
                </c:pt>
                <c:pt idx="174">
                  <c:v>1.4800257343549086</c:v>
                </c:pt>
                <c:pt idx="175">
                  <c:v>1.4799463334638141</c:v>
                </c:pt>
                <c:pt idx="176">
                  <c:v>1.4798574372737179</c:v>
                </c:pt>
                <c:pt idx="177">
                  <c:v>1.4797590462673369</c:v>
                </c:pt>
                <c:pt idx="178">
                  <c:v>1.4796511609850485</c:v>
                </c:pt>
                <c:pt idx="179">
                  <c:v>1.4795337820232708</c:v>
                </c:pt>
                <c:pt idx="180">
                  <c:v>1.4794069100369305</c:v>
                </c:pt>
                <c:pt idx="181">
                  <c:v>1.4792705457359629</c:v>
                </c:pt>
                <c:pt idx="182">
                  <c:v>1.4791246898894246</c:v>
                </c:pt>
                <c:pt idx="183">
                  <c:v>1.4789693433216975</c:v>
                </c:pt>
                <c:pt idx="184">
                  <c:v>1.4788045069148077</c:v>
                </c:pt>
                <c:pt idx="185">
                  <c:v>1.478630181608521</c:v>
                </c:pt>
                <c:pt idx="186">
                  <c:v>1.4784463683985718</c:v>
                </c:pt>
                <c:pt idx="187">
                  <c:v>1.4782530683385302</c:v>
                </c:pt>
                <c:pt idx="188">
                  <c:v>1.47805028253857</c:v>
                </c:pt>
                <c:pt idx="189">
                  <c:v>1.4778380121667951</c:v>
                </c:pt>
                <c:pt idx="190">
                  <c:v>1.4776162584473322</c:v>
                </c:pt>
                <c:pt idx="191">
                  <c:v>1.4773850226620953</c:v>
                </c:pt>
                <c:pt idx="192">
                  <c:v>1.477144306150143</c:v>
                </c:pt>
                <c:pt idx="193">
                  <c:v>1.4768941103082884</c:v>
                </c:pt>
                <c:pt idx="194">
                  <c:v>1.4766344365889765</c:v>
                </c:pt>
                <c:pt idx="195">
                  <c:v>1.4763652865033261</c:v>
                </c:pt>
                <c:pt idx="196">
                  <c:v>1.4760866616192678</c:v>
                </c:pt>
                <c:pt idx="197">
                  <c:v>1.4757985635618003</c:v>
                </c:pt>
                <c:pt idx="198">
                  <c:v>1.4755009940140325</c:v>
                </c:pt>
                <c:pt idx="199">
                  <c:v>1.475193954714936</c:v>
                </c:pt>
                <c:pt idx="200">
                  <c:v>1.4748774474621373</c:v>
                </c:pt>
                <c:pt idx="201">
                  <c:v>1.47455147411036</c:v>
                </c:pt>
                <c:pt idx="202">
                  <c:v>1.4742160365709831</c:v>
                </c:pt>
                <c:pt idx="203">
                  <c:v>1.4738711368136534</c:v>
                </c:pt>
                <c:pt idx="204">
                  <c:v>1.4735167768657875</c:v>
                </c:pt>
                <c:pt idx="205">
                  <c:v>1.4731529588107393</c:v>
                </c:pt>
                <c:pt idx="206">
                  <c:v>1.4727796847911614</c:v>
                </c:pt>
                <c:pt idx="207">
                  <c:v>1.4723969570060282</c:v>
                </c:pt>
                <c:pt idx="208">
                  <c:v>1.4720047777123455</c:v>
                </c:pt>
                <c:pt idx="209">
                  <c:v>1.4716031492248145</c:v>
                </c:pt>
                <c:pt idx="210">
                  <c:v>1.4711920739161166</c:v>
                </c:pt>
                <c:pt idx="211">
                  <c:v>1.4707715542153756</c:v>
                </c:pt>
                <c:pt idx="212">
                  <c:v>1.4703415926106758</c:v>
                </c:pt>
                <c:pt idx="213">
                  <c:v>1.4699021916473951</c:v>
                </c:pt>
                <c:pt idx="214">
                  <c:v>1.4694533539286394</c:v>
                </c:pt>
                <c:pt idx="215">
                  <c:v>1.4689950821153648</c:v>
                </c:pt>
                <c:pt idx="216">
                  <c:v>1.4685273789268383</c:v>
                </c:pt>
                <c:pt idx="217">
                  <c:v>1.4680502471394161</c:v>
                </c:pt>
                <c:pt idx="218">
                  <c:v>1.4675636895879867</c:v>
                </c:pt>
                <c:pt idx="219">
                  <c:v>1.467067709165131</c:v>
                </c:pt>
                <c:pt idx="220">
                  <c:v>1.4665623088215964</c:v>
                </c:pt>
                <c:pt idx="221">
                  <c:v>1.4660474915665098</c:v>
                </c:pt>
                <c:pt idx="222">
                  <c:v>1.4655232604665853</c:v>
                </c:pt>
                <c:pt idx="223">
                  <c:v>1.4649896186463081</c:v>
                </c:pt>
                <c:pt idx="224">
                  <c:v>1.4644465692897723</c:v>
                </c:pt>
                <c:pt idx="225">
                  <c:v>1.4638941156382617</c:v>
                </c:pt>
                <c:pt idx="226">
                  <c:v>1.4633322609910822</c:v>
                </c:pt>
                <c:pt idx="227">
                  <c:v>1.4627610087070229</c:v>
                </c:pt>
                <c:pt idx="228">
                  <c:v>1.4621803622021403</c:v>
                </c:pt>
                <c:pt idx="229">
                  <c:v>1.4615903249516888</c:v>
                </c:pt>
                <c:pt idx="230">
                  <c:v>1.4609909004886221</c:v>
                </c:pt>
                <c:pt idx="231">
                  <c:v>1.4603820924054964</c:v>
                </c:pt>
                <c:pt idx="232">
                  <c:v>1.4597639043525832</c:v>
                </c:pt>
                <c:pt idx="233">
                  <c:v>1.4591363400389037</c:v>
                </c:pt>
                <c:pt idx="234">
                  <c:v>1.4584994032328171</c:v>
                </c:pt>
                <c:pt idx="235">
                  <c:v>1.4578530977601176</c:v>
                </c:pt>
                <c:pt idx="236">
                  <c:v>1.4571974275072723</c:v>
                </c:pt>
                <c:pt idx="237">
                  <c:v>1.4565323964178998</c:v>
                </c:pt>
                <c:pt idx="238">
                  <c:v>1.4558580084951143</c:v>
                </c:pt>
                <c:pt idx="239">
                  <c:v>1.4551742678014705</c:v>
                </c:pt>
                <c:pt idx="240">
                  <c:v>1.4544811784581995</c:v>
                </c:pt>
                <c:pt idx="241">
                  <c:v>1.4537787446451402</c:v>
                </c:pt>
                <c:pt idx="242">
                  <c:v>1.4530669706018902</c:v>
                </c:pt>
                <c:pt idx="243">
                  <c:v>1.4523458606274819</c:v>
                </c:pt>
                <c:pt idx="244">
                  <c:v>1.4516154190792241</c:v>
                </c:pt>
                <c:pt idx="245">
                  <c:v>1.4508756503750013</c:v>
                </c:pt>
                <c:pt idx="246">
                  <c:v>1.4501265589908172</c:v>
                </c:pt>
                <c:pt idx="247">
                  <c:v>1.44936814946301</c:v>
                </c:pt>
                <c:pt idx="248">
                  <c:v>1.4486004263876784</c:v>
                </c:pt>
                <c:pt idx="249">
                  <c:v>1.4478233944192529</c:v>
                </c:pt>
                <c:pt idx="250">
                  <c:v>1.447037058273271</c:v>
                </c:pt>
                <c:pt idx="251">
                  <c:v>1.4462414227238523</c:v>
                </c:pt>
                <c:pt idx="252">
                  <c:v>1.4454364926059553</c:v>
                </c:pt>
                <c:pt idx="253">
                  <c:v>1.4446222728132609</c:v>
                </c:pt>
                <c:pt idx="254">
                  <c:v>1.443798768300653</c:v>
                </c:pt>
                <c:pt idx="255">
                  <c:v>1.4429659840816245</c:v>
                </c:pt>
                <c:pt idx="256">
                  <c:v>1.442123925231255</c:v>
                </c:pt>
                <c:pt idx="257">
                  <c:v>1.4412725968834643</c:v>
                </c:pt>
                <c:pt idx="258">
                  <c:v>1.4404120042331574</c:v>
                </c:pt>
                <c:pt idx="259">
                  <c:v>1.4395421525354686</c:v>
                </c:pt>
                <c:pt idx="260">
                  <c:v>1.4386630471055013</c:v>
                </c:pt>
                <c:pt idx="261">
                  <c:v>1.4377746933194855</c:v>
                </c:pt>
                <c:pt idx="262">
                  <c:v>1.436877096613592</c:v>
                </c:pt>
                <c:pt idx="263">
                  <c:v>1.4359702624847146</c:v>
                </c:pt>
                <c:pt idx="264">
                  <c:v>1.4350541964908576</c:v>
                </c:pt>
                <c:pt idx="265">
                  <c:v>1.4341289042504428</c:v>
                </c:pt>
                <c:pt idx="266">
                  <c:v>1.4331943914426386</c:v>
                </c:pt>
                <c:pt idx="267">
                  <c:v>1.4322506638081427</c:v>
                </c:pt>
                <c:pt idx="268">
                  <c:v>1.4312977271479583</c:v>
                </c:pt>
                <c:pt idx="269">
                  <c:v>1.4303355873244483</c:v>
                </c:pt>
                <c:pt idx="270">
                  <c:v>1.4293642502616803</c:v>
                </c:pt>
                <c:pt idx="271">
                  <c:v>1.428383721944197</c:v>
                </c:pt>
                <c:pt idx="272">
                  <c:v>1.4273940084185659</c:v>
                </c:pt>
                <c:pt idx="273">
                  <c:v>1.4263951157925401</c:v>
                </c:pt>
                <c:pt idx="274">
                  <c:v>1.4253870502352499</c:v>
                </c:pt>
                <c:pt idx="275">
                  <c:v>1.4243698179777968</c:v>
                </c:pt>
                <c:pt idx="276">
                  <c:v>1.4233434253129631</c:v>
                </c:pt>
                <c:pt idx="277">
                  <c:v>1.4223078785951524</c:v>
                </c:pt>
                <c:pt idx="278">
                  <c:v>1.4212631842408381</c:v>
                </c:pt>
                <c:pt idx="279">
                  <c:v>1.4202093487286989</c:v>
                </c:pt>
                <c:pt idx="280">
                  <c:v>1.419146378599065</c:v>
                </c:pt>
                <c:pt idx="281">
                  <c:v>1.4180742804548598</c:v>
                </c:pt>
                <c:pt idx="282">
                  <c:v>1.4169930609612533</c:v>
                </c:pt>
                <c:pt idx="283">
                  <c:v>1.4159027268456499</c:v>
                </c:pt>
                <c:pt idx="284">
                  <c:v>1.4148032848981511</c:v>
                </c:pt>
                <c:pt idx="285">
                  <c:v>1.4136947419713519</c:v>
                </c:pt>
                <c:pt idx="286">
                  <c:v>1.4125771049805358</c:v>
                </c:pt>
                <c:pt idx="287">
                  <c:v>1.4114503809040757</c:v>
                </c:pt>
                <c:pt idx="288">
                  <c:v>1.4103145767828973</c:v>
                </c:pt>
                <c:pt idx="289">
                  <c:v>1.4091696997209748</c:v>
                </c:pt>
                <c:pt idx="290">
                  <c:v>1.408015756885822</c:v>
                </c:pt>
                <c:pt idx="291">
                  <c:v>1.4068527555076216</c:v>
                </c:pt>
                <c:pt idx="292">
                  <c:v>1.4056807028803053</c:v>
                </c:pt>
                <c:pt idx="293">
                  <c:v>1.4044996063611475</c:v>
                </c:pt>
                <c:pt idx="294">
                  <c:v>1.4033094733709714</c:v>
                </c:pt>
                <c:pt idx="295">
                  <c:v>1.402110311394124</c:v>
                </c:pt>
                <c:pt idx="296">
                  <c:v>1.400902127979333</c:v>
                </c:pt>
                <c:pt idx="297">
                  <c:v>1.3996849307380663</c:v>
                </c:pt>
                <c:pt idx="298">
                  <c:v>1.3984587273472939</c:v>
                </c:pt>
                <c:pt idx="299">
                  <c:v>1.3972235255467722</c:v>
                </c:pt>
                <c:pt idx="300">
                  <c:v>1.3959793331414032</c:v>
                </c:pt>
                <c:pt idx="301">
                  <c:v>1.3947261579999068</c:v>
                </c:pt>
                <c:pt idx="302">
                  <c:v>1.3934640080558762</c:v>
                </c:pt>
                <c:pt idx="303">
                  <c:v>1.392192891307598</c:v>
                </c:pt>
                <c:pt idx="304">
                  <c:v>1.390912815817408</c:v>
                </c:pt>
                <c:pt idx="305">
                  <c:v>1.3896237897131463</c:v>
                </c:pt>
                <c:pt idx="306">
                  <c:v>1.3883258211875564</c:v>
                </c:pt>
                <c:pt idx="307">
                  <c:v>1.3870189184979407</c:v>
                </c:pt>
                <c:pt idx="308">
                  <c:v>1.3857030899675742</c:v>
                </c:pt>
                <c:pt idx="309">
                  <c:v>1.3843783439846293</c:v>
                </c:pt>
                <c:pt idx="310">
                  <c:v>1.3830446890030943</c:v>
                </c:pt>
                <c:pt idx="311">
                  <c:v>1.3817021335420305</c:v>
                </c:pt>
                <c:pt idx="312">
                  <c:v>1.3803506861866961</c:v>
                </c:pt>
                <c:pt idx="313">
                  <c:v>1.378990355588136</c:v>
                </c:pt>
                <c:pt idx="314">
                  <c:v>1.3776211504632552</c:v>
                </c:pt>
                <c:pt idx="315">
                  <c:v>1.3762430795953344</c:v>
                </c:pt>
                <c:pt idx="316">
                  <c:v>1.3748561518337064</c:v>
                </c:pt>
                <c:pt idx="317">
                  <c:v>1.3734603760943414</c:v>
                </c:pt>
                <c:pt idx="318">
                  <c:v>1.3720557613594084</c:v>
                </c:pt>
                <c:pt idx="319">
                  <c:v>1.3706423166782595</c:v>
                </c:pt>
                <c:pt idx="320">
                  <c:v>1.3692200511667798</c:v>
                </c:pt>
                <c:pt idx="321">
                  <c:v>1.367788974007643</c:v>
                </c:pt>
                <c:pt idx="322">
                  <c:v>1.3663490944510852</c:v>
                </c:pt>
                <c:pt idx="323">
                  <c:v>1.3649004218145313</c:v>
                </c:pt>
                <c:pt idx="324">
                  <c:v>1.3634429654822797</c:v>
                </c:pt>
                <c:pt idx="325">
                  <c:v>1.3619767349068646</c:v>
                </c:pt>
                <c:pt idx="326">
                  <c:v>1.3605017396082169</c:v>
                </c:pt>
                <c:pt idx="327">
                  <c:v>1.3590179891740528</c:v>
                </c:pt>
                <c:pt idx="328">
                  <c:v>1.3575254932600982</c:v>
                </c:pt>
                <c:pt idx="329">
                  <c:v>1.3560242615905986</c:v>
                </c:pt>
                <c:pt idx="330">
                  <c:v>1.3545143039577181</c:v>
                </c:pt>
                <c:pt idx="331">
                  <c:v>1.3529956302220103</c:v>
                </c:pt>
                <c:pt idx="332">
                  <c:v>1.351468250313032</c:v>
                </c:pt>
                <c:pt idx="333">
                  <c:v>1.3499321742287909</c:v>
                </c:pt>
                <c:pt idx="334">
                  <c:v>1.348387412036482</c:v>
                </c:pt>
                <c:pt idx="335">
                  <c:v>1.3468339738721662</c:v>
                </c:pt>
                <c:pt idx="336">
                  <c:v>1.3452718699413835</c:v>
                </c:pt>
                <c:pt idx="337">
                  <c:v>1.3437011105187804</c:v>
                </c:pt>
                <c:pt idx="338">
                  <c:v>1.3421217059490209</c:v>
                </c:pt>
                <c:pt idx="339">
                  <c:v>1.3405336666460976</c:v>
                </c:pt>
                <c:pt idx="340">
                  <c:v>1.3389370030942298</c:v>
                </c:pt>
                <c:pt idx="341">
                  <c:v>1.3373317258475477</c:v>
                </c:pt>
                <c:pt idx="342">
                  <c:v>1.335717845530523</c:v>
                </c:pt>
                <c:pt idx="343">
                  <c:v>1.3340953728379332</c:v>
                </c:pt>
                <c:pt idx="344">
                  <c:v>1.3324643185354639</c:v>
                </c:pt>
                <c:pt idx="345">
                  <c:v>1.3308246934588888</c:v>
                </c:pt>
                <c:pt idx="346">
                  <c:v>1.3291765085157785</c:v>
                </c:pt>
                <c:pt idx="347">
                  <c:v>1.3275197746844114</c:v>
                </c:pt>
                <c:pt idx="348">
                  <c:v>1.3258545030142574</c:v>
                </c:pt>
                <c:pt idx="349">
                  <c:v>1.3241807046265881</c:v>
                </c:pt>
                <c:pt idx="350">
                  <c:v>1.322498390713974</c:v>
                </c:pt>
                <c:pt idx="351">
                  <c:v>1.320807572541089</c:v>
                </c:pt>
                <c:pt idx="352">
                  <c:v>1.3191082614445488</c:v>
                </c:pt>
                <c:pt idx="353">
                  <c:v>1.317400468833297</c:v>
                </c:pt>
                <c:pt idx="354">
                  <c:v>1.3156842061885894</c:v>
                </c:pt>
                <c:pt idx="355">
                  <c:v>1.3139594850642822</c:v>
                </c:pt>
                <c:pt idx="356">
                  <c:v>1.3122263170869413</c:v>
                </c:pt>
                <c:pt idx="357">
                  <c:v>1.3104847139562217</c:v>
                </c:pt>
                <c:pt idx="358">
                  <c:v>1.3087346874450683</c:v>
                </c:pt>
                <c:pt idx="359">
                  <c:v>1.3069762493994839</c:v>
                </c:pt>
                <c:pt idx="360">
                  <c:v>1.3052094117393265</c:v>
                </c:pt>
                <c:pt idx="361">
                  <c:v>1.3034341864578227</c:v>
                </c:pt>
                <c:pt idx="362">
                  <c:v>1.3016505856227947</c:v>
                </c:pt>
                <c:pt idx="363">
                  <c:v>1.2998586213756813</c:v>
                </c:pt>
                <c:pt idx="364">
                  <c:v>1.2980583059324189</c:v>
                </c:pt>
                <c:pt idx="365">
                  <c:v>1.2962496515837063</c:v>
                </c:pt>
                <c:pt idx="366">
                  <c:v>1.2944326706947245</c:v>
                </c:pt>
                <c:pt idx="367">
                  <c:v>1.2926073757059691</c:v>
                </c:pt>
                <c:pt idx="368">
                  <c:v>1.2907737791328322</c:v>
                </c:pt>
                <c:pt idx="369">
                  <c:v>1.2889318935664351</c:v>
                </c:pt>
                <c:pt idx="370">
                  <c:v>1.2870817316731185</c:v>
                </c:pt>
                <c:pt idx="371">
                  <c:v>1.2852233061954872</c:v>
                </c:pt>
                <c:pt idx="372">
                  <c:v>1.2833566299518853</c:v>
                </c:pt>
                <c:pt idx="373">
                  <c:v>1.28148171583703</c:v>
                </c:pt>
                <c:pt idx="374">
                  <c:v>1.279598576822321</c:v>
                </c:pt>
                <c:pt idx="375">
                  <c:v>1.27770722595555</c:v>
                </c:pt>
                <c:pt idx="376">
                  <c:v>1.2758076763616422</c:v>
                </c:pt>
                <c:pt idx="377">
                  <c:v>1.2738999412427046</c:v>
                </c:pt>
                <c:pt idx="378">
                  <c:v>1.2719840338781268</c:v>
                </c:pt>
                <c:pt idx="379">
                  <c:v>1.2700599676250302</c:v>
                </c:pt>
                <c:pt idx="380">
                  <c:v>1.2681277559183866</c:v>
                </c:pt>
                <c:pt idx="381">
                  <c:v>1.2661874122712515</c:v>
                </c:pt>
                <c:pt idx="382">
                  <c:v>1.2642389502748603</c:v>
                </c:pt>
                <c:pt idx="383">
                  <c:v>1.2622823835993009</c:v>
                </c:pt>
                <c:pt idx="384">
                  <c:v>1.2603177259930325</c:v>
                </c:pt>
                <c:pt idx="385">
                  <c:v>1.2583449912841198</c:v>
                </c:pt>
                <c:pt idx="386">
                  <c:v>1.2563641933794234</c:v>
                </c:pt>
                <c:pt idx="387">
                  <c:v>1.2543753462655785</c:v>
                </c:pt>
                <c:pt idx="388">
                  <c:v>1.2523784640089703</c:v>
                </c:pt>
                <c:pt idx="389">
                  <c:v>1.2503735607559157</c:v>
                </c:pt>
                <c:pt idx="390">
                  <c:v>1.2483606507331242</c:v>
                </c:pt>
                <c:pt idx="391">
                  <c:v>1.2463397482477907</c:v>
                </c:pt>
                <c:pt idx="392">
                  <c:v>1.2443108676877463</c:v>
                </c:pt>
                <c:pt idx="393">
                  <c:v>1.2422740235221743</c:v>
                </c:pt>
                <c:pt idx="394">
                  <c:v>1.2402292303013149</c:v>
                </c:pt>
                <c:pt idx="395">
                  <c:v>1.2381765026570284</c:v>
                </c:pt>
                <c:pt idx="396">
                  <c:v>1.2361158553029921</c:v>
                </c:pt>
                <c:pt idx="397">
                  <c:v>1.2340473030350763</c:v>
                </c:pt>
                <c:pt idx="398">
                  <c:v>1.2319708607312616</c:v>
                </c:pt>
                <c:pt idx="399">
                  <c:v>1.2298865433524002</c:v>
                </c:pt>
                <c:pt idx="400">
                  <c:v>1.2277943659421078</c:v>
                </c:pt>
                <c:pt idx="401">
                  <c:v>1.2256943436273837</c:v>
                </c:pt>
                <c:pt idx="402">
                  <c:v>1.2235864916182682</c:v>
                </c:pt>
                <c:pt idx="403">
                  <c:v>1.2214708252088602</c:v>
                </c:pt>
                <c:pt idx="404">
                  <c:v>1.2193473597771809</c:v>
                </c:pt>
                <c:pt idx="405">
                  <c:v>1.2172161107853618</c:v>
                </c:pt>
                <c:pt idx="406">
                  <c:v>1.2150770937804645</c:v>
                </c:pt>
                <c:pt idx="407">
                  <c:v>1.21293032439419</c:v>
                </c:pt>
                <c:pt idx="408">
                  <c:v>1.2107758183432511</c:v>
                </c:pt>
                <c:pt idx="409">
                  <c:v>1.2086135914300145</c:v>
                </c:pt>
                <c:pt idx="410">
                  <c:v>1.2064436595425632</c:v>
                </c:pt>
                <c:pt idx="411">
                  <c:v>1.2042660386549557</c:v>
                </c:pt>
                <c:pt idx="412">
                  <c:v>1.2020807448275268</c:v>
                </c:pt>
                <c:pt idx="413">
                  <c:v>1.1998877942074522</c:v>
                </c:pt>
                <c:pt idx="414">
                  <c:v>1.1976872030284955</c:v>
                </c:pt>
                <c:pt idx="415">
                  <c:v>1.1954789876120342</c:v>
                </c:pt>
                <c:pt idx="416">
                  <c:v>1.193263164366712</c:v>
                </c:pt>
                <c:pt idx="417">
                  <c:v>1.1910397497892216</c:v>
                </c:pt>
                <c:pt idx="418">
                  <c:v>1.1888087604643101</c:v>
                </c:pt>
                <c:pt idx="419">
                  <c:v>1.1865702130652269</c:v>
                </c:pt>
                <c:pt idx="420">
                  <c:v>1.1843241243541409</c:v>
                </c:pt>
                <c:pt idx="421">
                  <c:v>1.1820705111821141</c:v>
                </c:pt>
                <c:pt idx="422">
                  <c:v>1.1798093904900235</c:v>
                </c:pt>
                <c:pt idx="423">
                  <c:v>1.1775407793081274</c:v>
                </c:pt>
                <c:pt idx="424">
                  <c:v>1.1752646947571483</c:v>
                </c:pt>
                <c:pt idx="425">
                  <c:v>1.1729811540479458</c:v>
                </c:pt>
                <c:pt idx="426">
                  <c:v>1.1706901744823619</c:v>
                </c:pt>
                <c:pt idx="427">
                  <c:v>1.1683917734532168</c:v>
                </c:pt>
                <c:pt idx="428">
                  <c:v>1.1660859684449487</c:v>
                </c:pt>
                <c:pt idx="429">
                  <c:v>1.1637727770336701</c:v>
                </c:pt>
                <c:pt idx="430">
                  <c:v>1.16145221688768</c:v>
                </c:pt>
                <c:pt idx="431">
                  <c:v>1.1591243057675995</c:v>
                </c:pt>
                <c:pt idx="432">
                  <c:v>1.1567890615271541</c:v>
                </c:pt>
                <c:pt idx="433">
                  <c:v>1.1544465021131076</c:v>
                </c:pt>
                <c:pt idx="434">
                  <c:v>1.1520966455659043</c:v>
                </c:pt>
                <c:pt idx="435">
                  <c:v>1.1497395100196637</c:v>
                </c:pt>
                <c:pt idx="436">
                  <c:v>1.1473751137028885</c:v>
                </c:pt>
                <c:pt idx="437">
                  <c:v>1.1450034749389317</c:v>
                </c:pt>
                <c:pt idx="438">
                  <c:v>1.1426246121457235</c:v>
                </c:pt>
                <c:pt idx="439">
                  <c:v>1.140238543837039</c:v>
                </c:pt>
                <c:pt idx="440">
                  <c:v>1.1378452886221615</c:v>
                </c:pt>
                <c:pt idx="441">
                  <c:v>1.1354448652063891</c:v>
                </c:pt>
                <c:pt idx="442">
                  <c:v>1.1330372923918224</c:v>
                </c:pt>
                <c:pt idx="443">
                  <c:v>1.1306225890772228</c:v>
                </c:pt>
                <c:pt idx="444">
                  <c:v>1.1282007742587221</c:v>
                </c:pt>
                <c:pt idx="445">
                  <c:v>1.1257718670301737</c:v>
                </c:pt>
                <c:pt idx="446">
                  <c:v>1.1233358865833785</c:v>
                </c:pt>
                <c:pt idx="447">
                  <c:v>1.1208928522088089</c:v>
                </c:pt>
                <c:pt idx="448">
                  <c:v>1.1184427832955028</c:v>
                </c:pt>
                <c:pt idx="449">
                  <c:v>1.1159856993320172</c:v>
                </c:pt>
                <c:pt idx="450">
                  <c:v>1.1135216199065063</c:v>
                </c:pt>
                <c:pt idx="451">
                  <c:v>1.11105056470718</c:v>
                </c:pt>
                <c:pt idx="452">
                  <c:v>1.1085725535227684</c:v>
                </c:pt>
                <c:pt idx="453">
                  <c:v>1.106087606242903</c:v>
                </c:pt>
                <c:pt idx="454">
                  <c:v>1.103595742858565</c:v>
                </c:pt>
                <c:pt idx="455">
                  <c:v>1.1010969834624591</c:v>
                </c:pt>
                <c:pt idx="456">
                  <c:v>1.0985913482496181</c:v>
                </c:pt>
                <c:pt idx="457">
                  <c:v>1.0960788575174738</c:v>
                </c:pt>
                <c:pt idx="458">
                  <c:v>1.0935595316665896</c:v>
                </c:pt>
                <c:pt idx="459">
                  <c:v>1.0910333912012073</c:v>
                </c:pt>
                <c:pt idx="460">
                  <c:v>1.0885004567291492</c:v>
                </c:pt>
                <c:pt idx="461">
                  <c:v>1.0859607489630065</c:v>
                </c:pt>
                <c:pt idx="462">
                  <c:v>1.0834142887199243</c:v>
                </c:pt>
                <c:pt idx="463">
                  <c:v>1.0808610969223149</c:v>
                </c:pt>
                <c:pt idx="464">
                  <c:v>1.0783011945985936</c:v>
                </c:pt>
                <c:pt idx="465">
                  <c:v>1.0757346028831167</c:v>
                </c:pt>
                <c:pt idx="466">
                  <c:v>1.0731613430170384</c:v>
                </c:pt>
                <c:pt idx="467">
                  <c:v>1.0705814363485295</c:v>
                </c:pt>
                <c:pt idx="468">
                  <c:v>1.0679949043334989</c:v>
                </c:pt>
                <c:pt idx="469">
                  <c:v>1.0654017685358583</c:v>
                </c:pt>
                <c:pt idx="470">
                  <c:v>1.0628020506281399</c:v>
                </c:pt>
                <c:pt idx="471">
                  <c:v>1.0601957723918125</c:v>
                </c:pt>
                <c:pt idx="472">
                  <c:v>1.0575829557180738</c:v>
                </c:pt>
                <c:pt idx="473">
                  <c:v>1.0549636226079642</c:v>
                </c:pt>
                <c:pt idx="474">
                  <c:v>1.0523377951731663</c:v>
                </c:pt>
                <c:pt idx="475">
                  <c:v>1.0497054956362988</c:v>
                </c:pt>
                <c:pt idx="476">
                  <c:v>1.0470667463315826</c:v>
                </c:pt>
                <c:pt idx="477">
                  <c:v>1.0444215697053112</c:v>
                </c:pt>
                <c:pt idx="478">
                  <c:v>1.0417699883163321</c:v>
                </c:pt>
                <c:pt idx="479">
                  <c:v>1.0391120248365295</c:v>
                </c:pt>
                <c:pt idx="480">
                  <c:v>1.0364477020513303</c:v>
                </c:pt>
                <c:pt idx="481">
                  <c:v>1.0337770428604469</c:v>
                </c:pt>
                <c:pt idx="482">
                  <c:v>1.0311000702781461</c:v>
                </c:pt>
                <c:pt idx="483">
                  <c:v>1.0284168074339772</c:v>
                </c:pt>
                <c:pt idx="484">
                  <c:v>1.0257272775731912</c:v>
                </c:pt>
                <c:pt idx="485">
                  <c:v>1.0230315040572786</c:v>
                </c:pt>
                <c:pt idx="486">
                  <c:v>1.020329510364663</c:v>
                </c:pt>
                <c:pt idx="487">
                  <c:v>1.0176213200911577</c:v>
                </c:pt>
                <c:pt idx="488">
                  <c:v>1.0149069569504847</c:v>
                </c:pt>
                <c:pt idx="489">
                  <c:v>1.0121864447749611</c:v>
                </c:pt>
                <c:pt idx="490">
                  <c:v>1.0094598075158987</c:v>
                </c:pt>
                <c:pt idx="491">
                  <c:v>1.0067270692444443</c:v>
                </c:pt>
                <c:pt idx="492">
                  <c:v>1.003988254151893</c:v>
                </c:pt>
                <c:pt idx="493">
                  <c:v>1.0012433865502999</c:v>
                </c:pt>
                <c:pt idx="494">
                  <c:v>0.99849249087340852</c:v>
                </c:pt>
                <c:pt idx="495">
                  <c:v>0.99573559167680425</c:v>
                </c:pt>
                <c:pt idx="496">
                  <c:v>0.99297271363864614</c:v>
                </c:pt>
                <c:pt idx="497">
                  <c:v>0.99020388156054406</c:v>
                </c:pt>
                <c:pt idx="498">
                  <c:v>0.98742912036782493</c:v>
                </c:pt>
                <c:pt idx="499">
                  <c:v>0.98464845511028454</c:v>
                </c:pt>
                <c:pt idx="500">
                  <c:v>0.9818619109629374</c:v>
                </c:pt>
                <c:pt idx="501">
                  <c:v>0.97906951322639268</c:v>
                </c:pt>
                <c:pt idx="502">
                  <c:v>0.97627128732764157</c:v>
                </c:pt>
                <c:pt idx="503">
                  <c:v>0.97346725882084395</c:v>
                </c:pt>
                <c:pt idx="504">
                  <c:v>0.97065745338751008</c:v>
                </c:pt>
                <c:pt idx="505">
                  <c:v>0.96784189683774624</c:v>
                </c:pt>
                <c:pt idx="506">
                  <c:v>0.96502061511044834</c:v>
                </c:pt>
                <c:pt idx="507">
                  <c:v>0.96219363427417859</c:v>
                </c:pt>
                <c:pt idx="508">
                  <c:v>0.95936098052786689</c:v>
                </c:pt>
                <c:pt idx="509">
                  <c:v>0.95652268020135733</c:v>
                </c:pt>
                <c:pt idx="510">
                  <c:v>0.95367875975600724</c:v>
                </c:pt>
                <c:pt idx="511">
                  <c:v>0.95082924578582961</c:v>
                </c:pt>
                <c:pt idx="512">
                  <c:v>0.94797416501763498</c:v>
                </c:pt>
                <c:pt idx="513">
                  <c:v>0.94511354431213412</c:v>
                </c:pt>
                <c:pt idx="514">
                  <c:v>0.94224741066433904</c:v>
                </c:pt>
                <c:pt idx="515">
                  <c:v>0.93937579120451375</c:v>
                </c:pt>
                <c:pt idx="516">
                  <c:v>0.93649871319891043</c:v>
                </c:pt>
                <c:pt idx="517">
                  <c:v>0.93361620405006462</c:v>
                </c:pt>
                <c:pt idx="518">
                  <c:v>0.93072829129830748</c:v>
                </c:pt>
                <c:pt idx="519">
                  <c:v>0.92783500262170637</c:v>
                </c:pt>
                <c:pt idx="520">
                  <c:v>0.92493636583732219</c:v>
                </c:pt>
                <c:pt idx="521">
                  <c:v>0.92203240890188254</c:v>
                </c:pt>
                <c:pt idx="522">
                  <c:v>0.91912315991230087</c:v>
                </c:pt>
                <c:pt idx="523">
                  <c:v>0.91620864710679495</c:v>
                </c:pt>
                <c:pt idx="524">
                  <c:v>0.91328889886526188</c:v>
                </c:pt>
                <c:pt idx="525">
                  <c:v>0.91036394371056839</c:v>
                </c:pt>
                <c:pt idx="526">
                  <c:v>0.90743381030876868</c:v>
                </c:pt>
                <c:pt idx="527">
                  <c:v>0.90449852747053949</c:v>
                </c:pt>
                <c:pt idx="528">
                  <c:v>0.9015581241513877</c:v>
                </c:pt>
                <c:pt idx="529">
                  <c:v>0.89861262945270515</c:v>
                </c:pt>
                <c:pt idx="530">
                  <c:v>0.89566207262280473</c:v>
                </c:pt>
                <c:pt idx="531">
                  <c:v>0.89270648305744082</c:v>
                </c:pt>
                <c:pt idx="532">
                  <c:v>0.88974589030065565</c:v>
                </c:pt>
                <c:pt idx="533">
                  <c:v>0.88678032404598117</c:v>
                </c:pt>
                <c:pt idx="534">
                  <c:v>0.88380981413679549</c:v>
                </c:pt>
                <c:pt idx="535">
                  <c:v>0.88083439056765933</c:v>
                </c:pt>
                <c:pt idx="536">
                  <c:v>0.87785408348464622</c:v>
                </c:pt>
                <c:pt idx="537">
                  <c:v>0.87486892318693377</c:v>
                </c:pt>
                <c:pt idx="538">
                  <c:v>0.87187894012692391</c:v>
                </c:pt>
                <c:pt idx="539">
                  <c:v>0.86888416491169651</c:v>
                </c:pt>
                <c:pt idx="540">
                  <c:v>0.86588462830377533</c:v>
                </c:pt>
                <c:pt idx="541">
                  <c:v>0.86288036122180245</c:v>
                </c:pt>
                <c:pt idx="542">
                  <c:v>0.85987139474171081</c:v>
                </c:pt>
                <c:pt idx="543">
                  <c:v>0.85685776009779235</c:v>
                </c:pt>
                <c:pt idx="544">
                  <c:v>0.85383948868312398</c:v>
                </c:pt>
                <c:pt idx="545">
                  <c:v>0.85081661205101655</c:v>
                </c:pt>
                <c:pt idx="546">
                  <c:v>0.8477891619157738</c:v>
                </c:pt>
                <c:pt idx="547">
                  <c:v>0.8447571701536748</c:v>
                </c:pt>
                <c:pt idx="548">
                  <c:v>0.84172066880387553</c:v>
                </c:pt>
                <c:pt idx="549">
                  <c:v>0.83867969006963938</c:v>
                </c:pt>
                <c:pt idx="550">
                  <c:v>0.83563426631899473</c:v>
                </c:pt>
                <c:pt idx="551">
                  <c:v>0.83258443008599758</c:v>
                </c:pt>
                <c:pt idx="552">
                  <c:v>0.82953021407154337</c:v>
                </c:pt>
                <c:pt idx="553">
                  <c:v>0.82647165114488286</c:v>
                </c:pt>
                <c:pt idx="554">
                  <c:v>0.82340877434387338</c:v>
                </c:pt>
                <c:pt idx="555">
                  <c:v>0.82034161687670548</c:v>
                </c:pt>
                <c:pt idx="556">
                  <c:v>0.81727021212261053</c:v>
                </c:pt>
                <c:pt idx="557">
                  <c:v>0.8141945936330035</c:v>
                </c:pt>
                <c:pt idx="558">
                  <c:v>0.81111479513272045</c:v>
                </c:pt>
                <c:pt idx="559">
                  <c:v>0.80803085052083901</c:v>
                </c:pt>
                <c:pt idx="560">
                  <c:v>0.80494279387203804</c:v>
                </c:pt>
                <c:pt idx="561">
                  <c:v>0.80185065943748968</c:v>
                </c:pt>
                <c:pt idx="562">
                  <c:v>0.79875448164607399</c:v>
                </c:pt>
                <c:pt idx="563">
                  <c:v>0.79565429510570651</c:v>
                </c:pt>
                <c:pt idx="564">
                  <c:v>0.79255013460409329</c:v>
                </c:pt>
                <c:pt idx="565">
                  <c:v>0.78944203511020883</c:v>
                </c:pt>
                <c:pt idx="566">
                  <c:v>0.78633003177540051</c:v>
                </c:pt>
                <c:pt idx="567">
                  <c:v>0.78321415993445331</c:v>
                </c:pt>
                <c:pt idx="568">
                  <c:v>0.78009445510691899</c:v>
                </c:pt>
                <c:pt idx="569">
                  <c:v>0.7769709529983031</c:v>
                </c:pt>
                <c:pt idx="570">
                  <c:v>0.77384368950116056</c:v>
                </c:pt>
                <c:pt idx="571">
                  <c:v>0.77071270069657072</c:v>
                </c:pt>
                <c:pt idx="572">
                  <c:v>0.76757802285512078</c:v>
                </c:pt>
                <c:pt idx="573">
                  <c:v>0.76443969243831167</c:v>
                </c:pt>
                <c:pt idx="574">
                  <c:v>0.76129774609991663</c:v>
                </c:pt>
                <c:pt idx="575">
                  <c:v>0.75815222068699695</c:v>
                </c:pt>
                <c:pt idx="576">
                  <c:v>0.75500315324140588</c:v>
                </c:pt>
                <c:pt idx="577">
                  <c:v>0.75185058100117219</c:v>
                </c:pt>
                <c:pt idx="578">
                  <c:v>0.74869454140156333</c:v>
                </c:pt>
                <c:pt idx="579">
                  <c:v>0.74553507207673075</c:v>
                </c:pt>
                <c:pt idx="580">
                  <c:v>0.74237221086063143</c:v>
                </c:pt>
                <c:pt idx="581">
                  <c:v>0.73920599578911927</c:v>
                </c:pt>
                <c:pt idx="582">
                  <c:v>0.73603646510040532</c:v>
                </c:pt>
                <c:pt idx="583">
                  <c:v>0.73286365723739599</c:v>
                </c:pt>
                <c:pt idx="584">
                  <c:v>0.72968761084827316</c:v>
                </c:pt>
                <c:pt idx="585">
                  <c:v>0.72650836478852898</c:v>
                </c:pt>
                <c:pt idx="586">
                  <c:v>0.72332595812219014</c:v>
                </c:pt>
                <c:pt idx="587">
                  <c:v>0.7201404301230977</c:v>
                </c:pt>
                <c:pt idx="588">
                  <c:v>0.71695182027676096</c:v>
                </c:pt>
                <c:pt idx="589">
                  <c:v>0.71376016828152977</c:v>
                </c:pt>
                <c:pt idx="590">
                  <c:v>0.7105655140502779</c:v>
                </c:pt>
                <c:pt idx="591">
                  <c:v>0.70736789771189634</c:v>
                </c:pt>
                <c:pt idx="592">
                  <c:v>0.70416735961269872</c:v>
                </c:pt>
                <c:pt idx="593">
                  <c:v>0.70096394031824216</c:v>
                </c:pt>
                <c:pt idx="594">
                  <c:v>0.69775768061459176</c:v>
                </c:pt>
                <c:pt idx="595">
                  <c:v>0.69454862151029961</c:v>
                </c:pt>
                <c:pt idx="596">
                  <c:v>0.69133680423752719</c:v>
                </c:pt>
                <c:pt idx="597">
                  <c:v>0.68812227025409034</c:v>
                </c:pt>
                <c:pt idx="598">
                  <c:v>0.68490506124511419</c:v>
                </c:pt>
                <c:pt idx="599">
                  <c:v>0.68168521912417435</c:v>
                </c:pt>
                <c:pt idx="600">
                  <c:v>0.67846278603561794</c:v>
                </c:pt>
                <c:pt idx="601">
                  <c:v>0.67523780435589686</c:v>
                </c:pt>
                <c:pt idx="602">
                  <c:v>0.67201031669541234</c:v>
                </c:pt>
                <c:pt idx="603">
                  <c:v>0.66878036590021617</c:v>
                </c:pt>
                <c:pt idx="604">
                  <c:v>0.66554799505372109</c:v>
                </c:pt>
                <c:pt idx="605">
                  <c:v>0.66231324747860332</c:v>
                </c:pt>
                <c:pt idx="606">
                  <c:v>0.65907616673864666</c:v>
                </c:pt>
                <c:pt idx="607">
                  <c:v>0.65583679664018479</c:v>
                </c:pt>
                <c:pt idx="608">
                  <c:v>0.65259518123439264</c:v>
                </c:pt>
                <c:pt idx="609">
                  <c:v>0.64935136481904587</c:v>
                </c:pt>
                <c:pt idx="610">
                  <c:v>0.64610539194005578</c:v>
                </c:pt>
                <c:pt idx="611">
                  <c:v>0.64285730739376901</c:v>
                </c:pt>
                <c:pt idx="612">
                  <c:v>0.63960715622889186</c:v>
                </c:pt>
                <c:pt idx="613">
                  <c:v>0.63635498374816968</c:v>
                </c:pt>
                <c:pt idx="614">
                  <c:v>0.63310083551050444</c:v>
                </c:pt>
                <c:pt idx="615">
                  <c:v>0.62984475733285916</c:v>
                </c:pt>
                <c:pt idx="616">
                  <c:v>0.62658679529250638</c:v>
                </c:pt>
                <c:pt idx="617">
                  <c:v>0.62332699572890304</c:v>
                </c:pt>
                <c:pt idx="618">
                  <c:v>0.62006540524552312</c:v>
                </c:pt>
                <c:pt idx="619">
                  <c:v>0.61680207071240045</c:v>
                </c:pt>
                <c:pt idx="620">
                  <c:v>0.61353703926800296</c:v>
                </c:pt>
                <c:pt idx="621">
                  <c:v>0.61027035832121757</c:v>
                </c:pt>
                <c:pt idx="622">
                  <c:v>0.60700207555368857</c:v>
                </c:pt>
                <c:pt idx="623">
                  <c:v>0.60373223892225136</c:v>
                </c:pt>
                <c:pt idx="624">
                  <c:v>0.60046089666053781</c:v>
                </c:pt>
                <c:pt idx="625">
                  <c:v>0.59718809728175737</c:v>
                </c:pt>
                <c:pt idx="626">
                  <c:v>0.59391388958046998</c:v>
                </c:pt>
                <c:pt idx="627">
                  <c:v>0.59063832263538851</c:v>
                </c:pt>
                <c:pt idx="628">
                  <c:v>0.5873614458115114</c:v>
                </c:pt>
                <c:pt idx="629">
                  <c:v>0.58408330876204706</c:v>
                </c:pt>
                <c:pt idx="630">
                  <c:v>0.58080396143138191</c:v>
                </c:pt>
                <c:pt idx="631">
                  <c:v>0.57752345405736305</c:v>
                </c:pt>
                <c:pt idx="632">
                  <c:v>0.57424183717316668</c:v>
                </c:pt>
                <c:pt idx="633">
                  <c:v>0.57095916161046101</c:v>
                </c:pt>
                <c:pt idx="634">
                  <c:v>0.56767547850163413</c:v>
                </c:pt>
                <c:pt idx="635">
                  <c:v>0.56439083928211975</c:v>
                </c:pt>
                <c:pt idx="636">
                  <c:v>0.56110529569315459</c:v>
                </c:pt>
                <c:pt idx="637">
                  <c:v>0.5578188997841913</c:v>
                </c:pt>
                <c:pt idx="638">
                  <c:v>0.55453170391572304</c:v>
                </c:pt>
                <c:pt idx="639">
                  <c:v>0.55124376076169135</c:v>
                </c:pt>
                <c:pt idx="640">
                  <c:v>0.54795512331233676</c:v>
                </c:pt>
                <c:pt idx="641">
                  <c:v>0.54466584487671099</c:v>
                </c:pt>
                <c:pt idx="642">
                  <c:v>0.54137597908540469</c:v>
                </c:pt>
                <c:pt idx="643">
                  <c:v>0.53808557989363504</c:v>
                </c:pt>
                <c:pt idx="644">
                  <c:v>0.53479470158359976</c:v>
                </c:pt>
                <c:pt idx="645">
                  <c:v>0.53150339876761743</c:v>
                </c:pt>
                <c:pt idx="646">
                  <c:v>0.52821172639070735</c:v>
                </c:pt>
                <c:pt idx="647">
                  <c:v>0.52491973973401529</c:v>
                </c:pt>
                <c:pt idx="648">
                  <c:v>0.52162749441690348</c:v>
                </c:pt>
                <c:pt idx="649">
                  <c:v>0.518335046400768</c:v>
                </c:pt>
                <c:pt idx="650">
                  <c:v>0.51504245199147569</c:v>
                </c:pt>
                <c:pt idx="651">
                  <c:v>0.51174976784269166</c:v>
                </c:pt>
                <c:pt idx="652">
                  <c:v>0.5084570509587486</c:v>
                </c:pt>
                <c:pt idx="653">
                  <c:v>0.5051643586979625</c:v>
                </c:pt>
                <c:pt idx="654">
                  <c:v>0.50187174877568363</c:v>
                </c:pt>
                <c:pt idx="655">
                  <c:v>0.49857927926736978</c:v>
                </c:pt>
                <c:pt idx="656">
                  <c:v>0.4952870086120349</c:v>
                </c:pt>
                <c:pt idx="657">
                  <c:v>0.4919949956153411</c:v>
                </c:pt>
                <c:pt idx="658">
                  <c:v>0.48870329945289648</c:v>
                </c:pt>
                <c:pt idx="659">
                  <c:v>0.48541197967387817</c:v>
                </c:pt>
                <c:pt idx="660">
                  <c:v>0.48212109620401944</c:v>
                </c:pt>
                <c:pt idx="661">
                  <c:v>0.47883070934918959</c:v>
                </c:pt>
                <c:pt idx="662">
                  <c:v>0.47554087979904403</c:v>
                </c:pt>
                <c:pt idx="663">
                  <c:v>0.47225166863023027</c:v>
                </c:pt>
                <c:pt idx="664">
                  <c:v>0.46896313731017936</c:v>
                </c:pt>
                <c:pt idx="665">
                  <c:v>0.46567534770049157</c:v>
                </c:pt>
                <c:pt idx="666">
                  <c:v>0.46238836206087197</c:v>
                </c:pt>
                <c:pt idx="667">
                  <c:v>0.45910224305232217</c:v>
                </c:pt>
                <c:pt idx="668">
                  <c:v>0.45581705374146142</c:v>
                </c:pt>
                <c:pt idx="669">
                  <c:v>0.4525328576038391</c:v>
                </c:pt>
                <c:pt idx="670">
                  <c:v>0.44924971852799378</c:v>
                </c:pt>
                <c:pt idx="671">
                  <c:v>0.44596770081910719</c:v>
                </c:pt>
                <c:pt idx="672">
                  <c:v>0.44268686920309164</c:v>
                </c:pt>
                <c:pt idx="673">
                  <c:v>0.43940728883060309</c:v>
                </c:pt>
                <c:pt idx="674">
                  <c:v>0.43612902528063957</c:v>
                </c:pt>
                <c:pt idx="675">
                  <c:v>0.43285214456519383</c:v>
                </c:pt>
                <c:pt idx="676">
                  <c:v>0.42957671313288492</c:v>
                </c:pt>
                <c:pt idx="677">
                  <c:v>0.42630279787317449</c:v>
                </c:pt>
                <c:pt idx="678">
                  <c:v>0.42303046612067374</c:v>
                </c:pt>
                <c:pt idx="679">
                  <c:v>0.41975978565951899</c:v>
                </c:pt>
                <c:pt idx="680">
                  <c:v>0.41649082472721966</c:v>
                </c:pt>
                <c:pt idx="681">
                  <c:v>0.41322365201950473</c:v>
                </c:pt>
                <c:pt idx="682">
                  <c:v>0.40995833669434156</c:v>
                </c:pt>
                <c:pt idx="683">
                  <c:v>0.40669494837670117</c:v>
                </c:pt>
                <c:pt idx="684">
                  <c:v>0.40343355716272211</c:v>
                </c:pt>
                <c:pt idx="685">
                  <c:v>0.40017423362450788</c:v>
                </c:pt>
                <c:pt idx="686">
                  <c:v>0.39691704881469603</c:v>
                </c:pt>
                <c:pt idx="687">
                  <c:v>0.39366207427101563</c:v>
                </c:pt>
                <c:pt idx="688">
                  <c:v>0.39040938202105113</c:v>
                </c:pt>
                <c:pt idx="689">
                  <c:v>0.38715904458710848</c:v>
                </c:pt>
                <c:pt idx="690">
                  <c:v>0.38391113499082907</c:v>
                </c:pt>
                <c:pt idx="691">
                  <c:v>0.38066572675822963</c:v>
                </c:pt>
                <c:pt idx="692">
                  <c:v>0.37742289392452166</c:v>
                </c:pt>
                <c:pt idx="693">
                  <c:v>0.37418271103928824</c:v>
                </c:pt>
                <c:pt idx="694">
                  <c:v>0.37094525317117055</c:v>
                </c:pt>
                <c:pt idx="695">
                  <c:v>0.36771059591344646</c:v>
                </c:pt>
                <c:pt idx="696">
                  <c:v>0.36447881538862448</c:v>
                </c:pt>
                <c:pt idx="697">
                  <c:v>0.36124998825411136</c:v>
                </c:pt>
                <c:pt idx="698">
                  <c:v>0.35802419170727673</c:v>
                </c:pt>
                <c:pt idx="699">
                  <c:v>0.35480150349067818</c:v>
                </c:pt>
                <c:pt idx="700">
                  <c:v>0.35158200189764421</c:v>
                </c:pt>
                <c:pt idx="701">
                  <c:v>0.34836576577763056</c:v>
                </c:pt>
                <c:pt idx="702">
                  <c:v>0.34515287454164956</c:v>
                </c:pt>
                <c:pt idx="703">
                  <c:v>0.34194340816781676</c:v>
                </c:pt>
                <c:pt idx="704">
                  <c:v>0.33873744720695464</c:v>
                </c:pt>
                <c:pt idx="705">
                  <c:v>0.33553507278837713</c:v>
                </c:pt>
                <c:pt idx="706">
                  <c:v>0.33233636662546406</c:v>
                </c:pt>
                <c:pt idx="707">
                  <c:v>0.32914141102126238</c:v>
                </c:pt>
                <c:pt idx="708">
                  <c:v>0.32595028887493993</c:v>
                </c:pt>
                <c:pt idx="709">
                  <c:v>0.32276308368665196</c:v>
                </c:pt>
                <c:pt idx="710">
                  <c:v>0.31957987956455147</c:v>
                </c:pt>
                <c:pt idx="711">
                  <c:v>0.31640076123000271</c:v>
                </c:pt>
                <c:pt idx="712">
                  <c:v>0.31322581402389005</c:v>
                </c:pt>
                <c:pt idx="713">
                  <c:v>0.31005512391276846</c:v>
                </c:pt>
                <c:pt idx="714">
                  <c:v>0.30688877749482335</c:v>
                </c:pt>
                <c:pt idx="715">
                  <c:v>0.30372686200630572</c:v>
                </c:pt>
                <c:pt idx="716">
                  <c:v>0.30056946532755069</c:v>
                </c:pt>
                <c:pt idx="717">
                  <c:v>0.29741667598937627</c:v>
                </c:pt>
                <c:pt idx="718">
                  <c:v>0.29426858317941951</c:v>
                </c:pt>
                <c:pt idx="719">
                  <c:v>0.29112527674835431</c:v>
                </c:pt>
                <c:pt idx="720">
                  <c:v>0.28798684721666479</c:v>
                </c:pt>
                <c:pt idx="721">
                  <c:v>0.28485338578078934</c:v>
                </c:pt>
                <c:pt idx="722">
                  <c:v>0.28172498431987358</c:v>
                </c:pt>
                <c:pt idx="723">
                  <c:v>0.27860173540194333</c:v>
                </c:pt>
                <c:pt idx="724">
                  <c:v>0.2754837322910354</c:v>
                </c:pt>
                <c:pt idx="725">
                  <c:v>0.27237106895344376</c:v>
                </c:pt>
                <c:pt idx="726">
                  <c:v>0.2692638400644749</c:v>
                </c:pt>
                <c:pt idx="727">
                  <c:v>0.26616214101504665</c:v>
                </c:pt>
                <c:pt idx="728">
                  <c:v>0.26306606791866061</c:v>
                </c:pt>
                <c:pt idx="729">
                  <c:v>0.25997571761779925</c:v>
                </c:pt>
                <c:pt idx="730">
                  <c:v>0.25689118769105124</c:v>
                </c:pt>
                <c:pt idx="731">
                  <c:v>0.25381257645950672</c:v>
                </c:pt>
                <c:pt idx="732">
                  <c:v>0.25073998299387457</c:v>
                </c:pt>
                <c:pt idx="733">
                  <c:v>0.24767350712108768</c:v>
                </c:pt>
                <c:pt idx="734">
                  <c:v>0.24461324943135401</c:v>
                </c:pt>
                <c:pt idx="735">
                  <c:v>0.24155931128458222</c:v>
                </c:pt>
                <c:pt idx="736">
                  <c:v>0.23851179481750465</c:v>
                </c:pt>
                <c:pt idx="737">
                  <c:v>0.23547080295035219</c:v>
                </c:pt>
                <c:pt idx="738">
                  <c:v>0.23243643939386052</c:v>
                </c:pt>
                <c:pt idx="739">
                  <c:v>0.22940880865560001</c:v>
                </c:pt>
                <c:pt idx="740">
                  <c:v>0.22638801604725853</c:v>
                </c:pt>
                <c:pt idx="741">
                  <c:v>0.22337416769067978</c:v>
                </c:pt>
                <c:pt idx="742">
                  <c:v>0.22036737052540004</c:v>
                </c:pt>
                <c:pt idx="743">
                  <c:v>0.21736773231458087</c:v>
                </c:pt>
                <c:pt idx="744">
                  <c:v>0.21437536165175916</c:v>
                </c:pt>
                <c:pt idx="745">
                  <c:v>0.21139036796757402</c:v>
                </c:pt>
                <c:pt idx="746">
                  <c:v>0.20841286153597641</c:v>
                </c:pt>
                <c:pt idx="747">
                  <c:v>0.20544295348072064</c:v>
                </c:pt>
                <c:pt idx="748">
                  <c:v>0.20248075578159272</c:v>
                </c:pt>
                <c:pt idx="749">
                  <c:v>0.19952638128049274</c:v>
                </c:pt>
                <c:pt idx="750">
                  <c:v>0.19657994368772916</c:v>
                </c:pt>
                <c:pt idx="751">
                  <c:v>0.19364155758766152</c:v>
                </c:pt>
                <c:pt idx="752">
                  <c:v>0.19071133844490698</c:v>
                </c:pt>
                <c:pt idx="753">
                  <c:v>0.18778940260942653</c:v>
                </c:pt>
                <c:pt idx="754">
                  <c:v>0.18487586732256558</c:v>
                </c:pt>
                <c:pt idx="755">
                  <c:v>0.18197085072210153</c:v>
                </c:pt>
                <c:pt idx="756">
                  <c:v>0.1790744718473963</c:v>
                </c:pt>
                <c:pt idx="757">
                  <c:v>0.17618685064426579</c:v>
                </c:pt>
                <c:pt idx="758">
                  <c:v>0.17330810796983268</c:v>
                </c:pt>
                <c:pt idx="759">
                  <c:v>0.17043836559676509</c:v>
                </c:pt>
                <c:pt idx="760">
                  <c:v>0.16757774621765928</c:v>
                </c:pt>
                <c:pt idx="761">
                  <c:v>0.16472637344879706</c:v>
                </c:pt>
                <c:pt idx="762">
                  <c:v>0.16188437183373314</c:v>
                </c:pt>
                <c:pt idx="763">
                  <c:v>0.15905186684675696</c:v>
                </c:pt>
                <c:pt idx="764">
                  <c:v>0.15622898489549294</c:v>
                </c:pt>
                <c:pt idx="765">
                  <c:v>0.15341585332377125</c:v>
                </c:pt>
                <c:pt idx="766">
                  <c:v>0.15061260041352251</c:v>
                </c:pt>
                <c:pt idx="767">
                  <c:v>0.14781935538662788</c:v>
                </c:pt>
                <c:pt idx="768">
                  <c:v>0.14503624840621993</c:v>
                </c:pt>
                <c:pt idx="769">
                  <c:v>0.14226341057722255</c:v>
                </c:pt>
                <c:pt idx="770">
                  <c:v>0.13950097394688069</c:v>
                </c:pt>
                <c:pt idx="771">
                  <c:v>0.13674907150432622</c:v>
                </c:pt>
                <c:pt idx="772">
                  <c:v>0.13400783717958098</c:v>
                </c:pt>
                <c:pt idx="773">
                  <c:v>0.13127740584235734</c:v>
                </c:pt>
                <c:pt idx="774">
                  <c:v>0.12855791329960356</c:v>
                </c:pt>
                <c:pt idx="775">
                  <c:v>0.12584949629268874</c:v>
                </c:pt>
                <c:pt idx="776">
                  <c:v>0.1231522924938421</c:v>
                </c:pt>
                <c:pt idx="777">
                  <c:v>0.12046644050188396</c:v>
                </c:pt>
                <c:pt idx="778">
                  <c:v>0.11779207983645854</c:v>
                </c:pt>
                <c:pt idx="779">
                  <c:v>0.11512935093269647</c:v>
                </c:pt>
                <c:pt idx="780">
                  <c:v>0.11247839513342861</c:v>
                </c:pt>
                <c:pt idx="781">
                  <c:v>0.10983935468165965</c:v>
                </c:pt>
                <c:pt idx="782">
                  <c:v>0.1072123727110148</c:v>
                </c:pt>
                <c:pt idx="783">
                  <c:v>0.10459759323607071</c:v>
                </c:pt>
                <c:pt idx="784">
                  <c:v>0.10199516114056395</c:v>
                </c:pt>
                <c:pt idx="785">
                  <c:v>9.9405222165180995E-2</c:v>
                </c:pt>
                <c:pt idx="786">
                  <c:v>9.6827922893216956E-2</c:v>
                </c:pt>
                <c:pt idx="787">
                  <c:v>9.4263410736029202E-2</c:v>
                </c:pt>
                <c:pt idx="788">
                  <c:v>9.1711833915823077E-2</c:v>
                </c:pt>
                <c:pt idx="789">
                  <c:v>8.9173341447809557E-2</c:v>
                </c:pt>
                <c:pt idx="790">
                  <c:v>8.6648083120449332E-2</c:v>
                </c:pt>
                <c:pt idx="791">
                  <c:v>8.4136209473987894E-2</c:v>
                </c:pt>
                <c:pt idx="792">
                  <c:v>8.1637871777552468E-2</c:v>
                </c:pt>
                <c:pt idx="793">
                  <c:v>7.9153222004104101E-2</c:v>
                </c:pt>
                <c:pt idx="794">
                  <c:v>7.6682412803343036E-2</c:v>
                </c:pt>
                <c:pt idx="795">
                  <c:v>7.422559747367341E-2</c:v>
                </c:pt>
                <c:pt idx="796">
                  <c:v>7.1782929930323675E-2</c:v>
                </c:pt>
                <c:pt idx="797">
                  <c:v>6.9354564672971325E-2</c:v>
                </c:pt>
                <c:pt idx="798">
                  <c:v>6.6940656749714278E-2</c:v>
                </c:pt>
                <c:pt idx="799">
                  <c:v>6.454136172003852E-2</c:v>
                </c:pt>
                <c:pt idx="800">
                  <c:v>6.2156835613820433E-2</c:v>
                </c:pt>
                <c:pt idx="801">
                  <c:v>5.9787234888883545E-2</c:v>
                </c:pt>
                <c:pt idx="802">
                  <c:v>5.7432716385074745E-2</c:v>
                </c:pt>
                <c:pt idx="803">
                  <c:v>5.5093437276177076E-2</c:v>
                </c:pt>
                <c:pt idx="804">
                  <c:v>5.2769555018272712E-2</c:v>
                </c:pt>
                <c:pt idx="805">
                  <c:v>5.0461227295347605E-2</c:v>
                </c:pt>
                <c:pt idx="806">
                  <c:v>4.8168611961914742E-2</c:v>
                </c:pt>
                <c:pt idx="807">
                  <c:v>4.5891866981754403E-2</c:v>
                </c:pt>
                <c:pt idx="808">
                  <c:v>4.363115036382334E-2</c:v>
                </c:pt>
                <c:pt idx="809">
                  <c:v>4.138662009441596E-2</c:v>
                </c:pt>
                <c:pt idx="810">
                  <c:v>3.9158434065476699E-2</c:v>
                </c:pt>
                <c:pt idx="811">
                  <c:v>3.6946749999478334E-2</c:v>
                </c:pt>
                <c:pt idx="812">
                  <c:v>3.4751725369995018E-2</c:v>
                </c:pt>
                <c:pt idx="813">
                  <c:v>3.257351731869243E-2</c:v>
                </c:pt>
                <c:pt idx="814">
                  <c:v>3.0412282567747528E-2</c:v>
                </c:pt>
                <c:pt idx="815">
                  <c:v>2.82681773282841E-2</c:v>
                </c:pt>
                <c:pt idx="816">
                  <c:v>2.6141357204385818E-2</c:v>
                </c:pt>
                <c:pt idx="817">
                  <c:v>2.4031977092303369E-2</c:v>
                </c:pt>
                <c:pt idx="818">
                  <c:v>2.1940191075927068E-2</c:v>
                </c:pt>
                <c:pt idx="819">
                  <c:v>1.9866152316111482E-2</c:v>
                </c:pt>
                <c:pt idx="820">
                  <c:v>1.7810012937030176E-2</c:v>
                </c:pt>
                <c:pt idx="821">
                  <c:v>1.5771923905870705E-2</c:v>
                </c:pt>
                <c:pt idx="822">
                  <c:v>1.3752034909063723E-2</c:v>
                </c:pt>
                <c:pt idx="823">
                  <c:v>1.1750494222439234E-2</c:v>
                </c:pt>
                <c:pt idx="824">
                  <c:v>9.7674485767936803E-3</c:v>
                </c:pt>
                <c:pt idx="825">
                  <c:v>7.8030430186636635E-3</c:v>
                </c:pt>
                <c:pt idx="826">
                  <c:v>5.8574207647894422E-3</c:v>
                </c:pt>
                <c:pt idx="827">
                  <c:v>3.9307230533581483E-3</c:v>
                </c:pt>
                <c:pt idx="828">
                  <c:v>2.0230889875293145E-3</c:v>
                </c:pt>
                <c:pt idx="829">
                  <c:v>1.3465537678063189E-4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-3.3323052563955569E-2</c:v>
                </c:pt>
                <c:pt idx="836">
                  <c:v>-5.5651789957810692E-2</c:v>
                </c:pt>
                <c:pt idx="837">
                  <c:v>-7.0613579927287645E-2</c:v>
                </c:pt>
                <c:pt idx="838">
                  <c:v>-8.0639008375935461E-2</c:v>
                </c:pt>
                <c:pt idx="839">
                  <c:v>-8.7356735050618251E-2</c:v>
                </c:pt>
                <c:pt idx="840">
                  <c:v>-9.1858074011531329E-2</c:v>
                </c:pt>
                <c:pt idx="841">
                  <c:v>-9.4874280746675227E-2</c:v>
                </c:pt>
                <c:pt idx="842">
                  <c:v>-9.6895346733512619E-2</c:v>
                </c:pt>
                <c:pt idx="843">
                  <c:v>-9.8249599966740056E-2</c:v>
                </c:pt>
                <c:pt idx="844">
                  <c:v>-9.915704278733635E-2</c:v>
                </c:pt>
                <c:pt idx="845">
                  <c:v>-9.9765091896947364E-2</c:v>
                </c:pt>
                <c:pt idx="846">
                  <c:v>-0.10017252662595408</c:v>
                </c:pt>
                <c:pt idx="847">
                  <c:v>-0.10044553592039572</c:v>
                </c:pt>
                <c:pt idx="848">
                  <c:v>-0.10062847092702422</c:v>
                </c:pt>
                <c:pt idx="849">
                  <c:v>-0.10075104996492333</c:v>
                </c:pt>
                <c:pt idx="850">
                  <c:v>-0.10083318635209818</c:v>
                </c:pt>
                <c:pt idx="851">
                  <c:v>-0.10088822338137954</c:v>
                </c:pt>
                <c:pt idx="852">
                  <c:v>-0.10092510197680242</c:v>
                </c:pt>
                <c:pt idx="853">
                  <c:v>-0.10094981317248508</c:v>
                </c:pt>
                <c:pt idx="854">
                  <c:v>-0.10096637137338903</c:v>
                </c:pt>
                <c:pt idx="855">
                  <c:v>-0.10097746650697528</c:v>
                </c:pt>
                <c:pt idx="856">
                  <c:v>-0.10098490100967342</c:v>
                </c:pt>
                <c:pt idx="857">
                  <c:v>-0.10098988263787456</c:v>
                </c:pt>
                <c:pt idx="858">
                  <c:v>-0.10099322067143808</c:v>
                </c:pt>
                <c:pt idx="859">
                  <c:v>-0.10099545738353725</c:v>
                </c:pt>
                <c:pt idx="860">
                  <c:v>-0.1009969561344993</c:v>
                </c:pt>
                <c:pt idx="861">
                  <c:v>-0.10099796040073769</c:v>
                </c:pt>
                <c:pt idx="862">
                  <c:v>-0.10099863332819738</c:v>
                </c:pt>
                <c:pt idx="863">
                  <c:v>-0.10099908423588368</c:v>
                </c:pt>
                <c:pt idx="864">
                  <c:v>-0.10099938637504986</c:v>
                </c:pt>
                <c:pt idx="865">
                  <c:v>-0.1009995888290743</c:v>
                </c:pt>
                <c:pt idx="866">
                  <c:v>-0.10099972448719678</c:v>
                </c:pt>
                <c:pt idx="867">
                  <c:v>-0.10099981538747028</c:v>
                </c:pt>
                <c:pt idx="868">
                  <c:v>-0.10099987629690624</c:v>
                </c:pt>
                <c:pt idx="869">
                  <c:v>-0.10099991711041809</c:v>
                </c:pt>
                <c:pt idx="870">
                  <c:v>-0.10099994445827844</c:v>
                </c:pt>
                <c:pt idx="871">
                  <c:v>-0.10099996278322604</c:v>
                </c:pt>
                <c:pt idx="872">
                  <c:v>-0.10099997506220143</c:v>
                </c:pt>
                <c:pt idx="873">
                  <c:v>-0.10099998328995957</c:v>
                </c:pt>
                <c:pt idx="874">
                  <c:v>-0.1009999888031235</c:v>
                </c:pt>
                <c:pt idx="875">
                  <c:v>-0.10099999249732255</c:v>
                </c:pt>
                <c:pt idx="876">
                  <c:v>-0.10099999497269002</c:v>
                </c:pt>
                <c:pt idx="877">
                  <c:v>-0.1009999966313565</c:v>
                </c:pt>
                <c:pt idx="878">
                  <c:v>-0.10099999774277714</c:v>
                </c:pt>
                <c:pt idx="879">
                  <c:v>-0.10099999848750542</c:v>
                </c:pt>
                <c:pt idx="880">
                  <c:v>-0.10099999898652459</c:v>
                </c:pt>
                <c:pt idx="881">
                  <c:v>-0.10099999932090177</c:v>
                </c:pt>
                <c:pt idx="882" formatCode="General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976960"/>
        <c:axId val="254264696"/>
      </c:scatterChart>
      <c:valAx>
        <c:axId val="256976960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324538142409618"/>
              <c:y val="0.9109636827311480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264696"/>
        <c:crosses val="autoZero"/>
        <c:crossBetween val="midCat"/>
      </c:valAx>
      <c:valAx>
        <c:axId val="254264696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00" b="0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Chamber pressure  (MPa)</a:t>
                </a:r>
              </a:p>
            </c:rich>
          </c:tx>
          <c:layout>
            <c:manualLayout>
              <c:xMode val="edge"/>
              <c:yMode val="edge"/>
              <c:x val="2.8694268055202778E-2"/>
              <c:y val="0.263888981962361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6976960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0" verticalDpi="0"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Chamber Pressure vs time</a:t>
            </a:r>
          </a:p>
        </c:rich>
      </c:tx>
      <c:layout>
        <c:manualLayout>
          <c:xMode val="edge"/>
          <c:yMode val="edge"/>
          <c:x val="0.26433221527067424"/>
          <c:y val="0.1498923235302301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3340074637386779"/>
          <c:y val="0.25120787760881219"/>
          <c:w val="0.69617801295964765"/>
          <c:h val="0.5531404770055916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Pressure!$Q$28:$Q$910</c:f>
              <c:numCache>
                <c:formatCode>0.0000</c:formatCode>
                <c:ptCount val="883"/>
                <c:pt idx="0" formatCode="General">
                  <c:v>0</c:v>
                </c:pt>
                <c:pt idx="1">
                  <c:v>7.3899494585141431E-3</c:v>
                </c:pt>
                <c:pt idx="2">
                  <c:v>9.2733548584941847E-3</c:v>
                </c:pt>
                <c:pt idx="3">
                  <c:v>1.6663304317008326E-2</c:v>
                </c:pt>
                <c:pt idx="4">
                  <c:v>1.8560427292921143E-2</c:v>
                </c:pt>
                <c:pt idx="5">
                  <c:v>2.5950376751435286E-2</c:v>
                </c:pt>
                <c:pt idx="6" formatCode="0.00000">
                  <c:v>2.7860991744952109E-2</c:v>
                </c:pt>
                <c:pt idx="7" formatCode="0.00000">
                  <c:v>3.5250941203466252E-2</c:v>
                </c:pt>
                <c:pt idx="8">
                  <c:v>3.7174831615923755E-2</c:v>
                </c:pt>
                <c:pt idx="9">
                  <c:v>4.4564781074437898E-2</c:v>
                </c:pt>
                <c:pt idx="10">
                  <c:v>4.6501738736726216E-2</c:v>
                </c:pt>
                <c:pt idx="11">
                  <c:v>5.3891688195240359E-2</c:v>
                </c:pt>
                <c:pt idx="12">
                  <c:v>5.5841512879938889E-2</c:v>
                </c:pt>
                <c:pt idx="13">
                  <c:v>6.3231462338453032E-2</c:v>
                </c:pt>
                <c:pt idx="14">
                  <c:v>6.5193961310017964E-2</c:v>
                </c:pt>
                <c:pt idx="15">
                  <c:v>7.2583910768532101E-2</c:v>
                </c:pt>
                <c:pt idx="16">
                  <c:v>7.4558898367839369E-2</c:v>
                </c:pt>
                <c:pt idx="17">
                  <c:v>8.1948847826353505E-2</c:v>
                </c:pt>
                <c:pt idx="18">
                  <c:v>8.3936145086324854E-2</c:v>
                </c:pt>
                <c:pt idx="19">
                  <c:v>9.1326094544839004E-2</c:v>
                </c:pt>
                <c:pt idx="20">
                  <c:v>9.3325528834252769E-2</c:v>
                </c:pt>
                <c:pt idx="21">
                  <c:v>0.10071547829276692</c:v>
                </c:pt>
                <c:pt idx="22">
                  <c:v>0.10272688298567398</c:v>
                </c:pt>
                <c:pt idx="23">
                  <c:v>0.11011683244418813</c:v>
                </c:pt>
                <c:pt idx="24">
                  <c:v>0.11214004661263885</c:v>
                </c:pt>
                <c:pt idx="25">
                  <c:v>0.119529996071153</c:v>
                </c:pt>
                <c:pt idx="26">
                  <c:v>0.12156486419918164</c:v>
                </c:pt>
                <c:pt idx="27">
                  <c:v>0.12895481365769579</c:v>
                </c:pt>
                <c:pt idx="28">
                  <c:v>0.13100118537472791</c:v>
                </c:pt>
                <c:pt idx="29">
                  <c:v>0.13839113483324206</c:v>
                </c:pt>
                <c:pt idx="30">
                  <c:v>0.14044886466527809</c:v>
                </c:pt>
                <c:pt idx="31">
                  <c:v>0.14783881412379224</c:v>
                </c:pt>
                <c:pt idx="32">
                  <c:v>0.14990776126088667</c:v>
                </c:pt>
                <c:pt idx="33">
                  <c:v>0.15729771071940082</c:v>
                </c:pt>
                <c:pt idx="34">
                  <c:v>0.15937773879810432</c:v>
                </c:pt>
                <c:pt idx="35">
                  <c:v>0.16676768825661847</c:v>
                </c:pt>
                <c:pt idx="36">
                  <c:v>0.16885866515618048</c:v>
                </c:pt>
                <c:pt idx="37">
                  <c:v>0.17624861461469463</c:v>
                </c:pt>
                <c:pt idx="38">
                  <c:v>0.17835041226593876</c:v>
                </c:pt>
                <c:pt idx="39">
                  <c:v>0.18574036172445291</c:v>
                </c:pt>
                <c:pt idx="40">
                  <c:v>0.18785285593034051</c:v>
                </c:pt>
                <c:pt idx="41">
                  <c:v>0.19524280538885466</c:v>
                </c:pt>
                <c:pt idx="42">
                  <c:v>0.19736587565584399</c:v>
                </c:pt>
                <c:pt idx="43">
                  <c:v>0.20475582511435814</c:v>
                </c:pt>
                <c:pt idx="44">
                  <c:v>0.20688935449374743</c:v>
                </c:pt>
                <c:pt idx="45">
                  <c:v>0.21427930395226158</c:v>
                </c:pt>
                <c:pt idx="46">
                  <c:v>0.2164231788907767</c:v>
                </c:pt>
                <c:pt idx="47">
                  <c:v>0.22381312834929085</c:v>
                </c:pt>
                <c:pt idx="48">
                  <c:v>0.22596723854824563</c:v>
                </c:pt>
                <c:pt idx="49">
                  <c:v>0.23335718800675978</c:v>
                </c:pt>
                <c:pt idx="50">
                  <c:v>0.23552142628917369</c:v>
                </c:pt>
                <c:pt idx="51">
                  <c:v>0.24291137574768784</c:v>
                </c:pt>
                <c:pt idx="52">
                  <c:v>0.24508563793279894</c:v>
                </c:pt>
                <c:pt idx="53">
                  <c:v>0.25247558739131309</c:v>
                </c:pt>
                <c:pt idx="54">
                  <c:v>0.2546597721759733</c:v>
                </c:pt>
                <c:pt idx="55">
                  <c:v>0.26204972163448742</c:v>
                </c:pt>
                <c:pt idx="56">
                  <c:v>0.26424373048096728</c:v>
                </c:pt>
                <c:pt idx="57">
                  <c:v>0.2716336799394814</c:v>
                </c:pt>
                <c:pt idx="58">
                  <c:v>0.27383741696925185</c:v>
                </c:pt>
                <c:pt idx="59">
                  <c:v>0.28122736642776597</c:v>
                </c:pt>
                <c:pt idx="60">
                  <c:v>0.28344073832086047</c:v>
                </c:pt>
                <c:pt idx="61">
                  <c:v>0.2908306877793746</c:v>
                </c:pt>
                <c:pt idx="62">
                  <c:v>0.29305360367896405</c:v>
                </c:pt>
                <c:pt idx="63">
                  <c:v>0.30044355313747817</c:v>
                </c:pt>
                <c:pt idx="64">
                  <c:v>0.30267592455932263</c:v>
                </c:pt>
                <c:pt idx="65">
                  <c:v>0.31006587401783675</c:v>
                </c:pt>
                <c:pt idx="66">
                  <c:v>0.3123076147643018</c:v>
                </c:pt>
                <c:pt idx="67">
                  <c:v>0.31969756422281592</c:v>
                </c:pt>
                <c:pt idx="68">
                  <c:v>0.32194859030116757</c:v>
                </c:pt>
                <c:pt idx="69">
                  <c:v>0.32933853975968169</c:v>
                </c:pt>
                <c:pt idx="70">
                  <c:v>0.33159876930439391</c:v>
                </c:pt>
                <c:pt idx="71">
                  <c:v>0.33898871876290804</c:v>
                </c:pt>
                <c:pt idx="72">
                  <c:v>0.34125807196173613</c:v>
                </c:pt>
                <c:pt idx="73">
                  <c:v>0.34864802142025025</c:v>
                </c:pt>
                <c:pt idx="74">
                  <c:v>0.3509264204438437</c:v>
                </c:pt>
                <c:pt idx="75">
                  <c:v>0.35831636990235782</c:v>
                </c:pt>
                <c:pt idx="76">
                  <c:v>0.36060373883720098</c:v>
                </c:pt>
                <c:pt idx="77">
                  <c:v>0.36712802431995589</c:v>
                </c:pt>
                <c:pt idx="78">
                  <c:v>0.36946717034548832</c:v>
                </c:pt>
                <c:pt idx="79">
                  <c:v>0.37468038666492759</c:v>
                </c:pt>
                <c:pt idx="80">
                  <c:v>0.37713238777352909</c:v>
                </c:pt>
                <c:pt idx="81">
                  <c:v>0.38143311134175284</c:v>
                </c:pt>
                <c:pt idx="82">
                  <c:v>0.38403069064945167</c:v>
                </c:pt>
                <c:pt idx="83">
                  <c:v>0.38780543572281545</c:v>
                </c:pt>
                <c:pt idx="84">
                  <c:v>0.39054801711148535</c:v>
                </c:pt>
                <c:pt idx="85">
                  <c:v>0.3940228886861955</c:v>
                </c:pt>
                <c:pt idx="86">
                  <c:v>0.39688774767138696</c:v>
                </c:pt>
                <c:pt idx="87">
                  <c:v>0.40018987602014949</c:v>
                </c:pt>
                <c:pt idx="88">
                  <c:v>0.4031451894118242</c:v>
                </c:pt>
                <c:pt idx="89">
                  <c:v>0.4063481837029867</c:v>
                </c:pt>
                <c:pt idx="90">
                  <c:v>0.40936322838282885</c:v>
                </c:pt>
                <c:pt idx="91">
                  <c:v>0.41251049971384779</c:v>
                </c:pt>
                <c:pt idx="92">
                  <c:v>0.41556114729593557</c:v>
                </c:pt>
                <c:pt idx="93">
                  <c:v>0.41867810372983583</c:v>
                </c:pt>
                <c:pt idx="94">
                  <c:v>0.42174801467211798</c:v>
                </c:pt>
                <c:pt idx="95">
                  <c:v>0.42484907137735517</c:v>
                </c:pt>
                <c:pt idx="96">
                  <c:v>0.42792840106528035</c:v>
                </c:pt>
                <c:pt idx="97">
                  <c:v>0.43102135534281194</c:v>
                </c:pt>
                <c:pt idx="98">
                  <c:v>0.43410472525604982</c:v>
                </c:pt>
                <c:pt idx="99">
                  <c:v>0.43719355972392282</c:v>
                </c:pt>
                <c:pt idx="100">
                  <c:v>0.44027827630029681</c:v>
                </c:pt>
                <c:pt idx="101">
                  <c:v>0.44336490483177288</c:v>
                </c:pt>
                <c:pt idx="102">
                  <c:v>0.4464497269256486</c:v>
                </c:pt>
                <c:pt idx="103">
                  <c:v>0.44953501706970911</c:v>
                </c:pt>
                <c:pt idx="104">
                  <c:v>0.45261942138484934</c:v>
                </c:pt>
                <c:pt idx="105">
                  <c:v>0.45570374884899584</c:v>
                </c:pt>
                <c:pt idx="106">
                  <c:v>0.45878753895426788</c:v>
                </c:pt>
                <c:pt idx="107">
                  <c:v>0.46187106473976924</c:v>
                </c:pt>
                <c:pt idx="108">
                  <c:v>0.46495418194311222</c:v>
                </c:pt>
                <c:pt idx="109">
                  <c:v>0.46803697997132976</c:v>
                </c:pt>
                <c:pt idx="110">
                  <c:v>0.47111941942354874</c:v>
                </c:pt>
                <c:pt idx="111">
                  <c:v>0.47420153076872845</c:v>
                </c:pt>
                <c:pt idx="112">
                  <c:v>0.47728330716166956</c:v>
                </c:pt>
                <c:pt idx="113">
                  <c:v>0.48036476135370948</c:v>
                </c:pt>
                <c:pt idx="114">
                  <c:v>0.48344589595554838</c:v>
                </c:pt>
                <c:pt idx="115">
                  <c:v>0.48652671872780057</c:v>
                </c:pt>
                <c:pt idx="116">
                  <c:v>0.48960723484519164</c:v>
                </c:pt>
                <c:pt idx="117">
                  <c:v>0.49268745074735826</c:v>
                </c:pt>
                <c:pt idx="118">
                  <c:v>0.49576737225331224</c:v>
                </c:pt>
                <c:pt idx="119">
                  <c:v>0.49884700546986871</c:v>
                </c:pt>
                <c:pt idx="120">
                  <c:v>0.50192635636140015</c:v>
                </c:pt>
                <c:pt idx="121">
                  <c:v>0.50500543095048234</c:v>
                </c:pt>
                <c:pt idx="122">
                  <c:v>0.50808423522611168</c:v>
                </c:pt>
                <c:pt idx="123">
                  <c:v>0.51116277518522057</c:v>
                </c:pt>
                <c:pt idx="124">
                  <c:v>0.51424105681444388</c:v>
                </c:pt>
                <c:pt idx="125">
                  <c:v>0.51731908609821797</c:v>
                </c:pt>
                <c:pt idx="126">
                  <c:v>0.52039686901546878</c:v>
                </c:pt>
                <c:pt idx="127">
                  <c:v>0.52347441154116103</c:v>
                </c:pt>
                <c:pt idx="128">
                  <c:v>0.52655171964581127</c:v>
                </c:pt>
                <c:pt idx="129">
                  <c:v>0.52962879929583895</c:v>
                </c:pt>
                <c:pt idx="130">
                  <c:v>0.53270565645357781</c:v>
                </c:pt>
                <c:pt idx="131">
                  <c:v>0.53578229707742187</c:v>
                </c:pt>
                <c:pt idx="132">
                  <c:v>0.53885872712191951</c:v>
                </c:pt>
                <c:pt idx="133">
                  <c:v>0.54193495253788682</c:v>
                </c:pt>
                <c:pt idx="134">
                  <c:v>0.54501097927251219</c:v>
                </c:pt>
                <c:pt idx="135">
                  <c:v>0.54808681326946607</c:v>
                </c:pt>
                <c:pt idx="136">
                  <c:v>0.55116246046900708</c:v>
                </c:pt>
                <c:pt idx="137">
                  <c:v>0.55423792680808903</c:v>
                </c:pt>
                <c:pt idx="138">
                  <c:v>0.55731321822046909</c:v>
                </c:pt>
                <c:pt idx="139">
                  <c:v>0.56038834063681331</c:v>
                </c:pt>
                <c:pt idx="140">
                  <c:v>0.5634632999848046</c:v>
                </c:pt>
                <c:pt idx="141">
                  <c:v>0.56653810218924772</c:v>
                </c:pt>
                <c:pt idx="142">
                  <c:v>0.56961275317217774</c:v>
                </c:pt>
                <c:pt idx="143">
                  <c:v>0.57268725885296412</c:v>
                </c:pt>
                <c:pt idx="144">
                  <c:v>0.57576162514841855</c:v>
                </c:pt>
                <c:pt idx="145">
                  <c:v>0.57883585797290038</c:v>
                </c:pt>
                <c:pt idx="146">
                  <c:v>0.58190996323842259</c:v>
                </c:pt>
                <c:pt idx="147">
                  <c:v>0.58498394685475719</c:v>
                </c:pt>
                <c:pt idx="148">
                  <c:v>0.58805781472954144</c:v>
                </c:pt>
                <c:pt idx="149">
                  <c:v>0.5911315727683838</c:v>
                </c:pt>
                <c:pt idx="150">
                  <c:v>0.5942052268749678</c:v>
                </c:pt>
                <c:pt idx="151">
                  <c:v>0.59727878295115999</c:v>
                </c:pt>
                <c:pt idx="152">
                  <c:v>0.60035224689711264</c:v>
                </c:pt>
                <c:pt idx="153">
                  <c:v>0.60342562461137039</c:v>
                </c:pt>
                <c:pt idx="154">
                  <c:v>0.60649892199097577</c:v>
                </c:pt>
                <c:pt idx="155">
                  <c:v>0.60957214493157308</c:v>
                </c:pt>
                <c:pt idx="156">
                  <c:v>0.61264529932751399</c:v>
                </c:pt>
                <c:pt idx="157">
                  <c:v>0.61571839107196291</c:v>
                </c:pt>
                <c:pt idx="158">
                  <c:v>0.61879142605700144</c:v>
                </c:pt>
                <c:pt idx="159">
                  <c:v>0.62186441017373273</c:v>
                </c:pt>
                <c:pt idx="160">
                  <c:v>0.62493734931238754</c:v>
                </c:pt>
                <c:pt idx="161">
                  <c:v>0.62801024936242789</c:v>
                </c:pt>
                <c:pt idx="162">
                  <c:v>0.63108311621265245</c:v>
                </c:pt>
                <c:pt idx="163">
                  <c:v>0.63415595575130024</c:v>
                </c:pt>
                <c:pt idx="164">
                  <c:v>0.63722877386615673</c:v>
                </c:pt>
                <c:pt idx="165">
                  <c:v>0.64030157644465779</c:v>
                </c:pt>
                <c:pt idx="166">
                  <c:v>0.64337436937399362</c:v>
                </c:pt>
                <c:pt idx="167">
                  <c:v>0.64644715854121459</c:v>
                </c:pt>
                <c:pt idx="168">
                  <c:v>0.64951994983333528</c:v>
                </c:pt>
                <c:pt idx="169">
                  <c:v>0.65259274913743892</c:v>
                </c:pt>
                <c:pt idx="170">
                  <c:v>0.6556655623407821</c:v>
                </c:pt>
                <c:pt idx="171">
                  <c:v>0.65873839533089973</c:v>
                </c:pt>
                <c:pt idx="172">
                  <c:v>0.66181125399570928</c:v>
                </c:pt>
                <c:pt idx="173">
                  <c:v>0.66488414422361553</c:v>
                </c:pt>
                <c:pt idx="174">
                  <c:v>0.66795707190361553</c:v>
                </c:pt>
                <c:pt idx="175">
                  <c:v>0.67103004292540269</c:v>
                </c:pt>
                <c:pt idx="176">
                  <c:v>0.67410306317947233</c:v>
                </c:pt>
                <c:pt idx="177">
                  <c:v>0.67717613855722558</c:v>
                </c:pt>
                <c:pt idx="178">
                  <c:v>0.68024927495107512</c:v>
                </c:pt>
                <c:pt idx="179">
                  <c:v>0.68332247825454939</c:v>
                </c:pt>
                <c:pt idx="180">
                  <c:v>0.68639575436239786</c:v>
                </c:pt>
                <c:pt idx="181">
                  <c:v>0.68946910917069559</c:v>
                </c:pt>
                <c:pt idx="182">
                  <c:v>0.69254254857694908</c:v>
                </c:pt>
                <c:pt idx="183">
                  <c:v>0.69561607848020035</c:v>
                </c:pt>
                <c:pt idx="184">
                  <c:v>0.69868970478113324</c:v>
                </c:pt>
                <c:pt idx="185">
                  <c:v>0.70176343338217795</c:v>
                </c:pt>
                <c:pt idx="186">
                  <c:v>0.70483727018761655</c:v>
                </c:pt>
                <c:pt idx="187">
                  <c:v>0.70791122110368854</c:v>
                </c:pt>
                <c:pt idx="188">
                  <c:v>0.71098529203869643</c:v>
                </c:pt>
                <c:pt idx="189">
                  <c:v>0.71405948890311144</c:v>
                </c:pt>
                <c:pt idx="190">
                  <c:v>0.71713381760967876</c:v>
                </c:pt>
                <c:pt idx="191">
                  <c:v>0.72020828407352422</c:v>
                </c:pt>
                <c:pt idx="192">
                  <c:v>0.72328289421225977</c:v>
                </c:pt>
                <c:pt idx="193">
                  <c:v>0.72635765394608987</c:v>
                </c:pt>
                <c:pt idx="194">
                  <c:v>0.72943256919791699</c:v>
                </c:pt>
                <c:pt idx="195">
                  <c:v>0.73250764589344919</c:v>
                </c:pt>
                <c:pt idx="196">
                  <c:v>0.73558288996130583</c:v>
                </c:pt>
                <c:pt idx="197">
                  <c:v>0.73865830733312421</c:v>
                </c:pt>
                <c:pt idx="198">
                  <c:v>0.74173390394366667</c:v>
                </c:pt>
                <c:pt idx="199">
                  <c:v>0.7448096857309271</c:v>
                </c:pt>
                <c:pt idx="200">
                  <c:v>0.74788565863623879</c:v>
                </c:pt>
                <c:pt idx="201">
                  <c:v>0.7509618286043811</c:v>
                </c:pt>
                <c:pt idx="202">
                  <c:v>0.75403820158368684</c:v>
                </c:pt>
                <c:pt idx="203">
                  <c:v>0.75711478352615058</c:v>
                </c:pt>
                <c:pt idx="204">
                  <c:v>0.76019158038753565</c:v>
                </c:pt>
                <c:pt idx="205">
                  <c:v>0.76326859812748227</c:v>
                </c:pt>
                <c:pt idx="206">
                  <c:v>0.76634584270961636</c:v>
                </c:pt>
                <c:pt idx="207">
                  <c:v>0.76942332010165704</c:v>
                </c:pt>
                <c:pt idx="208">
                  <c:v>0.77250103627552591</c:v>
                </c:pt>
                <c:pt idx="209">
                  <c:v>0.77557899720745527</c:v>
                </c:pt>
                <c:pt idx="210">
                  <c:v>0.77865720887809753</c:v>
                </c:pt>
                <c:pt idx="211">
                  <c:v>0.78173567727263382</c:v>
                </c:pt>
                <c:pt idx="212">
                  <c:v>0.78481440838088434</c:v>
                </c:pt>
                <c:pt idx="213">
                  <c:v>0.78789340819741738</c:v>
                </c:pt>
                <c:pt idx="214">
                  <c:v>0.7909726827216591</c:v>
                </c:pt>
                <c:pt idx="215">
                  <c:v>0.79405223795800406</c:v>
                </c:pt>
                <c:pt idx="216">
                  <c:v>0.7971320799159255</c:v>
                </c:pt>
                <c:pt idx="217">
                  <c:v>0.80021221461008551</c:v>
                </c:pt>
                <c:pt idx="218">
                  <c:v>0.80329264806044665</c:v>
                </c:pt>
                <c:pt idx="219">
                  <c:v>0.80637338629238253</c:v>
                </c:pt>
                <c:pt idx="220">
                  <c:v>0.80945443533678962</c:v>
                </c:pt>
                <c:pt idx="221">
                  <c:v>0.81253580123019864</c:v>
                </c:pt>
                <c:pt idx="222">
                  <c:v>0.81561749001488637</c:v>
                </c:pt>
                <c:pt idx="223">
                  <c:v>0.81869950773898836</c:v>
                </c:pt>
                <c:pt idx="224">
                  <c:v>0.82178186045661161</c:v>
                </c:pt>
                <c:pt idx="225">
                  <c:v>0.82486455422794636</c:v>
                </c:pt>
                <c:pt idx="226">
                  <c:v>0.82794759511938021</c:v>
                </c:pt>
                <c:pt idx="227">
                  <c:v>0.8310309892036114</c:v>
                </c:pt>
                <c:pt idx="228">
                  <c:v>0.83411474255976226</c:v>
                </c:pt>
                <c:pt idx="229">
                  <c:v>0.83719886127349363</c:v>
                </c:pt>
                <c:pt idx="230">
                  <c:v>0.84028335143711896</c:v>
                </c:pt>
                <c:pt idx="231">
                  <c:v>0.84336821914971938</c:v>
                </c:pt>
                <c:pt idx="232">
                  <c:v>0.84645347051725828</c:v>
                </c:pt>
                <c:pt idx="233">
                  <c:v>0.84953911165269735</c:v>
                </c:pt>
                <c:pt idx="234">
                  <c:v>0.85262514867611194</c:v>
                </c:pt>
                <c:pt idx="235">
                  <c:v>0.85571158771480726</c:v>
                </c:pt>
                <c:pt idx="236">
                  <c:v>0.85879843490343521</c:v>
                </c:pt>
                <c:pt idx="237">
                  <c:v>0.86188569638411028</c:v>
                </c:pt>
                <c:pt idx="238">
                  <c:v>0.86497337830652798</c:v>
                </c:pt>
                <c:pt idx="239">
                  <c:v>0.86806148682808193</c:v>
                </c:pt>
                <c:pt idx="240">
                  <c:v>0.87115002811398157</c:v>
                </c:pt>
                <c:pt idx="241">
                  <c:v>0.87423900833737089</c:v>
                </c:pt>
                <c:pt idx="242">
                  <c:v>0.87732843367944735</c:v>
                </c:pt>
                <c:pt idx="243">
                  <c:v>0.88041831032958096</c:v>
                </c:pt>
                <c:pt idx="244">
                  <c:v>0.88350864448543343</c:v>
                </c:pt>
                <c:pt idx="245">
                  <c:v>0.88659944235307908</c:v>
                </c:pt>
                <c:pt idx="246">
                  <c:v>0.88969071014712453</c:v>
                </c:pt>
                <c:pt idx="247">
                  <c:v>0.89278245409083024</c:v>
                </c:pt>
                <c:pt idx="248">
                  <c:v>0.89587468041623131</c:v>
                </c:pt>
                <c:pt idx="249">
                  <c:v>0.8989673953642594</c:v>
                </c:pt>
                <c:pt idx="250">
                  <c:v>0.90206060518486531</c:v>
                </c:pt>
                <c:pt idx="251">
                  <c:v>0.90515431613714104</c:v>
                </c:pt>
                <c:pt idx="252">
                  <c:v>0.90824853448944376</c:v>
                </c:pt>
                <c:pt idx="253">
                  <c:v>0.91134326651951858</c:v>
                </c:pt>
                <c:pt idx="254">
                  <c:v>0.91443851851462354</c:v>
                </c:pt>
                <c:pt idx="255">
                  <c:v>0.91753429677165321</c:v>
                </c:pt>
                <c:pt idx="256">
                  <c:v>0.92063060759726489</c:v>
                </c:pt>
                <c:pt idx="257">
                  <c:v>0.92372745730800321</c:v>
                </c:pt>
                <c:pt idx="258">
                  <c:v>0.92682485223042699</c:v>
                </c:pt>
                <c:pt idx="259">
                  <c:v>0.9299227987012354</c:v>
                </c:pt>
                <c:pt idx="260">
                  <c:v>0.93302130306739528</c:v>
                </c:pt>
                <c:pt idx="261">
                  <c:v>0.93612037168626883</c:v>
                </c:pt>
                <c:pt idx="262">
                  <c:v>0.9392200109257417</c:v>
                </c:pt>
                <c:pt idx="263">
                  <c:v>0.94232022716435193</c:v>
                </c:pt>
                <c:pt idx="264">
                  <c:v>0.94542102679141926</c:v>
                </c:pt>
                <c:pt idx="265">
                  <c:v>0.94852241620717459</c:v>
                </c:pt>
                <c:pt idx="266">
                  <c:v>0.95162440182289099</c:v>
                </c:pt>
                <c:pt idx="267">
                  <c:v>0.95472699006101436</c:v>
                </c:pt>
                <c:pt idx="268">
                  <c:v>0.9578301873552949</c:v>
                </c:pt>
                <c:pt idx="269">
                  <c:v>0.9609340001509199</c:v>
                </c:pt>
                <c:pt idx="270">
                  <c:v>0.96403843490464591</c:v>
                </c:pt>
                <c:pt idx="271">
                  <c:v>0.96714349808493216</c:v>
                </c:pt>
                <c:pt idx="272">
                  <c:v>0.97024919617207506</c:v>
                </c:pt>
                <c:pt idx="273">
                  <c:v>0.97335553565834221</c:v>
                </c:pt>
                <c:pt idx="274">
                  <c:v>0.9764625230481081</c:v>
                </c:pt>
                <c:pt idx="275">
                  <c:v>0.97957016485798976</c:v>
                </c:pt>
                <c:pt idx="276">
                  <c:v>0.98267846761698341</c:v>
                </c:pt>
                <c:pt idx="277">
                  <c:v>0.9857874378666015</c:v>
                </c:pt>
                <c:pt idx="278">
                  <c:v>0.98889708216101091</c:v>
                </c:pt>
                <c:pt idx="279">
                  <c:v>0.99200740706717094</c:v>
                </c:pt>
                <c:pt idx="280">
                  <c:v>0.99511841916497279</c:v>
                </c:pt>
                <c:pt idx="281">
                  <c:v>0.99823012504737973</c:v>
                </c:pt>
                <c:pt idx="282">
                  <c:v>1.0013425313205671</c:v>
                </c:pt>
                <c:pt idx="283">
                  <c:v>1.004455644604064</c:v>
                </c:pt>
                <c:pt idx="284">
                  <c:v>1.0075694715308954</c:v>
                </c:pt>
                <c:pt idx="285">
                  <c:v>1.0106840187477242</c:v>
                </c:pt>
                <c:pt idx="286">
                  <c:v>1.0137992929149955</c:v>
                </c:pt>
                <c:pt idx="287">
                  <c:v>1.0169153007070804</c:v>
                </c:pt>
                <c:pt idx="288">
                  <c:v>1.0200320488124206</c:v>
                </c:pt>
                <c:pt idx="289">
                  <c:v>1.0231495439336751</c:v>
                </c:pt>
                <c:pt idx="290">
                  <c:v>1.0262677927878656</c:v>
                </c:pt>
                <c:pt idx="291">
                  <c:v>1.0293868021065242</c:v>
                </c:pt>
                <c:pt idx="292">
                  <c:v>1.0325065786358418</c:v>
                </c:pt>
                <c:pt idx="293">
                  <c:v>1.035627129136816</c:v>
                </c:pt>
                <c:pt idx="294">
                  <c:v>1.0387484603854018</c:v>
                </c:pt>
                <c:pt idx="295">
                  <c:v>1.0418705791726612</c:v>
                </c:pt>
                <c:pt idx="296">
                  <c:v>1.0449934923049149</c:v>
                </c:pt>
                <c:pt idx="297">
                  <c:v>1.0481172066038942</c:v>
                </c:pt>
                <c:pt idx="298">
                  <c:v>1.0512417289068943</c:v>
                </c:pt>
                <c:pt idx="299">
                  <c:v>1.0543670660669275</c:v>
                </c:pt>
                <c:pt idx="300">
                  <c:v>1.0574932249528788</c:v>
                </c:pt>
                <c:pt idx="301">
                  <c:v>1.0606202124496604</c:v>
                </c:pt>
                <c:pt idx="302">
                  <c:v>1.0637480354583688</c:v>
                </c:pt>
                <c:pt idx="303">
                  <c:v>1.0668767008964417</c:v>
                </c:pt>
                <c:pt idx="304">
                  <c:v>1.0700062156978165</c:v>
                </c:pt>
                <c:pt idx="305">
                  <c:v>1.0731365868130895</c:v>
                </c:pt>
                <c:pt idx="306">
                  <c:v>1.0762678212096759</c:v>
                </c:pt>
                <c:pt idx="307">
                  <c:v>1.0793999258719706</c:v>
                </c:pt>
                <c:pt idx="308">
                  <c:v>1.0825329078015105</c:v>
                </c:pt>
                <c:pt idx="309">
                  <c:v>1.0856667740171371</c:v>
                </c:pt>
                <c:pt idx="310">
                  <c:v>1.0888015315551602</c:v>
                </c:pt>
                <c:pt idx="311">
                  <c:v>1.0919371874695236</c:v>
                </c:pt>
                <c:pt idx="312">
                  <c:v>1.0950737488319702</c:v>
                </c:pt>
                <c:pt idx="313">
                  <c:v>1.0982112227322089</c:v>
                </c:pt>
                <c:pt idx="314">
                  <c:v>1.1013496162780831</c:v>
                </c:pt>
                <c:pt idx="315">
                  <c:v>1.1044889365957387</c:v>
                </c:pt>
                <c:pt idx="316">
                  <c:v>1.1076291908297946</c:v>
                </c:pt>
                <c:pt idx="317">
                  <c:v>1.1107703861435139</c:v>
                </c:pt>
                <c:pt idx="318">
                  <c:v>1.1139125297189751</c:v>
                </c:pt>
                <c:pt idx="319">
                  <c:v>1.1170556287572464</c:v>
                </c:pt>
                <c:pt idx="320">
                  <c:v>1.1201996904785587</c:v>
                </c:pt>
                <c:pt idx="321">
                  <c:v>1.1233447221224819</c:v>
                </c:pt>
                <c:pt idx="322">
                  <c:v>1.1264907309481009</c:v>
                </c:pt>
                <c:pt idx="323">
                  <c:v>1.1296377242341928</c:v>
                </c:pt>
                <c:pt idx="324">
                  <c:v>1.1327857092794065</c:v>
                </c:pt>
                <c:pt idx="325">
                  <c:v>1.1359346934024415</c:v>
                </c:pt>
                <c:pt idx="326">
                  <c:v>1.1390846839422297</c:v>
                </c:pt>
                <c:pt idx="327">
                  <c:v>1.1422356882581173</c:v>
                </c:pt>
                <c:pt idx="328">
                  <c:v>1.1453877137300481</c:v>
                </c:pt>
                <c:pt idx="329">
                  <c:v>1.148540767758748</c:v>
                </c:pt>
                <c:pt idx="330">
                  <c:v>1.151694857765911</c:v>
                </c:pt>
                <c:pt idx="331">
                  <c:v>1.1548499911943859</c:v>
                </c:pt>
                <c:pt idx="332">
                  <c:v>1.1580061755083653</c:v>
                </c:pt>
                <c:pt idx="333">
                  <c:v>1.1611634181935742</c:v>
                </c:pt>
                <c:pt idx="334">
                  <c:v>1.164321726757461</c:v>
                </c:pt>
                <c:pt idx="335">
                  <c:v>1.1674811087293904</c:v>
                </c:pt>
                <c:pt idx="336">
                  <c:v>1.1706415716608354</c:v>
                </c:pt>
                <c:pt idx="337">
                  <c:v>1.1738031231255732</c:v>
                </c:pt>
                <c:pt idx="338">
                  <c:v>1.1769657707198806</c:v>
                </c:pt>
                <c:pt idx="339">
                  <c:v>1.1801295220627315</c:v>
                </c:pt>
                <c:pt idx="340">
                  <c:v>1.1832943847959956</c:v>
                </c:pt>
                <c:pt idx="341">
                  <c:v>1.1864603665846385</c:v>
                </c:pt>
                <c:pt idx="342">
                  <c:v>1.1896274751169233</c:v>
                </c:pt>
                <c:pt idx="343">
                  <c:v>1.1927957181046134</c:v>
                </c:pt>
                <c:pt idx="344">
                  <c:v>1.1959651032831768</c:v>
                </c:pt>
                <c:pt idx="345">
                  <c:v>1.1991356384119922</c:v>
                </c:pt>
                <c:pt idx="346">
                  <c:v>1.2023073312745556</c:v>
                </c:pt>
                <c:pt idx="347">
                  <c:v>1.2054801896786893</c:v>
                </c:pt>
                <c:pt idx="348">
                  <c:v>1.2086542214567522</c:v>
                </c:pt>
                <c:pt idx="349">
                  <c:v>1.2118294344658511</c:v>
                </c:pt>
                <c:pt idx="350">
                  <c:v>1.2150058365880545</c:v>
                </c:pt>
                <c:pt idx="351">
                  <c:v>1.2181834357306067</c:v>
                </c:pt>
                <c:pt idx="352">
                  <c:v>1.2213622398261446</c:v>
                </c:pt>
                <c:pt idx="353">
                  <c:v>1.224542256832915</c:v>
                </c:pt>
                <c:pt idx="354">
                  <c:v>1.2277234947349944</c:v>
                </c:pt>
                <c:pt idx="355">
                  <c:v>1.2309059615425102</c:v>
                </c:pt>
                <c:pt idx="356">
                  <c:v>1.2340896652918631</c:v>
                </c:pt>
                <c:pt idx="357">
                  <c:v>1.2372746140459514</c:v>
                </c:pt>
                <c:pt idx="358">
                  <c:v>1.2404608158943971</c:v>
                </c:pt>
                <c:pt idx="359">
                  <c:v>1.2436482789537735</c:v>
                </c:pt>
                <c:pt idx="360">
                  <c:v>1.2468370113678349</c:v>
                </c:pt>
                <c:pt idx="361">
                  <c:v>1.2500270213077471</c:v>
                </c:pt>
                <c:pt idx="362">
                  <c:v>1.2532183169723208</c:v>
                </c:pt>
                <c:pt idx="363">
                  <c:v>1.2564109065882456</c:v>
                </c:pt>
                <c:pt idx="364">
                  <c:v>1.2596047984103267</c:v>
                </c:pt>
                <c:pt idx="365">
                  <c:v>1.262800000721723</c:v>
                </c:pt>
                <c:pt idx="366">
                  <c:v>1.2659965218341875</c:v>
                </c:pt>
                <c:pt idx="367">
                  <c:v>1.2691943700883082</c:v>
                </c:pt>
                <c:pt idx="368">
                  <c:v>1.2723935538537523</c:v>
                </c:pt>
                <c:pt idx="369">
                  <c:v>1.2755940815295117</c:v>
                </c:pt>
                <c:pt idx="370">
                  <c:v>1.2787959615441507</c:v>
                </c:pt>
                <c:pt idx="371">
                  <c:v>1.2819992023560547</c:v>
                </c:pt>
                <c:pt idx="372">
                  <c:v>1.2852038124536822</c:v>
                </c:pt>
                <c:pt idx="373">
                  <c:v>1.2884098003558178</c:v>
                </c:pt>
                <c:pt idx="374">
                  <c:v>1.291617174611827</c:v>
                </c:pt>
                <c:pt idx="375">
                  <c:v>1.2948259438019145</c:v>
                </c:pt>
                <c:pt idx="376">
                  <c:v>1.2980361165373828</c:v>
                </c:pt>
                <c:pt idx="377">
                  <c:v>1.3012477014608934</c:v>
                </c:pt>
                <c:pt idx="378">
                  <c:v>1.3044607072467307</c:v>
                </c:pt>
                <c:pt idx="379">
                  <c:v>1.3076751426010675</c:v>
                </c:pt>
                <c:pt idx="380">
                  <c:v>1.3108910162622325</c:v>
                </c:pt>
                <c:pt idx="381">
                  <c:v>1.3141083370009798</c:v>
                </c:pt>
                <c:pt idx="382">
                  <c:v>1.3173271136207618</c:v>
                </c:pt>
                <c:pt idx="383">
                  <c:v>1.3205473549580027</c:v>
                </c:pt>
                <c:pt idx="384">
                  <c:v>1.323769069882375</c:v>
                </c:pt>
                <c:pt idx="385">
                  <c:v>1.3269922672970782</c:v>
                </c:pt>
                <c:pt idx="386">
                  <c:v>1.3302169561391199</c:v>
                </c:pt>
                <c:pt idx="387">
                  <c:v>1.3334431453795992</c:v>
                </c:pt>
                <c:pt idx="388">
                  <c:v>1.3366708440239914</c:v>
                </c:pt>
                <c:pt idx="389">
                  <c:v>1.3399000611124372</c:v>
                </c:pt>
                <c:pt idx="390">
                  <c:v>1.3431308057200322</c:v>
                </c:pt>
                <c:pt idx="391">
                  <c:v>1.3463630869571197</c:v>
                </c:pt>
                <c:pt idx="392">
                  <c:v>1.349596913969586</c:v>
                </c:pt>
                <c:pt idx="393">
                  <c:v>1.3528322959391583</c:v>
                </c:pt>
                <c:pt idx="394">
                  <c:v>1.3560692420837042</c:v>
                </c:pt>
                <c:pt idx="395">
                  <c:v>1.3593077616575346</c:v>
                </c:pt>
                <c:pt idx="396">
                  <c:v>1.3625478639517095</c:v>
                </c:pt>
                <c:pt idx="397">
                  <c:v>1.3657895582943445</c:v>
                </c:pt>
                <c:pt idx="398">
                  <c:v>1.3690328540509225</c:v>
                </c:pt>
                <c:pt idx="399">
                  <c:v>1.3722777606246059</c:v>
                </c:pt>
                <c:pt idx="400">
                  <c:v>1.3755242874565528</c:v>
                </c:pt>
                <c:pt idx="401">
                  <c:v>1.3787724440262346</c:v>
                </c:pt>
                <c:pt idx="402">
                  <c:v>1.3820222398517581</c:v>
                </c:pt>
                <c:pt idx="403">
                  <c:v>1.385273684490189</c:v>
                </c:pt>
                <c:pt idx="404">
                  <c:v>1.3885267875378782</c:v>
                </c:pt>
                <c:pt idx="405">
                  <c:v>1.3917815586307922</c:v>
                </c:pt>
                <c:pt idx="406">
                  <c:v>1.3950380074448447</c:v>
                </c:pt>
                <c:pt idx="407">
                  <c:v>1.398296143696232</c:v>
                </c:pt>
                <c:pt idx="408">
                  <c:v>1.4015559771417716</c:v>
                </c:pt>
                <c:pt idx="409">
                  <c:v>1.4048175175792432</c:v>
                </c:pt>
                <c:pt idx="410">
                  <c:v>1.4080807748477326</c:v>
                </c:pt>
                <c:pt idx="411">
                  <c:v>1.4113457588279794</c:v>
                </c:pt>
                <c:pt idx="412">
                  <c:v>1.4146124794427268</c:v>
                </c:pt>
                <c:pt idx="413">
                  <c:v>1.4178809466570752</c:v>
                </c:pt>
                <c:pt idx="414">
                  <c:v>1.4211511704788389</c:v>
                </c:pt>
                <c:pt idx="415">
                  <c:v>1.4244231609589055</c:v>
                </c:pt>
                <c:pt idx="416">
                  <c:v>1.427696928191599</c:v>
                </c:pt>
                <c:pt idx="417">
                  <c:v>1.430972482315046</c:v>
                </c:pt>
                <c:pt idx="418">
                  <c:v>1.434249833511545</c:v>
                </c:pt>
                <c:pt idx="419">
                  <c:v>1.4375289920079395</c:v>
                </c:pt>
                <c:pt idx="420">
                  <c:v>1.440809968075994</c:v>
                </c:pt>
                <c:pt idx="421">
                  <c:v>1.4440927720327736</c:v>
                </c:pt>
                <c:pt idx="422">
                  <c:v>1.4473774142410269</c:v>
                </c:pt>
                <c:pt idx="423">
                  <c:v>1.4506639051095729</c:v>
                </c:pt>
                <c:pt idx="424">
                  <c:v>1.4539522550936907</c:v>
                </c:pt>
                <c:pt idx="425">
                  <c:v>1.4572424746955137</c:v>
                </c:pt>
                <c:pt idx="426">
                  <c:v>1.460534574464426</c:v>
                </c:pt>
                <c:pt idx="427">
                  <c:v>1.4638285649974645</c:v>
                </c:pt>
                <c:pt idx="428">
                  <c:v>1.4671244569397224</c:v>
                </c:pt>
                <c:pt idx="429">
                  <c:v>1.4704222609847581</c:v>
                </c:pt>
                <c:pt idx="430">
                  <c:v>1.4737219878750079</c:v>
                </c:pt>
                <c:pt idx="431">
                  <c:v>1.4770236484022012</c:v>
                </c:pt>
                <c:pt idx="432">
                  <c:v>1.4803272534077812</c:v>
                </c:pt>
                <c:pt idx="433">
                  <c:v>1.4836328137833279</c:v>
                </c:pt>
                <c:pt idx="434">
                  <c:v>1.4869403404709869</c:v>
                </c:pt>
                <c:pt idx="435">
                  <c:v>1.4902498444639007</c:v>
                </c:pt>
                <c:pt idx="436">
                  <c:v>1.4935613368066454</c:v>
                </c:pt>
                <c:pt idx="437">
                  <c:v>1.4968748285956694</c:v>
                </c:pt>
                <c:pt idx="438">
                  <c:v>1.5001903309797395</c:v>
                </c:pt>
                <c:pt idx="439">
                  <c:v>1.5035078551603882</c:v>
                </c:pt>
                <c:pt idx="440">
                  <c:v>1.5068274123923666</c:v>
                </c:pt>
                <c:pt idx="441">
                  <c:v>1.5101490139841023</c:v>
                </c:pt>
                <c:pt idx="442">
                  <c:v>1.5134726712981603</c:v>
                </c:pt>
                <c:pt idx="443">
                  <c:v>1.5167983957517095</c:v>
                </c:pt>
                <c:pt idx="444">
                  <c:v>1.520126198816993</c:v>
                </c:pt>
                <c:pt idx="445">
                  <c:v>1.5234560920218025</c:v>
                </c:pt>
                <c:pt idx="446">
                  <c:v>1.5267880869499597</c:v>
                </c:pt>
                <c:pt idx="447">
                  <c:v>1.5301221952417987</c:v>
                </c:pt>
                <c:pt idx="448">
                  <c:v>1.5334584285946564</c:v>
                </c:pt>
                <c:pt idx="449">
                  <c:v>1.5367967987633659</c:v>
                </c:pt>
                <c:pt idx="450">
                  <c:v>1.5401373175607553</c:v>
                </c:pt>
                <c:pt idx="451">
                  <c:v>1.5434799968581514</c:v>
                </c:pt>
                <c:pt idx="452">
                  <c:v>1.5468248485858882</c:v>
                </c:pt>
                <c:pt idx="453">
                  <c:v>1.5501718847338206</c:v>
                </c:pt>
                <c:pt idx="454">
                  <c:v>1.5535211173518433</c:v>
                </c:pt>
                <c:pt idx="455">
                  <c:v>1.5568725585504144</c:v>
                </c:pt>
                <c:pt idx="456">
                  <c:v>1.5602262205010846</c:v>
                </c:pt>
                <c:pt idx="457">
                  <c:v>1.563582115437032</c:v>
                </c:pt>
                <c:pt idx="458">
                  <c:v>1.5669402556536014</c:v>
                </c:pt>
                <c:pt idx="459">
                  <c:v>1.5703006535088497</c:v>
                </c:pt>
                <c:pt idx="460">
                  <c:v>1.5736633214240967</c:v>
                </c:pt>
                <c:pt idx="461">
                  <c:v>1.577028271884481</c:v>
                </c:pt>
                <c:pt idx="462">
                  <c:v>1.5803955174395223</c:v>
                </c:pt>
                <c:pt idx="463">
                  <c:v>1.583765070703689</c:v>
                </c:pt>
                <c:pt idx="464">
                  <c:v>1.5871369443569712</c:v>
                </c:pt>
                <c:pt idx="465">
                  <c:v>1.5905111511454602</c:v>
                </c:pt>
                <c:pt idx="466">
                  <c:v>1.5938877038819337</c:v>
                </c:pt>
                <c:pt idx="467">
                  <c:v>1.5972666154464472</c:v>
                </c:pt>
                <c:pt idx="468">
                  <c:v>1.6006478987869308</c:v>
                </c:pt>
                <c:pt idx="469">
                  <c:v>1.6040315669197929</c:v>
                </c:pt>
                <c:pt idx="470">
                  <c:v>1.6074176329305296</c:v>
                </c:pt>
                <c:pt idx="471">
                  <c:v>1.6108061099743416</c:v>
                </c:pt>
                <c:pt idx="472">
                  <c:v>1.614197011276755</c:v>
                </c:pt>
                <c:pt idx="473">
                  <c:v>1.6175903501342517</c:v>
                </c:pt>
                <c:pt idx="474">
                  <c:v>1.6209861399149039</c:v>
                </c:pt>
                <c:pt idx="475">
                  <c:v>1.624384394059017</c:v>
                </c:pt>
                <c:pt idx="476">
                  <c:v>1.6277851260797778</c:v>
                </c:pt>
                <c:pt idx="477">
                  <c:v>1.6311883495639106</c:v>
                </c:pt>
                <c:pt idx="478">
                  <c:v>1.6345940781723394</c:v>
                </c:pt>
                <c:pt idx="479">
                  <c:v>1.638002325640858</c:v>
                </c:pt>
                <c:pt idx="480">
                  <c:v>1.6414131057808066</c:v>
                </c:pt>
                <c:pt idx="481">
                  <c:v>1.6448264324797557</c:v>
                </c:pt>
                <c:pt idx="482">
                  <c:v>1.6482423197021974</c:v>
                </c:pt>
                <c:pt idx="483">
                  <c:v>1.651660781490244</c:v>
                </c:pt>
                <c:pt idx="484">
                  <c:v>1.6550818319643341</c:v>
                </c:pt>
                <c:pt idx="485">
                  <c:v>1.6585054853239465</c:v>
                </c:pt>
                <c:pt idx="486">
                  <c:v>1.6619317558483215</c:v>
                </c:pt>
                <c:pt idx="487">
                  <c:v>1.6653606578971902</c:v>
                </c:pt>
                <c:pt idx="488">
                  <c:v>1.6687922059115112</c:v>
                </c:pt>
                <c:pt idx="489">
                  <c:v>1.6722264144142165</c:v>
                </c:pt>
                <c:pt idx="490">
                  <c:v>1.675663298010964</c:v>
                </c:pt>
                <c:pt idx="491">
                  <c:v>1.6791028713908998</c:v>
                </c:pt>
                <c:pt idx="492">
                  <c:v>1.6825451493274268</c:v>
                </c:pt>
                <c:pt idx="493">
                  <c:v>1.6859901466789844</c:v>
                </c:pt>
                <c:pt idx="494">
                  <c:v>1.6894378783898341</c:v>
                </c:pt>
                <c:pt idx="495">
                  <c:v>1.6928883594908555</c:v>
                </c:pt>
                <c:pt idx="496">
                  <c:v>1.6963416051003508</c:v>
                </c:pt>
                <c:pt idx="497">
                  <c:v>1.6997976304248579</c:v>
                </c:pt>
                <c:pt idx="498">
                  <c:v>1.7032564507599723</c:v>
                </c:pt>
                <c:pt idx="499">
                  <c:v>1.7067180814911789</c:v>
                </c:pt>
                <c:pt idx="500">
                  <c:v>1.7101825380946925</c:v>
                </c:pt>
                <c:pt idx="501">
                  <c:v>1.7136498361383081</c:v>
                </c:pt>
                <c:pt idx="502">
                  <c:v>1.7171199912822606</c:v>
                </c:pt>
                <c:pt idx="503">
                  <c:v>1.7205930192800936</c:v>
                </c:pt>
                <c:pt idx="504">
                  <c:v>1.7240689359795396</c:v>
                </c:pt>
                <c:pt idx="505">
                  <c:v>1.7275477573234084</c:v>
                </c:pt>
                <c:pt idx="506">
                  <c:v>1.7310294993504864</c:v>
                </c:pt>
                <c:pt idx="507">
                  <c:v>1.7345141781964462</c:v>
                </c:pt>
                <c:pt idx="508">
                  <c:v>1.7380018100947661</c:v>
                </c:pt>
                <c:pt idx="509">
                  <c:v>1.7414924113776609</c:v>
                </c:pt>
                <c:pt idx="510">
                  <c:v>1.7449859984770228</c:v>
                </c:pt>
                <c:pt idx="511">
                  <c:v>1.7484825879253731</c:v>
                </c:pt>
                <c:pt idx="512">
                  <c:v>1.7519821963568247</c:v>
                </c:pt>
                <c:pt idx="513">
                  <c:v>1.7554848405080565</c:v>
                </c:pt>
                <c:pt idx="514">
                  <c:v>1.7589905372192987</c:v>
                </c:pt>
                <c:pt idx="515">
                  <c:v>1.7624993034353285</c:v>
                </c:pt>
                <c:pt idx="516">
                  <c:v>1.7660111562064795</c:v>
                </c:pt>
                <c:pt idx="517">
                  <c:v>1.7695261126896611</c:v>
                </c:pt>
                <c:pt idx="518">
                  <c:v>1.7730441901493907</c:v>
                </c:pt>
                <c:pt idx="519">
                  <c:v>1.7765654059588374</c:v>
                </c:pt>
                <c:pt idx="520">
                  <c:v>1.7800897776008786</c:v>
                </c:pt>
                <c:pt idx="521">
                  <c:v>1.7836173226691689</c:v>
                </c:pt>
                <c:pt idx="522">
                  <c:v>1.7871480588692217</c:v>
                </c:pt>
                <c:pt idx="523">
                  <c:v>1.7906820040195024</c:v>
                </c:pt>
                <c:pt idx="524">
                  <c:v>1.7942191760525372</c:v>
                </c:pt>
                <c:pt idx="525">
                  <c:v>1.7977595930160326</c:v>
                </c:pt>
                <c:pt idx="526">
                  <c:v>1.8013032730740097</c:v>
                </c:pt>
                <c:pt idx="527">
                  <c:v>1.8048502345079511</c:v>
                </c:pt>
                <c:pt idx="528">
                  <c:v>1.8084004957179627</c:v>
                </c:pt>
                <c:pt idx="529">
                  <c:v>1.8119540752239487</c:v>
                </c:pt>
                <c:pt idx="530">
                  <c:v>1.8155109916668011</c:v>
                </c:pt>
                <c:pt idx="531">
                  <c:v>1.8190712638096032</c:v>
                </c:pt>
                <c:pt idx="532">
                  <c:v>1.8226349105388484</c:v>
                </c:pt>
                <c:pt idx="533">
                  <c:v>1.8262019508656733</c:v>
                </c:pt>
                <c:pt idx="534">
                  <c:v>1.8297724039271057</c:v>
                </c:pt>
                <c:pt idx="535">
                  <c:v>1.8333462889873289</c:v>
                </c:pt>
                <c:pt idx="536">
                  <c:v>1.8369236254389596</c:v>
                </c:pt>
                <c:pt idx="537">
                  <c:v>1.8405044328043441</c:v>
                </c:pt>
                <c:pt idx="538">
                  <c:v>1.8440887307368676</c:v>
                </c:pt>
                <c:pt idx="539">
                  <c:v>1.8476765390222825</c:v>
                </c:pt>
                <c:pt idx="540">
                  <c:v>1.8512678775800508</c:v>
                </c:pt>
                <c:pt idx="541">
                  <c:v>1.8548627664647046</c:v>
                </c:pt>
                <c:pt idx="542">
                  <c:v>1.8584612258672233</c:v>
                </c:pt>
                <c:pt idx="543">
                  <c:v>1.8620632761164275</c:v>
                </c:pt>
                <c:pt idx="544">
                  <c:v>1.8656689376803908</c:v>
                </c:pt>
                <c:pt idx="545">
                  <c:v>1.8692782311678693</c:v>
                </c:pt>
                <c:pt idx="546">
                  <c:v>1.8728911773297494</c:v>
                </c:pt>
                <c:pt idx="547">
                  <c:v>1.8765077970605128</c:v>
                </c:pt>
                <c:pt idx="548">
                  <c:v>1.8801281113997212</c:v>
                </c:pt>
                <c:pt idx="549">
                  <c:v>1.8837521415335192</c:v>
                </c:pt>
                <c:pt idx="550">
                  <c:v>1.8873799087961569</c:v>
                </c:pt>
                <c:pt idx="551">
                  <c:v>1.8910114346715312</c:v>
                </c:pt>
                <c:pt idx="552">
                  <c:v>1.8946467407947474</c:v>
                </c:pt>
                <c:pt idx="553">
                  <c:v>1.8982858489537004</c:v>
                </c:pt>
                <c:pt idx="554">
                  <c:v>1.9019287810906766</c:v>
                </c:pt>
                <c:pt idx="555">
                  <c:v>1.9055755593039765</c:v>
                </c:pt>
                <c:pt idx="556">
                  <c:v>1.9092262058495575</c:v>
                </c:pt>
                <c:pt idx="557">
                  <c:v>1.9128807431426993</c:v>
                </c:pt>
                <c:pt idx="558">
                  <c:v>1.9165391937596898</c:v>
                </c:pt>
                <c:pt idx="559">
                  <c:v>1.9202015804395336</c:v>
                </c:pt>
                <c:pt idx="560">
                  <c:v>1.9238679260856824</c:v>
                </c:pt>
                <c:pt idx="561">
                  <c:v>1.9275382537677888</c:v>
                </c:pt>
                <c:pt idx="562">
                  <c:v>1.9312125867234822</c:v>
                </c:pt>
                <c:pt idx="563">
                  <c:v>1.9348909483601688</c:v>
                </c:pt>
                <c:pt idx="564">
                  <c:v>1.9385733622568555</c:v>
                </c:pt>
                <c:pt idx="565">
                  <c:v>1.9422598521659966</c:v>
                </c:pt>
                <c:pt idx="566">
                  <c:v>1.9459504420153673</c:v>
                </c:pt>
                <c:pt idx="567">
                  <c:v>1.9496451559099601</c:v>
                </c:pt>
                <c:pt idx="568">
                  <c:v>1.9533440181339075</c:v>
                </c:pt>
                <c:pt idx="569">
                  <c:v>1.9570470531524302</c:v>
                </c:pt>
                <c:pt idx="570">
                  <c:v>1.960754285613812</c:v>
                </c:pt>
                <c:pt idx="571">
                  <c:v>1.9644657403514005</c:v>
                </c:pt>
                <c:pt idx="572">
                  <c:v>1.968181442385635</c:v>
                </c:pt>
                <c:pt idx="573">
                  <c:v>1.971901416926102</c:v>
                </c:pt>
                <c:pt idx="574">
                  <c:v>1.9756256893736188</c:v>
                </c:pt>
                <c:pt idx="575">
                  <c:v>1.9793542853223456</c:v>
                </c:pt>
                <c:pt idx="576">
                  <c:v>1.9830872305619252</c:v>
                </c:pt>
                <c:pt idx="577">
                  <c:v>1.9868245510796536</c:v>
                </c:pt>
                <c:pt idx="578">
                  <c:v>1.9905662730626794</c:v>
                </c:pt>
                <c:pt idx="579">
                  <c:v>1.994312422900234</c:v>
                </c:pt>
                <c:pt idx="580">
                  <c:v>1.9980630271858919</c:v>
                </c:pt>
                <c:pt idx="581">
                  <c:v>2.0018181127198629</c:v>
                </c:pt>
                <c:pt idx="582">
                  <c:v>2.0055777065113163</c:v>
                </c:pt>
                <c:pt idx="583">
                  <c:v>2.0093418357807358</c:v>
                </c:pt>
                <c:pt idx="584">
                  <c:v>2.01311052796231</c:v>
                </c:pt>
                <c:pt idx="585">
                  <c:v>2.0168838107063545</c:v>
                </c:pt>
                <c:pt idx="586">
                  <c:v>2.0206617118817669</c:v>
                </c:pt>
                <c:pt idx="587">
                  <c:v>2.0244442595785199</c:v>
                </c:pt>
                <c:pt idx="588">
                  <c:v>2.0282314821101859</c:v>
                </c:pt>
                <c:pt idx="589">
                  <c:v>2.0320234080164994</c:v>
                </c:pt>
                <c:pt idx="590">
                  <c:v>2.0358200660659556</c:v>
                </c:pt>
                <c:pt idx="591">
                  <c:v>2.0396214852584444</c:v>
                </c:pt>
                <c:pt idx="592">
                  <c:v>2.0434276948279249</c:v>
                </c:pt>
                <c:pt idx="593">
                  <c:v>2.0472387242451342</c:v>
                </c:pt>
                <c:pt idx="594">
                  <c:v>2.0510546032203396</c:v>
                </c:pt>
                <c:pt idx="595">
                  <c:v>2.0548753617061268</c:v>
                </c:pt>
                <c:pt idx="596">
                  <c:v>2.0587010299002295</c:v>
                </c:pt>
                <c:pt idx="597">
                  <c:v>2.0625316382484007</c:v>
                </c:pt>
                <c:pt idx="598">
                  <c:v>2.0663672174473242</c:v>
                </c:pt>
                <c:pt idx="599">
                  <c:v>2.0702077984475697</c:v>
                </c:pt>
                <c:pt idx="600">
                  <c:v>2.0740534124565908</c:v>
                </c:pt>
                <c:pt idx="601">
                  <c:v>2.0779040909417663</c:v>
                </c:pt>
                <c:pt idx="602">
                  <c:v>2.0817598656334866</c:v>
                </c:pt>
                <c:pt idx="603">
                  <c:v>2.085620768528285</c:v>
                </c:pt>
                <c:pt idx="604">
                  <c:v>2.0894868318920161</c:v>
                </c:pt>
                <c:pt idx="605">
                  <c:v>2.0933580882630802</c:v>
                </c:pt>
                <c:pt idx="606">
                  <c:v>2.0972345704556967</c:v>
                </c:pt>
                <c:pt idx="607">
                  <c:v>2.1011163115632248</c:v>
                </c:pt>
                <c:pt idx="608">
                  <c:v>2.1050033449615349</c:v>
                </c:pt>
                <c:pt idx="609">
                  <c:v>2.1088957043124301</c:v>
                </c:pt>
                <c:pt idx="610">
                  <c:v>2.1127934235671191</c:v>
                </c:pt>
                <c:pt idx="611">
                  <c:v>2.1166965369697412</c:v>
                </c:pt>
                <c:pt idx="612">
                  <c:v>2.1206050790609448</c:v>
                </c:pt>
                <c:pt idx="613">
                  <c:v>2.124519084681519</c:v>
                </c:pt>
                <c:pt idx="614">
                  <c:v>2.1284385889760822</c:v>
                </c:pt>
                <c:pt idx="615">
                  <c:v>2.1323636273968258</c:v>
                </c:pt>
                <c:pt idx="616">
                  <c:v>2.1362942357073149</c:v>
                </c:pt>
                <c:pt idx="617">
                  <c:v>2.1402304499863471</c:v>
                </c:pt>
                <c:pt idx="618">
                  <c:v>2.1441723066318716</c:v>
                </c:pt>
                <c:pt idx="619">
                  <c:v>2.1481198423649674</c:v>
                </c:pt>
                <c:pt idx="620">
                  <c:v>2.1520730942338839</c:v>
                </c:pt>
                <c:pt idx="621">
                  <c:v>2.1560320996181432</c:v>
                </c:pt>
                <c:pt idx="622">
                  <c:v>2.1599968962327076</c:v>
                </c:pt>
                <c:pt idx="623">
                  <c:v>2.1639675221322094</c:v>
                </c:pt>
                <c:pt idx="624">
                  <c:v>2.1679440157152499</c:v>
                </c:pt>
                <c:pt idx="625">
                  <c:v>2.171926415728763</c:v>
                </c:pt>
                <c:pt idx="626">
                  <c:v>2.1759147612724505</c:v>
                </c:pt>
                <c:pt idx="627">
                  <c:v>2.179909091803284</c:v>
                </c:pt>
                <c:pt idx="628">
                  <c:v>2.1839094471400791</c:v>
                </c:pt>
                <c:pt idx="629">
                  <c:v>2.1879158674681438</c:v>
                </c:pt>
                <c:pt idx="630">
                  <c:v>2.191928393343999</c:v>
                </c:pt>
                <c:pt idx="631">
                  <c:v>2.1959470657001736</c:v>
                </c:pt>
                <c:pt idx="632">
                  <c:v>2.1999719258500789</c:v>
                </c:pt>
                <c:pt idx="633">
                  <c:v>2.2040030154929591</c:v>
                </c:pt>
                <c:pt idx="634">
                  <c:v>2.2080403767189214</c:v>
                </c:pt>
                <c:pt idx="635">
                  <c:v>2.2120840520140486</c:v>
                </c:pt>
                <c:pt idx="636">
                  <c:v>2.216134084265593</c:v>
                </c:pt>
                <c:pt idx="637">
                  <c:v>2.2201905167672562</c:v>
                </c:pt>
                <c:pt idx="638">
                  <c:v>2.224253393224553</c:v>
                </c:pt>
                <c:pt idx="639">
                  <c:v>2.2283227577602633</c:v>
                </c:pt>
                <c:pt idx="640">
                  <c:v>2.2323986549199746</c:v>
                </c:pt>
                <c:pt idx="641">
                  <c:v>2.2364811296777138</c:v>
                </c:pt>
                <c:pt idx="642">
                  <c:v>2.2405702274416734</c:v>
                </c:pt>
                <c:pt idx="643">
                  <c:v>2.2446659940600298</c:v>
                </c:pt>
                <c:pt idx="644">
                  <c:v>2.2487684758268602</c:v>
                </c:pt>
                <c:pt idx="645">
                  <c:v>2.2528777194881577</c:v>
                </c:pt>
                <c:pt idx="646">
                  <c:v>2.2569937722479447</c:v>
                </c:pt>
                <c:pt idx="647">
                  <c:v>2.2611166817744901</c:v>
                </c:pt>
                <c:pt idx="648">
                  <c:v>2.2652464962066303</c:v>
                </c:pt>
                <c:pt idx="649">
                  <c:v>2.2693832641601968</c:v>
                </c:pt>
                <c:pt idx="650">
                  <c:v>2.2735270347345504</c:v>
                </c:pt>
                <c:pt idx="651">
                  <c:v>2.2776778575192287</c:v>
                </c:pt>
                <c:pt idx="652">
                  <c:v>2.2818357826007039</c:v>
                </c:pt>
                <c:pt idx="653">
                  <c:v>2.2860008605692559</c:v>
                </c:pt>
                <c:pt idx="654">
                  <c:v>2.2901731425259637</c:v>
                </c:pt>
                <c:pt idx="655">
                  <c:v>2.294352680089816</c:v>
                </c:pt>
                <c:pt idx="656">
                  <c:v>2.298539525404943</c:v>
                </c:pt>
                <c:pt idx="657">
                  <c:v>2.3027337311479728</c:v>
                </c:pt>
                <c:pt idx="658">
                  <c:v>2.3069353505355159</c:v>
                </c:pt>
                <c:pt idx="659">
                  <c:v>2.311144437331778</c:v>
                </c:pt>
                <c:pt idx="660">
                  <c:v>2.3153610458563043</c:v>
                </c:pt>
                <c:pt idx="661">
                  <c:v>2.3195852309918616</c:v>
                </c:pt>
                <c:pt idx="662">
                  <c:v>2.323817048192454</c:v>
                </c:pt>
                <c:pt idx="663">
                  <c:v>2.3280565534914825</c:v>
                </c:pt>
                <c:pt idx="664">
                  <c:v>2.3323038035100447</c:v>
                </c:pt>
                <c:pt idx="665">
                  <c:v>2.336558855465384</c:v>
                </c:pt>
                <c:pt idx="666">
                  <c:v>2.3408217671794844</c:v>
                </c:pt>
                <c:pt idx="667">
                  <c:v>2.3450925970878216</c:v>
                </c:pt>
                <c:pt idx="668">
                  <c:v>2.3493714042482656</c:v>
                </c:pt>
                <c:pt idx="669">
                  <c:v>2.3536582483501443</c:v>
                </c:pt>
                <c:pt idx="670">
                  <c:v>2.3579531897234687</c:v>
                </c:pt>
                <c:pt idx="671">
                  <c:v>2.362256289348323</c:v>
                </c:pt>
                <c:pt idx="672">
                  <c:v>2.3665676088644236</c:v>
                </c:pt>
                <c:pt idx="673">
                  <c:v>2.3708872105808507</c:v>
                </c:pt>
                <c:pt idx="674">
                  <c:v>2.3752151574859552</c:v>
                </c:pt>
                <c:pt idx="675">
                  <c:v>2.3795515132574461</c:v>
                </c:pt>
                <c:pt idx="676">
                  <c:v>2.3838963422726591</c:v>
                </c:pt>
                <c:pt idx="677">
                  <c:v>2.3882497096190169</c:v>
                </c:pt>
                <c:pt idx="678">
                  <c:v>2.3926116811046754</c:v>
                </c:pt>
                <c:pt idx="679">
                  <c:v>2.396982323269369</c:v>
                </c:pt>
                <c:pt idx="680">
                  <c:v>2.4013617033954535</c:v>
                </c:pt>
                <c:pt idx="681">
                  <c:v>2.4057498895191531</c:v>
                </c:pt>
                <c:pt idx="682">
                  <c:v>2.4101469504420163</c:v>
                </c:pt>
                <c:pt idx="683">
                  <c:v>2.4145529557425824</c:v>
                </c:pt>
                <c:pt idx="684">
                  <c:v>2.4189679757882661</c:v>
                </c:pt>
                <c:pt idx="685">
                  <c:v>2.4233920817474646</c:v>
                </c:pt>
                <c:pt idx="686">
                  <c:v>2.4278253456018897</c:v>
                </c:pt>
                <c:pt idx="687">
                  <c:v>2.4322678401591311</c:v>
                </c:pt>
                <c:pt idx="688">
                  <c:v>2.436719639065458</c:v>
                </c:pt>
                <c:pt idx="689">
                  <c:v>2.4411808168188598</c:v>
                </c:pt>
                <c:pt idx="690">
                  <c:v>2.4456514487823346</c:v>
                </c:pt>
                <c:pt idx="691">
                  <c:v>2.4501316111974303</c:v>
                </c:pt>
                <c:pt idx="692">
                  <c:v>2.4546213811980415</c:v>
                </c:pt>
                <c:pt idx="693">
                  <c:v>2.459120836824471</c:v>
                </c:pt>
                <c:pt idx="694">
                  <c:v>2.4636300570377592</c:v>
                </c:pt>
                <c:pt idx="695">
                  <c:v>2.4681491217342897</c:v>
                </c:pt>
                <c:pt idx="696">
                  <c:v>2.4726781117606733</c:v>
                </c:pt>
                <c:pt idx="697">
                  <c:v>2.4772171089289214</c:v>
                </c:pt>
                <c:pt idx="698">
                  <c:v>2.4817661960319111</c:v>
                </c:pt>
                <c:pt idx="699">
                  <c:v>2.4863254568591504</c:v>
                </c:pt>
                <c:pt idx="700">
                  <c:v>2.4908949762128501</c:v>
                </c:pt>
                <c:pt idx="701">
                  <c:v>2.4954748399243076</c:v>
                </c:pt>
                <c:pt idx="702">
                  <c:v>2.5000651348706122</c:v>
                </c:pt>
                <c:pt idx="703">
                  <c:v>2.5046659489916769</c:v>
                </c:pt>
                <c:pt idx="704">
                  <c:v>2.5092773713076046</c:v>
                </c:pt>
                <c:pt idx="705">
                  <c:v>2.5138994919363946</c:v>
                </c:pt>
                <c:pt idx="706">
                  <c:v>2.5185324021120019</c:v>
                </c:pt>
                <c:pt idx="707">
                  <c:v>2.5231761942027497</c:v>
                </c:pt>
                <c:pt idx="708">
                  <c:v>2.5278309617301105</c:v>
                </c:pt>
                <c:pt idx="709">
                  <c:v>2.5324967993878573</c:v>
                </c:pt>
                <c:pt idx="710">
                  <c:v>2.5371738030616</c:v>
                </c:pt>
                <c:pt idx="711">
                  <c:v>2.5418620698487082</c:v>
                </c:pt>
                <c:pt idx="712">
                  <c:v>2.5465616980786359</c:v>
                </c:pt>
                <c:pt idx="713">
                  <c:v>2.551272787333652</c:v>
                </c:pt>
                <c:pt idx="714">
                  <c:v>2.5559954384699899</c:v>
                </c:pt>
                <c:pt idx="715">
                  <c:v>2.5607297536394205</c:v>
                </c:pt>
                <c:pt idx="716">
                  <c:v>2.5654758363112635</c:v>
                </c:pt>
                <c:pt idx="717">
                  <c:v>2.5702337912948447</c:v>
                </c:pt>
                <c:pt idx="718">
                  <c:v>2.5750037247624062</c:v>
                </c:pt>
                <c:pt idx="719">
                  <c:v>2.5797857442724856</c:v>
                </c:pt>
                <c:pt idx="720">
                  <c:v>2.5845799587937708</c:v>
                </c:pt>
                <c:pt idx="721">
                  <c:v>2.5893864787294407</c:v>
                </c:pt>
                <c:pt idx="722">
                  <c:v>2.5942054159420049</c:v>
                </c:pt>
                <c:pt idx="723">
                  <c:v>2.5990368837786542</c:v>
                </c:pt>
                <c:pt idx="724">
                  <c:v>2.6038809970971291</c:v>
                </c:pt>
                <c:pt idx="725">
                  <c:v>2.6087378722921231</c:v>
                </c:pt>
                <c:pt idx="726">
                  <c:v>2.6136076273222293</c:v>
                </c:pt>
                <c:pt idx="727">
                  <c:v>2.6184903817374447</c:v>
                </c:pt>
                <c:pt idx="728">
                  <c:v>2.6233862567072435</c:v>
                </c:pt>
                <c:pt idx="729">
                  <c:v>2.6282953750492304</c:v>
                </c:pt>
                <c:pt idx="730">
                  <c:v>2.6332178612583927</c:v>
                </c:pt>
                <c:pt idx="731">
                  <c:v>2.6381538415369579</c:v>
                </c:pt>
                <c:pt idx="732">
                  <c:v>2.6431034438248746</c:v>
                </c:pt>
                <c:pt idx="733">
                  <c:v>2.6480667978309289</c:v>
                </c:pt>
                <c:pt idx="734">
                  <c:v>2.6530440350645113</c:v>
                </c:pt>
                <c:pt idx="735">
                  <c:v>2.6580352888680467</c:v>
                </c:pt>
                <c:pt idx="736">
                  <c:v>2.6630406944501077</c:v>
                </c:pt>
                <c:pt idx="737">
                  <c:v>2.6680603889192178</c:v>
                </c:pt>
                <c:pt idx="738">
                  <c:v>2.6730945113183666</c:v>
                </c:pt>
                <c:pt idx="739">
                  <c:v>2.6781432026602512</c:v>
                </c:pt>
                <c:pt idx="740">
                  <c:v>2.683206605963258</c:v>
                </c:pt>
                <c:pt idx="741">
                  <c:v>2.6882848662882024</c:v>
                </c:pt>
                <c:pt idx="742">
                  <c:v>2.693378130775844</c:v>
                </c:pt>
                <c:pt idx="743">
                  <c:v>2.6984865486851914</c:v>
                </c:pt>
                <c:pt idx="744">
                  <c:v>2.7036102714326171</c:v>
                </c:pt>
                <c:pt idx="745">
                  <c:v>2.7087494526317983</c:v>
                </c:pt>
                <c:pt idx="746">
                  <c:v>2.7139042481345004</c:v>
                </c:pt>
                <c:pt idx="747">
                  <c:v>2.7190748160722236</c:v>
                </c:pt>
                <c:pt idx="748">
                  <c:v>2.7242613168987293</c:v>
                </c:pt>
                <c:pt idx="749">
                  <c:v>2.7294639134334666</c:v>
                </c:pt>
                <c:pt idx="750">
                  <c:v>2.7346827709059167</c:v>
                </c:pt>
                <c:pt idx="751">
                  <c:v>2.7399180570008728</c:v>
                </c:pt>
                <c:pt idx="752">
                  <c:v>2.7451699419046807</c:v>
                </c:pt>
                <c:pt idx="753">
                  <c:v>2.7504385983524515</c:v>
                </c:pt>
                <c:pt idx="754">
                  <c:v>2.7557242016762764</c:v>
                </c:pt>
                <c:pt idx="755">
                  <c:v>2.7610269298544554</c:v>
                </c:pt>
                <c:pt idx="756">
                  <c:v>2.7663469635617641</c:v>
                </c:pt>
                <c:pt idx="757">
                  <c:v>2.7716844862207806</c:v>
                </c:pt>
                <c:pt idx="758">
                  <c:v>2.7770396840542908</c:v>
                </c:pt>
                <c:pt idx="759">
                  <c:v>2.782412746138796</c:v>
                </c:pt>
                <c:pt idx="760">
                  <c:v>2.7878038644591419</c:v>
                </c:pt>
                <c:pt idx="761">
                  <c:v>2.7932132339642903</c:v>
                </c:pt>
                <c:pt idx="762">
                  <c:v>2.7986410526242596</c:v>
                </c:pt>
                <c:pt idx="763">
                  <c:v>2.804087521488249</c:v>
                </c:pt>
                <c:pt idx="764">
                  <c:v>2.8095528447439753</c:v>
                </c:pt>
                <c:pt idx="765">
                  <c:v>2.8150372297782376</c:v>
                </c:pt>
                <c:pt idx="766">
                  <c:v>2.8205408872387379</c:v>
                </c:pt>
                <c:pt idx="767">
                  <c:v>2.8260640310971752</c:v>
                </c:pt>
                <c:pt idx="768">
                  <c:v>2.8316068787136364</c:v>
                </c:pt>
                <c:pt idx="769">
                  <c:v>2.8371696509023061</c:v>
                </c:pt>
                <c:pt idx="770">
                  <c:v>2.8427525719985169</c:v>
                </c:pt>
                <c:pt idx="771">
                  <c:v>2.8483558699271612</c:v>
                </c:pt>
                <c:pt idx="772">
                  <c:v>2.8539797762724852</c:v>
                </c:pt>
                <c:pt idx="773">
                  <c:v>2.8596245263492883</c:v>
                </c:pt>
                <c:pt idx="774">
                  <c:v>2.8652903592755443</c:v>
                </c:pt>
                <c:pt idx="775">
                  <c:v>2.8709775180464674</c:v>
                </c:pt>
                <c:pt idx="776">
                  <c:v>2.876686249610044</c:v>
                </c:pt>
                <c:pt idx="777">
                  <c:v>2.8824168049440453</c:v>
                </c:pt>
                <c:pt idx="778">
                  <c:v>2.8881694391345385</c:v>
                </c:pt>
                <c:pt idx="779">
                  <c:v>2.8939444114559238</c:v>
                </c:pt>
                <c:pt idx="780">
                  <c:v>2.8997419854524966</c:v>
                </c:pt>
                <c:pt idx="781">
                  <c:v>2.9055624290215678</c:v>
                </c:pt>
                <c:pt idx="782">
                  <c:v>2.9114060144981462</c:v>
                </c:pt>
                <c:pt idx="783">
                  <c:v>2.9172730187412004</c:v>
                </c:pt>
                <c:pt idx="784">
                  <c:v>2.9231637232215109</c:v>
                </c:pt>
                <c:pt idx="785">
                  <c:v>2.9290784141111224</c:v>
                </c:pt>
                <c:pt idx="786">
                  <c:v>2.9350173823744075</c:v>
                </c:pt>
                <c:pt idx="787">
                  <c:v>2.9409809238607498</c:v>
                </c:pt>
                <c:pt idx="788">
                  <c:v>2.9469693393988439</c:v>
                </c:pt>
                <c:pt idx="789">
                  <c:v>2.9529829348926269</c:v>
                </c:pt>
                <c:pt idx="790">
                  <c:v>2.9590220214188334</c:v>
                </c:pt>
                <c:pt idx="791">
                  <c:v>2.9650869153261774</c:v>
                </c:pt>
                <c:pt idx="792">
                  <c:v>2.9711779383361536</c:v>
                </c:pt>
                <c:pt idx="793">
                  <c:v>2.9772954176454545</c:v>
                </c:pt>
                <c:pt idx="794">
                  <c:v>2.9834396860299872</c:v>
                </c:pt>
                <c:pt idx="795">
                  <c:v>2.9896110819504891</c:v>
                </c:pt>
                <c:pt idx="796">
                  <c:v>2.9958099496597024</c:v>
                </c:pt>
                <c:pt idx="797">
                  <c:v>3.0020366393111142</c:v>
                </c:pt>
                <c:pt idx="798">
                  <c:v>3.0082915070692144</c:v>
                </c:pt>
                <c:pt idx="799">
                  <c:v>3.0145749152212562</c:v>
                </c:pt>
                <c:pt idx="800">
                  <c:v>3.0208872322904723</c:v>
                </c:pt>
                <c:pt idx="801">
                  <c:v>3.0272288331507218</c:v>
                </c:pt>
                <c:pt idx="802">
                  <c:v>3.0336000991425101</c:v>
                </c:pt>
                <c:pt idx="803">
                  <c:v>3.0400014181903394</c:v>
                </c:pt>
                <c:pt idx="804">
                  <c:v>3.0464331849213289</c:v>
                </c:pt>
                <c:pt idx="805">
                  <c:v>3.0528958007850435</c:v>
                </c:pt>
                <c:pt idx="806">
                  <c:v>3.0593896741744611</c:v>
                </c:pt>
                <c:pt idx="807">
                  <c:v>3.0659152205479998</c:v>
                </c:pt>
                <c:pt idx="808">
                  <c:v>3.0724728625525239</c:v>
                </c:pt>
                <c:pt idx="809">
                  <c:v>3.0790630301472315</c:v>
                </c:pt>
                <c:pt idx="810">
                  <c:v>3.0856861607283248</c:v>
                </c:pt>
                <c:pt idx="811">
                  <c:v>3.0923426992543548</c:v>
                </c:pt>
                <c:pt idx="812">
                  <c:v>3.0990330983721153</c:v>
                </c:pt>
                <c:pt idx="813">
                  <c:v>3.1057578185429668</c:v>
                </c:pt>
                <c:pt idx="814">
                  <c:v>3.1125173281694396</c:v>
                </c:pt>
                <c:pt idx="815">
                  <c:v>3.1193121037219735</c:v>
                </c:pt>
                <c:pt idx="816">
                  <c:v>3.1261426298656345</c:v>
                </c:pt>
                <c:pt idx="817">
                  <c:v>3.1330093995866273</c:v>
                </c:pt>
                <c:pt idx="818">
                  <c:v>3.1399129143184332</c:v>
                </c:pt>
                <c:pt idx="819">
                  <c:v>3.1468536840673567</c:v>
                </c:pt>
                <c:pt idx="820">
                  <c:v>3.1538322275372983</c:v>
                </c:pt>
                <c:pt idx="821">
                  <c:v>3.1608490722535003</c:v>
                </c:pt>
                <c:pt idx="822">
                  <c:v>3.1679047546850607</c:v>
                </c:pt>
                <c:pt idx="823">
                  <c:v>3.1749998203659366</c:v>
                </c:pt>
                <c:pt idx="824">
                  <c:v>3.1821348240141965</c:v>
                </c:pt>
                <c:pt idx="825">
                  <c:v>3.1893103296492331</c:v>
                </c:pt>
                <c:pt idx="826">
                  <c:v>3.1965269107066372</c:v>
                </c:pt>
                <c:pt idx="827">
                  <c:v>3.2037851501504488</c:v>
                </c:pt>
                <c:pt idx="828">
                  <c:v>3.2110856405824268</c:v>
                </c:pt>
                <c:pt idx="829">
                  <c:v>3.2184289843480509</c:v>
                </c:pt>
                <c:pt idx="830">
                  <c:v>3.2258157936388456</c:v>
                </c:pt>
                <c:pt idx="831">
                  <c:v>3.23320574309736</c:v>
                </c:pt>
                <c:pt idx="832">
                  <c:v>3.2405956925558743</c:v>
                </c:pt>
                <c:pt idx="833">
                  <c:v>3.2479856420143887</c:v>
                </c:pt>
                <c:pt idx="834">
                  <c:v>3.255375591472903</c:v>
                </c:pt>
                <c:pt idx="835">
                  <c:v>3.2571421283557895</c:v>
                </c:pt>
                <c:pt idx="836">
                  <c:v>3.2589086652386761</c:v>
                </c:pt>
                <c:pt idx="837">
                  <c:v>3.2606752021215626</c:v>
                </c:pt>
                <c:pt idx="838">
                  <c:v>3.2624417390044491</c:v>
                </c:pt>
                <c:pt idx="839">
                  <c:v>3.2642082758873356</c:v>
                </c:pt>
                <c:pt idx="840">
                  <c:v>3.2659748127702222</c:v>
                </c:pt>
                <c:pt idx="841">
                  <c:v>3.2677413496531087</c:v>
                </c:pt>
                <c:pt idx="842">
                  <c:v>3.2695078865359952</c:v>
                </c:pt>
                <c:pt idx="843">
                  <c:v>3.2712744234188817</c:v>
                </c:pt>
                <c:pt idx="844">
                  <c:v>3.2730409603017683</c:v>
                </c:pt>
                <c:pt idx="845">
                  <c:v>3.2748074971846548</c:v>
                </c:pt>
                <c:pt idx="846">
                  <c:v>3.2765740340675413</c:v>
                </c:pt>
                <c:pt idx="847">
                  <c:v>3.2783405709504279</c:v>
                </c:pt>
                <c:pt idx="848">
                  <c:v>3.2801071078333144</c:v>
                </c:pt>
                <c:pt idx="849">
                  <c:v>3.2818736447162009</c:v>
                </c:pt>
                <c:pt idx="850">
                  <c:v>3.2836401815990874</c:v>
                </c:pt>
                <c:pt idx="851">
                  <c:v>3.285406718481974</c:v>
                </c:pt>
                <c:pt idx="852">
                  <c:v>3.2871732553648605</c:v>
                </c:pt>
                <c:pt idx="853">
                  <c:v>3.288939792247747</c:v>
                </c:pt>
                <c:pt idx="854">
                  <c:v>3.2907063291306335</c:v>
                </c:pt>
                <c:pt idx="855">
                  <c:v>3.2924728660135201</c:v>
                </c:pt>
                <c:pt idx="856">
                  <c:v>3.2942394028964066</c:v>
                </c:pt>
                <c:pt idx="857">
                  <c:v>3.2960059397792931</c:v>
                </c:pt>
                <c:pt idx="858">
                  <c:v>3.2977724766621797</c:v>
                </c:pt>
                <c:pt idx="859">
                  <c:v>3.2995390135450662</c:v>
                </c:pt>
                <c:pt idx="860">
                  <c:v>3.3013055504279527</c:v>
                </c:pt>
                <c:pt idx="861">
                  <c:v>3.3030720873108392</c:v>
                </c:pt>
                <c:pt idx="862">
                  <c:v>3.3048386241937258</c:v>
                </c:pt>
                <c:pt idx="863">
                  <c:v>3.3066051610766123</c:v>
                </c:pt>
                <c:pt idx="864">
                  <c:v>3.3083716979594988</c:v>
                </c:pt>
                <c:pt idx="865">
                  <c:v>3.3101382348423853</c:v>
                </c:pt>
                <c:pt idx="866">
                  <c:v>3.3119047717252719</c:v>
                </c:pt>
                <c:pt idx="867">
                  <c:v>3.3136713086081584</c:v>
                </c:pt>
                <c:pt idx="868">
                  <c:v>3.3154378454910449</c:v>
                </c:pt>
                <c:pt idx="869">
                  <c:v>3.3172043823739314</c:v>
                </c:pt>
                <c:pt idx="870">
                  <c:v>3.318970919256818</c:v>
                </c:pt>
                <c:pt idx="871">
                  <c:v>3.3207374561397045</c:v>
                </c:pt>
                <c:pt idx="872">
                  <c:v>3.322503993022591</c:v>
                </c:pt>
                <c:pt idx="873">
                  <c:v>3.3242705299054776</c:v>
                </c:pt>
                <c:pt idx="874">
                  <c:v>3.3260370667883641</c:v>
                </c:pt>
                <c:pt idx="875">
                  <c:v>3.3278036036712506</c:v>
                </c:pt>
                <c:pt idx="876">
                  <c:v>3.3295701405541371</c:v>
                </c:pt>
                <c:pt idx="877">
                  <c:v>3.3313366774370237</c:v>
                </c:pt>
                <c:pt idx="878">
                  <c:v>3.3331032143199102</c:v>
                </c:pt>
                <c:pt idx="879">
                  <c:v>3.3348697512027967</c:v>
                </c:pt>
                <c:pt idx="880">
                  <c:v>3.3366362880856832</c:v>
                </c:pt>
                <c:pt idx="881">
                  <c:v>3.3384028249685698</c:v>
                </c:pt>
                <c:pt idx="882">
                  <c:v>3.3401693618514563</c:v>
                </c:pt>
              </c:numCache>
            </c:numRef>
          </c:xVal>
          <c:yVal>
            <c:numRef>
              <c:f>Pressure!$AD$28:$AD$910</c:f>
              <c:numCache>
                <c:formatCode>0.0</c:formatCode>
                <c:ptCount val="883"/>
                <c:pt idx="0">
                  <c:v>0</c:v>
                </c:pt>
                <c:pt idx="1">
                  <c:v>1049.2700181399746</c:v>
                </c:pt>
                <c:pt idx="2">
                  <c:v>0</c:v>
                </c:pt>
                <c:pt idx="3">
                  <c:v>1025.3399567117613</c:v>
                </c:pt>
                <c:pt idx="4">
                  <c:v>0</c:v>
                </c:pt>
                <c:pt idx="5">
                  <c:v>1002.491105948176</c:v>
                </c:pt>
                <c:pt idx="6">
                  <c:v>0</c:v>
                </c:pt>
                <c:pt idx="7">
                  <c:v>980.65096015051677</c:v>
                </c:pt>
                <c:pt idx="8">
                  <c:v>0</c:v>
                </c:pt>
                <c:pt idx="9">
                  <c:v>959.75335846790813</c:v>
                </c:pt>
                <c:pt idx="10">
                  <c:v>0</c:v>
                </c:pt>
                <c:pt idx="11">
                  <c:v>939.73780565169329</c:v>
                </c:pt>
                <c:pt idx="12">
                  <c:v>0</c:v>
                </c:pt>
                <c:pt idx="13">
                  <c:v>920.54887824443722</c:v>
                </c:pt>
                <c:pt idx="14">
                  <c:v>0</c:v>
                </c:pt>
                <c:pt idx="15">
                  <c:v>902.13570391790233</c:v>
                </c:pt>
                <c:pt idx="16">
                  <c:v>0</c:v>
                </c:pt>
                <c:pt idx="17">
                  <c:v>884.45150366380301</c:v>
                </c:pt>
                <c:pt idx="18">
                  <c:v>0</c:v>
                </c:pt>
                <c:pt idx="19">
                  <c:v>867.45318815601979</c:v>
                </c:pt>
                <c:pt idx="20">
                  <c:v>0</c:v>
                </c:pt>
                <c:pt idx="21">
                  <c:v>851.10100095473933</c:v>
                </c:pt>
                <c:pt idx="22">
                  <c:v>0</c:v>
                </c:pt>
                <c:pt idx="23">
                  <c:v>835.35820232546087</c:v>
                </c:pt>
                <c:pt idx="24">
                  <c:v>0</c:v>
                </c:pt>
                <c:pt idx="25">
                  <c:v>820.1907883853562</c:v>
                </c:pt>
                <c:pt idx="26">
                  <c:v>0</c:v>
                </c:pt>
                <c:pt idx="27">
                  <c:v>805.56724105179433</c:v>
                </c:pt>
                <c:pt idx="28">
                  <c:v>0</c:v>
                </c:pt>
                <c:pt idx="29">
                  <c:v>791.45830492413165</c:v>
                </c:pt>
                <c:pt idx="30">
                  <c:v>0</c:v>
                </c:pt>
                <c:pt idx="31">
                  <c:v>777.836787774247</c:v>
                </c:pt>
                <c:pt idx="32">
                  <c:v>0</c:v>
                </c:pt>
                <c:pt idx="33">
                  <c:v>764.67738178155309</c:v>
                </c:pt>
                <c:pt idx="34">
                  <c:v>0</c:v>
                </c:pt>
                <c:pt idx="35">
                  <c:v>751.95650303811249</c:v>
                </c:pt>
                <c:pt idx="36">
                  <c:v>0</c:v>
                </c:pt>
                <c:pt idx="37">
                  <c:v>739.65214718331538</c:v>
                </c:pt>
                <c:pt idx="38">
                  <c:v>0</c:v>
                </c:pt>
                <c:pt idx="39">
                  <c:v>727.74375930741996</c:v>
                </c:pt>
                <c:pt idx="40">
                  <c:v>0</c:v>
                </c:pt>
                <c:pt idx="41">
                  <c:v>716.21211650452744</c:v>
                </c:pt>
                <c:pt idx="42">
                  <c:v>0</c:v>
                </c:pt>
                <c:pt idx="43">
                  <c:v>705.03922166402231</c:v>
                </c:pt>
                <c:pt idx="44">
                  <c:v>0</c:v>
                </c:pt>
                <c:pt idx="45">
                  <c:v>694.20820726561772</c:v>
                </c:pt>
                <c:pt idx="46">
                  <c:v>0</c:v>
                </c:pt>
                <c:pt idx="47">
                  <c:v>683.70324809432861</c:v>
                </c:pt>
                <c:pt idx="48">
                  <c:v>0</c:v>
                </c:pt>
                <c:pt idx="49">
                  <c:v>673.5094819267066</c:v>
                </c:pt>
                <c:pt idx="50">
                  <c:v>0</c:v>
                </c:pt>
                <c:pt idx="51">
                  <c:v>663.61293735143454</c:v>
                </c:pt>
                <c:pt idx="52">
                  <c:v>0</c:v>
                </c:pt>
                <c:pt idx="53">
                  <c:v>654.00046798520998</c:v>
                </c:pt>
                <c:pt idx="54">
                  <c:v>0</c:v>
                </c:pt>
                <c:pt idx="55">
                  <c:v>644.65969243493589</c:v>
                </c:pt>
                <c:pt idx="56">
                  <c:v>0</c:v>
                </c:pt>
                <c:pt idx="57">
                  <c:v>635.5789394270754</c:v>
                </c:pt>
                <c:pt idx="58">
                  <c:v>0</c:v>
                </c:pt>
                <c:pt idx="59">
                  <c:v>626.74719759289235</c:v>
                </c:pt>
                <c:pt idx="60">
                  <c:v>0</c:v>
                </c:pt>
                <c:pt idx="61">
                  <c:v>618.15406945637392</c:v>
                </c:pt>
                <c:pt idx="62">
                  <c:v>0</c:v>
                </c:pt>
                <c:pt idx="63">
                  <c:v>609.78972921825618</c:v>
                </c:pt>
                <c:pt idx="64">
                  <c:v>0</c:v>
                </c:pt>
                <c:pt idx="65">
                  <c:v>601.64488397776836</c:v>
                </c:pt>
                <c:pt idx="66">
                  <c:v>0</c:v>
                </c:pt>
                <c:pt idx="67">
                  <c:v>593.71073806777656</c:v>
                </c:pt>
                <c:pt idx="68">
                  <c:v>0</c:v>
                </c:pt>
                <c:pt idx="69">
                  <c:v>585.978960216686</c:v>
                </c:pt>
                <c:pt idx="70">
                  <c:v>0</c:v>
                </c:pt>
                <c:pt idx="71">
                  <c:v>578.44165327996404</c:v>
                </c:pt>
                <c:pt idx="72">
                  <c:v>0</c:v>
                </c:pt>
                <c:pt idx="73">
                  <c:v>571.09132630760246</c:v>
                </c:pt>
                <c:pt idx="74">
                  <c:v>0</c:v>
                </c:pt>
                <c:pt idx="75">
                  <c:v>563.92086874138897</c:v>
                </c:pt>
                <c:pt idx="76">
                  <c:v>6.9991301032282829</c:v>
                </c:pt>
                <c:pt idx="77">
                  <c:v>524.71522083705293</c:v>
                </c:pt>
                <c:pt idx="78">
                  <c:v>29.085856610848321</c:v>
                </c:pt>
                <c:pt idx="79">
                  <c:v>450.65186586627664</c:v>
                </c:pt>
                <c:pt idx="80">
                  <c:v>65.294164175298945</c:v>
                </c:pt>
                <c:pt idx="81">
                  <c:v>373.69189975008544</c:v>
                </c:pt>
                <c:pt idx="82">
                  <c:v>105.68226671622293</c:v>
                </c:pt>
                <c:pt idx="83">
                  <c:v>312.88863921905306</c:v>
                </c:pt>
                <c:pt idx="84">
                  <c:v>141.33149186310897</c:v>
                </c:pt>
                <c:pt idx="85">
                  <c:v>271.02889183274362</c:v>
                </c:pt>
                <c:pt idx="86">
                  <c:v>168.3671685985662</c:v>
                </c:pt>
                <c:pt idx="87">
                  <c:v>244.50390274494254</c:v>
                </c:pt>
                <c:pt idx="88">
                  <c:v>186.71742773119863</c:v>
                </c:pt>
                <c:pt idx="89">
                  <c:v>228.7473799675131</c:v>
                </c:pt>
                <c:pt idx="90">
                  <c:v>198.1062742534011</c:v>
                </c:pt>
                <c:pt idx="91">
                  <c:v>219.95319397099075</c:v>
                </c:pt>
                <c:pt idx="92">
                  <c:v>204.66040805115222</c:v>
                </c:pt>
                <c:pt idx="93">
                  <c:v>215.36929861885702</c:v>
                </c:pt>
                <c:pt idx="94">
                  <c:v>208.20462326302308</c:v>
                </c:pt>
                <c:pt idx="95">
                  <c:v>213.17098994557168</c:v>
                </c:pt>
                <c:pt idx="96">
                  <c:v>210.03982236571397</c:v>
                </c:pt>
                <c:pt idx="97">
                  <c:v>212.23650520959526</c:v>
                </c:pt>
                <c:pt idx="98">
                  <c:v>210.98060675804882</c:v>
                </c:pt>
                <c:pt idx="99">
                  <c:v>211.92615214547729</c:v>
                </c:pt>
                <c:pt idx="100">
                  <c:v>211.48648258789515</c:v>
                </c:pt>
                <c:pt idx="101">
                  <c:v>211.90185815994587</c:v>
                </c:pt>
                <c:pt idx="102">
                  <c:v>211.79413731241831</c:v>
                </c:pt>
                <c:pt idx="103">
                  <c:v>211.99806622844946</c:v>
                </c:pt>
                <c:pt idx="104">
                  <c:v>212.01576970770805</c:v>
                </c:pt>
                <c:pt idx="105">
                  <c:v>212.13960726631194</c:v>
                </c:pt>
                <c:pt idx="106">
                  <c:v>212.20055407965248</c:v>
                </c:pt>
                <c:pt idx="107">
                  <c:v>212.29480740773624</c:v>
                </c:pt>
                <c:pt idx="108">
                  <c:v>212.36847191114282</c:v>
                </c:pt>
                <c:pt idx="109">
                  <c:v>212.451267622107</c:v>
                </c:pt>
                <c:pt idx="110">
                  <c:v>212.52706290675474</c:v>
                </c:pt>
                <c:pt idx="111">
                  <c:v>212.60447390774732</c:v>
                </c:pt>
                <c:pt idx="112">
                  <c:v>212.67897077446543</c:v>
                </c:pt>
                <c:pt idx="113">
                  <c:v>212.75289583913573</c:v>
                </c:pt>
                <c:pt idx="114">
                  <c:v>212.8250563461971</c:v>
                </c:pt>
                <c:pt idx="115">
                  <c:v>212.89604882794407</c:v>
                </c:pt>
                <c:pt idx="116">
                  <c:v>212.96557880686464</c:v>
                </c:pt>
                <c:pt idx="117">
                  <c:v>213.03378831668746</c:v>
                </c:pt>
                <c:pt idx="118">
                  <c:v>213.10060905116097</c:v>
                </c:pt>
                <c:pt idx="119">
                  <c:v>213.16607241394624</c:v>
                </c:pt>
                <c:pt idx="120">
                  <c:v>213.23016334066807</c:v>
                </c:pt>
                <c:pt idx="121">
                  <c:v>213.29288808068256</c:v>
                </c:pt>
                <c:pt idx="122">
                  <c:v>213.35424328831533</c:v>
                </c:pt>
                <c:pt idx="123">
                  <c:v>213.41422988231193</c:v>
                </c:pt>
                <c:pt idx="124">
                  <c:v>213.47284693531392</c:v>
                </c:pt>
                <c:pt idx="125">
                  <c:v>213.53009432275218</c:v>
                </c:pt>
                <c:pt idx="126">
                  <c:v>213.58597159390348</c:v>
                </c:pt>
                <c:pt idx="127">
                  <c:v>213.64047844481092</c:v>
                </c:pt>
                <c:pt idx="128">
                  <c:v>213.69361452354525</c:v>
                </c:pt>
                <c:pt idx="129">
                  <c:v>213.74537950907538</c:v>
                </c:pt>
                <c:pt idx="130">
                  <c:v>213.79577307990851</c:v>
                </c:pt>
                <c:pt idx="131">
                  <c:v>213.84479492616782</c:v>
                </c:pt>
                <c:pt idx="132">
                  <c:v>213.89244474504002</c:v>
                </c:pt>
                <c:pt idx="133">
                  <c:v>213.93872224273076</c:v>
                </c:pt>
                <c:pt idx="134">
                  <c:v>213.98362713324758</c:v>
                </c:pt>
                <c:pt idx="135">
                  <c:v>214.027159139231</c:v>
                </c:pt>
                <c:pt idx="136">
                  <c:v>214.06931799162771</c:v>
                </c:pt>
                <c:pt idx="137">
                  <c:v>214.11010342945511</c:v>
                </c:pt>
                <c:pt idx="138">
                  <c:v>214.14951520037718</c:v>
                </c:pt>
                <c:pt idx="139">
                  <c:v>214.18755305999093</c:v>
                </c:pt>
                <c:pt idx="140">
                  <c:v>214.22421677263142</c:v>
                </c:pt>
                <c:pt idx="141">
                  <c:v>214.25950611042902</c:v>
                </c:pt>
                <c:pt idx="142">
                  <c:v>214.29342085433098</c:v>
                </c:pt>
                <c:pt idx="143">
                  <c:v>214.32596079316036</c:v>
                </c:pt>
                <c:pt idx="144">
                  <c:v>214.35712572421835</c:v>
                </c:pt>
                <c:pt idx="145">
                  <c:v>214.38691545307938</c:v>
                </c:pt>
                <c:pt idx="146">
                  <c:v>214.41532979362947</c:v>
                </c:pt>
                <c:pt idx="147">
                  <c:v>214.44236856795763</c:v>
                </c:pt>
                <c:pt idx="148">
                  <c:v>214.46803160640152</c:v>
                </c:pt>
                <c:pt idx="149">
                  <c:v>214.49231874789893</c:v>
                </c:pt>
                <c:pt idx="150">
                  <c:v>214.51522983904425</c:v>
                </c:pt>
                <c:pt idx="151">
                  <c:v>214.53676473538528</c:v>
                </c:pt>
                <c:pt idx="152">
                  <c:v>214.55692330034032</c:v>
                </c:pt>
                <c:pt idx="153">
                  <c:v>214.57570540559246</c:v>
                </c:pt>
                <c:pt idx="154">
                  <c:v>214.59311093133357</c:v>
                </c:pt>
                <c:pt idx="155">
                  <c:v>214.60913976584771</c:v>
                </c:pt>
                <c:pt idx="156">
                  <c:v>214.62379180563795</c:v>
                </c:pt>
                <c:pt idx="157">
                  <c:v>214.63706695559483</c:v>
                </c:pt>
                <c:pt idx="158">
                  <c:v>214.64896512894086</c:v>
                </c:pt>
                <c:pt idx="159">
                  <c:v>214.65948624687468</c:v>
                </c:pt>
                <c:pt idx="160">
                  <c:v>214.66863023914374</c:v>
                </c:pt>
                <c:pt idx="161">
                  <c:v>214.67639704355824</c:v>
                </c:pt>
                <c:pt idx="162">
                  <c:v>214.6827866064387</c:v>
                </c:pt>
                <c:pt idx="163">
                  <c:v>214.68779888205663</c:v>
                </c:pt>
                <c:pt idx="164">
                  <c:v>214.69143383308887</c:v>
                </c:pt>
                <c:pt idx="165">
                  <c:v>214.69369143058617</c:v>
                </c:pt>
                <c:pt idx="166">
                  <c:v>214.69457165365432</c:v>
                </c:pt>
                <c:pt idx="167">
                  <c:v>214.69407448972092</c:v>
                </c:pt>
                <c:pt idx="168">
                  <c:v>214.69219993454826</c:v>
                </c:pt>
                <c:pt idx="169">
                  <c:v>214.68894799213658</c:v>
                </c:pt>
                <c:pt idx="170">
                  <c:v>214.68431867464511</c:v>
                </c:pt>
                <c:pt idx="171">
                  <c:v>214.67831200258706</c:v>
                </c:pt>
                <c:pt idx="172">
                  <c:v>214.67092800474387</c:v>
                </c:pt>
                <c:pt idx="173">
                  <c:v>214.66216671802036</c:v>
                </c:pt>
                <c:pt idx="174">
                  <c:v>214.65202818780401</c:v>
                </c:pt>
                <c:pt idx="175">
                  <c:v>214.64051246755824</c:v>
                </c:pt>
                <c:pt idx="176">
                  <c:v>214.6276196191034</c:v>
                </c:pt>
                <c:pt idx="177">
                  <c:v>214.61334971244915</c:v>
                </c:pt>
                <c:pt idx="178">
                  <c:v>214.59770282596787</c:v>
                </c:pt>
                <c:pt idx="179">
                  <c:v>214.58067904615964</c:v>
                </c:pt>
                <c:pt idx="180">
                  <c:v>214.56227846801025</c:v>
                </c:pt>
                <c:pt idx="181">
                  <c:v>214.54250119448338</c:v>
                </c:pt>
                <c:pt idx="182">
                  <c:v>214.52134733711739</c:v>
                </c:pt>
                <c:pt idx="183">
                  <c:v>214.49881701547463</c:v>
                </c:pt>
                <c:pt idx="184">
                  <c:v>214.47491035747754</c:v>
                </c:pt>
                <c:pt idx="185">
                  <c:v>214.44962749942292</c:v>
                </c:pt>
                <c:pt idx="186">
                  <c:v>214.4229685857247</c:v>
                </c:pt>
                <c:pt idx="187">
                  <c:v>214.39493376918495</c:v>
                </c:pt>
                <c:pt idx="188">
                  <c:v>214.36552321081507</c:v>
                </c:pt>
                <c:pt idx="189">
                  <c:v>214.3347370800283</c:v>
                </c:pt>
                <c:pt idx="190">
                  <c:v>214.3025755543629</c:v>
                </c:pt>
                <c:pt idx="191">
                  <c:v>214.26903881973826</c:v>
                </c:pt>
                <c:pt idx="192">
                  <c:v>214.23412707036158</c:v>
                </c:pt>
                <c:pt idx="193">
                  <c:v>214.19784050881628</c:v>
                </c:pt>
                <c:pt idx="194">
                  <c:v>214.16017934575439</c:v>
                </c:pt>
                <c:pt idx="195">
                  <c:v>214.12114380033736</c:v>
                </c:pt>
                <c:pt idx="196">
                  <c:v>214.08073409996635</c:v>
                </c:pt>
                <c:pt idx="197">
                  <c:v>214.0389504803191</c:v>
                </c:pt>
                <c:pt idx="198">
                  <c:v>213.99579318550144</c:v>
                </c:pt>
                <c:pt idx="199">
                  <c:v>213.95126246772097</c:v>
                </c:pt>
                <c:pt idx="200">
                  <c:v>213.90535858769215</c:v>
                </c:pt>
                <c:pt idx="201">
                  <c:v>213.85808181441044</c:v>
                </c:pt>
                <c:pt idx="202">
                  <c:v>213.80943242508818</c:v>
                </c:pt>
                <c:pt idx="203">
                  <c:v>213.75941070538846</c:v>
                </c:pt>
                <c:pt idx="204">
                  <c:v>213.70801694935281</c:v>
                </c:pt>
                <c:pt idx="205">
                  <c:v>213.65525145913548</c:v>
                </c:pt>
                <c:pt idx="206">
                  <c:v>213.60111454549116</c:v>
                </c:pt>
                <c:pt idx="207">
                  <c:v>213.54560652734273</c:v>
                </c:pt>
                <c:pt idx="208">
                  <c:v>213.48872773202982</c:v>
                </c:pt>
                <c:pt idx="209">
                  <c:v>213.43047849525954</c:v>
                </c:pt>
                <c:pt idx="210">
                  <c:v>213.37085916114819</c:v>
                </c:pt>
                <c:pt idx="211">
                  <c:v>213.3098700819979</c:v>
                </c:pt>
                <c:pt idx="212">
                  <c:v>213.2475116186622</c:v>
                </c:pt>
                <c:pt idx="213">
                  <c:v>213.18378414030386</c:v>
                </c:pt>
                <c:pt idx="214">
                  <c:v>213.11868802445821</c:v>
                </c:pt>
                <c:pt idx="215">
                  <c:v>213.05222365705072</c:v>
                </c:pt>
                <c:pt idx="216">
                  <c:v>212.98439143246387</c:v>
                </c:pt>
                <c:pt idx="217">
                  <c:v>212.91519175335986</c:v>
                </c:pt>
                <c:pt idx="218">
                  <c:v>212.84462503089</c:v>
                </c:pt>
                <c:pt idx="219">
                  <c:v>212.77269168457303</c:v>
                </c:pt>
                <c:pt idx="220">
                  <c:v>212.69939214236351</c:v>
                </c:pt>
                <c:pt idx="221">
                  <c:v>212.62472684068305</c:v>
                </c:pt>
                <c:pt idx="222">
                  <c:v>212.54869622430536</c:v>
                </c:pt>
                <c:pt idx="223">
                  <c:v>212.47130074638261</c:v>
                </c:pt>
                <c:pt idx="224">
                  <c:v>212.39254086871244</c:v>
                </c:pt>
                <c:pt idx="225">
                  <c:v>212.31241706138675</c:v>
                </c:pt>
                <c:pt idx="226">
                  <c:v>212.23092980291256</c:v>
                </c:pt>
                <c:pt idx="227">
                  <c:v>212.14807958042388</c:v>
                </c:pt>
                <c:pt idx="228">
                  <c:v>212.06386688936044</c:v>
                </c:pt>
                <c:pt idx="229">
                  <c:v>211.97829223374745</c:v>
                </c:pt>
                <c:pt idx="230">
                  <c:v>211.89135612597855</c:v>
                </c:pt>
                <c:pt idx="231">
                  <c:v>211.80305908709158</c:v>
                </c:pt>
                <c:pt idx="232">
                  <c:v>211.71340164649502</c:v>
                </c:pt>
                <c:pt idx="233">
                  <c:v>211.62238434211801</c:v>
                </c:pt>
                <c:pt idx="234">
                  <c:v>211.53000772049558</c:v>
                </c:pt>
                <c:pt idx="235">
                  <c:v>211.43627233649278</c:v>
                </c:pt>
                <c:pt idx="236">
                  <c:v>211.34117875377407</c:v>
                </c:pt>
                <c:pt idx="237">
                  <c:v>211.24472754429294</c:v>
                </c:pt>
                <c:pt idx="238">
                  <c:v>211.14691928863152</c:v>
                </c:pt>
                <c:pt idx="239">
                  <c:v>211.04775457599283</c:v>
                </c:pt>
                <c:pt idx="240">
                  <c:v>210.94723400408984</c:v>
                </c:pt>
                <c:pt idx="241">
                  <c:v>210.84535817913562</c:v>
                </c:pt>
                <c:pt idx="242">
                  <c:v>210.74212771601017</c:v>
                </c:pt>
                <c:pt idx="243">
                  <c:v>210.63754323821348</c:v>
                </c:pt>
                <c:pt idx="244">
                  <c:v>210.53160537769747</c:v>
                </c:pt>
                <c:pt idx="245">
                  <c:v>210.4243147751996</c:v>
                </c:pt>
                <c:pt idx="246">
                  <c:v>210.31567207988647</c:v>
                </c:pt>
                <c:pt idx="247">
                  <c:v>210.20567794967513</c:v>
                </c:pt>
                <c:pt idx="248">
                  <c:v>210.09433305114987</c:v>
                </c:pt>
                <c:pt idx="249">
                  <c:v>209.98163805935502</c:v>
                </c:pt>
                <c:pt idx="250">
                  <c:v>209.86759365819739</c:v>
                </c:pt>
                <c:pt idx="251">
                  <c:v>209.75220054008011</c:v>
                </c:pt>
                <c:pt idx="252">
                  <c:v>209.63545940622993</c:v>
                </c:pt>
                <c:pt idx="253">
                  <c:v>209.51737096639027</c:v>
                </c:pt>
                <c:pt idx="254">
                  <c:v>209.397935939181</c:v>
                </c:pt>
                <c:pt idx="255">
                  <c:v>209.27715505172219</c:v>
                </c:pt>
                <c:pt idx="256">
                  <c:v>209.15502904006598</c:v>
                </c:pt>
                <c:pt idx="257">
                  <c:v>209.03155864879832</c:v>
                </c:pt>
                <c:pt idx="258">
                  <c:v>208.90674463134988</c:v>
                </c:pt>
                <c:pt idx="259">
                  <c:v>208.78058774988668</c:v>
                </c:pt>
                <c:pt idx="260">
                  <c:v>208.65308877527215</c:v>
                </c:pt>
                <c:pt idx="261">
                  <c:v>208.52424848723504</c:v>
                </c:pt>
                <c:pt idx="262">
                  <c:v>208.39406767419754</c:v>
                </c:pt>
                <c:pt idx="263">
                  <c:v>208.26254713338864</c:v>
                </c:pt>
                <c:pt idx="264">
                  <c:v>208.12968767090032</c:v>
                </c:pt>
                <c:pt idx="265">
                  <c:v>207.99549010158705</c:v>
                </c:pt>
                <c:pt idx="266">
                  <c:v>207.85995524911365</c:v>
                </c:pt>
                <c:pt idx="267">
                  <c:v>207.72308394606856</c:v>
                </c:pt>
                <c:pt idx="268">
                  <c:v>207.58487703378654</c:v>
                </c:pt>
                <c:pt idx="269">
                  <c:v>207.44533536250157</c:v>
                </c:pt>
                <c:pt idx="270">
                  <c:v>207.30445979139674</c:v>
                </c:pt>
                <c:pt idx="271">
                  <c:v>207.16225118842598</c:v>
                </c:pt>
                <c:pt idx="272">
                  <c:v>207.01871043053893</c:v>
                </c:pt>
                <c:pt idx="273">
                  <c:v>206.87383840355912</c:v>
                </c:pt>
                <c:pt idx="274">
                  <c:v>206.72763600221174</c:v>
                </c:pt>
                <c:pt idx="275">
                  <c:v>206.58010413020983</c:v>
                </c:pt>
                <c:pt idx="276">
                  <c:v>206.43124370021221</c:v>
                </c:pt>
                <c:pt idx="277">
                  <c:v>206.2810556338147</c:v>
                </c:pt>
                <c:pt idx="278">
                  <c:v>206.12954086161537</c:v>
                </c:pt>
                <c:pt idx="279">
                  <c:v>205.97670032323407</c:v>
                </c:pt>
                <c:pt idx="280">
                  <c:v>205.82253496723203</c:v>
                </c:pt>
                <c:pt idx="281">
                  <c:v>205.66704575124871</c:v>
                </c:pt>
                <c:pt idx="282">
                  <c:v>205.51023364195115</c:v>
                </c:pt>
                <c:pt idx="283">
                  <c:v>205.35209961503259</c:v>
                </c:pt>
                <c:pt idx="284">
                  <c:v>205.19264465527937</c:v>
                </c:pt>
                <c:pt idx="285">
                  <c:v>205.03186975654125</c:v>
                </c:pt>
                <c:pt idx="286">
                  <c:v>204.86977592176009</c:v>
                </c:pt>
                <c:pt idx="287">
                  <c:v>204.70636416302764</c:v>
                </c:pt>
                <c:pt idx="288">
                  <c:v>204.54163550150795</c:v>
                </c:pt>
                <c:pt idx="289">
                  <c:v>204.37559096750903</c:v>
                </c:pt>
                <c:pt idx="290">
                  <c:v>204.20823160055431</c:v>
                </c:pt>
                <c:pt idx="291">
                  <c:v>204.03955844925622</c:v>
                </c:pt>
                <c:pt idx="292">
                  <c:v>203.86957257147284</c:v>
                </c:pt>
                <c:pt idx="293">
                  <c:v>203.69827503424909</c:v>
                </c:pt>
                <c:pt idx="294">
                  <c:v>203.52566691384646</c:v>
                </c:pt>
                <c:pt idx="295">
                  <c:v>203.35174929573952</c:v>
                </c:pt>
                <c:pt idx="296">
                  <c:v>203.17652327474011</c:v>
                </c:pt>
                <c:pt idx="297">
                  <c:v>202.99998995475943</c:v>
                </c:pt>
                <c:pt idx="298">
                  <c:v>202.82215044920869</c:v>
                </c:pt>
                <c:pt idx="299">
                  <c:v>202.6430058806051</c:v>
                </c:pt>
                <c:pt idx="300">
                  <c:v>202.46255738091418</c:v>
                </c:pt>
                <c:pt idx="301">
                  <c:v>202.28080609135705</c:v>
                </c:pt>
                <c:pt idx="302">
                  <c:v>202.09775316256363</c:v>
                </c:pt>
                <c:pt idx="303">
                  <c:v>201.91339975454648</c:v>
                </c:pt>
                <c:pt idx="304">
                  <c:v>201.72774703660741</c:v>
                </c:pt>
                <c:pt idx="305">
                  <c:v>201.54079618754838</c:v>
                </c:pt>
                <c:pt idx="306">
                  <c:v>201.35254839558471</c:v>
                </c:pt>
                <c:pt idx="307">
                  <c:v>201.16300485829453</c:v>
                </c:pt>
                <c:pt idx="308">
                  <c:v>200.97216678282439</c:v>
                </c:pt>
                <c:pt idx="309">
                  <c:v>200.78003538573304</c:v>
                </c:pt>
                <c:pt idx="310">
                  <c:v>200.58661189312463</c:v>
                </c:pt>
                <c:pt idx="311">
                  <c:v>200.39189754054107</c:v>
                </c:pt>
                <c:pt idx="312">
                  <c:v>200.19589357312489</c:v>
                </c:pt>
                <c:pt idx="313">
                  <c:v>199.99860124555997</c:v>
                </c:pt>
                <c:pt idx="314">
                  <c:v>199.80002182208196</c:v>
                </c:pt>
                <c:pt idx="315">
                  <c:v>199.60015657655322</c:v>
                </c:pt>
                <c:pt idx="316">
                  <c:v>199.39900679241572</c:v>
                </c:pt>
                <c:pt idx="317">
                  <c:v>199.1965737627761</c:v>
                </c:pt>
                <c:pt idx="318">
                  <c:v>198.99285879034207</c:v>
                </c:pt>
                <c:pt idx="319">
                  <c:v>198.78786318756482</c:v>
                </c:pt>
                <c:pt idx="320">
                  <c:v>198.58158827654529</c:v>
                </c:pt>
                <c:pt idx="321">
                  <c:v>198.3740353890708</c:v>
                </c:pt>
                <c:pt idx="322">
                  <c:v>198.16520586672738</c:v>
                </c:pt>
                <c:pt idx="323">
                  <c:v>197.95510106084572</c:v>
                </c:pt>
                <c:pt idx="324">
                  <c:v>197.74372233245535</c:v>
                </c:pt>
                <c:pt idx="325">
                  <c:v>197.53107105248216</c:v>
                </c:pt>
                <c:pt idx="326">
                  <c:v>197.3171486016268</c:v>
                </c:pt>
                <c:pt idx="327">
                  <c:v>197.10195637042099</c:v>
                </c:pt>
                <c:pt idx="328">
                  <c:v>196.88549575926007</c:v>
                </c:pt>
                <c:pt idx="329">
                  <c:v>196.66776817847696</c:v>
                </c:pt>
                <c:pt idx="330">
                  <c:v>196.44877504825499</c:v>
                </c:pt>
                <c:pt idx="331">
                  <c:v>196.22851779869617</c:v>
                </c:pt>
                <c:pt idx="332">
                  <c:v>196.00699786991035</c:v>
                </c:pt>
                <c:pt idx="333">
                  <c:v>195.78421671193487</c:v>
                </c:pt>
                <c:pt idx="334">
                  <c:v>195.56017578484148</c:v>
                </c:pt>
                <c:pt idx="335">
                  <c:v>195.33487655868979</c:v>
                </c:pt>
                <c:pt idx="336">
                  <c:v>195.10832051361615</c:v>
                </c:pt>
                <c:pt idx="337">
                  <c:v>194.8805091397796</c:v>
                </c:pt>
                <c:pt idx="338">
                  <c:v>194.65144393749395</c:v>
                </c:pt>
                <c:pt idx="339">
                  <c:v>194.42112641712799</c:v>
                </c:pt>
                <c:pt idx="340">
                  <c:v>194.18955809923565</c:v>
                </c:pt>
                <c:pt idx="341">
                  <c:v>193.95674051451016</c:v>
                </c:pt>
                <c:pt idx="342">
                  <c:v>193.72267520384671</c:v>
                </c:pt>
                <c:pt idx="343">
                  <c:v>193.48736371833695</c:v>
                </c:pt>
                <c:pt idx="344">
                  <c:v>193.25080761935661</c:v>
                </c:pt>
                <c:pt idx="345">
                  <c:v>193.01300847844652</c:v>
                </c:pt>
                <c:pt idx="346">
                  <c:v>192.77396787756032</c:v>
                </c:pt>
                <c:pt idx="347">
                  <c:v>192.53368740890667</c:v>
                </c:pt>
                <c:pt idx="348">
                  <c:v>192.29216867501921</c:v>
                </c:pt>
                <c:pt idx="349">
                  <c:v>192.04941328884527</c:v>
                </c:pt>
                <c:pt idx="350">
                  <c:v>191.8054228736728</c:v>
                </c:pt>
                <c:pt idx="351">
                  <c:v>191.56019906324715</c:v>
                </c:pt>
                <c:pt idx="352">
                  <c:v>191.31374350174747</c:v>
                </c:pt>
                <c:pt idx="353">
                  <c:v>191.06605784384294</c:v>
                </c:pt>
                <c:pt idx="354">
                  <c:v>190.81714375469025</c:v>
                </c:pt>
                <c:pt idx="355">
                  <c:v>190.56700290997566</c:v>
                </c:pt>
                <c:pt idx="356">
                  <c:v>190.31563699593059</c:v>
                </c:pt>
                <c:pt idx="357">
                  <c:v>190.06304770938675</c:v>
                </c:pt>
                <c:pt idx="358">
                  <c:v>189.80923675780539</c:v>
                </c:pt>
                <c:pt idx="359">
                  <c:v>189.5542058592435</c:v>
                </c:pt>
                <c:pt idx="360">
                  <c:v>189.29795674246941</c:v>
                </c:pt>
                <c:pt idx="361">
                  <c:v>189.04049114689235</c:v>
                </c:pt>
                <c:pt idx="362">
                  <c:v>188.78181082274034</c:v>
                </c:pt>
                <c:pt idx="363">
                  <c:v>188.52191753091824</c:v>
                </c:pt>
                <c:pt idx="364">
                  <c:v>188.26081304313544</c:v>
                </c:pt>
                <c:pt idx="365">
                  <c:v>187.99849914194434</c:v>
                </c:pt>
                <c:pt idx="366">
                  <c:v>187.73497762069971</c:v>
                </c:pt>
                <c:pt idx="367">
                  <c:v>187.47025028367935</c:v>
                </c:pt>
                <c:pt idx="368">
                  <c:v>187.20431894602353</c:v>
                </c:pt>
                <c:pt idx="369">
                  <c:v>186.93718543385572</c:v>
                </c:pt>
                <c:pt idx="370">
                  <c:v>186.66885158420862</c:v>
                </c:pt>
                <c:pt idx="371">
                  <c:v>186.39931924517583</c:v>
                </c:pt>
                <c:pt idx="372">
                  <c:v>186.12859027583542</c:v>
                </c:pt>
                <c:pt idx="373">
                  <c:v>185.85666654634227</c:v>
                </c:pt>
                <c:pt idx="374">
                  <c:v>185.58354993797258</c:v>
                </c:pt>
                <c:pt idx="375">
                  <c:v>185.30924234308193</c:v>
                </c:pt>
                <c:pt idx="376">
                  <c:v>185.03374566521276</c:v>
                </c:pt>
                <c:pt idx="377">
                  <c:v>184.75706181910147</c:v>
                </c:pt>
                <c:pt idx="378">
                  <c:v>184.47919273069277</c:v>
                </c:pt>
                <c:pt idx="379">
                  <c:v>184.20014033720523</c:v>
                </c:pt>
                <c:pt idx="380">
                  <c:v>183.91990658714818</c:v>
                </c:pt>
                <c:pt idx="381">
                  <c:v>183.63849344035555</c:v>
                </c:pt>
                <c:pt idx="382">
                  <c:v>183.35590286800004</c:v>
                </c:pt>
                <c:pt idx="383">
                  <c:v>183.07213685269048</c:v>
                </c:pt>
                <c:pt idx="384">
                  <c:v>182.78719738840212</c:v>
                </c:pt>
                <c:pt idx="385">
                  <c:v>182.50108648065554</c:v>
                </c:pt>
                <c:pt idx="386">
                  <c:v>182.21380614639932</c:v>
                </c:pt>
                <c:pt idx="387">
                  <c:v>181.92535841415204</c:v>
                </c:pt>
                <c:pt idx="388">
                  <c:v>181.63574532399861</c:v>
                </c:pt>
                <c:pt idx="389">
                  <c:v>181.34496892761649</c:v>
                </c:pt>
                <c:pt idx="390">
                  <c:v>181.05303128834288</c:v>
                </c:pt>
                <c:pt idx="391">
                  <c:v>180.75993448118791</c:v>
                </c:pt>
                <c:pt idx="392">
                  <c:v>180.46568059285661</c:v>
                </c:pt>
                <c:pt idx="393">
                  <c:v>180.17027172185269</c:v>
                </c:pt>
                <c:pt idx="394">
                  <c:v>179.87370997843581</c:v>
                </c:pt>
                <c:pt idx="395">
                  <c:v>179.57599748470318</c:v>
                </c:pt>
                <c:pt idx="396">
                  <c:v>179.27713637461812</c:v>
                </c:pt>
                <c:pt idx="397">
                  <c:v>178.97712879406473</c:v>
                </c:pt>
                <c:pt idx="398">
                  <c:v>178.67597690083562</c:v>
                </c:pt>
                <c:pt idx="399">
                  <c:v>178.37368286474259</c:v>
                </c:pt>
                <c:pt idx="400">
                  <c:v>178.07024886760084</c:v>
                </c:pt>
                <c:pt idx="401">
                  <c:v>177.76567710331889</c:v>
                </c:pt>
                <c:pt idx="402">
                  <c:v>177.4599697778489</c:v>
                </c:pt>
                <c:pt idx="403">
                  <c:v>177.15312910933434</c:v>
                </c:pt>
                <c:pt idx="404">
                  <c:v>176.84515732809007</c:v>
                </c:pt>
                <c:pt idx="405">
                  <c:v>176.5360566766297</c:v>
                </c:pt>
                <c:pt idx="406">
                  <c:v>176.22582940978455</c:v>
                </c:pt>
                <c:pt idx="407">
                  <c:v>175.91447779466134</c:v>
                </c:pt>
                <c:pt idx="408">
                  <c:v>175.6020041106963</c:v>
                </c:pt>
                <c:pt idx="409">
                  <c:v>175.2884106497483</c:v>
                </c:pt>
                <c:pt idx="410">
                  <c:v>174.97369971610777</c:v>
                </c:pt>
                <c:pt idx="411">
                  <c:v>174.65787362653455</c:v>
                </c:pt>
                <c:pt idx="412">
                  <c:v>174.34093471030121</c:v>
                </c:pt>
                <c:pt idx="413">
                  <c:v>174.02288530927515</c:v>
                </c:pt>
                <c:pt idx="414">
                  <c:v>173.70372777788185</c:v>
                </c:pt>
                <c:pt idx="415">
                  <c:v>173.3834644832537</c:v>
                </c:pt>
                <c:pt idx="416">
                  <c:v>173.06209780517941</c:v>
                </c:pt>
                <c:pt idx="417">
                  <c:v>172.73963013621776</c:v>
                </c:pt>
                <c:pt idx="418">
                  <c:v>172.41606388169834</c:v>
                </c:pt>
                <c:pt idx="419">
                  <c:v>172.09140145978637</c:v>
                </c:pt>
                <c:pt idx="420">
                  <c:v>171.76564530154326</c:v>
                </c:pt>
                <c:pt idx="421">
                  <c:v>171.43879785092304</c:v>
                </c:pt>
                <c:pt idx="422">
                  <c:v>171.11086156490549</c:v>
                </c:pt>
                <c:pt idx="423">
                  <c:v>170.781838913434</c:v>
                </c:pt>
                <c:pt idx="424">
                  <c:v>170.45173237957192</c:v>
                </c:pt>
                <c:pt idx="425">
                  <c:v>170.12054445945552</c:v>
                </c:pt>
                <c:pt idx="426">
                  <c:v>169.7882776624165</c:v>
                </c:pt>
                <c:pt idx="427">
                  <c:v>169.45493451098139</c:v>
                </c:pt>
                <c:pt idx="428">
                  <c:v>169.1205175409643</c:v>
                </c:pt>
                <c:pt idx="429">
                  <c:v>168.78502930147499</c:v>
                </c:pt>
                <c:pt idx="430">
                  <c:v>168.44847235499347</c:v>
                </c:pt>
                <c:pt idx="431">
                  <c:v>168.11084927738935</c:v>
                </c:pt>
                <c:pt idx="432">
                  <c:v>167.77216265803543</c:v>
                </c:pt>
                <c:pt idx="433">
                  <c:v>167.43241509979805</c:v>
                </c:pt>
                <c:pt idx="434">
                  <c:v>167.09160921913042</c:v>
                </c:pt>
                <c:pt idx="435">
                  <c:v>166.7497476460716</c:v>
                </c:pt>
                <c:pt idx="436">
                  <c:v>166.40683302434928</c:v>
                </c:pt>
                <c:pt idx="437">
                  <c:v>166.06286801144768</c:v>
                </c:pt>
                <c:pt idx="438">
                  <c:v>165.71785527856758</c:v>
                </c:pt>
                <c:pt idx="439">
                  <c:v>165.37179751081058</c:v>
                </c:pt>
                <c:pt idx="440">
                  <c:v>165.02469740713005</c:v>
                </c:pt>
                <c:pt idx="441">
                  <c:v>164.6765576804045</c:v>
                </c:pt>
                <c:pt idx="442">
                  <c:v>164.3273810575522</c:v>
                </c:pt>
                <c:pt idx="443">
                  <c:v>163.9771702795102</c:v>
                </c:pt>
                <c:pt idx="444">
                  <c:v>163.62592810133751</c:v>
                </c:pt>
                <c:pt idx="445">
                  <c:v>163.27365729226597</c:v>
                </c:pt>
                <c:pt idx="446">
                  <c:v>162.92036063573292</c:v>
                </c:pt>
                <c:pt idx="447">
                  <c:v>162.56604092948641</c:v>
                </c:pt>
                <c:pt idx="448">
                  <c:v>162.21070098556967</c:v>
                </c:pt>
                <c:pt idx="449">
                  <c:v>161.85434363045934</c:v>
                </c:pt>
                <c:pt idx="450">
                  <c:v>161.49697170507704</c:v>
                </c:pt>
                <c:pt idx="451">
                  <c:v>161.1385880648557</c:v>
                </c:pt>
                <c:pt idx="452">
                  <c:v>160.77919557980687</c:v>
                </c:pt>
                <c:pt idx="453">
                  <c:v>160.41879713457621</c:v>
                </c:pt>
                <c:pt idx="454">
                  <c:v>160.05739562850835</c:v>
                </c:pt>
                <c:pt idx="455">
                  <c:v>159.69499397570112</c:v>
                </c:pt>
                <c:pt idx="456">
                  <c:v>159.33159510509327</c:v>
                </c:pt>
                <c:pt idx="457">
                  <c:v>158.96720196047482</c:v>
                </c:pt>
                <c:pt idx="458">
                  <c:v>158.60181750059314</c:v>
                </c:pt>
                <c:pt idx="459">
                  <c:v>158.2354446992324</c:v>
                </c:pt>
                <c:pt idx="460">
                  <c:v>157.8680865451993</c:v>
                </c:pt>
                <c:pt idx="461">
                  <c:v>157.4997460424955</c:v>
                </c:pt>
                <c:pt idx="462">
                  <c:v>157.13042621028634</c:v>
                </c:pt>
                <c:pt idx="463">
                  <c:v>156.76013008300436</c:v>
                </c:pt>
                <c:pt idx="464">
                  <c:v>156.38886071045596</c:v>
                </c:pt>
                <c:pt idx="465">
                  <c:v>156.01662115781244</c:v>
                </c:pt>
                <c:pt idx="466">
                  <c:v>155.64341450573437</c:v>
                </c:pt>
                <c:pt idx="467">
                  <c:v>155.26924385040311</c:v>
                </c:pt>
                <c:pt idx="468">
                  <c:v>154.89411230362563</c:v>
                </c:pt>
                <c:pt idx="469">
                  <c:v>154.51802299287283</c:v>
                </c:pt>
                <c:pt idx="470">
                  <c:v>154.14097906136908</c:v>
                </c:pt>
                <c:pt idx="471">
                  <c:v>153.76298366813813</c:v>
                </c:pt>
                <c:pt idx="472">
                  <c:v>153.38403998811802</c:v>
                </c:pt>
                <c:pt idx="473">
                  <c:v>153.00415121217753</c:v>
                </c:pt>
                <c:pt idx="474">
                  <c:v>152.62332054723225</c:v>
                </c:pt>
                <c:pt idx="475">
                  <c:v>152.24155121628698</c:v>
                </c:pt>
                <c:pt idx="476">
                  <c:v>151.85884645853264</c:v>
                </c:pt>
                <c:pt idx="477">
                  <c:v>151.47520952941423</c:v>
                </c:pt>
                <c:pt idx="478">
                  <c:v>151.09064370070081</c:v>
                </c:pt>
                <c:pt idx="479">
                  <c:v>150.70515226055539</c:v>
                </c:pt>
                <c:pt idx="480">
                  <c:v>150.31873851360845</c:v>
                </c:pt>
                <c:pt idx="481">
                  <c:v>149.93140578106554</c:v>
                </c:pt>
                <c:pt idx="482">
                  <c:v>149.54315740074634</c:v>
                </c:pt>
                <c:pt idx="483">
                  <c:v>149.15399672719033</c:v>
                </c:pt>
                <c:pt idx="484">
                  <c:v>148.76392713171737</c:v>
                </c:pt>
                <c:pt idx="485">
                  <c:v>148.37295200250597</c:v>
                </c:pt>
                <c:pt idx="486">
                  <c:v>147.9810747446937</c:v>
                </c:pt>
                <c:pt idx="487">
                  <c:v>147.58829878044347</c:v>
                </c:pt>
                <c:pt idx="488">
                  <c:v>147.19462754901883</c:v>
                </c:pt>
                <c:pt idx="489">
                  <c:v>146.80006450688342</c:v>
                </c:pt>
                <c:pt idx="490">
                  <c:v>146.40461312775906</c:v>
                </c:pt>
                <c:pt idx="491">
                  <c:v>146.00827690274755</c:v>
                </c:pt>
                <c:pt idx="492">
                  <c:v>145.61105934037607</c:v>
                </c:pt>
                <c:pt idx="493">
                  <c:v>145.21296396668598</c:v>
                </c:pt>
                <c:pt idx="494">
                  <c:v>144.81399432536745</c:v>
                </c:pt>
                <c:pt idx="495">
                  <c:v>144.41415397778161</c:v>
                </c:pt>
                <c:pt idx="496">
                  <c:v>144.01344650306689</c:v>
                </c:pt>
                <c:pt idx="497">
                  <c:v>143.61187549826599</c:v>
                </c:pt>
                <c:pt idx="498">
                  <c:v>143.20944457836475</c:v>
                </c:pt>
                <c:pt idx="499">
                  <c:v>142.80615737640093</c:v>
                </c:pt>
                <c:pt idx="500">
                  <c:v>142.40201754357324</c:v>
                </c:pt>
                <c:pt idx="501">
                  <c:v>141.99702874929554</c:v>
                </c:pt>
                <c:pt idx="502">
                  <c:v>141.59119468131132</c:v>
                </c:pt>
                <c:pt idx="503">
                  <c:v>141.18451904580769</c:v>
                </c:pt>
                <c:pt idx="504">
                  <c:v>140.77700556744162</c:v>
                </c:pt>
                <c:pt idx="505">
                  <c:v>140.36865798952084</c:v>
                </c:pt>
                <c:pt idx="506">
                  <c:v>139.95948007403166</c:v>
                </c:pt>
                <c:pt idx="507">
                  <c:v>139.54947560176629</c:v>
                </c:pt>
                <c:pt idx="508">
                  <c:v>139.13864837242448</c:v>
                </c:pt>
                <c:pt idx="509">
                  <c:v>138.72700220469287</c:v>
                </c:pt>
                <c:pt idx="510">
                  <c:v>138.31454093633172</c:v>
                </c:pt>
                <c:pt idx="511">
                  <c:v>137.90126842434077</c:v>
                </c:pt>
                <c:pt idx="512">
                  <c:v>137.48718854497969</c:v>
                </c:pt>
                <c:pt idx="513">
                  <c:v>137.07230519392809</c:v>
                </c:pt>
                <c:pt idx="514">
                  <c:v>136.65662228634361</c:v>
                </c:pt>
                <c:pt idx="515">
                  <c:v>136.24014375699983</c:v>
                </c:pt>
                <c:pt idx="516">
                  <c:v>135.82287356039311</c:v>
                </c:pt>
                <c:pt idx="517">
                  <c:v>135.4048156707853</c:v>
                </c:pt>
                <c:pt idx="518">
                  <c:v>134.98597408242313</c:v>
                </c:pt>
                <c:pt idx="519">
                  <c:v>134.56635280952958</c:v>
                </c:pt>
                <c:pt idx="520">
                  <c:v>134.14595588648618</c:v>
                </c:pt>
                <c:pt idx="521">
                  <c:v>133.72478736793076</c:v>
                </c:pt>
                <c:pt idx="522">
                  <c:v>133.30285132883262</c:v>
                </c:pt>
                <c:pt idx="523">
                  <c:v>132.88015186465483</c:v>
                </c:pt>
                <c:pt idx="524">
                  <c:v>132.45669309140854</c:v>
                </c:pt>
                <c:pt idx="525">
                  <c:v>132.03247914584023</c:v>
                </c:pt>
                <c:pt idx="526">
                  <c:v>131.60751418546317</c:v>
                </c:pt>
                <c:pt idx="527">
                  <c:v>131.1818023887657</c:v>
                </c:pt>
                <c:pt idx="528">
                  <c:v>130.75534795524115</c:v>
                </c:pt>
                <c:pt idx="529">
                  <c:v>130.32815510554099</c:v>
                </c:pt>
                <c:pt idx="530">
                  <c:v>129.90022808162507</c:v>
                </c:pt>
                <c:pt idx="531">
                  <c:v>129.47157114683696</c:v>
                </c:pt>
                <c:pt idx="532">
                  <c:v>129.04218858602692</c:v>
                </c:pt>
                <c:pt idx="533">
                  <c:v>128.61208470572606</c:v>
                </c:pt>
                <c:pt idx="534">
                  <c:v>128.18126383419803</c:v>
                </c:pt>
                <c:pt idx="535">
                  <c:v>127.74973032163297</c:v>
                </c:pt>
                <c:pt idx="536">
                  <c:v>127.31748854019524</c:v>
                </c:pt>
                <c:pt idx="537">
                  <c:v>126.88454288425434</c:v>
                </c:pt>
                <c:pt idx="538">
                  <c:v>126.45089777040232</c:v>
                </c:pt>
                <c:pt idx="539">
                  <c:v>126.01655763766446</c:v>
                </c:pt>
                <c:pt idx="540">
                  <c:v>125.58152694761064</c:v>
                </c:pt>
                <c:pt idx="541">
                  <c:v>125.14581018445286</c:v>
                </c:pt>
                <c:pt idx="542">
                  <c:v>124.70941185521549</c:v>
                </c:pt>
                <c:pt idx="543">
                  <c:v>124.27233648989012</c:v>
                </c:pt>
                <c:pt idx="544">
                  <c:v>123.83458864149731</c:v>
                </c:pt>
                <c:pt idx="545">
                  <c:v>123.39617288629681</c:v>
                </c:pt>
                <c:pt idx="546">
                  <c:v>122.95709382389757</c:v>
                </c:pt>
                <c:pt idx="547">
                  <c:v>122.51735607740027</c:v>
                </c:pt>
                <c:pt idx="548">
                  <c:v>122.07696429352801</c:v>
                </c:pt>
                <c:pt idx="549">
                  <c:v>121.63592314280484</c:v>
                </c:pt>
                <c:pt idx="550">
                  <c:v>121.19423731965115</c:v>
                </c:pt>
                <c:pt idx="551">
                  <c:v>120.75191154256673</c:v>
                </c:pt>
                <c:pt idx="552">
                  <c:v>120.3089505542485</c:v>
                </c:pt>
                <c:pt idx="553">
                  <c:v>119.86535912181043</c:v>
                </c:pt>
                <c:pt idx="554">
                  <c:v>119.42114203681993</c:v>
                </c:pt>
                <c:pt idx="555">
                  <c:v>118.97630411554829</c:v>
                </c:pt>
                <c:pt idx="556">
                  <c:v>118.53085019907331</c:v>
                </c:pt>
                <c:pt idx="557">
                  <c:v>118.08478515344504</c:v>
                </c:pt>
                <c:pt idx="558">
                  <c:v>117.63811386986519</c:v>
                </c:pt>
                <c:pt idx="559">
                  <c:v>117.19084126480624</c:v>
                </c:pt>
                <c:pt idx="560">
                  <c:v>116.74297228020856</c:v>
                </c:pt>
                <c:pt idx="561">
                  <c:v>116.29451188360981</c:v>
                </c:pt>
                <c:pt idx="562">
                  <c:v>115.8454650683211</c:v>
                </c:pt>
                <c:pt idx="563">
                  <c:v>115.39583685361951</c:v>
                </c:pt>
                <c:pt idx="564">
                  <c:v>114.94563228485762</c:v>
                </c:pt>
                <c:pt idx="565">
                  <c:v>114.49485643367785</c:v>
                </c:pt>
                <c:pt idx="566">
                  <c:v>114.04351439817266</c:v>
                </c:pt>
                <c:pt idx="567">
                  <c:v>113.59161130303892</c:v>
                </c:pt>
                <c:pt idx="568">
                  <c:v>113.13915229977071</c:v>
                </c:pt>
                <c:pt idx="569">
                  <c:v>112.68614256683149</c:v>
                </c:pt>
                <c:pt idx="570">
                  <c:v>112.23258730981298</c:v>
                </c:pt>
                <c:pt idx="571">
                  <c:v>111.77849176164912</c:v>
                </c:pt>
                <c:pt idx="572">
                  <c:v>111.32386118275863</c:v>
                </c:pt>
                <c:pt idx="573">
                  <c:v>110.86870086124897</c:v>
                </c:pt>
                <c:pt idx="574">
                  <c:v>110.41301611311336</c:v>
                </c:pt>
                <c:pt idx="575">
                  <c:v>109.9568122823781</c:v>
                </c:pt>
                <c:pt idx="576">
                  <c:v>109.50009474132065</c:v>
                </c:pt>
                <c:pt idx="577">
                  <c:v>109.04286889067036</c:v>
                </c:pt>
                <c:pt idx="578">
                  <c:v>108.58514015976263</c:v>
                </c:pt>
                <c:pt idx="579">
                  <c:v>108.12691400677748</c:v>
                </c:pt>
                <c:pt idx="580">
                  <c:v>107.66819591887331</c:v>
                </c:pt>
                <c:pt idx="581">
                  <c:v>107.20899141249011</c:v>
                </c:pt>
                <c:pt idx="582">
                  <c:v>106.74930603341629</c:v>
                </c:pt>
                <c:pt idx="583">
                  <c:v>106.28914535712778</c:v>
                </c:pt>
                <c:pt idx="584">
                  <c:v>105.8285149888721</c:v>
                </c:pt>
                <c:pt idx="585">
                  <c:v>105.36742056396359</c:v>
                </c:pt>
                <c:pt idx="586">
                  <c:v>104.90586774796085</c:v>
                </c:pt>
                <c:pt idx="587">
                  <c:v>104.44386223685247</c:v>
                </c:pt>
                <c:pt idx="588">
                  <c:v>103.98140975732574</c:v>
                </c:pt>
                <c:pt idx="589">
                  <c:v>103.51851606693688</c:v>
                </c:pt>
                <c:pt idx="590">
                  <c:v>103.05518695435502</c:v>
                </c:pt>
                <c:pt idx="591">
                  <c:v>102.59142823957887</c:v>
                </c:pt>
                <c:pt idx="592">
                  <c:v>102.12724577414049</c:v>
                </c:pt>
                <c:pt idx="593">
                  <c:v>101.66264544136942</c:v>
                </c:pt>
                <c:pt idx="594">
                  <c:v>101.19763315657605</c:v>
                </c:pt>
                <c:pt idx="595">
                  <c:v>100.7322148673386</c:v>
                </c:pt>
                <c:pt idx="596">
                  <c:v>100.26639655366601</c:v>
                </c:pt>
                <c:pt idx="597">
                  <c:v>99.800184228294455</c:v>
                </c:pt>
                <c:pt idx="598">
                  <c:v>99.333583936927369</c:v>
                </c:pt>
                <c:pt idx="599">
                  <c:v>98.866601758400918</c:v>
                </c:pt>
                <c:pt idx="600">
                  <c:v>98.399243805020731</c:v>
                </c:pt>
                <c:pt idx="601">
                  <c:v>97.931516222755164</c:v>
                </c:pt>
                <c:pt idx="602">
                  <c:v>97.463425191502878</c:v>
                </c:pt>
                <c:pt idx="603">
                  <c:v>96.994976925339543</c:v>
                </c:pt>
                <c:pt idx="604">
                  <c:v>96.52617767276594</c:v>
                </c:pt>
                <c:pt idx="605">
                  <c:v>96.057033716983796</c:v>
                </c:pt>
                <c:pt idx="606">
                  <c:v>95.587551376163404</c:v>
                </c:pt>
                <c:pt idx="607">
                  <c:v>95.117737003652621</c:v>
                </c:pt>
                <c:pt idx="608">
                  <c:v>94.647596988309303</c:v>
                </c:pt>
                <c:pt idx="609">
                  <c:v>94.177137754756473</c:v>
                </c:pt>
                <c:pt idx="610">
                  <c:v>93.706365763604893</c:v>
                </c:pt>
                <c:pt idx="611">
                  <c:v>93.235287511786666</c:v>
                </c:pt>
                <c:pt idx="612">
                  <c:v>92.763909532834205</c:v>
                </c:pt>
                <c:pt idx="613">
                  <c:v>92.292238397123967</c:v>
                </c:pt>
                <c:pt idx="614">
                  <c:v>91.82028071218339</c:v>
                </c:pt>
                <c:pt idx="615">
                  <c:v>91.348043122967255</c:v>
                </c:pt>
                <c:pt idx="616">
                  <c:v>90.875532312183665</c:v>
                </c:pt>
                <c:pt idx="617">
                  <c:v>90.402755000566074</c:v>
                </c:pt>
                <c:pt idx="618">
                  <c:v>89.929717947138954</c:v>
                </c:pt>
                <c:pt idx="619">
                  <c:v>89.456427949586725</c:v>
                </c:pt>
                <c:pt idx="620">
                  <c:v>88.982891844525454</c:v>
                </c:pt>
                <c:pt idx="621">
                  <c:v>88.509116507790807</c:v>
                </c:pt>
                <c:pt idx="622">
                  <c:v>88.035108854777164</c:v>
                </c:pt>
                <c:pt idx="623">
                  <c:v>87.560875840790629</c:v>
                </c:pt>
                <c:pt idx="624">
                  <c:v>87.086424461281766</c:v>
                </c:pt>
                <c:pt idx="625">
                  <c:v>86.61176175224908</c:v>
                </c:pt>
                <c:pt idx="626">
                  <c:v>86.136894790496001</c:v>
                </c:pt>
                <c:pt idx="627">
                  <c:v>85.661830694037491</c:v>
                </c:pt>
                <c:pt idx="628">
                  <c:v>85.186576622409191</c:v>
                </c:pt>
                <c:pt idx="629">
                  <c:v>84.711139776946638</c:v>
                </c:pt>
                <c:pt idx="630">
                  <c:v>84.235527401215649</c:v>
                </c:pt>
                <c:pt idx="631">
                  <c:v>83.759746781343452</c:v>
                </c:pt>
                <c:pt idx="632">
                  <c:v>83.283805246289589</c:v>
                </c:pt>
                <c:pt idx="633">
                  <c:v>82.807710168304709</c:v>
                </c:pt>
                <c:pt idx="634">
                  <c:v>82.33146896325367</c:v>
                </c:pt>
                <c:pt idx="635">
                  <c:v>81.855089090952831</c:v>
                </c:pt>
                <c:pt idx="636">
                  <c:v>81.378578055569918</c:v>
                </c:pt>
                <c:pt idx="637">
                  <c:v>80.90194340597408</c:v>
                </c:pt>
                <c:pt idx="638">
                  <c:v>80.425192736145476</c:v>
                </c:pt>
                <c:pt idx="639">
                  <c:v>79.948333685524489</c:v>
                </c:pt>
                <c:pt idx="640">
                  <c:v>79.471373939425192</c:v>
                </c:pt>
                <c:pt idx="641">
                  <c:v>78.994321229399716</c:v>
                </c:pt>
                <c:pt idx="642">
                  <c:v>78.517183333633739</c:v>
                </c:pt>
                <c:pt idx="643">
                  <c:v>78.039968077394491</c:v>
                </c:pt>
                <c:pt idx="644">
                  <c:v>77.562683333371979</c:v>
                </c:pt>
                <c:pt idx="645">
                  <c:v>77.08533702213451</c:v>
                </c:pt>
                <c:pt idx="646">
                  <c:v>76.607937112502867</c:v>
                </c:pt>
                <c:pt idx="647">
                  <c:v>76.130491622047174</c:v>
                </c:pt>
                <c:pt idx="648">
                  <c:v>75.653008617389915</c:v>
                </c:pt>
                <c:pt idx="649">
                  <c:v>75.175496214759676</c:v>
                </c:pt>
                <c:pt idx="650">
                  <c:v>74.697962580344551</c:v>
                </c:pt>
                <c:pt idx="651">
                  <c:v>74.22041593077472</c:v>
                </c:pt>
                <c:pt idx="652">
                  <c:v>73.742864533538594</c:v>
                </c:pt>
                <c:pt idx="653">
                  <c:v>73.265316707463739</c:v>
                </c:pt>
                <c:pt idx="654">
                  <c:v>72.787780823159338</c:v>
                </c:pt>
                <c:pt idx="655">
                  <c:v>72.31026530346189</c:v>
                </c:pt>
                <c:pt idx="656">
                  <c:v>71.83277862393544</c:v>
                </c:pt>
                <c:pt idx="657">
                  <c:v>71.355329313319956</c:v>
                </c:pt>
                <c:pt idx="658">
                  <c:v>70.87792595400964</c:v>
                </c:pt>
                <c:pt idx="659">
                  <c:v>70.400577182578417</c:v>
                </c:pt>
                <c:pt idx="660">
                  <c:v>69.923291690213119</c:v>
                </c:pt>
                <c:pt idx="661">
                  <c:v>69.446078223232718</c:v>
                </c:pt>
                <c:pt idx="662">
                  <c:v>68.968945583617696</c:v>
                </c:pt>
                <c:pt idx="663">
                  <c:v>68.491902629475021</c:v>
                </c:pt>
                <c:pt idx="664">
                  <c:v>68.014958275588015</c:v>
                </c:pt>
                <c:pt idx="665">
                  <c:v>67.538121493907397</c:v>
                </c:pt>
                <c:pt idx="666">
                  <c:v>67.061401314122108</c:v>
                </c:pt>
                <c:pt idx="667">
                  <c:v>66.58480682412214</c:v>
                </c:pt>
                <c:pt idx="668">
                  <c:v>66.108347170625294</c:v>
                </c:pt>
                <c:pt idx="669">
                  <c:v>65.632031559657591</c:v>
                </c:pt>
                <c:pt idx="670">
                  <c:v>65.155869257141958</c:v>
                </c:pt>
                <c:pt idx="671">
                  <c:v>64.679869589428165</c:v>
                </c:pt>
                <c:pt idx="672">
                  <c:v>64.20404194388567</c:v>
                </c:pt>
                <c:pt idx="673">
                  <c:v>63.72839576948558</c:v>
                </c:pt>
                <c:pt idx="674">
                  <c:v>63.25294057732264</c:v>
                </c:pt>
                <c:pt idx="675">
                  <c:v>62.777685941289896</c:v>
                </c:pt>
                <c:pt idx="676">
                  <c:v>62.302641498605503</c:v>
                </c:pt>
                <c:pt idx="677">
                  <c:v>61.827816950424143</c:v>
                </c:pt>
                <c:pt idx="678">
                  <c:v>61.353222062461747</c:v>
                </c:pt>
                <c:pt idx="679">
                  <c:v>60.878866665630014</c:v>
                </c:pt>
                <c:pt idx="680">
                  <c:v>60.404760656594583</c:v>
                </c:pt>
                <c:pt idx="681">
                  <c:v>59.930913998477848</c:v>
                </c:pt>
                <c:pt idx="682">
                  <c:v>59.457336721441848</c:v>
                </c:pt>
                <c:pt idx="683">
                  <c:v>58.98403892337943</c:v>
                </c:pt>
                <c:pt idx="684">
                  <c:v>58.511030770518069</c:v>
                </c:pt>
                <c:pt idx="685">
                  <c:v>58.038322498115726</c:v>
                </c:pt>
                <c:pt idx="686">
                  <c:v>57.565924411123426</c:v>
                </c:pt>
                <c:pt idx="687">
                  <c:v>57.093846884846357</c:v>
                </c:pt>
                <c:pt idx="688">
                  <c:v>56.62210036563468</c:v>
                </c:pt>
                <c:pt idx="689">
                  <c:v>56.150695371589336</c:v>
                </c:pt>
                <c:pt idx="690">
                  <c:v>55.679642493231199</c:v>
                </c:pt>
                <c:pt idx="691">
                  <c:v>55.208952394231993</c:v>
                </c:pt>
                <c:pt idx="692">
                  <c:v>54.738635812113372</c:v>
                </c:pt>
                <c:pt idx="693">
                  <c:v>54.268703558997572</c:v>
                </c:pt>
                <c:pt idx="694">
                  <c:v>53.799166522287244</c:v>
                </c:pt>
                <c:pt idx="695">
                  <c:v>53.330035665474469</c:v>
                </c:pt>
                <c:pt idx="696">
                  <c:v>52.861322028807031</c:v>
                </c:pt>
                <c:pt idx="697">
                  <c:v>52.393036730110424</c:v>
                </c:pt>
                <c:pt idx="698">
                  <c:v>51.925190965522368</c:v>
                </c:pt>
                <c:pt idx="699">
                  <c:v>51.457796010250647</c:v>
                </c:pt>
                <c:pt idx="700">
                  <c:v>50.990863219382767</c:v>
                </c:pt>
                <c:pt idx="701">
                  <c:v>50.524404028662879</c:v>
                </c:pt>
                <c:pt idx="702">
                  <c:v>50.058429955279124</c:v>
                </c:pt>
                <c:pt idx="703">
                  <c:v>49.592952598668127</c:v>
                </c:pt>
                <c:pt idx="704">
                  <c:v>49.127983641327724</c:v>
                </c:pt>
                <c:pt idx="705">
                  <c:v>48.663534849655854</c:v>
                </c:pt>
                <c:pt idx="706">
                  <c:v>48.199618074759108</c:v>
                </c:pt>
                <c:pt idx="707">
                  <c:v>47.736245253265025</c:v>
                </c:pt>
                <c:pt idx="708">
                  <c:v>47.273428408258155</c:v>
                </c:pt>
                <c:pt idx="709">
                  <c:v>46.811179649985782</c:v>
                </c:pt>
                <c:pt idx="710">
                  <c:v>46.349511176874756</c:v>
                </c:pt>
                <c:pt idx="711">
                  <c:v>45.888435276287559</c:v>
                </c:pt>
                <c:pt idx="712">
                  <c:v>45.42796432543728</c:v>
                </c:pt>
                <c:pt idx="713">
                  <c:v>44.968110792279688</c:v>
                </c:pt>
                <c:pt idx="714">
                  <c:v>44.508887236377568</c:v>
                </c:pt>
                <c:pt idx="715">
                  <c:v>44.050306309834042</c:v>
                </c:pt>
                <c:pt idx="716">
                  <c:v>43.59238075816544</c:v>
                </c:pt>
                <c:pt idx="717">
                  <c:v>43.135123421229338</c:v>
                </c:pt>
                <c:pt idx="718">
                  <c:v>42.678547234143508</c:v>
                </c:pt>
                <c:pt idx="719">
                  <c:v>42.222665228187715</c:v>
                </c:pt>
                <c:pt idx="720">
                  <c:v>41.767490531786052</c:v>
                </c:pt>
                <c:pt idx="721">
                  <c:v>41.31303637139802</c:v>
                </c:pt>
                <c:pt idx="722">
                  <c:v>40.859316072497975</c:v>
                </c:pt>
                <c:pt idx="723">
                  <c:v>40.406343060470391</c:v>
                </c:pt>
                <c:pt idx="724">
                  <c:v>39.954130861644003</c:v>
                </c:pt>
                <c:pt idx="725">
                  <c:v>39.502693104197796</c:v>
                </c:pt>
                <c:pt idx="726">
                  <c:v>39.052043519140668</c:v>
                </c:pt>
                <c:pt idx="727">
                  <c:v>38.602195941268548</c:v>
                </c:pt>
                <c:pt idx="728">
                  <c:v>38.153164310175576</c:v>
                </c:pt>
                <c:pt idx="729">
                  <c:v>37.704962671181903</c:v>
                </c:pt>
                <c:pt idx="730">
                  <c:v>37.257605176367115</c:v>
                </c:pt>
                <c:pt idx="731">
                  <c:v>36.811106085497713</c:v>
                </c:pt>
                <c:pt idx="732">
                  <c:v>36.365479767059398</c:v>
                </c:pt>
                <c:pt idx="733">
                  <c:v>35.920740699215038</c:v>
                </c:pt>
                <c:pt idx="734">
                  <c:v>35.476903470827267</c:v>
                </c:pt>
                <c:pt idx="735">
                  <c:v>35.03398278239046</c:v>
                </c:pt>
                <c:pt idx="736">
                  <c:v>34.591993447063764</c:v>
                </c:pt>
                <c:pt idx="737">
                  <c:v>34.150950391639185</c:v>
                </c:pt>
                <c:pt idx="738">
                  <c:v>33.710868657557725</c:v>
                </c:pt>
                <c:pt idx="739">
                  <c:v>33.271763401827414</c:v>
                </c:pt>
                <c:pt idx="740">
                  <c:v>32.833649898079557</c:v>
                </c:pt>
                <c:pt idx="741">
                  <c:v>32.396543537444494</c:v>
                </c:pt>
                <c:pt idx="742">
                  <c:v>31.960459829644677</c:v>
                </c:pt>
                <c:pt idx="743">
                  <c:v>31.525414403855095</c:v>
                </c:pt>
                <c:pt idx="744">
                  <c:v>31.091423009682256</c:v>
                </c:pt>
                <c:pt idx="745">
                  <c:v>30.658501518139815</c:v>
                </c:pt>
                <c:pt idx="746">
                  <c:v>30.226665922549152</c:v>
                </c:pt>
                <c:pt idx="747">
                  <c:v>29.795932339480874</c:v>
                </c:pt>
                <c:pt idx="748">
                  <c:v>29.366317009658118</c:v>
                </c:pt>
                <c:pt idx="749">
                  <c:v>28.937836298838686</c:v>
                </c:pt>
                <c:pt idx="750">
                  <c:v>28.510506698727941</c:v>
                </c:pt>
                <c:pt idx="751">
                  <c:v>28.084344827797175</c:v>
                </c:pt>
                <c:pt idx="752">
                  <c:v>27.659367432183753</c:v>
                </c:pt>
                <c:pt idx="753">
                  <c:v>27.235591386428794</c:v>
                </c:pt>
                <c:pt idx="754">
                  <c:v>26.813033694353237</c:v>
                </c:pt>
                <c:pt idx="755">
                  <c:v>26.391711489789927</c:v>
                </c:pt>
                <c:pt idx="756">
                  <c:v>25.971642037330867</c:v>
                </c:pt>
                <c:pt idx="757">
                  <c:v>25.552842733033472</c:v>
                </c:pt>
                <c:pt idx="758">
                  <c:v>25.13533110512439</c:v>
                </c:pt>
                <c:pt idx="759">
                  <c:v>24.719124814614229</c:v>
                </c:pt>
                <c:pt idx="760">
                  <c:v>24.304241655933179</c:v>
                </c:pt>
                <c:pt idx="761">
                  <c:v>23.890699557476008</c:v>
                </c:pt>
                <c:pt idx="762">
                  <c:v>23.478516582122282</c:v>
                </c:pt>
                <c:pt idx="763">
                  <c:v>23.067710927738499</c:v>
                </c:pt>
                <c:pt idx="764">
                  <c:v>22.658300927555175</c:v>
                </c:pt>
                <c:pt idx="765">
                  <c:v>22.250305050583211</c:v>
                </c:pt>
                <c:pt idx="766">
                  <c:v>21.843741901888688</c:v>
                </c:pt>
                <c:pt idx="767">
                  <c:v>21.438630222861189</c:v>
                </c:pt>
                <c:pt idx="768">
                  <c:v>21.034988891402456</c:v>
                </c:pt>
                <c:pt idx="769">
                  <c:v>20.632836922004721</c:v>
                </c:pt>
                <c:pt idx="770">
                  <c:v>20.23219346582751</c:v>
                </c:pt>
                <c:pt idx="771">
                  <c:v>19.833077810634695</c:v>
                </c:pt>
                <c:pt idx="772">
                  <c:v>19.435509380649886</c:v>
                </c:pt>
                <c:pt idx="773">
                  <c:v>19.0395077363825</c:v>
                </c:pt>
                <c:pt idx="774">
                  <c:v>18.645092574271729</c:v>
                </c:pt>
                <c:pt idx="775">
                  <c:v>18.252283726278279</c:v>
                </c:pt>
                <c:pt idx="776">
                  <c:v>17.861101159367962</c:v>
                </c:pt>
                <c:pt idx="777">
                  <c:v>17.471564974892527</c:v>
                </c:pt>
                <c:pt idx="778">
                  <c:v>17.083695407753233</c:v>
                </c:pt>
                <c:pt idx="779">
                  <c:v>16.697512825626756</c:v>
                </c:pt>
                <c:pt idx="780">
                  <c:v>16.313037727835912</c:v>
                </c:pt>
                <c:pt idx="781">
                  <c:v>15.930290744258107</c:v>
                </c:pt>
                <c:pt idx="782">
                  <c:v>15.549292633939784</c:v>
                </c:pt>
                <c:pt idx="783">
                  <c:v>15.170064283694083</c:v>
                </c:pt>
                <c:pt idx="784">
                  <c:v>14.792626706390712</c:v>
                </c:pt>
                <c:pt idx="785">
                  <c:v>14.417001039185061</c:v>
                </c:pt>
                <c:pt idx="786">
                  <c:v>14.043208541438281</c:v>
                </c:pt>
                <c:pt idx="787">
                  <c:v>13.67127059260757</c:v>
                </c:pt>
                <c:pt idx="788">
                  <c:v>13.30120868974954</c:v>
                </c:pt>
                <c:pt idx="789">
                  <c:v>12.933044444932495</c:v>
                </c:pt>
                <c:pt idx="790">
                  <c:v>12.566799582371186</c:v>
                </c:pt>
                <c:pt idx="791">
                  <c:v>12.20249593531369</c:v>
                </c:pt>
                <c:pt idx="792">
                  <c:v>11.84015544271972</c:v>
                </c:pt>
                <c:pt idx="793">
                  <c:v>11.479800145627861</c:v>
                </c:pt>
                <c:pt idx="794">
                  <c:v>11.121452183225966</c:v>
                </c:pt>
                <c:pt idx="795">
                  <c:v>10.765133788785121</c:v>
                </c:pt>
                <c:pt idx="796">
                  <c:v>10.410867285036066</c:v>
                </c:pt>
                <c:pt idx="797">
                  <c:v>10.058675079473723</c:v>
                </c:pt>
                <c:pt idx="798">
                  <c:v>9.7085796591318765</c:v>
                </c:pt>
                <c:pt idx="799">
                  <c:v>9.3606035852122584</c:v>
                </c:pt>
                <c:pt idx="800">
                  <c:v>9.0147694871385688</c:v>
                </c:pt>
                <c:pt idx="801">
                  <c:v>8.6711000564008049</c:v>
                </c:pt>
                <c:pt idx="802">
                  <c:v>8.3296180398948145</c:v>
                </c:pt>
                <c:pt idx="803">
                  <c:v>7.9903462329480899</c:v>
                </c:pt>
                <c:pt idx="804">
                  <c:v>7.653307471830705</c:v>
                </c:pt>
                <c:pt idx="805">
                  <c:v>7.3185246258662229</c:v>
                </c:pt>
                <c:pt idx="806">
                  <c:v>6.9860205891101872</c:v>
                </c:pt>
                <c:pt idx="807">
                  <c:v>6.6558182714654688</c:v>
                </c:pt>
                <c:pt idx="808">
                  <c:v>6.3279405893869969</c:v>
                </c:pt>
                <c:pt idx="809">
                  <c:v>6.0024104560429237</c:v>
                </c:pt>
                <c:pt idx="810">
                  <c:v>5.6792507709175784</c:v>
                </c:pt>
                <c:pt idx="811">
                  <c:v>5.3584844089163646</c:v>
                </c:pt>
                <c:pt idx="812">
                  <c:v>5.0401342088462675</c:v>
                </c:pt>
                <c:pt idx="813">
                  <c:v>4.7242229613767117</c:v>
                </c:pt>
                <c:pt idx="814">
                  <c:v>4.410773396337567</c:v>
                </c:pt>
                <c:pt idx="815">
                  <c:v>4.099808169439318</c:v>
                </c:pt>
                <c:pt idx="816">
                  <c:v>3.7913498483518229</c:v>
                </c:pt>
                <c:pt idx="817">
                  <c:v>3.4854208980860579</c:v>
                </c:pt>
                <c:pt idx="818">
                  <c:v>3.1820436658342377</c:v>
                </c:pt>
                <c:pt idx="819">
                  <c:v>2.8812403649182716</c:v>
                </c:pt>
                <c:pt idx="820">
                  <c:v>2.5830330583074947</c:v>
                </c:pt>
                <c:pt idx="821">
                  <c:v>2.2874436411705155</c:v>
                </c:pt>
                <c:pt idx="822">
                  <c:v>1.9944938229243978</c:v>
                </c:pt>
                <c:pt idx="823">
                  <c:v>1.7042051084030796</c:v>
                </c:pt>
                <c:pt idx="824">
                  <c:v>1.4165987783602147</c:v>
                </c:pt>
                <c:pt idx="825">
                  <c:v>1.1316958692768184</c:v>
                </c:pt>
                <c:pt idx="826">
                  <c:v>0.84951715225372615</c:v>
                </c:pt>
                <c:pt idx="827">
                  <c:v>0.57008311143700485</c:v>
                </c:pt>
                <c:pt idx="828">
                  <c:v>0.29341392132404853</c:v>
                </c:pt>
                <c:pt idx="829">
                  <c:v>1.9529423753536168E-2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-4.8329300310305392</c:v>
                </c:pt>
                <c:pt idx="836">
                  <c:v>-8.0713255921407825</c:v>
                </c:pt>
                <c:pt idx="837">
                  <c:v>-10.241273375966301</c:v>
                </c:pt>
                <c:pt idx="838">
                  <c:v>-11.695287654232844</c:v>
                </c:pt>
                <c:pt idx="839">
                  <c:v>-12.669577237218022</c:v>
                </c:pt>
                <c:pt idx="840">
                  <c:v>-13.322418275784093</c:v>
                </c:pt>
                <c:pt idx="841">
                  <c:v>-13.759866678270519</c:v>
                </c:pt>
                <c:pt idx="842">
                  <c:v>-14.052987198478988</c:v>
                </c:pt>
                <c:pt idx="843">
                  <c:v>-14.249398109752002</c:v>
                </c:pt>
                <c:pt idx="844">
                  <c:v>-14.381006930723183</c:v>
                </c:pt>
                <c:pt idx="845">
                  <c:v>-14.469193893683446</c:v>
                </c:pt>
                <c:pt idx="846">
                  <c:v>-14.528285224938953</c:v>
                </c:pt>
                <c:pt idx="847">
                  <c:v>-14.567880481565732</c:v>
                </c:pt>
                <c:pt idx="848">
                  <c:v>-14.594412027124614</c:v>
                </c:pt>
                <c:pt idx="849">
                  <c:v>-14.612189987661106</c:v>
                </c:pt>
                <c:pt idx="850">
                  <c:v>-14.624102444104158</c:v>
                </c:pt>
                <c:pt idx="851">
                  <c:v>-14.632084609337133</c:v>
                </c:pt>
                <c:pt idx="852">
                  <c:v>-14.637433209108401</c:v>
                </c:pt>
                <c:pt idx="853">
                  <c:v>-14.641017138866582</c:v>
                </c:pt>
                <c:pt idx="854">
                  <c:v>-14.643418618330534</c:v>
                </c:pt>
                <c:pt idx="855">
                  <c:v>-14.645027774760736</c:v>
                </c:pt>
                <c:pt idx="856">
                  <c:v>-14.646106020257204</c:v>
                </c:pt>
                <c:pt idx="857">
                  <c:v>-14.646828518908565</c:v>
                </c:pt>
                <c:pt idx="858">
                  <c:v>-14.647312642703129</c:v>
                </c:pt>
                <c:pt idx="859">
                  <c:v>-14.647637038946666</c:v>
                </c:pt>
                <c:pt idx="860">
                  <c:v>-14.647854406743916</c:v>
                </c:pt>
                <c:pt idx="861">
                  <c:v>-14.648000058120042</c:v>
                </c:pt>
                <c:pt idx="862">
                  <c:v>-14.648097654560896</c:v>
                </c:pt>
                <c:pt idx="863">
                  <c:v>-14.648163050889584</c:v>
                </c:pt>
                <c:pt idx="864">
                  <c:v>-14.648206870928188</c:v>
                </c:pt>
                <c:pt idx="865">
                  <c:v>-14.648236233368282</c:v>
                </c:pt>
                <c:pt idx="866">
                  <c:v>-14.648255908222884</c:v>
                </c:pt>
                <c:pt idx="867">
                  <c:v>-14.64826909172883</c:v>
                </c:pt>
                <c:pt idx="868">
                  <c:v>-14.648277925584662</c:v>
                </c:pt>
                <c:pt idx="869">
                  <c:v>-14.648283844875719</c:v>
                </c:pt>
                <c:pt idx="870">
                  <c:v>-14.648287811207895</c:v>
                </c:pt>
                <c:pt idx="871">
                  <c:v>-14.648290468923284</c:v>
                </c:pt>
                <c:pt idx="872">
                  <c:v>-14.648292249775405</c:v>
                </c:pt>
                <c:pt idx="873">
                  <c:v>-14.648293443068829</c:v>
                </c:pt>
                <c:pt idx="874">
                  <c:v>-14.648294242657506</c:v>
                </c:pt>
                <c:pt idx="875">
                  <c:v>-14.648294778436918</c:v>
                </c:pt>
                <c:pt idx="876">
                  <c:v>-14.648295137445979</c:v>
                </c:pt>
                <c:pt idx="877">
                  <c:v>-14.648295378006745</c:v>
                </c:pt>
                <c:pt idx="878">
                  <c:v>-14.648295539199005</c:v>
                </c:pt>
                <c:pt idx="879">
                  <c:v>-14.648295647208908</c:v>
                </c:pt>
                <c:pt idx="880">
                  <c:v>-14.648295719582972</c:v>
                </c:pt>
                <c:pt idx="881">
                  <c:v>-14.648295768078574</c:v>
                </c:pt>
                <c:pt idx="882" formatCode="General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294776"/>
        <c:axId val="70042200"/>
      </c:scatterChart>
      <c:valAx>
        <c:axId val="258294776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7218942043120743"/>
              <c:y val="0.90156274635281886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0042200"/>
        <c:crosses val="autoZero"/>
        <c:crossBetween val="midCat"/>
      </c:valAx>
      <c:valAx>
        <c:axId val="70042200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0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Chamber pressure  (psi)</a:t>
                </a:r>
              </a:p>
            </c:rich>
          </c:tx>
          <c:layout>
            <c:manualLayout>
              <c:xMode val="edge"/>
              <c:yMode val="edge"/>
              <c:x val="5.5689987392059374E-2"/>
              <c:y val="0.2770088014616547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829477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400"/>
              <a:t>Thrust vs time</a:t>
            </a:r>
          </a:p>
        </c:rich>
      </c:tx>
      <c:layout>
        <c:manualLayout>
          <c:xMode val="edge"/>
          <c:yMode val="edge"/>
          <c:x val="0.37613308722166405"/>
          <c:y val="0.1562603926006255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727305624458102"/>
          <c:y val="0.26720647773279355"/>
          <c:w val="0.69960575574418848"/>
          <c:h val="0.53238866396761131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Performance!$L$28:$L$910</c:f>
              <c:numCache>
                <c:formatCode>0.0000</c:formatCode>
                <c:ptCount val="883"/>
                <c:pt idx="0">
                  <c:v>0</c:v>
                </c:pt>
                <c:pt idx="1">
                  <c:v>7.3899494585141431E-3</c:v>
                </c:pt>
                <c:pt idx="2">
                  <c:v>9.2733548584941847E-3</c:v>
                </c:pt>
                <c:pt idx="3">
                  <c:v>1.6663304317008326E-2</c:v>
                </c:pt>
                <c:pt idx="4">
                  <c:v>1.8560427292921143E-2</c:v>
                </c:pt>
                <c:pt idx="5">
                  <c:v>2.5950376751435286E-2</c:v>
                </c:pt>
                <c:pt idx="6">
                  <c:v>2.7860991744952109E-2</c:v>
                </c:pt>
                <c:pt idx="7">
                  <c:v>3.5250941203466252E-2</c:v>
                </c:pt>
                <c:pt idx="8">
                  <c:v>3.7174831615923755E-2</c:v>
                </c:pt>
                <c:pt idx="9">
                  <c:v>4.4564781074437898E-2</c:v>
                </c:pt>
                <c:pt idx="10">
                  <c:v>4.6501738736726216E-2</c:v>
                </c:pt>
                <c:pt idx="11">
                  <c:v>5.3891688195240359E-2</c:v>
                </c:pt>
                <c:pt idx="12">
                  <c:v>5.5841512879938889E-2</c:v>
                </c:pt>
                <c:pt idx="13">
                  <c:v>6.3231462338453032E-2</c:v>
                </c:pt>
                <c:pt idx="14">
                  <c:v>6.5193961310017964E-2</c:v>
                </c:pt>
                <c:pt idx="15">
                  <c:v>7.2583910768532101E-2</c:v>
                </c:pt>
                <c:pt idx="16">
                  <c:v>7.4558898367839369E-2</c:v>
                </c:pt>
                <c:pt idx="17">
                  <c:v>8.1948847826353505E-2</c:v>
                </c:pt>
                <c:pt idx="18">
                  <c:v>8.3936145086324854E-2</c:v>
                </c:pt>
                <c:pt idx="19">
                  <c:v>9.1326094544839004E-2</c:v>
                </c:pt>
                <c:pt idx="20">
                  <c:v>9.3325528834252769E-2</c:v>
                </c:pt>
                <c:pt idx="21">
                  <c:v>0.10071547829276692</c:v>
                </c:pt>
                <c:pt idx="22">
                  <c:v>0.10272688298567398</c:v>
                </c:pt>
                <c:pt idx="23">
                  <c:v>0.11011683244418813</c:v>
                </c:pt>
                <c:pt idx="24">
                  <c:v>0.11214004661263885</c:v>
                </c:pt>
                <c:pt idx="25">
                  <c:v>0.119529996071153</c:v>
                </c:pt>
                <c:pt idx="26">
                  <c:v>0.12156486419918164</c:v>
                </c:pt>
                <c:pt idx="27">
                  <c:v>0.12895481365769579</c:v>
                </c:pt>
                <c:pt idx="28">
                  <c:v>0.13100118537472791</c:v>
                </c:pt>
                <c:pt idx="29">
                  <c:v>0.13839113483324206</c:v>
                </c:pt>
                <c:pt idx="30">
                  <c:v>0.14044886466527809</c:v>
                </c:pt>
                <c:pt idx="31">
                  <c:v>0.14783881412379224</c:v>
                </c:pt>
                <c:pt idx="32">
                  <c:v>0.14990776126088667</c:v>
                </c:pt>
                <c:pt idx="33">
                  <c:v>0.15729771071940082</c:v>
                </c:pt>
                <c:pt idx="34">
                  <c:v>0.15937773879810432</c:v>
                </c:pt>
                <c:pt idx="35">
                  <c:v>0.16676768825661847</c:v>
                </c:pt>
                <c:pt idx="36">
                  <c:v>0.16885866515618048</c:v>
                </c:pt>
                <c:pt idx="37">
                  <c:v>0.17624861461469463</c:v>
                </c:pt>
                <c:pt idx="38">
                  <c:v>0.17835041226593876</c:v>
                </c:pt>
                <c:pt idx="39">
                  <c:v>0.18574036172445291</c:v>
                </c:pt>
                <c:pt idx="40">
                  <c:v>0.18785285593034051</c:v>
                </c:pt>
                <c:pt idx="41">
                  <c:v>0.19524280538885466</c:v>
                </c:pt>
                <c:pt idx="42">
                  <c:v>0.19736587565584399</c:v>
                </c:pt>
                <c:pt idx="43">
                  <c:v>0.20475582511435814</c:v>
                </c:pt>
                <c:pt idx="44">
                  <c:v>0.20688935449374743</c:v>
                </c:pt>
                <c:pt idx="45">
                  <c:v>0.21427930395226158</c:v>
                </c:pt>
                <c:pt idx="46">
                  <c:v>0.2164231788907767</c:v>
                </c:pt>
                <c:pt idx="47">
                  <c:v>0.22381312834929085</c:v>
                </c:pt>
                <c:pt idx="48">
                  <c:v>0.22596723854824563</c:v>
                </c:pt>
                <c:pt idx="49">
                  <c:v>0.23335718800675978</c:v>
                </c:pt>
                <c:pt idx="50">
                  <c:v>0.23552142628917369</c:v>
                </c:pt>
                <c:pt idx="51">
                  <c:v>0.24291137574768784</c:v>
                </c:pt>
                <c:pt idx="52">
                  <c:v>0.24508563793279894</c:v>
                </c:pt>
                <c:pt idx="53">
                  <c:v>0.25247558739131309</c:v>
                </c:pt>
                <c:pt idx="54">
                  <c:v>0.2546597721759733</c:v>
                </c:pt>
                <c:pt idx="55">
                  <c:v>0.26204972163448742</c:v>
                </c:pt>
                <c:pt idx="56">
                  <c:v>0.26424373048096728</c:v>
                </c:pt>
                <c:pt idx="57">
                  <c:v>0.2716336799394814</c:v>
                </c:pt>
                <c:pt idx="58">
                  <c:v>0.27383741696925185</c:v>
                </c:pt>
                <c:pt idx="59">
                  <c:v>0.28122736642776597</c:v>
                </c:pt>
                <c:pt idx="60">
                  <c:v>0.28344073832086047</c:v>
                </c:pt>
                <c:pt idx="61">
                  <c:v>0.2908306877793746</c:v>
                </c:pt>
                <c:pt idx="62">
                  <c:v>0.29305360367896405</c:v>
                </c:pt>
                <c:pt idx="63">
                  <c:v>0.30044355313747817</c:v>
                </c:pt>
                <c:pt idx="64">
                  <c:v>0.30267592455932263</c:v>
                </c:pt>
                <c:pt idx="65">
                  <c:v>0.31006587401783675</c:v>
                </c:pt>
                <c:pt idx="66">
                  <c:v>0.3123076147643018</c:v>
                </c:pt>
                <c:pt idx="67">
                  <c:v>0.31969756422281592</c:v>
                </c:pt>
                <c:pt idx="68">
                  <c:v>0.32194859030116757</c:v>
                </c:pt>
                <c:pt idx="69">
                  <c:v>0.32933853975968169</c:v>
                </c:pt>
                <c:pt idx="70">
                  <c:v>0.33159876930439391</c:v>
                </c:pt>
                <c:pt idx="71">
                  <c:v>0.33898871876290804</c:v>
                </c:pt>
                <c:pt idx="72">
                  <c:v>0.34125807196173613</c:v>
                </c:pt>
                <c:pt idx="73">
                  <c:v>0.34864802142025025</c:v>
                </c:pt>
                <c:pt idx="74">
                  <c:v>0.3509264204438437</c:v>
                </c:pt>
                <c:pt idx="75">
                  <c:v>0.35831636990235782</c:v>
                </c:pt>
                <c:pt idx="76">
                  <c:v>0.36060373883720098</c:v>
                </c:pt>
                <c:pt idx="77">
                  <c:v>0.36712802431995589</c:v>
                </c:pt>
                <c:pt idx="78">
                  <c:v>0.36946717034548832</c:v>
                </c:pt>
                <c:pt idx="79">
                  <c:v>0.37468038666492759</c:v>
                </c:pt>
                <c:pt idx="80">
                  <c:v>0.37713238777352909</c:v>
                </c:pt>
                <c:pt idx="81">
                  <c:v>0.38143311134175284</c:v>
                </c:pt>
                <c:pt idx="82">
                  <c:v>0.38403069064945167</c:v>
                </c:pt>
                <c:pt idx="83">
                  <c:v>0.38780543572281545</c:v>
                </c:pt>
                <c:pt idx="84">
                  <c:v>0.39054801711148535</c:v>
                </c:pt>
                <c:pt idx="85">
                  <c:v>0.3940228886861955</c:v>
                </c:pt>
                <c:pt idx="86">
                  <c:v>0.39688774767138696</c:v>
                </c:pt>
                <c:pt idx="87">
                  <c:v>0.40018987602014949</c:v>
                </c:pt>
                <c:pt idx="88">
                  <c:v>0.4031451894118242</c:v>
                </c:pt>
                <c:pt idx="89">
                  <c:v>0.4063481837029867</c:v>
                </c:pt>
                <c:pt idx="90">
                  <c:v>0.40936322838282885</c:v>
                </c:pt>
                <c:pt idx="91">
                  <c:v>0.41251049971384779</c:v>
                </c:pt>
                <c:pt idx="92">
                  <c:v>0.41556114729593557</c:v>
                </c:pt>
                <c:pt idx="93">
                  <c:v>0.41867810372983583</c:v>
                </c:pt>
                <c:pt idx="94">
                  <c:v>0.42174801467211798</c:v>
                </c:pt>
                <c:pt idx="95">
                  <c:v>0.42484907137735517</c:v>
                </c:pt>
                <c:pt idx="96">
                  <c:v>0.42792840106528035</c:v>
                </c:pt>
                <c:pt idx="97">
                  <c:v>0.43102135534281194</c:v>
                </c:pt>
                <c:pt idx="98">
                  <c:v>0.43410472525604982</c:v>
                </c:pt>
                <c:pt idx="99">
                  <c:v>0.43719355972392282</c:v>
                </c:pt>
                <c:pt idx="100">
                  <c:v>0.44027827630029681</c:v>
                </c:pt>
                <c:pt idx="101">
                  <c:v>0.44336490483177288</c:v>
                </c:pt>
                <c:pt idx="102">
                  <c:v>0.4464497269256486</c:v>
                </c:pt>
                <c:pt idx="103">
                  <c:v>0.44953501706970911</c:v>
                </c:pt>
                <c:pt idx="104">
                  <c:v>0.45261942138484934</c:v>
                </c:pt>
                <c:pt idx="105">
                  <c:v>0.45570374884899584</c:v>
                </c:pt>
                <c:pt idx="106">
                  <c:v>0.45878753895426788</c:v>
                </c:pt>
                <c:pt idx="107">
                  <c:v>0.46187106473976924</c:v>
                </c:pt>
                <c:pt idx="108">
                  <c:v>0.46495418194311222</c:v>
                </c:pt>
                <c:pt idx="109">
                  <c:v>0.46803697997132976</c:v>
                </c:pt>
                <c:pt idx="110">
                  <c:v>0.47111941942354874</c:v>
                </c:pt>
                <c:pt idx="111">
                  <c:v>0.47420153076872845</c:v>
                </c:pt>
                <c:pt idx="112">
                  <c:v>0.47728330716166956</c:v>
                </c:pt>
                <c:pt idx="113">
                  <c:v>0.48036476135370948</c:v>
                </c:pt>
                <c:pt idx="114">
                  <c:v>0.48344589595554838</c:v>
                </c:pt>
                <c:pt idx="115">
                  <c:v>0.48652671872780057</c:v>
                </c:pt>
                <c:pt idx="116">
                  <c:v>0.48960723484519164</c:v>
                </c:pt>
                <c:pt idx="117">
                  <c:v>0.49268745074735826</c:v>
                </c:pt>
                <c:pt idx="118">
                  <c:v>0.49576737225331224</c:v>
                </c:pt>
                <c:pt idx="119">
                  <c:v>0.49884700546986871</c:v>
                </c:pt>
                <c:pt idx="120">
                  <c:v>0.50192635636140015</c:v>
                </c:pt>
                <c:pt idx="121">
                  <c:v>0.50500543095048234</c:v>
                </c:pt>
                <c:pt idx="122">
                  <c:v>0.50808423522611168</c:v>
                </c:pt>
                <c:pt idx="123">
                  <c:v>0.51116277518522057</c:v>
                </c:pt>
                <c:pt idx="124">
                  <c:v>0.51424105681444388</c:v>
                </c:pt>
                <c:pt idx="125">
                  <c:v>0.51731908609821797</c:v>
                </c:pt>
                <c:pt idx="126">
                  <c:v>0.52039686901546878</c:v>
                </c:pt>
                <c:pt idx="127">
                  <c:v>0.52347441154116103</c:v>
                </c:pt>
                <c:pt idx="128">
                  <c:v>0.52655171964581127</c:v>
                </c:pt>
                <c:pt idx="129">
                  <c:v>0.52962879929583895</c:v>
                </c:pt>
                <c:pt idx="130">
                  <c:v>0.53270565645357781</c:v>
                </c:pt>
                <c:pt idx="131">
                  <c:v>0.53578229707742187</c:v>
                </c:pt>
                <c:pt idx="132">
                  <c:v>0.53885872712191951</c:v>
                </c:pt>
                <c:pt idx="133">
                  <c:v>0.54193495253788682</c:v>
                </c:pt>
                <c:pt idx="134">
                  <c:v>0.54501097927251219</c:v>
                </c:pt>
                <c:pt idx="135">
                  <c:v>0.54808681326946607</c:v>
                </c:pt>
                <c:pt idx="136">
                  <c:v>0.55116246046900708</c:v>
                </c:pt>
                <c:pt idx="137">
                  <c:v>0.55423792680808903</c:v>
                </c:pt>
                <c:pt idx="138">
                  <c:v>0.55731321822046909</c:v>
                </c:pt>
                <c:pt idx="139">
                  <c:v>0.56038834063681331</c:v>
                </c:pt>
                <c:pt idx="140">
                  <c:v>0.5634632999848046</c:v>
                </c:pt>
                <c:pt idx="141">
                  <c:v>0.56653810218924772</c:v>
                </c:pt>
                <c:pt idx="142">
                  <c:v>0.56961275317217774</c:v>
                </c:pt>
                <c:pt idx="143">
                  <c:v>0.57268725885296412</c:v>
                </c:pt>
                <c:pt idx="144">
                  <c:v>0.57576162514841855</c:v>
                </c:pt>
                <c:pt idx="145">
                  <c:v>0.57883585797290038</c:v>
                </c:pt>
                <c:pt idx="146">
                  <c:v>0.58190996323842259</c:v>
                </c:pt>
                <c:pt idx="147">
                  <c:v>0.58498394685475719</c:v>
                </c:pt>
                <c:pt idx="148">
                  <c:v>0.58805781472954144</c:v>
                </c:pt>
                <c:pt idx="149">
                  <c:v>0.5911315727683838</c:v>
                </c:pt>
                <c:pt idx="150">
                  <c:v>0.5942052268749678</c:v>
                </c:pt>
                <c:pt idx="151">
                  <c:v>0.59727878295115999</c:v>
                </c:pt>
                <c:pt idx="152">
                  <c:v>0.60035224689711264</c:v>
                </c:pt>
                <c:pt idx="153">
                  <c:v>0.60342562461137039</c:v>
                </c:pt>
                <c:pt idx="154">
                  <c:v>0.60649892199097577</c:v>
                </c:pt>
                <c:pt idx="155">
                  <c:v>0.60957214493157308</c:v>
                </c:pt>
                <c:pt idx="156">
                  <c:v>0.61264529932751399</c:v>
                </c:pt>
                <c:pt idx="157">
                  <c:v>0.61571839107196291</c:v>
                </c:pt>
                <c:pt idx="158">
                  <c:v>0.61879142605700144</c:v>
                </c:pt>
                <c:pt idx="159">
                  <c:v>0.62186441017373273</c:v>
                </c:pt>
                <c:pt idx="160">
                  <c:v>0.62493734931238754</c:v>
                </c:pt>
                <c:pt idx="161">
                  <c:v>0.62801024936242789</c:v>
                </c:pt>
                <c:pt idx="162">
                  <c:v>0.63108311621265245</c:v>
                </c:pt>
                <c:pt idx="163">
                  <c:v>0.63415595575130024</c:v>
                </c:pt>
                <c:pt idx="164">
                  <c:v>0.63722877386615673</c:v>
                </c:pt>
                <c:pt idx="165">
                  <c:v>0.64030157644465779</c:v>
                </c:pt>
                <c:pt idx="166">
                  <c:v>0.64337436937399362</c:v>
                </c:pt>
                <c:pt idx="167">
                  <c:v>0.64644715854121459</c:v>
                </c:pt>
                <c:pt idx="168">
                  <c:v>0.64951994983333528</c:v>
                </c:pt>
                <c:pt idx="169">
                  <c:v>0.65259274913743892</c:v>
                </c:pt>
                <c:pt idx="170">
                  <c:v>0.6556655623407821</c:v>
                </c:pt>
                <c:pt idx="171">
                  <c:v>0.65873839533089973</c:v>
                </c:pt>
                <c:pt idx="172">
                  <c:v>0.66181125399570928</c:v>
                </c:pt>
                <c:pt idx="173">
                  <c:v>0.66488414422361553</c:v>
                </c:pt>
                <c:pt idx="174">
                  <c:v>0.66795707190361553</c:v>
                </c:pt>
                <c:pt idx="175">
                  <c:v>0.67103004292540269</c:v>
                </c:pt>
                <c:pt idx="176">
                  <c:v>0.67410306317947233</c:v>
                </c:pt>
                <c:pt idx="177">
                  <c:v>0.67717613855722558</c:v>
                </c:pt>
                <c:pt idx="178">
                  <c:v>0.68024927495107512</c:v>
                </c:pt>
                <c:pt idx="179">
                  <c:v>0.68332247825454939</c:v>
                </c:pt>
                <c:pt idx="180">
                  <c:v>0.68639575436239786</c:v>
                </c:pt>
                <c:pt idx="181">
                  <c:v>0.68946910917069559</c:v>
                </c:pt>
                <c:pt idx="182">
                  <c:v>0.69254254857694908</c:v>
                </c:pt>
                <c:pt idx="183">
                  <c:v>0.69561607848020035</c:v>
                </c:pt>
                <c:pt idx="184">
                  <c:v>0.69868970478113324</c:v>
                </c:pt>
                <c:pt idx="185">
                  <c:v>0.70176343338217795</c:v>
                </c:pt>
                <c:pt idx="186">
                  <c:v>0.70483727018761655</c:v>
                </c:pt>
                <c:pt idx="187">
                  <c:v>0.70791122110368854</c:v>
                </c:pt>
                <c:pt idx="188">
                  <c:v>0.71098529203869643</c:v>
                </c:pt>
                <c:pt idx="189">
                  <c:v>0.71405948890311144</c:v>
                </c:pt>
                <c:pt idx="190">
                  <c:v>0.71713381760967876</c:v>
                </c:pt>
                <c:pt idx="191">
                  <c:v>0.72020828407352422</c:v>
                </c:pt>
                <c:pt idx="192">
                  <c:v>0.72328289421225977</c:v>
                </c:pt>
                <c:pt idx="193">
                  <c:v>0.72635765394608987</c:v>
                </c:pt>
                <c:pt idx="194">
                  <c:v>0.72943256919791699</c:v>
                </c:pt>
                <c:pt idx="195">
                  <c:v>0.73250764589344919</c:v>
                </c:pt>
                <c:pt idx="196">
                  <c:v>0.73558288996130583</c:v>
                </c:pt>
                <c:pt idx="197">
                  <c:v>0.73865830733312421</c:v>
                </c:pt>
                <c:pt idx="198">
                  <c:v>0.74173390394366667</c:v>
                </c:pt>
                <c:pt idx="199">
                  <c:v>0.7448096857309271</c:v>
                </c:pt>
                <c:pt idx="200">
                  <c:v>0.74788565863623879</c:v>
                </c:pt>
                <c:pt idx="201">
                  <c:v>0.7509618286043811</c:v>
                </c:pt>
                <c:pt idx="202">
                  <c:v>0.75403820158368684</c:v>
                </c:pt>
                <c:pt idx="203">
                  <c:v>0.75711478352615058</c:v>
                </c:pt>
                <c:pt idx="204">
                  <c:v>0.76019158038753565</c:v>
                </c:pt>
                <c:pt idx="205">
                  <c:v>0.76326859812748227</c:v>
                </c:pt>
                <c:pt idx="206">
                  <c:v>0.76634584270961636</c:v>
                </c:pt>
                <c:pt idx="207">
                  <c:v>0.76942332010165704</c:v>
                </c:pt>
                <c:pt idx="208">
                  <c:v>0.77250103627552591</c:v>
                </c:pt>
                <c:pt idx="209">
                  <c:v>0.77557899720745527</c:v>
                </c:pt>
                <c:pt idx="210">
                  <c:v>0.77865720887809753</c:v>
                </c:pt>
                <c:pt idx="211">
                  <c:v>0.78173567727263382</c:v>
                </c:pt>
                <c:pt idx="212">
                  <c:v>0.78481440838088434</c:v>
                </c:pt>
                <c:pt idx="213">
                  <c:v>0.78789340819741738</c:v>
                </c:pt>
                <c:pt idx="214">
                  <c:v>0.7909726827216591</c:v>
                </c:pt>
                <c:pt idx="215">
                  <c:v>0.79405223795800406</c:v>
                </c:pt>
                <c:pt idx="216">
                  <c:v>0.7971320799159255</c:v>
                </c:pt>
                <c:pt idx="217">
                  <c:v>0.80021221461008551</c:v>
                </c:pt>
                <c:pt idx="218">
                  <c:v>0.80329264806044665</c:v>
                </c:pt>
                <c:pt idx="219">
                  <c:v>0.80637338629238253</c:v>
                </c:pt>
                <c:pt idx="220">
                  <c:v>0.80945443533678962</c:v>
                </c:pt>
                <c:pt idx="221">
                  <c:v>0.81253580123019864</c:v>
                </c:pt>
                <c:pt idx="222">
                  <c:v>0.81561749001488637</c:v>
                </c:pt>
                <c:pt idx="223">
                  <c:v>0.81869950773898836</c:v>
                </c:pt>
                <c:pt idx="224">
                  <c:v>0.82178186045661161</c:v>
                </c:pt>
                <c:pt idx="225">
                  <c:v>0.82486455422794636</c:v>
                </c:pt>
                <c:pt idx="226">
                  <c:v>0.82794759511938021</c:v>
                </c:pt>
                <c:pt idx="227">
                  <c:v>0.8310309892036114</c:v>
                </c:pt>
                <c:pt idx="228">
                  <c:v>0.83411474255976226</c:v>
                </c:pt>
                <c:pt idx="229">
                  <c:v>0.83719886127349363</c:v>
                </c:pt>
                <c:pt idx="230">
                  <c:v>0.84028335143711896</c:v>
                </c:pt>
                <c:pt idx="231">
                  <c:v>0.84336821914971938</c:v>
                </c:pt>
                <c:pt idx="232">
                  <c:v>0.84645347051725828</c:v>
                </c:pt>
                <c:pt idx="233">
                  <c:v>0.84953911165269735</c:v>
                </c:pt>
                <c:pt idx="234">
                  <c:v>0.85262514867611194</c:v>
                </c:pt>
                <c:pt idx="235">
                  <c:v>0.85571158771480726</c:v>
                </c:pt>
                <c:pt idx="236">
                  <c:v>0.85879843490343521</c:v>
                </c:pt>
                <c:pt idx="237">
                  <c:v>0.86188569638411028</c:v>
                </c:pt>
                <c:pt idx="238">
                  <c:v>0.86497337830652798</c:v>
                </c:pt>
                <c:pt idx="239">
                  <c:v>0.86806148682808193</c:v>
                </c:pt>
                <c:pt idx="240">
                  <c:v>0.87115002811398157</c:v>
                </c:pt>
                <c:pt idx="241">
                  <c:v>0.87423900833737089</c:v>
                </c:pt>
                <c:pt idx="242">
                  <c:v>0.87732843367944735</c:v>
                </c:pt>
                <c:pt idx="243">
                  <c:v>0.88041831032958096</c:v>
                </c:pt>
                <c:pt idx="244">
                  <c:v>0.88350864448543343</c:v>
                </c:pt>
                <c:pt idx="245">
                  <c:v>0.88659944235307908</c:v>
                </c:pt>
                <c:pt idx="246">
                  <c:v>0.88969071014712453</c:v>
                </c:pt>
                <c:pt idx="247">
                  <c:v>0.89278245409083024</c:v>
                </c:pt>
                <c:pt idx="248">
                  <c:v>0.89587468041623131</c:v>
                </c:pt>
                <c:pt idx="249">
                  <c:v>0.8989673953642594</c:v>
                </c:pt>
                <c:pt idx="250">
                  <c:v>0.90206060518486531</c:v>
                </c:pt>
                <c:pt idx="251">
                  <c:v>0.90515431613714104</c:v>
                </c:pt>
                <c:pt idx="252">
                  <c:v>0.90824853448944376</c:v>
                </c:pt>
                <c:pt idx="253">
                  <c:v>0.91134326651951858</c:v>
                </c:pt>
                <c:pt idx="254">
                  <c:v>0.91443851851462354</c:v>
                </c:pt>
                <c:pt idx="255">
                  <c:v>0.91753429677165321</c:v>
                </c:pt>
                <c:pt idx="256">
                  <c:v>0.92063060759726489</c:v>
                </c:pt>
                <c:pt idx="257">
                  <c:v>0.92372745730800321</c:v>
                </c:pt>
                <c:pt idx="258">
                  <c:v>0.92682485223042699</c:v>
                </c:pt>
                <c:pt idx="259">
                  <c:v>0.9299227987012354</c:v>
                </c:pt>
                <c:pt idx="260">
                  <c:v>0.93302130306739528</c:v>
                </c:pt>
                <c:pt idx="261">
                  <c:v>0.93612037168626883</c:v>
                </c:pt>
                <c:pt idx="262">
                  <c:v>0.9392200109257417</c:v>
                </c:pt>
                <c:pt idx="263">
                  <c:v>0.94232022716435193</c:v>
                </c:pt>
                <c:pt idx="264">
                  <c:v>0.94542102679141926</c:v>
                </c:pt>
                <c:pt idx="265">
                  <c:v>0.94852241620717459</c:v>
                </c:pt>
                <c:pt idx="266">
                  <c:v>0.95162440182289099</c:v>
                </c:pt>
                <c:pt idx="267">
                  <c:v>0.95472699006101436</c:v>
                </c:pt>
                <c:pt idx="268">
                  <c:v>0.9578301873552949</c:v>
                </c:pt>
                <c:pt idx="269">
                  <c:v>0.9609340001509199</c:v>
                </c:pt>
                <c:pt idx="270">
                  <c:v>0.96403843490464591</c:v>
                </c:pt>
                <c:pt idx="271">
                  <c:v>0.96714349808493216</c:v>
                </c:pt>
                <c:pt idx="272">
                  <c:v>0.97024919617207506</c:v>
                </c:pt>
                <c:pt idx="273">
                  <c:v>0.97335553565834221</c:v>
                </c:pt>
                <c:pt idx="274">
                  <c:v>0.9764625230481081</c:v>
                </c:pt>
                <c:pt idx="275">
                  <c:v>0.97957016485798976</c:v>
                </c:pt>
                <c:pt idx="276">
                  <c:v>0.98267846761698341</c:v>
                </c:pt>
                <c:pt idx="277">
                  <c:v>0.9857874378666015</c:v>
                </c:pt>
                <c:pt idx="278">
                  <c:v>0.98889708216101091</c:v>
                </c:pt>
                <c:pt idx="279">
                  <c:v>0.99200740706717094</c:v>
                </c:pt>
                <c:pt idx="280">
                  <c:v>0.99511841916497279</c:v>
                </c:pt>
                <c:pt idx="281">
                  <c:v>0.99823012504737973</c:v>
                </c:pt>
                <c:pt idx="282">
                  <c:v>1.0013425313205671</c:v>
                </c:pt>
                <c:pt idx="283">
                  <c:v>1.004455644604064</c:v>
                </c:pt>
                <c:pt idx="284">
                  <c:v>1.0075694715308954</c:v>
                </c:pt>
                <c:pt idx="285">
                  <c:v>1.0106840187477242</c:v>
                </c:pt>
                <c:pt idx="286">
                  <c:v>1.0137992929149955</c:v>
                </c:pt>
                <c:pt idx="287">
                  <c:v>1.0169153007070804</c:v>
                </c:pt>
                <c:pt idx="288">
                  <c:v>1.0200320488124206</c:v>
                </c:pt>
                <c:pt idx="289">
                  <c:v>1.0231495439336751</c:v>
                </c:pt>
                <c:pt idx="290">
                  <c:v>1.0262677927878656</c:v>
                </c:pt>
                <c:pt idx="291">
                  <c:v>1.0293868021065242</c:v>
                </c:pt>
                <c:pt idx="292">
                  <c:v>1.0325065786358418</c:v>
                </c:pt>
                <c:pt idx="293">
                  <c:v>1.035627129136816</c:v>
                </c:pt>
                <c:pt idx="294">
                  <c:v>1.0387484603854018</c:v>
                </c:pt>
                <c:pt idx="295">
                  <c:v>1.0418705791726612</c:v>
                </c:pt>
                <c:pt idx="296">
                  <c:v>1.0449934923049149</c:v>
                </c:pt>
                <c:pt idx="297">
                  <c:v>1.0481172066038942</c:v>
                </c:pt>
                <c:pt idx="298">
                  <c:v>1.0512417289068943</c:v>
                </c:pt>
                <c:pt idx="299">
                  <c:v>1.0543670660669275</c:v>
                </c:pt>
                <c:pt idx="300">
                  <c:v>1.0574932249528788</c:v>
                </c:pt>
                <c:pt idx="301">
                  <c:v>1.0606202124496604</c:v>
                </c:pt>
                <c:pt idx="302">
                  <c:v>1.0637480354583688</c:v>
                </c:pt>
                <c:pt idx="303">
                  <c:v>1.0668767008964417</c:v>
                </c:pt>
                <c:pt idx="304">
                  <c:v>1.0700062156978165</c:v>
                </c:pt>
                <c:pt idx="305">
                  <c:v>1.0731365868130895</c:v>
                </c:pt>
                <c:pt idx="306">
                  <c:v>1.0762678212096759</c:v>
                </c:pt>
                <c:pt idx="307">
                  <c:v>1.0793999258719706</c:v>
                </c:pt>
                <c:pt idx="308">
                  <c:v>1.0825329078015105</c:v>
                </c:pt>
                <c:pt idx="309">
                  <c:v>1.0856667740171371</c:v>
                </c:pt>
                <c:pt idx="310">
                  <c:v>1.0888015315551602</c:v>
                </c:pt>
                <c:pt idx="311">
                  <c:v>1.0919371874695236</c:v>
                </c:pt>
                <c:pt idx="312">
                  <c:v>1.0950737488319702</c:v>
                </c:pt>
                <c:pt idx="313">
                  <c:v>1.0982112227322089</c:v>
                </c:pt>
                <c:pt idx="314">
                  <c:v>1.1013496162780831</c:v>
                </c:pt>
                <c:pt idx="315">
                  <c:v>1.1044889365957387</c:v>
                </c:pt>
                <c:pt idx="316">
                  <c:v>1.1076291908297946</c:v>
                </c:pt>
                <c:pt idx="317">
                  <c:v>1.1107703861435139</c:v>
                </c:pt>
                <c:pt idx="318">
                  <c:v>1.1139125297189751</c:v>
                </c:pt>
                <c:pt idx="319">
                  <c:v>1.1170556287572464</c:v>
                </c:pt>
                <c:pt idx="320">
                  <c:v>1.1201996904785587</c:v>
                </c:pt>
                <c:pt idx="321">
                  <c:v>1.1233447221224819</c:v>
                </c:pt>
                <c:pt idx="322">
                  <c:v>1.1264907309481009</c:v>
                </c:pt>
                <c:pt idx="323">
                  <c:v>1.1296377242341928</c:v>
                </c:pt>
                <c:pt idx="324">
                  <c:v>1.1327857092794065</c:v>
                </c:pt>
                <c:pt idx="325">
                  <c:v>1.1359346934024415</c:v>
                </c:pt>
                <c:pt idx="326">
                  <c:v>1.1390846839422297</c:v>
                </c:pt>
                <c:pt idx="327">
                  <c:v>1.1422356882581173</c:v>
                </c:pt>
                <c:pt idx="328">
                  <c:v>1.1453877137300481</c:v>
                </c:pt>
                <c:pt idx="329">
                  <c:v>1.148540767758748</c:v>
                </c:pt>
                <c:pt idx="330">
                  <c:v>1.151694857765911</c:v>
                </c:pt>
                <c:pt idx="331">
                  <c:v>1.1548499911943859</c:v>
                </c:pt>
                <c:pt idx="332">
                  <c:v>1.1580061755083653</c:v>
                </c:pt>
                <c:pt idx="333">
                  <c:v>1.1611634181935742</c:v>
                </c:pt>
                <c:pt idx="334">
                  <c:v>1.164321726757461</c:v>
                </c:pt>
                <c:pt idx="335">
                  <c:v>1.1674811087293904</c:v>
                </c:pt>
                <c:pt idx="336">
                  <c:v>1.1706415716608354</c:v>
                </c:pt>
                <c:pt idx="337">
                  <c:v>1.1738031231255732</c:v>
                </c:pt>
                <c:pt idx="338">
                  <c:v>1.1769657707198806</c:v>
                </c:pt>
                <c:pt idx="339">
                  <c:v>1.1801295220627315</c:v>
                </c:pt>
                <c:pt idx="340">
                  <c:v>1.1832943847959956</c:v>
                </c:pt>
                <c:pt idx="341">
                  <c:v>1.1864603665846385</c:v>
                </c:pt>
                <c:pt idx="342">
                  <c:v>1.1896274751169233</c:v>
                </c:pt>
                <c:pt idx="343">
                  <c:v>1.1927957181046134</c:v>
                </c:pt>
                <c:pt idx="344">
                  <c:v>1.1959651032831768</c:v>
                </c:pt>
                <c:pt idx="345">
                  <c:v>1.1991356384119922</c:v>
                </c:pt>
                <c:pt idx="346">
                  <c:v>1.2023073312745556</c:v>
                </c:pt>
                <c:pt idx="347">
                  <c:v>1.2054801896786893</c:v>
                </c:pt>
                <c:pt idx="348">
                  <c:v>1.2086542214567522</c:v>
                </c:pt>
                <c:pt idx="349">
                  <c:v>1.2118294344658511</c:v>
                </c:pt>
                <c:pt idx="350">
                  <c:v>1.2150058365880545</c:v>
                </c:pt>
                <c:pt idx="351">
                  <c:v>1.2181834357306067</c:v>
                </c:pt>
                <c:pt idx="352">
                  <c:v>1.2213622398261446</c:v>
                </c:pt>
                <c:pt idx="353">
                  <c:v>1.224542256832915</c:v>
                </c:pt>
                <c:pt idx="354">
                  <c:v>1.2277234947349944</c:v>
                </c:pt>
                <c:pt idx="355">
                  <c:v>1.2309059615425102</c:v>
                </c:pt>
                <c:pt idx="356">
                  <c:v>1.2340896652918631</c:v>
                </c:pt>
                <c:pt idx="357">
                  <c:v>1.2372746140459514</c:v>
                </c:pt>
                <c:pt idx="358">
                  <c:v>1.2404608158943971</c:v>
                </c:pt>
                <c:pt idx="359">
                  <c:v>1.2436482789537735</c:v>
                </c:pt>
                <c:pt idx="360">
                  <c:v>1.2468370113678349</c:v>
                </c:pt>
                <c:pt idx="361">
                  <c:v>1.2500270213077471</c:v>
                </c:pt>
                <c:pt idx="362">
                  <c:v>1.2532183169723208</c:v>
                </c:pt>
                <c:pt idx="363">
                  <c:v>1.2564109065882456</c:v>
                </c:pt>
                <c:pt idx="364">
                  <c:v>1.2596047984103267</c:v>
                </c:pt>
                <c:pt idx="365">
                  <c:v>1.262800000721723</c:v>
                </c:pt>
                <c:pt idx="366">
                  <c:v>1.2659965218341875</c:v>
                </c:pt>
                <c:pt idx="367">
                  <c:v>1.2691943700883082</c:v>
                </c:pt>
                <c:pt idx="368">
                  <c:v>1.2723935538537523</c:v>
                </c:pt>
                <c:pt idx="369">
                  <c:v>1.2755940815295117</c:v>
                </c:pt>
                <c:pt idx="370">
                  <c:v>1.2787959615441507</c:v>
                </c:pt>
                <c:pt idx="371">
                  <c:v>1.2819992023560547</c:v>
                </c:pt>
                <c:pt idx="372">
                  <c:v>1.2852038124536822</c:v>
                </c:pt>
                <c:pt idx="373">
                  <c:v>1.2884098003558178</c:v>
                </c:pt>
                <c:pt idx="374">
                  <c:v>1.291617174611827</c:v>
                </c:pt>
                <c:pt idx="375">
                  <c:v>1.2948259438019145</c:v>
                </c:pt>
                <c:pt idx="376">
                  <c:v>1.2980361165373828</c:v>
                </c:pt>
                <c:pt idx="377">
                  <c:v>1.3012477014608934</c:v>
                </c:pt>
                <c:pt idx="378">
                  <c:v>1.3044607072467307</c:v>
                </c:pt>
                <c:pt idx="379">
                  <c:v>1.3076751426010675</c:v>
                </c:pt>
                <c:pt idx="380">
                  <c:v>1.3108910162622325</c:v>
                </c:pt>
                <c:pt idx="381">
                  <c:v>1.3141083370009798</c:v>
                </c:pt>
                <c:pt idx="382">
                  <c:v>1.3173271136207618</c:v>
                </c:pt>
                <c:pt idx="383">
                  <c:v>1.3205473549580027</c:v>
                </c:pt>
                <c:pt idx="384">
                  <c:v>1.323769069882375</c:v>
                </c:pt>
                <c:pt idx="385">
                  <c:v>1.3269922672970782</c:v>
                </c:pt>
                <c:pt idx="386">
                  <c:v>1.3302169561391199</c:v>
                </c:pt>
                <c:pt idx="387">
                  <c:v>1.3334431453795992</c:v>
                </c:pt>
                <c:pt idx="388">
                  <c:v>1.3366708440239914</c:v>
                </c:pt>
                <c:pt idx="389">
                  <c:v>1.3399000611124372</c:v>
                </c:pt>
                <c:pt idx="390">
                  <c:v>1.3431308057200322</c:v>
                </c:pt>
                <c:pt idx="391">
                  <c:v>1.3463630869571197</c:v>
                </c:pt>
                <c:pt idx="392">
                  <c:v>1.349596913969586</c:v>
                </c:pt>
                <c:pt idx="393">
                  <c:v>1.3528322959391583</c:v>
                </c:pt>
                <c:pt idx="394">
                  <c:v>1.3560692420837042</c:v>
                </c:pt>
                <c:pt idx="395">
                  <c:v>1.3593077616575346</c:v>
                </c:pt>
                <c:pt idx="396">
                  <c:v>1.3625478639517095</c:v>
                </c:pt>
                <c:pt idx="397">
                  <c:v>1.3657895582943445</c:v>
                </c:pt>
                <c:pt idx="398">
                  <c:v>1.3690328540509225</c:v>
                </c:pt>
                <c:pt idx="399">
                  <c:v>1.3722777606246059</c:v>
                </c:pt>
                <c:pt idx="400">
                  <c:v>1.3755242874565528</c:v>
                </c:pt>
                <c:pt idx="401">
                  <c:v>1.3787724440262346</c:v>
                </c:pt>
                <c:pt idx="402">
                  <c:v>1.3820222398517581</c:v>
                </c:pt>
                <c:pt idx="403">
                  <c:v>1.385273684490189</c:v>
                </c:pt>
                <c:pt idx="404">
                  <c:v>1.3885267875378782</c:v>
                </c:pt>
                <c:pt idx="405">
                  <c:v>1.3917815586307922</c:v>
                </c:pt>
                <c:pt idx="406">
                  <c:v>1.3950380074448447</c:v>
                </c:pt>
                <c:pt idx="407">
                  <c:v>1.398296143696232</c:v>
                </c:pt>
                <c:pt idx="408">
                  <c:v>1.4015559771417716</c:v>
                </c:pt>
                <c:pt idx="409">
                  <c:v>1.4048175175792432</c:v>
                </c:pt>
                <c:pt idx="410">
                  <c:v>1.4080807748477326</c:v>
                </c:pt>
                <c:pt idx="411">
                  <c:v>1.4113457588279794</c:v>
                </c:pt>
                <c:pt idx="412">
                  <c:v>1.4146124794427268</c:v>
                </c:pt>
                <c:pt idx="413">
                  <c:v>1.4178809466570752</c:v>
                </c:pt>
                <c:pt idx="414">
                  <c:v>1.4211511704788389</c:v>
                </c:pt>
                <c:pt idx="415">
                  <c:v>1.4244231609589055</c:v>
                </c:pt>
                <c:pt idx="416">
                  <c:v>1.427696928191599</c:v>
                </c:pt>
                <c:pt idx="417">
                  <c:v>1.430972482315046</c:v>
                </c:pt>
                <c:pt idx="418">
                  <c:v>1.434249833511545</c:v>
                </c:pt>
                <c:pt idx="419">
                  <c:v>1.4375289920079395</c:v>
                </c:pt>
                <c:pt idx="420">
                  <c:v>1.440809968075994</c:v>
                </c:pt>
                <c:pt idx="421">
                  <c:v>1.4440927720327736</c:v>
                </c:pt>
                <c:pt idx="422">
                  <c:v>1.4473774142410269</c:v>
                </c:pt>
                <c:pt idx="423">
                  <c:v>1.4506639051095729</c:v>
                </c:pt>
                <c:pt idx="424">
                  <c:v>1.4539522550936907</c:v>
                </c:pt>
                <c:pt idx="425">
                  <c:v>1.4572424746955137</c:v>
                </c:pt>
                <c:pt idx="426">
                  <c:v>1.460534574464426</c:v>
                </c:pt>
                <c:pt idx="427">
                  <c:v>1.4638285649974645</c:v>
                </c:pt>
                <c:pt idx="428">
                  <c:v>1.4671244569397224</c:v>
                </c:pt>
                <c:pt idx="429">
                  <c:v>1.4704222609847581</c:v>
                </c:pt>
                <c:pt idx="430">
                  <c:v>1.4737219878750079</c:v>
                </c:pt>
                <c:pt idx="431">
                  <c:v>1.4770236484022012</c:v>
                </c:pt>
                <c:pt idx="432">
                  <c:v>1.4803272534077812</c:v>
                </c:pt>
                <c:pt idx="433">
                  <c:v>1.4836328137833279</c:v>
                </c:pt>
                <c:pt idx="434">
                  <c:v>1.4869403404709869</c:v>
                </c:pt>
                <c:pt idx="435">
                  <c:v>1.4902498444639007</c:v>
                </c:pt>
                <c:pt idx="436">
                  <c:v>1.4935613368066454</c:v>
                </c:pt>
                <c:pt idx="437">
                  <c:v>1.4968748285956694</c:v>
                </c:pt>
                <c:pt idx="438">
                  <c:v>1.5001903309797395</c:v>
                </c:pt>
                <c:pt idx="439">
                  <c:v>1.5035078551603882</c:v>
                </c:pt>
                <c:pt idx="440">
                  <c:v>1.5068274123923666</c:v>
                </c:pt>
                <c:pt idx="441">
                  <c:v>1.5101490139841023</c:v>
                </c:pt>
                <c:pt idx="442">
                  <c:v>1.5134726712981603</c:v>
                </c:pt>
                <c:pt idx="443">
                  <c:v>1.5167983957517095</c:v>
                </c:pt>
                <c:pt idx="444">
                  <c:v>1.520126198816993</c:v>
                </c:pt>
                <c:pt idx="445">
                  <c:v>1.5234560920218025</c:v>
                </c:pt>
                <c:pt idx="446">
                  <c:v>1.5267880869499597</c:v>
                </c:pt>
                <c:pt idx="447">
                  <c:v>1.5301221952417987</c:v>
                </c:pt>
                <c:pt idx="448">
                  <c:v>1.5334584285946564</c:v>
                </c:pt>
                <c:pt idx="449">
                  <c:v>1.5367967987633659</c:v>
                </c:pt>
                <c:pt idx="450">
                  <c:v>1.5401373175607553</c:v>
                </c:pt>
                <c:pt idx="451">
                  <c:v>1.5434799968581514</c:v>
                </c:pt>
                <c:pt idx="452">
                  <c:v>1.5468248485858882</c:v>
                </c:pt>
                <c:pt idx="453">
                  <c:v>1.5501718847338206</c:v>
                </c:pt>
                <c:pt idx="454">
                  <c:v>1.5535211173518433</c:v>
                </c:pt>
                <c:pt idx="455">
                  <c:v>1.5568725585504144</c:v>
                </c:pt>
                <c:pt idx="456">
                  <c:v>1.5602262205010846</c:v>
                </c:pt>
                <c:pt idx="457">
                  <c:v>1.563582115437032</c:v>
                </c:pt>
                <c:pt idx="458">
                  <c:v>1.5669402556536014</c:v>
                </c:pt>
                <c:pt idx="459">
                  <c:v>1.5703006535088497</c:v>
                </c:pt>
                <c:pt idx="460">
                  <c:v>1.5736633214240967</c:v>
                </c:pt>
                <c:pt idx="461">
                  <c:v>1.577028271884481</c:v>
                </c:pt>
                <c:pt idx="462">
                  <c:v>1.5803955174395223</c:v>
                </c:pt>
                <c:pt idx="463">
                  <c:v>1.583765070703689</c:v>
                </c:pt>
                <c:pt idx="464">
                  <c:v>1.5871369443569712</c:v>
                </c:pt>
                <c:pt idx="465">
                  <c:v>1.5905111511454602</c:v>
                </c:pt>
                <c:pt idx="466">
                  <c:v>1.5938877038819337</c:v>
                </c:pt>
                <c:pt idx="467">
                  <c:v>1.5972666154464472</c:v>
                </c:pt>
                <c:pt idx="468">
                  <c:v>1.6006478987869308</c:v>
                </c:pt>
                <c:pt idx="469">
                  <c:v>1.6040315669197929</c:v>
                </c:pt>
                <c:pt idx="470">
                  <c:v>1.6074176329305296</c:v>
                </c:pt>
                <c:pt idx="471">
                  <c:v>1.6108061099743416</c:v>
                </c:pt>
                <c:pt idx="472">
                  <c:v>1.614197011276755</c:v>
                </c:pt>
                <c:pt idx="473">
                  <c:v>1.6175903501342517</c:v>
                </c:pt>
                <c:pt idx="474">
                  <c:v>1.6209861399149039</c:v>
                </c:pt>
                <c:pt idx="475">
                  <c:v>1.624384394059017</c:v>
                </c:pt>
                <c:pt idx="476">
                  <c:v>1.6277851260797778</c:v>
                </c:pt>
                <c:pt idx="477">
                  <c:v>1.6311883495639106</c:v>
                </c:pt>
                <c:pt idx="478">
                  <c:v>1.6345940781723394</c:v>
                </c:pt>
                <c:pt idx="479">
                  <c:v>1.638002325640858</c:v>
                </c:pt>
                <c:pt idx="480">
                  <c:v>1.6414131057808066</c:v>
                </c:pt>
                <c:pt idx="481">
                  <c:v>1.6448264324797557</c:v>
                </c:pt>
                <c:pt idx="482">
                  <c:v>1.6482423197021974</c:v>
                </c:pt>
                <c:pt idx="483">
                  <c:v>1.651660781490244</c:v>
                </c:pt>
                <c:pt idx="484">
                  <c:v>1.6550818319643341</c:v>
                </c:pt>
                <c:pt idx="485">
                  <c:v>1.6585054853239465</c:v>
                </c:pt>
                <c:pt idx="486">
                  <c:v>1.6619317558483215</c:v>
                </c:pt>
                <c:pt idx="487">
                  <c:v>1.6653606578971902</c:v>
                </c:pt>
                <c:pt idx="488">
                  <c:v>1.6687922059115112</c:v>
                </c:pt>
                <c:pt idx="489">
                  <c:v>1.6722264144142165</c:v>
                </c:pt>
                <c:pt idx="490">
                  <c:v>1.675663298010964</c:v>
                </c:pt>
                <c:pt idx="491">
                  <c:v>1.6791028713908998</c:v>
                </c:pt>
                <c:pt idx="492">
                  <c:v>1.6825451493274268</c:v>
                </c:pt>
                <c:pt idx="493">
                  <c:v>1.6859901466789844</c:v>
                </c:pt>
                <c:pt idx="494">
                  <c:v>1.6894378783898341</c:v>
                </c:pt>
                <c:pt idx="495">
                  <c:v>1.6928883594908555</c:v>
                </c:pt>
                <c:pt idx="496">
                  <c:v>1.6963416051003508</c:v>
                </c:pt>
                <c:pt idx="497">
                  <c:v>1.6997976304248579</c:v>
                </c:pt>
                <c:pt idx="498">
                  <c:v>1.7032564507599723</c:v>
                </c:pt>
                <c:pt idx="499">
                  <c:v>1.7067180814911789</c:v>
                </c:pt>
                <c:pt idx="500">
                  <c:v>1.7101825380946925</c:v>
                </c:pt>
                <c:pt idx="501">
                  <c:v>1.7136498361383081</c:v>
                </c:pt>
                <c:pt idx="502">
                  <c:v>1.7171199912822606</c:v>
                </c:pt>
                <c:pt idx="503">
                  <c:v>1.7205930192800936</c:v>
                </c:pt>
                <c:pt idx="504">
                  <c:v>1.7240689359795396</c:v>
                </c:pt>
                <c:pt idx="505">
                  <c:v>1.7275477573234084</c:v>
                </c:pt>
                <c:pt idx="506">
                  <c:v>1.7310294993504864</c:v>
                </c:pt>
                <c:pt idx="507">
                  <c:v>1.7345141781964462</c:v>
                </c:pt>
                <c:pt idx="508">
                  <c:v>1.7380018100947661</c:v>
                </c:pt>
                <c:pt idx="509">
                  <c:v>1.7414924113776609</c:v>
                </c:pt>
                <c:pt idx="510">
                  <c:v>1.7449859984770228</c:v>
                </c:pt>
                <c:pt idx="511">
                  <c:v>1.7484825879253731</c:v>
                </c:pt>
                <c:pt idx="512">
                  <c:v>1.7519821963568247</c:v>
                </c:pt>
                <c:pt idx="513">
                  <c:v>1.7554848405080565</c:v>
                </c:pt>
                <c:pt idx="514">
                  <c:v>1.7589905372192987</c:v>
                </c:pt>
                <c:pt idx="515">
                  <c:v>1.7624993034353285</c:v>
                </c:pt>
                <c:pt idx="516">
                  <c:v>1.7660111562064795</c:v>
                </c:pt>
                <c:pt idx="517">
                  <c:v>1.7695261126896611</c:v>
                </c:pt>
                <c:pt idx="518">
                  <c:v>1.7730441901493907</c:v>
                </c:pt>
                <c:pt idx="519">
                  <c:v>1.7765654059588374</c:v>
                </c:pt>
                <c:pt idx="520">
                  <c:v>1.7800897776008786</c:v>
                </c:pt>
                <c:pt idx="521">
                  <c:v>1.7836173226691689</c:v>
                </c:pt>
                <c:pt idx="522">
                  <c:v>1.7871480588692217</c:v>
                </c:pt>
                <c:pt idx="523">
                  <c:v>1.7906820040195024</c:v>
                </c:pt>
                <c:pt idx="524">
                  <c:v>1.7942191760525372</c:v>
                </c:pt>
                <c:pt idx="525">
                  <c:v>1.7977595930160326</c:v>
                </c:pt>
                <c:pt idx="526">
                  <c:v>1.8013032730740097</c:v>
                </c:pt>
                <c:pt idx="527">
                  <c:v>1.8048502345079511</c:v>
                </c:pt>
                <c:pt idx="528">
                  <c:v>1.8084004957179627</c:v>
                </c:pt>
                <c:pt idx="529">
                  <c:v>1.8119540752239487</c:v>
                </c:pt>
                <c:pt idx="530">
                  <c:v>1.8155109916668011</c:v>
                </c:pt>
                <c:pt idx="531">
                  <c:v>1.8190712638096032</c:v>
                </c:pt>
                <c:pt idx="532">
                  <c:v>1.8226349105388484</c:v>
                </c:pt>
                <c:pt idx="533">
                  <c:v>1.8262019508656733</c:v>
                </c:pt>
                <c:pt idx="534">
                  <c:v>1.8297724039271057</c:v>
                </c:pt>
                <c:pt idx="535">
                  <c:v>1.8333462889873289</c:v>
                </c:pt>
                <c:pt idx="536">
                  <c:v>1.8369236254389596</c:v>
                </c:pt>
                <c:pt idx="537">
                  <c:v>1.8405044328043441</c:v>
                </c:pt>
                <c:pt idx="538">
                  <c:v>1.8440887307368676</c:v>
                </c:pt>
                <c:pt idx="539">
                  <c:v>1.8476765390222825</c:v>
                </c:pt>
                <c:pt idx="540">
                  <c:v>1.8512678775800508</c:v>
                </c:pt>
                <c:pt idx="541">
                  <c:v>1.8548627664647046</c:v>
                </c:pt>
                <c:pt idx="542">
                  <c:v>1.8584612258672233</c:v>
                </c:pt>
                <c:pt idx="543">
                  <c:v>1.8620632761164275</c:v>
                </c:pt>
                <c:pt idx="544">
                  <c:v>1.8656689376803908</c:v>
                </c:pt>
                <c:pt idx="545">
                  <c:v>1.8692782311678693</c:v>
                </c:pt>
                <c:pt idx="546">
                  <c:v>1.8728911773297494</c:v>
                </c:pt>
                <c:pt idx="547">
                  <c:v>1.8765077970605128</c:v>
                </c:pt>
                <c:pt idx="548">
                  <c:v>1.8801281113997212</c:v>
                </c:pt>
                <c:pt idx="549">
                  <c:v>1.8837521415335192</c:v>
                </c:pt>
                <c:pt idx="550">
                  <c:v>1.8873799087961569</c:v>
                </c:pt>
                <c:pt idx="551">
                  <c:v>1.8910114346715312</c:v>
                </c:pt>
                <c:pt idx="552">
                  <c:v>1.8946467407947474</c:v>
                </c:pt>
                <c:pt idx="553">
                  <c:v>1.8982858489537004</c:v>
                </c:pt>
                <c:pt idx="554">
                  <c:v>1.9019287810906766</c:v>
                </c:pt>
                <c:pt idx="555">
                  <c:v>1.9055755593039765</c:v>
                </c:pt>
                <c:pt idx="556">
                  <c:v>1.9092262058495575</c:v>
                </c:pt>
                <c:pt idx="557">
                  <c:v>1.9128807431426993</c:v>
                </c:pt>
                <c:pt idx="558">
                  <c:v>1.9165391937596898</c:v>
                </c:pt>
                <c:pt idx="559">
                  <c:v>1.9202015804395336</c:v>
                </c:pt>
                <c:pt idx="560">
                  <c:v>1.9238679260856824</c:v>
                </c:pt>
                <c:pt idx="561">
                  <c:v>1.9275382537677888</c:v>
                </c:pt>
                <c:pt idx="562">
                  <c:v>1.9312125867234822</c:v>
                </c:pt>
                <c:pt idx="563">
                  <c:v>1.9348909483601688</c:v>
                </c:pt>
                <c:pt idx="564">
                  <c:v>1.9385733622568555</c:v>
                </c:pt>
                <c:pt idx="565">
                  <c:v>1.9422598521659966</c:v>
                </c:pt>
                <c:pt idx="566">
                  <c:v>1.9459504420153673</c:v>
                </c:pt>
                <c:pt idx="567">
                  <c:v>1.9496451559099601</c:v>
                </c:pt>
                <c:pt idx="568">
                  <c:v>1.9533440181339075</c:v>
                </c:pt>
                <c:pt idx="569">
                  <c:v>1.9570470531524302</c:v>
                </c:pt>
                <c:pt idx="570">
                  <c:v>1.960754285613812</c:v>
                </c:pt>
                <c:pt idx="571">
                  <c:v>1.9644657403514005</c:v>
                </c:pt>
                <c:pt idx="572">
                  <c:v>1.968181442385635</c:v>
                </c:pt>
                <c:pt idx="573">
                  <c:v>1.971901416926102</c:v>
                </c:pt>
                <c:pt idx="574">
                  <c:v>1.9756256893736188</c:v>
                </c:pt>
                <c:pt idx="575">
                  <c:v>1.9793542853223456</c:v>
                </c:pt>
                <c:pt idx="576">
                  <c:v>1.9830872305619252</c:v>
                </c:pt>
                <c:pt idx="577">
                  <c:v>1.9868245510796536</c:v>
                </c:pt>
                <c:pt idx="578">
                  <c:v>1.9905662730626794</c:v>
                </c:pt>
                <c:pt idx="579">
                  <c:v>1.994312422900234</c:v>
                </c:pt>
                <c:pt idx="580">
                  <c:v>1.9980630271858919</c:v>
                </c:pt>
                <c:pt idx="581">
                  <c:v>2.0018181127198629</c:v>
                </c:pt>
                <c:pt idx="582">
                  <c:v>2.0055777065113163</c:v>
                </c:pt>
                <c:pt idx="583">
                  <c:v>2.0093418357807358</c:v>
                </c:pt>
                <c:pt idx="584">
                  <c:v>2.01311052796231</c:v>
                </c:pt>
                <c:pt idx="585">
                  <c:v>2.0168838107063545</c:v>
                </c:pt>
                <c:pt idx="586">
                  <c:v>2.0206617118817669</c:v>
                </c:pt>
                <c:pt idx="587">
                  <c:v>2.0244442595785199</c:v>
                </c:pt>
                <c:pt idx="588">
                  <c:v>2.0282314821101859</c:v>
                </c:pt>
                <c:pt idx="589">
                  <c:v>2.0320234080164994</c:v>
                </c:pt>
                <c:pt idx="590">
                  <c:v>2.0358200660659556</c:v>
                </c:pt>
                <c:pt idx="591">
                  <c:v>2.0396214852584444</c:v>
                </c:pt>
                <c:pt idx="592">
                  <c:v>2.0434276948279249</c:v>
                </c:pt>
                <c:pt idx="593">
                  <c:v>2.0472387242451342</c:v>
                </c:pt>
                <c:pt idx="594">
                  <c:v>2.0510546032203396</c:v>
                </c:pt>
                <c:pt idx="595">
                  <c:v>2.0548753617061268</c:v>
                </c:pt>
                <c:pt idx="596">
                  <c:v>2.0587010299002295</c:v>
                </c:pt>
                <c:pt idx="597">
                  <c:v>2.0625316382484007</c:v>
                </c:pt>
                <c:pt idx="598">
                  <c:v>2.0663672174473242</c:v>
                </c:pt>
                <c:pt idx="599">
                  <c:v>2.0702077984475697</c:v>
                </c:pt>
                <c:pt idx="600">
                  <c:v>2.0740534124565908</c:v>
                </c:pt>
                <c:pt idx="601">
                  <c:v>2.0779040909417663</c:v>
                </c:pt>
                <c:pt idx="602">
                  <c:v>2.0817598656334866</c:v>
                </c:pt>
                <c:pt idx="603">
                  <c:v>2.085620768528285</c:v>
                </c:pt>
                <c:pt idx="604">
                  <c:v>2.0894868318920161</c:v>
                </c:pt>
                <c:pt idx="605">
                  <c:v>2.0933580882630802</c:v>
                </c:pt>
                <c:pt idx="606">
                  <c:v>2.0972345704556967</c:v>
                </c:pt>
                <c:pt idx="607">
                  <c:v>2.1011163115632248</c:v>
                </c:pt>
                <c:pt idx="608">
                  <c:v>2.1050033449615349</c:v>
                </c:pt>
                <c:pt idx="609">
                  <c:v>2.1088957043124301</c:v>
                </c:pt>
                <c:pt idx="610">
                  <c:v>2.1127934235671191</c:v>
                </c:pt>
                <c:pt idx="611">
                  <c:v>2.1166965369697412</c:v>
                </c:pt>
                <c:pt idx="612">
                  <c:v>2.1206050790609448</c:v>
                </c:pt>
                <c:pt idx="613">
                  <c:v>2.124519084681519</c:v>
                </c:pt>
                <c:pt idx="614">
                  <c:v>2.1284385889760822</c:v>
                </c:pt>
                <c:pt idx="615">
                  <c:v>2.1323636273968258</c:v>
                </c:pt>
                <c:pt idx="616">
                  <c:v>2.1362942357073149</c:v>
                </c:pt>
                <c:pt idx="617">
                  <c:v>2.1402304499863471</c:v>
                </c:pt>
                <c:pt idx="618">
                  <c:v>2.1441723066318716</c:v>
                </c:pt>
                <c:pt idx="619">
                  <c:v>2.1481198423649674</c:v>
                </c:pt>
                <c:pt idx="620">
                  <c:v>2.1520730942338839</c:v>
                </c:pt>
                <c:pt idx="621">
                  <c:v>2.1560320996181432</c:v>
                </c:pt>
                <c:pt idx="622">
                  <c:v>2.1599968962327076</c:v>
                </c:pt>
                <c:pt idx="623">
                  <c:v>2.1639675221322094</c:v>
                </c:pt>
                <c:pt idx="624">
                  <c:v>2.1679440157152499</c:v>
                </c:pt>
                <c:pt idx="625">
                  <c:v>2.171926415728763</c:v>
                </c:pt>
                <c:pt idx="626">
                  <c:v>2.1759147612724505</c:v>
                </c:pt>
                <c:pt idx="627">
                  <c:v>2.179909091803284</c:v>
                </c:pt>
                <c:pt idx="628">
                  <c:v>2.1839094471400791</c:v>
                </c:pt>
                <c:pt idx="629">
                  <c:v>2.1879158674681438</c:v>
                </c:pt>
                <c:pt idx="630">
                  <c:v>2.191928393343999</c:v>
                </c:pt>
                <c:pt idx="631">
                  <c:v>2.1959470657001736</c:v>
                </c:pt>
                <c:pt idx="632">
                  <c:v>2.1999719258500789</c:v>
                </c:pt>
                <c:pt idx="633">
                  <c:v>2.2040030154929591</c:v>
                </c:pt>
                <c:pt idx="634">
                  <c:v>2.2080403767189214</c:v>
                </c:pt>
                <c:pt idx="635">
                  <c:v>2.2120840520140486</c:v>
                </c:pt>
                <c:pt idx="636">
                  <c:v>2.216134084265593</c:v>
                </c:pt>
                <c:pt idx="637">
                  <c:v>2.2201905167672562</c:v>
                </c:pt>
                <c:pt idx="638">
                  <c:v>2.224253393224553</c:v>
                </c:pt>
                <c:pt idx="639">
                  <c:v>2.2283227577602633</c:v>
                </c:pt>
                <c:pt idx="640">
                  <c:v>2.2323986549199746</c:v>
                </c:pt>
                <c:pt idx="641">
                  <c:v>2.2364811296777138</c:v>
                </c:pt>
                <c:pt idx="642">
                  <c:v>2.2405702274416734</c:v>
                </c:pt>
                <c:pt idx="643">
                  <c:v>2.2446659940600298</c:v>
                </c:pt>
                <c:pt idx="644">
                  <c:v>2.2487684758268602</c:v>
                </c:pt>
                <c:pt idx="645">
                  <c:v>2.2528777194881577</c:v>
                </c:pt>
                <c:pt idx="646">
                  <c:v>2.2569937722479447</c:v>
                </c:pt>
                <c:pt idx="647">
                  <c:v>2.2611166817744901</c:v>
                </c:pt>
                <c:pt idx="648">
                  <c:v>2.2652464962066303</c:v>
                </c:pt>
                <c:pt idx="649">
                  <c:v>2.2693832641601968</c:v>
                </c:pt>
                <c:pt idx="650">
                  <c:v>2.2735270347345504</c:v>
                </c:pt>
                <c:pt idx="651">
                  <c:v>2.2776778575192287</c:v>
                </c:pt>
                <c:pt idx="652">
                  <c:v>2.2818357826007039</c:v>
                </c:pt>
                <c:pt idx="653">
                  <c:v>2.2860008605692559</c:v>
                </c:pt>
                <c:pt idx="654">
                  <c:v>2.2901731425259637</c:v>
                </c:pt>
                <c:pt idx="655">
                  <c:v>2.294352680089816</c:v>
                </c:pt>
                <c:pt idx="656">
                  <c:v>2.298539525404943</c:v>
                </c:pt>
                <c:pt idx="657">
                  <c:v>2.3027337311479728</c:v>
                </c:pt>
                <c:pt idx="658">
                  <c:v>2.3069353505355159</c:v>
                </c:pt>
                <c:pt idx="659">
                  <c:v>2.311144437331778</c:v>
                </c:pt>
                <c:pt idx="660">
                  <c:v>2.3153610458563043</c:v>
                </c:pt>
                <c:pt idx="661">
                  <c:v>2.3195852309918616</c:v>
                </c:pt>
                <c:pt idx="662">
                  <c:v>2.323817048192454</c:v>
                </c:pt>
                <c:pt idx="663">
                  <c:v>2.3280565534914825</c:v>
                </c:pt>
                <c:pt idx="664">
                  <c:v>2.3323038035100447</c:v>
                </c:pt>
                <c:pt idx="665">
                  <c:v>2.336558855465384</c:v>
                </c:pt>
                <c:pt idx="666">
                  <c:v>2.3408217671794844</c:v>
                </c:pt>
                <c:pt idx="667">
                  <c:v>2.3450925970878216</c:v>
                </c:pt>
                <c:pt idx="668">
                  <c:v>2.3493714042482656</c:v>
                </c:pt>
                <c:pt idx="669">
                  <c:v>2.3536582483501443</c:v>
                </c:pt>
                <c:pt idx="670">
                  <c:v>2.3579531897234687</c:v>
                </c:pt>
                <c:pt idx="671">
                  <c:v>2.362256289348323</c:v>
                </c:pt>
                <c:pt idx="672">
                  <c:v>2.3665676088644236</c:v>
                </c:pt>
                <c:pt idx="673">
                  <c:v>2.3708872105808507</c:v>
                </c:pt>
                <c:pt idx="674">
                  <c:v>2.3752151574859552</c:v>
                </c:pt>
                <c:pt idx="675">
                  <c:v>2.3795515132574461</c:v>
                </c:pt>
                <c:pt idx="676">
                  <c:v>2.3838963422726591</c:v>
                </c:pt>
                <c:pt idx="677">
                  <c:v>2.3882497096190169</c:v>
                </c:pt>
                <c:pt idx="678">
                  <c:v>2.3926116811046754</c:v>
                </c:pt>
                <c:pt idx="679">
                  <c:v>2.396982323269369</c:v>
                </c:pt>
                <c:pt idx="680">
                  <c:v>2.4013617033954535</c:v>
                </c:pt>
                <c:pt idx="681">
                  <c:v>2.4057498895191531</c:v>
                </c:pt>
                <c:pt idx="682">
                  <c:v>2.4101469504420163</c:v>
                </c:pt>
                <c:pt idx="683">
                  <c:v>2.4145529557425824</c:v>
                </c:pt>
                <c:pt idx="684">
                  <c:v>2.4189679757882661</c:v>
                </c:pt>
                <c:pt idx="685">
                  <c:v>2.4233920817474646</c:v>
                </c:pt>
                <c:pt idx="686">
                  <c:v>2.4278253456018897</c:v>
                </c:pt>
                <c:pt idx="687">
                  <c:v>2.4322678401591311</c:v>
                </c:pt>
                <c:pt idx="688">
                  <c:v>2.436719639065458</c:v>
                </c:pt>
                <c:pt idx="689">
                  <c:v>2.4411808168188598</c:v>
                </c:pt>
                <c:pt idx="690">
                  <c:v>2.4456514487823346</c:v>
                </c:pt>
                <c:pt idx="691">
                  <c:v>2.4501316111974303</c:v>
                </c:pt>
                <c:pt idx="692">
                  <c:v>2.4546213811980415</c:v>
                </c:pt>
                <c:pt idx="693">
                  <c:v>2.459120836824471</c:v>
                </c:pt>
                <c:pt idx="694">
                  <c:v>2.4636300570377592</c:v>
                </c:pt>
                <c:pt idx="695">
                  <c:v>2.4681491217342897</c:v>
                </c:pt>
                <c:pt idx="696">
                  <c:v>2.4726781117606733</c:v>
                </c:pt>
                <c:pt idx="697">
                  <c:v>2.4772171089289214</c:v>
                </c:pt>
                <c:pt idx="698">
                  <c:v>2.4817661960319111</c:v>
                </c:pt>
                <c:pt idx="699">
                  <c:v>2.4863254568591504</c:v>
                </c:pt>
                <c:pt idx="700">
                  <c:v>2.4908949762128501</c:v>
                </c:pt>
                <c:pt idx="701">
                  <c:v>2.4954748399243076</c:v>
                </c:pt>
                <c:pt idx="702">
                  <c:v>2.5000651348706122</c:v>
                </c:pt>
                <c:pt idx="703">
                  <c:v>2.5046659489916769</c:v>
                </c:pt>
                <c:pt idx="704">
                  <c:v>2.5092773713076046</c:v>
                </c:pt>
                <c:pt idx="705">
                  <c:v>2.5138994919363946</c:v>
                </c:pt>
                <c:pt idx="706">
                  <c:v>2.5185324021120019</c:v>
                </c:pt>
                <c:pt idx="707">
                  <c:v>2.5231761942027497</c:v>
                </c:pt>
                <c:pt idx="708">
                  <c:v>2.5278309617301105</c:v>
                </c:pt>
                <c:pt idx="709">
                  <c:v>2.5324967993878573</c:v>
                </c:pt>
                <c:pt idx="710">
                  <c:v>2.5371738030616</c:v>
                </c:pt>
                <c:pt idx="711">
                  <c:v>2.5418620698487082</c:v>
                </c:pt>
                <c:pt idx="712">
                  <c:v>2.5465616980786359</c:v>
                </c:pt>
                <c:pt idx="713">
                  <c:v>2.551272787333652</c:v>
                </c:pt>
                <c:pt idx="714">
                  <c:v>2.5559954384699899</c:v>
                </c:pt>
                <c:pt idx="715">
                  <c:v>2.5607297536394205</c:v>
                </c:pt>
                <c:pt idx="716">
                  <c:v>2.5654758363112635</c:v>
                </c:pt>
                <c:pt idx="717">
                  <c:v>2.5702337912948447</c:v>
                </c:pt>
                <c:pt idx="718">
                  <c:v>2.5750037247624062</c:v>
                </c:pt>
                <c:pt idx="719">
                  <c:v>2.5797857442724856</c:v>
                </c:pt>
                <c:pt idx="720">
                  <c:v>2.5845799587937708</c:v>
                </c:pt>
                <c:pt idx="721">
                  <c:v>2.5893864787294407</c:v>
                </c:pt>
                <c:pt idx="722">
                  <c:v>2.5942054159420049</c:v>
                </c:pt>
                <c:pt idx="723">
                  <c:v>2.5990368837786542</c:v>
                </c:pt>
                <c:pt idx="724">
                  <c:v>2.6038809970971291</c:v>
                </c:pt>
                <c:pt idx="725">
                  <c:v>2.6087378722921231</c:v>
                </c:pt>
                <c:pt idx="726">
                  <c:v>2.6136076273222293</c:v>
                </c:pt>
                <c:pt idx="727">
                  <c:v>2.6184903817374447</c:v>
                </c:pt>
                <c:pt idx="728">
                  <c:v>2.6233862567072435</c:v>
                </c:pt>
                <c:pt idx="729">
                  <c:v>2.6282953750492304</c:v>
                </c:pt>
                <c:pt idx="730">
                  <c:v>2.6332178612583927</c:v>
                </c:pt>
                <c:pt idx="731">
                  <c:v>2.6381538415369579</c:v>
                </c:pt>
                <c:pt idx="732">
                  <c:v>2.6431034438248746</c:v>
                </c:pt>
                <c:pt idx="733">
                  <c:v>2.6480667978309289</c:v>
                </c:pt>
                <c:pt idx="734">
                  <c:v>2.6530440350645113</c:v>
                </c:pt>
                <c:pt idx="735">
                  <c:v>2.6580352888680467</c:v>
                </c:pt>
                <c:pt idx="736">
                  <c:v>2.6630406944501077</c:v>
                </c:pt>
                <c:pt idx="737">
                  <c:v>2.6680603889192178</c:v>
                </c:pt>
                <c:pt idx="738">
                  <c:v>2.6730945113183666</c:v>
                </c:pt>
                <c:pt idx="739">
                  <c:v>2.6781432026602512</c:v>
                </c:pt>
                <c:pt idx="740">
                  <c:v>2.683206605963258</c:v>
                </c:pt>
                <c:pt idx="741">
                  <c:v>2.6882848662882024</c:v>
                </c:pt>
                <c:pt idx="742">
                  <c:v>2.693378130775844</c:v>
                </c:pt>
                <c:pt idx="743">
                  <c:v>2.6984865486851914</c:v>
                </c:pt>
                <c:pt idx="744">
                  <c:v>2.7036102714326171</c:v>
                </c:pt>
                <c:pt idx="745">
                  <c:v>2.7087494526317983</c:v>
                </c:pt>
                <c:pt idx="746">
                  <c:v>2.7139042481345004</c:v>
                </c:pt>
                <c:pt idx="747">
                  <c:v>2.7190748160722236</c:v>
                </c:pt>
                <c:pt idx="748">
                  <c:v>2.7242613168987293</c:v>
                </c:pt>
                <c:pt idx="749">
                  <c:v>2.7294639134334666</c:v>
                </c:pt>
                <c:pt idx="750">
                  <c:v>2.7346827709059167</c:v>
                </c:pt>
                <c:pt idx="751">
                  <c:v>2.7399180570008728</c:v>
                </c:pt>
                <c:pt idx="752">
                  <c:v>2.7451699419046807</c:v>
                </c:pt>
                <c:pt idx="753">
                  <c:v>2.7504385983524515</c:v>
                </c:pt>
                <c:pt idx="754">
                  <c:v>2.7557242016762764</c:v>
                </c:pt>
                <c:pt idx="755">
                  <c:v>2.7610269298544554</c:v>
                </c:pt>
                <c:pt idx="756">
                  <c:v>2.7663469635617641</c:v>
                </c:pt>
                <c:pt idx="757">
                  <c:v>2.7716844862207806</c:v>
                </c:pt>
                <c:pt idx="758">
                  <c:v>2.7770396840542908</c:v>
                </c:pt>
                <c:pt idx="759">
                  <c:v>2.782412746138796</c:v>
                </c:pt>
                <c:pt idx="760">
                  <c:v>2.7878038644591419</c:v>
                </c:pt>
                <c:pt idx="761">
                  <c:v>2.7932132339642903</c:v>
                </c:pt>
                <c:pt idx="762">
                  <c:v>2.7986410526242596</c:v>
                </c:pt>
                <c:pt idx="763">
                  <c:v>2.804087521488249</c:v>
                </c:pt>
                <c:pt idx="764">
                  <c:v>2.8095528447439753</c:v>
                </c:pt>
                <c:pt idx="765">
                  <c:v>2.8150372297782376</c:v>
                </c:pt>
                <c:pt idx="766">
                  <c:v>2.8205408872387379</c:v>
                </c:pt>
                <c:pt idx="767">
                  <c:v>2.8260640310971752</c:v>
                </c:pt>
                <c:pt idx="768">
                  <c:v>2.8316068787136364</c:v>
                </c:pt>
                <c:pt idx="769">
                  <c:v>2.8371696509023061</c:v>
                </c:pt>
                <c:pt idx="770">
                  <c:v>2.8427525719985169</c:v>
                </c:pt>
                <c:pt idx="771">
                  <c:v>2.8483558699271612</c:v>
                </c:pt>
                <c:pt idx="772">
                  <c:v>2.8539797762724852</c:v>
                </c:pt>
                <c:pt idx="773">
                  <c:v>2.8596245263492883</c:v>
                </c:pt>
                <c:pt idx="774">
                  <c:v>2.8652903592755443</c:v>
                </c:pt>
                <c:pt idx="775">
                  <c:v>2.8709775180464674</c:v>
                </c:pt>
                <c:pt idx="776">
                  <c:v>2.876686249610044</c:v>
                </c:pt>
                <c:pt idx="777">
                  <c:v>2.8824168049440453</c:v>
                </c:pt>
                <c:pt idx="778">
                  <c:v>2.8881694391345385</c:v>
                </c:pt>
                <c:pt idx="779">
                  <c:v>2.8939444114559238</c:v>
                </c:pt>
                <c:pt idx="780">
                  <c:v>2.8997419854524966</c:v>
                </c:pt>
                <c:pt idx="781">
                  <c:v>2.9055624290215678</c:v>
                </c:pt>
                <c:pt idx="782">
                  <c:v>2.9114060144981462</c:v>
                </c:pt>
                <c:pt idx="783">
                  <c:v>2.9172730187412004</c:v>
                </c:pt>
                <c:pt idx="784">
                  <c:v>2.9231637232215109</c:v>
                </c:pt>
                <c:pt idx="785">
                  <c:v>2.9290784141111224</c:v>
                </c:pt>
                <c:pt idx="786">
                  <c:v>2.9350173823744075</c:v>
                </c:pt>
                <c:pt idx="787">
                  <c:v>2.9409809238607498</c:v>
                </c:pt>
                <c:pt idx="788">
                  <c:v>2.9469693393988439</c:v>
                </c:pt>
                <c:pt idx="789">
                  <c:v>2.9529829348926269</c:v>
                </c:pt>
                <c:pt idx="790">
                  <c:v>2.9590220214188334</c:v>
                </c:pt>
                <c:pt idx="791">
                  <c:v>2.9650869153261774</c:v>
                </c:pt>
                <c:pt idx="792">
                  <c:v>2.9711779383361536</c:v>
                </c:pt>
                <c:pt idx="793">
                  <c:v>2.9772954176454545</c:v>
                </c:pt>
                <c:pt idx="794">
                  <c:v>2.9834396860299872</c:v>
                </c:pt>
                <c:pt idx="795">
                  <c:v>2.9896110819504891</c:v>
                </c:pt>
                <c:pt idx="796">
                  <c:v>2.9958099496597024</c:v>
                </c:pt>
                <c:pt idx="797">
                  <c:v>3.0020366393111142</c:v>
                </c:pt>
                <c:pt idx="798">
                  <c:v>3.0082915070692144</c:v>
                </c:pt>
                <c:pt idx="799">
                  <c:v>3.0145749152212562</c:v>
                </c:pt>
                <c:pt idx="800">
                  <c:v>3.0208872322904723</c:v>
                </c:pt>
                <c:pt idx="801">
                  <c:v>3.0272288331507218</c:v>
                </c:pt>
                <c:pt idx="802">
                  <c:v>3.0336000991425101</c:v>
                </c:pt>
                <c:pt idx="803">
                  <c:v>3.0400014181903394</c:v>
                </c:pt>
                <c:pt idx="804">
                  <c:v>3.0464331849213289</c:v>
                </c:pt>
                <c:pt idx="805">
                  <c:v>3.0528958007850435</c:v>
                </c:pt>
                <c:pt idx="806">
                  <c:v>3.0593896741744611</c:v>
                </c:pt>
                <c:pt idx="807">
                  <c:v>3.0659152205479998</c:v>
                </c:pt>
                <c:pt idx="808">
                  <c:v>3.0724728625525239</c:v>
                </c:pt>
                <c:pt idx="809">
                  <c:v>3.0790630301472315</c:v>
                </c:pt>
                <c:pt idx="810">
                  <c:v>3.0856861607283248</c:v>
                </c:pt>
                <c:pt idx="811">
                  <c:v>3.0923426992543548</c:v>
                </c:pt>
                <c:pt idx="812">
                  <c:v>3.0990330983721153</c:v>
                </c:pt>
                <c:pt idx="813">
                  <c:v>3.1057578185429668</c:v>
                </c:pt>
                <c:pt idx="814">
                  <c:v>3.1125173281694396</c:v>
                </c:pt>
                <c:pt idx="815">
                  <c:v>3.1193121037219735</c:v>
                </c:pt>
                <c:pt idx="816">
                  <c:v>3.1261426298656345</c:v>
                </c:pt>
                <c:pt idx="817">
                  <c:v>3.1330093995866273</c:v>
                </c:pt>
                <c:pt idx="818">
                  <c:v>3.1399129143184332</c:v>
                </c:pt>
                <c:pt idx="819">
                  <c:v>3.1468536840673567</c:v>
                </c:pt>
                <c:pt idx="820">
                  <c:v>3.1538322275372983</c:v>
                </c:pt>
                <c:pt idx="821">
                  <c:v>3.1608490722535003</c:v>
                </c:pt>
                <c:pt idx="822">
                  <c:v>3.1679047546850607</c:v>
                </c:pt>
                <c:pt idx="823">
                  <c:v>3.1749998203659366</c:v>
                </c:pt>
                <c:pt idx="824">
                  <c:v>3.1821348240141965</c:v>
                </c:pt>
                <c:pt idx="825">
                  <c:v>3.1893103296492331</c:v>
                </c:pt>
                <c:pt idx="826">
                  <c:v>3.1965269107066372</c:v>
                </c:pt>
                <c:pt idx="827">
                  <c:v>3.2037851501504488</c:v>
                </c:pt>
                <c:pt idx="828">
                  <c:v>3.2110856405824268</c:v>
                </c:pt>
                <c:pt idx="829">
                  <c:v>3.2184289843480509</c:v>
                </c:pt>
                <c:pt idx="830">
                  <c:v>3.2258157936388456</c:v>
                </c:pt>
                <c:pt idx="831">
                  <c:v>3.23320574309736</c:v>
                </c:pt>
                <c:pt idx="832">
                  <c:v>3.2405956925558743</c:v>
                </c:pt>
                <c:pt idx="833">
                  <c:v>3.2479856420143887</c:v>
                </c:pt>
                <c:pt idx="834">
                  <c:v>3.255375591472903</c:v>
                </c:pt>
                <c:pt idx="835">
                  <c:v>3.2571421283557895</c:v>
                </c:pt>
                <c:pt idx="836">
                  <c:v>3.2589086652386761</c:v>
                </c:pt>
                <c:pt idx="837">
                  <c:v>3.2606752021215626</c:v>
                </c:pt>
                <c:pt idx="838">
                  <c:v>3.2624417390044491</c:v>
                </c:pt>
                <c:pt idx="839">
                  <c:v>3.2642082758873356</c:v>
                </c:pt>
                <c:pt idx="840">
                  <c:v>3.2659748127702222</c:v>
                </c:pt>
                <c:pt idx="841">
                  <c:v>3.2677413496531087</c:v>
                </c:pt>
                <c:pt idx="842">
                  <c:v>3.2695078865359952</c:v>
                </c:pt>
                <c:pt idx="843">
                  <c:v>3.2712744234188817</c:v>
                </c:pt>
                <c:pt idx="844">
                  <c:v>3.2730409603017683</c:v>
                </c:pt>
                <c:pt idx="845">
                  <c:v>3.2748074971846548</c:v>
                </c:pt>
                <c:pt idx="846">
                  <c:v>3.2765740340675413</c:v>
                </c:pt>
                <c:pt idx="847">
                  <c:v>3.2783405709504279</c:v>
                </c:pt>
                <c:pt idx="848">
                  <c:v>3.2801071078333144</c:v>
                </c:pt>
                <c:pt idx="849">
                  <c:v>3.2818736447162009</c:v>
                </c:pt>
                <c:pt idx="850">
                  <c:v>3.2836401815990874</c:v>
                </c:pt>
                <c:pt idx="851">
                  <c:v>3.285406718481974</c:v>
                </c:pt>
                <c:pt idx="852">
                  <c:v>3.2871732553648605</c:v>
                </c:pt>
                <c:pt idx="853">
                  <c:v>3.288939792247747</c:v>
                </c:pt>
                <c:pt idx="854">
                  <c:v>3.2907063291306335</c:v>
                </c:pt>
                <c:pt idx="855">
                  <c:v>3.2924728660135201</c:v>
                </c:pt>
                <c:pt idx="856">
                  <c:v>3.2942394028964066</c:v>
                </c:pt>
                <c:pt idx="857">
                  <c:v>3.2960059397792931</c:v>
                </c:pt>
                <c:pt idx="858">
                  <c:v>3.2977724766621797</c:v>
                </c:pt>
                <c:pt idx="859">
                  <c:v>3.2995390135450662</c:v>
                </c:pt>
                <c:pt idx="860">
                  <c:v>3.3013055504279527</c:v>
                </c:pt>
                <c:pt idx="861">
                  <c:v>3.3030720873108392</c:v>
                </c:pt>
                <c:pt idx="862">
                  <c:v>3.3048386241937258</c:v>
                </c:pt>
                <c:pt idx="863">
                  <c:v>3.3066051610766123</c:v>
                </c:pt>
                <c:pt idx="864">
                  <c:v>3.3083716979594988</c:v>
                </c:pt>
                <c:pt idx="865">
                  <c:v>3.3101382348423853</c:v>
                </c:pt>
                <c:pt idx="866">
                  <c:v>3.3119047717252719</c:v>
                </c:pt>
                <c:pt idx="867">
                  <c:v>3.3136713086081584</c:v>
                </c:pt>
                <c:pt idx="868">
                  <c:v>3.3154378454910449</c:v>
                </c:pt>
                <c:pt idx="869">
                  <c:v>3.3172043823739314</c:v>
                </c:pt>
                <c:pt idx="870">
                  <c:v>3.318970919256818</c:v>
                </c:pt>
                <c:pt idx="871">
                  <c:v>3.3207374561397045</c:v>
                </c:pt>
                <c:pt idx="872">
                  <c:v>3.322503993022591</c:v>
                </c:pt>
                <c:pt idx="873">
                  <c:v>3.3242705299054776</c:v>
                </c:pt>
                <c:pt idx="874">
                  <c:v>3.3260370667883641</c:v>
                </c:pt>
                <c:pt idx="875">
                  <c:v>3.3278036036712506</c:v>
                </c:pt>
                <c:pt idx="876">
                  <c:v>3.3295701405541371</c:v>
                </c:pt>
                <c:pt idx="877">
                  <c:v>3.3313366774370237</c:v>
                </c:pt>
                <c:pt idx="878">
                  <c:v>3.3331032143199102</c:v>
                </c:pt>
                <c:pt idx="879">
                  <c:v>3.3348697512027967</c:v>
                </c:pt>
                <c:pt idx="880">
                  <c:v>3.3366362880856832</c:v>
                </c:pt>
                <c:pt idx="881">
                  <c:v>3.3384028249685698</c:v>
                </c:pt>
                <c:pt idx="882">
                  <c:v>3.3401693618514563</c:v>
                </c:pt>
              </c:numCache>
            </c:numRef>
          </c:xVal>
          <c:yVal>
            <c:numRef>
              <c:f>Performance!$J$28:$J$910</c:f>
              <c:numCache>
                <c:formatCode>0</c:formatCode>
                <c:ptCount val="883"/>
                <c:pt idx="0">
                  <c:v>0</c:v>
                </c:pt>
                <c:pt idx="1">
                  <c:v>1522.8276728208002</c:v>
                </c:pt>
                <c:pt idx="2">
                  <c:v>0</c:v>
                </c:pt>
                <c:pt idx="3">
                  <c:v>1485.8856333544215</c:v>
                </c:pt>
                <c:pt idx="4">
                  <c:v>0</c:v>
                </c:pt>
                <c:pt idx="5">
                  <c:v>1450.6127131740077</c:v>
                </c:pt>
                <c:pt idx="6">
                  <c:v>0</c:v>
                </c:pt>
                <c:pt idx="7">
                  <c:v>1416.8969815855651</c:v>
                </c:pt>
                <c:pt idx="8">
                  <c:v>0</c:v>
                </c:pt>
                <c:pt idx="9">
                  <c:v>1384.636302755823</c:v>
                </c:pt>
                <c:pt idx="10">
                  <c:v>0</c:v>
                </c:pt>
                <c:pt idx="11">
                  <c:v>1353.7372871266261</c:v>
                </c:pt>
                <c:pt idx="12">
                  <c:v>0</c:v>
                </c:pt>
                <c:pt idx="13">
                  <c:v>1324.1143747190313</c:v>
                </c:pt>
                <c:pt idx="14">
                  <c:v>0</c:v>
                </c:pt>
                <c:pt idx="15">
                  <c:v>1295.6890313611498</c:v>
                </c:pt>
                <c:pt idx="16">
                  <c:v>0</c:v>
                </c:pt>
                <c:pt idx="17">
                  <c:v>1268.3890419449899</c:v>
                </c:pt>
                <c:pt idx="18">
                  <c:v>0</c:v>
                </c:pt>
                <c:pt idx="19">
                  <c:v>1242.1478873105041</c:v>
                </c:pt>
                <c:pt idx="20">
                  <c:v>0</c:v>
                </c:pt>
                <c:pt idx="21">
                  <c:v>1216.9041934418747</c:v>
                </c:pt>
                <c:pt idx="22">
                  <c:v>0</c:v>
                </c:pt>
                <c:pt idx="23">
                  <c:v>1192.6012433630092</c:v>
                </c:pt>
                <c:pt idx="24">
                  <c:v>0</c:v>
                </c:pt>
                <c:pt idx="25">
                  <c:v>1169.1865435696502</c:v>
                </c:pt>
                <c:pt idx="26">
                  <c:v>0</c:v>
                </c:pt>
                <c:pt idx="27">
                  <c:v>1146.6114380123374</c:v>
                </c:pt>
                <c:pt idx="28">
                  <c:v>0</c:v>
                </c:pt>
                <c:pt idx="29">
                  <c:v>1124.8307636576019</c:v>
                </c:pt>
                <c:pt idx="30">
                  <c:v>0</c:v>
                </c:pt>
                <c:pt idx="31">
                  <c:v>1103.8025424951725</c:v>
                </c:pt>
                <c:pt idx="32">
                  <c:v>0</c:v>
                </c:pt>
                <c:pt idx="33">
                  <c:v>1083.4877055694699</c:v>
                </c:pt>
                <c:pt idx="34">
                  <c:v>0</c:v>
                </c:pt>
                <c:pt idx="35">
                  <c:v>1063.8498452155825</c:v>
                </c:pt>
                <c:pt idx="36">
                  <c:v>0</c:v>
                </c:pt>
                <c:pt idx="37">
                  <c:v>1044.8549921952565</c:v>
                </c:pt>
                <c:pt idx="38">
                  <c:v>0</c:v>
                </c:pt>
                <c:pt idx="39">
                  <c:v>1026.4714148604482</c:v>
                </c:pt>
                <c:pt idx="40">
                  <c:v>0</c:v>
                </c:pt>
                <c:pt idx="41">
                  <c:v>1008.6694378444433</c:v>
                </c:pt>
                <c:pt idx="42">
                  <c:v>0</c:v>
                </c:pt>
                <c:pt idx="43">
                  <c:v>991.51450263055676</c:v>
                </c:pt>
                <c:pt idx="44">
                  <c:v>0</c:v>
                </c:pt>
                <c:pt idx="45">
                  <c:v>975.09042714193367</c:v>
                </c:pt>
                <c:pt idx="46">
                  <c:v>0</c:v>
                </c:pt>
                <c:pt idx="47">
                  <c:v>959.17805772719601</c:v>
                </c:pt>
                <c:pt idx="48">
                  <c:v>0</c:v>
                </c:pt>
                <c:pt idx="49">
                  <c:v>943.75362150022954</c:v>
                </c:pt>
                <c:pt idx="50">
                  <c:v>0</c:v>
                </c:pt>
                <c:pt idx="51">
                  <c:v>928.79479005662472</c:v>
                </c:pt>
                <c:pt idx="52">
                  <c:v>0</c:v>
                </c:pt>
                <c:pt idx="53">
                  <c:v>914.28057168738394</c:v>
                </c:pt>
                <c:pt idx="54">
                  <c:v>0</c:v>
                </c:pt>
                <c:pt idx="55">
                  <c:v>900.19121308640013</c:v>
                </c:pt>
                <c:pt idx="56">
                  <c:v>0</c:v>
                </c:pt>
                <c:pt idx="57">
                  <c:v>886.50810958857187</c:v>
                </c:pt>
                <c:pt idx="58">
                  <c:v>0</c:v>
                </c:pt>
                <c:pt idx="59">
                  <c:v>873.21372308858338</c:v>
                </c:pt>
                <c:pt idx="60">
                  <c:v>0</c:v>
                </c:pt>
                <c:pt idx="61">
                  <c:v>860.29150688730556</c:v>
                </c:pt>
                <c:pt idx="62">
                  <c:v>0</c:v>
                </c:pt>
                <c:pt idx="63">
                  <c:v>847.72583679123534</c:v>
                </c:pt>
                <c:pt idx="64">
                  <c:v>0</c:v>
                </c:pt>
                <c:pt idx="65">
                  <c:v>835.5019478701754</c:v>
                </c:pt>
                <c:pt idx="66">
                  <c:v>0</c:v>
                </c:pt>
                <c:pt idx="67">
                  <c:v>823.60587633592263</c:v>
                </c:pt>
                <c:pt idx="68">
                  <c:v>0</c:v>
                </c:pt>
                <c:pt idx="69">
                  <c:v>812.02440606699145</c:v>
                </c:pt>
                <c:pt idx="70">
                  <c:v>0</c:v>
                </c:pt>
                <c:pt idx="71">
                  <c:v>800.74501935360092</c:v>
                </c:pt>
                <c:pt idx="72">
                  <c:v>0</c:v>
                </c:pt>
                <c:pt idx="73">
                  <c:v>789.7558514767677</c:v>
                </c:pt>
                <c:pt idx="74">
                  <c:v>0</c:v>
                </c:pt>
                <c:pt idx="75">
                  <c:v>779.04564878050508</c:v>
                </c:pt>
                <c:pt idx="76">
                  <c:v>10.422472064661298</c:v>
                </c:pt>
                <c:pt idx="77">
                  <c:v>720.6679770314372</c:v>
                </c:pt>
                <c:pt idx="78">
                  <c:v>34.528449498914405</c:v>
                </c:pt>
                <c:pt idx="79">
                  <c:v>611.30491355388278</c:v>
                </c:pt>
                <c:pt idx="80">
                  <c:v>77.27246783685915</c:v>
                </c:pt>
                <c:pt idx="81">
                  <c:v>499.14885836170339</c:v>
                </c:pt>
                <c:pt idx="82">
                  <c:v>128.08168253979881</c:v>
                </c:pt>
                <c:pt idx="83">
                  <c:v>411.83935195072701</c:v>
                </c:pt>
                <c:pt idx="84">
                  <c:v>174.68211717237983</c:v>
                </c:pt>
                <c:pt idx="85">
                  <c:v>352.54137876061719</c:v>
                </c:pt>
                <c:pt idx="86">
                  <c:v>210.82755919085758</c:v>
                </c:pt>
                <c:pt idx="87">
                  <c:v>315.36805285845378</c:v>
                </c:pt>
                <c:pt idx="88">
                  <c:v>235.68582285247794</c:v>
                </c:pt>
                <c:pt idx="89">
                  <c:v>293.45218520711762</c:v>
                </c:pt>
                <c:pt idx="90">
                  <c:v>251.23093306551348</c:v>
                </c:pt>
                <c:pt idx="91">
                  <c:v>281.27847905714623</c:v>
                </c:pt>
                <c:pt idx="92">
                  <c:v>260.2148540195447</c:v>
                </c:pt>
                <c:pt idx="93">
                  <c:v>274.95036679090111</c:v>
                </c:pt>
                <c:pt idx="94">
                  <c:v>265.08409078914008</c:v>
                </c:pt>
                <c:pt idx="95">
                  <c:v>271.91990511970016</c:v>
                </c:pt>
                <c:pt idx="96">
                  <c:v>267.60838169436278</c:v>
                </c:pt>
                <c:pt idx="97">
                  <c:v>270.63253881572712</c:v>
                </c:pt>
                <c:pt idx="98">
                  <c:v>268.90320079935952</c:v>
                </c:pt>
                <c:pt idx="99">
                  <c:v>270.2051039845399</c:v>
                </c:pt>
                <c:pt idx="100">
                  <c:v>269.59966535758173</c:v>
                </c:pt>
                <c:pt idx="101">
                  <c:v>270.17164741813957</c:v>
                </c:pt>
                <c:pt idx="102">
                  <c:v>270.02330340823738</c:v>
                </c:pt>
                <c:pt idx="103">
                  <c:v>270.30414282356901</c:v>
                </c:pt>
                <c:pt idx="104">
                  <c:v>270.32852422117838</c:v>
                </c:pt>
                <c:pt idx="105">
                  <c:v>270.49907966136288</c:v>
                </c:pt>
                <c:pt idx="106">
                  <c:v>270.58302207575241</c:v>
                </c:pt>
                <c:pt idx="107">
                  <c:v>270.71284208481211</c:v>
                </c:pt>
                <c:pt idx="108">
                  <c:v>270.81430769573228</c:v>
                </c:pt>
                <c:pt idx="109">
                  <c:v>270.92835447916599</c:v>
                </c:pt>
                <c:pt idx="110">
                  <c:v>271.03276209384489</c:v>
                </c:pt>
                <c:pt idx="111">
                  <c:v>271.13939885477316</c:v>
                </c:pt>
                <c:pt idx="112">
                  <c:v>271.24202462220421</c:v>
                </c:pt>
                <c:pt idx="113">
                  <c:v>271.34386592406634</c:v>
                </c:pt>
                <c:pt idx="114">
                  <c:v>271.44327943249772</c:v>
                </c:pt>
                <c:pt idx="115">
                  <c:v>271.54108678426303</c:v>
                </c:pt>
                <c:pt idx="116">
                  <c:v>271.63688210734318</c:v>
                </c:pt>
                <c:pt idx="117">
                  <c:v>271.73086091715169</c:v>
                </c:pt>
                <c:pt idx="118">
                  <c:v>271.82292893721865</c:v>
                </c:pt>
                <c:pt idx="119">
                  <c:v>271.91312927345291</c:v>
                </c:pt>
                <c:pt idx="120">
                  <c:v>272.00144101022767</c:v>
                </c:pt>
                <c:pt idx="121">
                  <c:v>272.08787260271373</c:v>
                </c:pt>
                <c:pt idx="122">
                  <c:v>272.17241928841287</c:v>
                </c:pt>
                <c:pt idx="123">
                  <c:v>272.25508218429127</c:v>
                </c:pt>
                <c:pt idx="124">
                  <c:v>272.33585986677667</c:v>
                </c:pt>
                <c:pt idx="125">
                  <c:v>272.41475202189758</c:v>
                </c:pt>
                <c:pt idx="126">
                  <c:v>272.49175788957416</c:v>
                </c:pt>
                <c:pt idx="127">
                  <c:v>272.56687691532773</c:v>
                </c:pt>
                <c:pt idx="128">
                  <c:v>272.6401084819135</c:v>
                </c:pt>
                <c:pt idx="129">
                  <c:v>272.71145201801278</c:v>
                </c:pt>
                <c:pt idx="130">
                  <c:v>272.78090695501356</c:v>
                </c:pt>
                <c:pt idx="131">
                  <c:v>272.84847274365518</c:v>
                </c:pt>
                <c:pt idx="132">
                  <c:v>272.91414884775367</c:v>
                </c:pt>
                <c:pt idx="133">
                  <c:v>272.97793474689581</c:v>
                </c:pt>
                <c:pt idx="134">
                  <c:v>273.03982993476149</c:v>
                </c:pt>
                <c:pt idx="135">
                  <c:v>273.09983392026834</c:v>
                </c:pt>
                <c:pt idx="136">
                  <c:v>273.15794622712127</c:v>
                </c:pt>
                <c:pt idx="137">
                  <c:v>273.21416639348666</c:v>
                </c:pt>
                <c:pt idx="138">
                  <c:v>273.26849397278625</c:v>
                </c:pt>
                <c:pt idx="139">
                  <c:v>273.32092853271257</c:v>
                </c:pt>
                <c:pt idx="140">
                  <c:v>273.37146965633883</c:v>
                </c:pt>
                <c:pt idx="141">
                  <c:v>273.42011694081827</c:v>
                </c:pt>
                <c:pt idx="142">
                  <c:v>273.46686999879222</c:v>
                </c:pt>
                <c:pt idx="143">
                  <c:v>273.51172845709249</c:v>
                </c:pt>
                <c:pt idx="144">
                  <c:v>273.55469195757115</c:v>
                </c:pt>
                <c:pt idx="145">
                  <c:v>273.59576015681785</c:v>
                </c:pt>
                <c:pt idx="146">
                  <c:v>273.63493272621224</c:v>
                </c:pt>
                <c:pt idx="147">
                  <c:v>273.67220935177397</c:v>
                </c:pt>
                <c:pt idx="148">
                  <c:v>273.70758973422517</c:v>
                </c:pt>
                <c:pt idx="149">
                  <c:v>273.74107358947504</c:v>
                </c:pt>
                <c:pt idx="150">
                  <c:v>273.77266064731816</c:v>
                </c:pt>
                <c:pt idx="151">
                  <c:v>273.80235065322302</c:v>
                </c:pt>
                <c:pt idx="152">
                  <c:v>273.83014336683783</c:v>
                </c:pt>
                <c:pt idx="153">
                  <c:v>273.85603856253459</c:v>
                </c:pt>
                <c:pt idx="154">
                  <c:v>273.88003602974482</c:v>
                </c:pt>
                <c:pt idx="155">
                  <c:v>273.90213557238525</c:v>
                </c:pt>
                <c:pt idx="156">
                  <c:v>273.92233700903267</c:v>
                </c:pt>
                <c:pt idx="157">
                  <c:v>273.94064017315532</c:v>
                </c:pt>
                <c:pt idx="158">
                  <c:v>273.95704491303729</c:v>
                </c:pt>
                <c:pt idx="159">
                  <c:v>273.97155109128687</c:v>
                </c:pt>
                <c:pt idx="160">
                  <c:v>273.98415858562657</c:v>
                </c:pt>
                <c:pt idx="161">
                  <c:v>273.99486728822251</c:v>
                </c:pt>
                <c:pt idx="162">
                  <c:v>274.00367710630155</c:v>
                </c:pt>
                <c:pt idx="163">
                  <c:v>274.01058796138068</c:v>
                </c:pt>
                <c:pt idx="164">
                  <c:v>274.01559978989229</c:v>
                </c:pt>
                <c:pt idx="165">
                  <c:v>274.01871254314199</c:v>
                </c:pt>
                <c:pt idx="166">
                  <c:v>274.01992618686779</c:v>
                </c:pt>
                <c:pt idx="167">
                  <c:v>274.01924070160919</c:v>
                </c:pt>
                <c:pt idx="168">
                  <c:v>274.01665608272407</c:v>
                </c:pt>
                <c:pt idx="169">
                  <c:v>274.01217234025563</c:v>
                </c:pt>
                <c:pt idx="170">
                  <c:v>274.00578949882379</c:v>
                </c:pt>
                <c:pt idx="171">
                  <c:v>273.99750759789396</c:v>
                </c:pt>
                <c:pt idx="172">
                  <c:v>273.98732669165895</c:v>
                </c:pt>
                <c:pt idx="173">
                  <c:v>273.97524684883945</c:v>
                </c:pt>
                <c:pt idx="174">
                  <c:v>273.96126815317945</c:v>
                </c:pt>
                <c:pt idx="175">
                  <c:v>273.94539070288585</c:v>
                </c:pt>
                <c:pt idx="176">
                  <c:v>273.9276146110156</c:v>
                </c:pt>
                <c:pt idx="177">
                  <c:v>273.90794000524573</c:v>
                </c:pt>
                <c:pt idx="178">
                  <c:v>273.88636702811135</c:v>
                </c:pt>
                <c:pt idx="179">
                  <c:v>273.86289583668326</c:v>
                </c:pt>
                <c:pt idx="180">
                  <c:v>273.8375266030605</c:v>
                </c:pt>
                <c:pt idx="181">
                  <c:v>273.81025951367189</c:v>
                </c:pt>
                <c:pt idx="182">
                  <c:v>273.78109477009764</c:v>
                </c:pt>
                <c:pt idx="183">
                  <c:v>273.75003258831157</c:v>
                </c:pt>
                <c:pt idx="184">
                  <c:v>273.71707319914452</c:v>
                </c:pt>
                <c:pt idx="185">
                  <c:v>273.68221684830394</c:v>
                </c:pt>
                <c:pt idx="186">
                  <c:v>273.64546379602052</c:v>
                </c:pt>
                <c:pt idx="187">
                  <c:v>273.60681431742097</c:v>
                </c:pt>
                <c:pt idx="188">
                  <c:v>273.56626870228331</c:v>
                </c:pt>
                <c:pt idx="189">
                  <c:v>273.52382725530168</c:v>
                </c:pt>
                <c:pt idx="190">
                  <c:v>273.47949029570555</c:v>
                </c:pt>
                <c:pt idx="191">
                  <c:v>273.43325815761318</c:v>
                </c:pt>
                <c:pt idx="192">
                  <c:v>273.38513118990357</c:v>
                </c:pt>
                <c:pt idx="193">
                  <c:v>273.33510975633885</c:v>
                </c:pt>
                <c:pt idx="194">
                  <c:v>273.28319423514046</c:v>
                </c:pt>
                <c:pt idx="195">
                  <c:v>273.22938501959771</c:v>
                </c:pt>
                <c:pt idx="196">
                  <c:v>273.17368251769636</c:v>
                </c:pt>
                <c:pt idx="197">
                  <c:v>273.11608715217</c:v>
                </c:pt>
                <c:pt idx="198">
                  <c:v>273.05659936070975</c:v>
                </c:pt>
                <c:pt idx="199">
                  <c:v>272.99521959551464</c:v>
                </c:pt>
                <c:pt idx="200">
                  <c:v>272.93194832385097</c:v>
                </c:pt>
                <c:pt idx="201">
                  <c:v>272.86678602774163</c:v>
                </c:pt>
                <c:pt idx="202">
                  <c:v>272.79973320387802</c:v>
                </c:pt>
                <c:pt idx="203">
                  <c:v>272.7307903639437</c:v>
                </c:pt>
                <c:pt idx="204">
                  <c:v>272.65995803451472</c:v>
                </c:pt>
                <c:pt idx="205">
                  <c:v>272.58723675669478</c:v>
                </c:pt>
                <c:pt idx="206">
                  <c:v>272.51262708678763</c:v>
                </c:pt>
                <c:pt idx="207">
                  <c:v>272.43612959570265</c:v>
                </c:pt>
                <c:pt idx="208">
                  <c:v>272.35774486929751</c:v>
                </c:pt>
                <c:pt idx="209">
                  <c:v>272.27747350831169</c:v>
                </c:pt>
                <c:pt idx="210">
                  <c:v>272.19531612842451</c:v>
                </c:pt>
                <c:pt idx="211">
                  <c:v>272.11127335994803</c:v>
                </c:pt>
                <c:pt idx="212">
                  <c:v>272.02534584833182</c:v>
                </c:pt>
                <c:pt idx="213">
                  <c:v>271.93753425383045</c:v>
                </c:pt>
                <c:pt idx="214">
                  <c:v>271.84783925159093</c:v>
                </c:pt>
                <c:pt idx="215">
                  <c:v>271.75626153167843</c:v>
                </c:pt>
                <c:pt idx="216">
                  <c:v>271.66280179916907</c:v>
                </c:pt>
                <c:pt idx="217">
                  <c:v>271.56746077390665</c:v>
                </c:pt>
                <c:pt idx="218">
                  <c:v>271.4702391907922</c:v>
                </c:pt>
                <c:pt idx="219">
                  <c:v>271.37113779961732</c:v>
                </c:pt>
                <c:pt idx="220">
                  <c:v>271.27015736515904</c:v>
                </c:pt>
                <c:pt idx="221">
                  <c:v>271.16729866722443</c:v>
                </c:pt>
                <c:pt idx="222">
                  <c:v>271.06256250049273</c:v>
                </c:pt>
                <c:pt idx="223">
                  <c:v>270.95594967455344</c:v>
                </c:pt>
                <c:pt idx="224">
                  <c:v>270.84746101427419</c:v>
                </c:pt>
                <c:pt idx="225">
                  <c:v>270.73709735931914</c:v>
                </c:pt>
                <c:pt idx="226">
                  <c:v>270.62485956431573</c:v>
                </c:pt>
                <c:pt idx="227">
                  <c:v>270.51074849914795</c:v>
                </c:pt>
                <c:pt idx="228">
                  <c:v>270.39476504851507</c:v>
                </c:pt>
                <c:pt idx="229">
                  <c:v>270.27691011231815</c:v>
                </c:pt>
                <c:pt idx="230">
                  <c:v>270.15718460536181</c:v>
                </c:pt>
                <c:pt idx="231">
                  <c:v>270.03558945773625</c:v>
                </c:pt>
                <c:pt idx="232">
                  <c:v>269.91212561444041</c:v>
                </c:pt>
                <c:pt idx="233">
                  <c:v>269.78679403559084</c:v>
                </c:pt>
                <c:pt idx="234">
                  <c:v>269.65959569653972</c:v>
                </c:pt>
                <c:pt idx="235">
                  <c:v>269.53053158749702</c:v>
                </c:pt>
                <c:pt idx="236">
                  <c:v>269.39960271417704</c:v>
                </c:pt>
                <c:pt idx="237">
                  <c:v>269.26681009709768</c:v>
                </c:pt>
                <c:pt idx="238">
                  <c:v>269.13215477204949</c:v>
                </c:pt>
                <c:pt idx="239">
                  <c:v>268.99563779008582</c:v>
                </c:pt>
                <c:pt idx="240">
                  <c:v>268.8572602173719</c:v>
                </c:pt>
                <c:pt idx="241">
                  <c:v>268.71702313517233</c:v>
                </c:pt>
                <c:pt idx="242">
                  <c:v>268.57492764008242</c:v>
                </c:pt>
                <c:pt idx="243">
                  <c:v>268.43097484396492</c:v>
                </c:pt>
                <c:pt idx="244">
                  <c:v>268.28516587372008</c:v>
                </c:pt>
                <c:pt idx="245">
                  <c:v>268.13750187174611</c:v>
                </c:pt>
                <c:pt idx="246">
                  <c:v>267.98798399545058</c:v>
                </c:pt>
                <c:pt idx="247">
                  <c:v>267.83661341769368</c:v>
                </c:pt>
                <c:pt idx="248">
                  <c:v>267.6833913266758</c:v>
                </c:pt>
                <c:pt idx="249">
                  <c:v>267.52831892565314</c:v>
                </c:pt>
                <c:pt idx="250">
                  <c:v>267.37139743349354</c:v>
                </c:pt>
                <c:pt idx="251">
                  <c:v>267.21262808417441</c:v>
                </c:pt>
                <c:pt idx="252">
                  <c:v>267.05201212723392</c:v>
                </c:pt>
                <c:pt idx="253">
                  <c:v>266.88955082735123</c:v>
                </c:pt>
                <c:pt idx="254">
                  <c:v>266.72524546484226</c:v>
                </c:pt>
                <c:pt idx="255">
                  <c:v>266.55909733514409</c:v>
                </c:pt>
                <c:pt idx="256">
                  <c:v>266.39110774941111</c:v>
                </c:pt>
                <c:pt idx="257">
                  <c:v>266.22127803396791</c:v>
                </c:pt>
                <c:pt idx="258">
                  <c:v>266.04960953073959</c:v>
                </c:pt>
                <c:pt idx="259">
                  <c:v>265.8761035971026</c:v>
                </c:pt>
                <c:pt idx="260">
                  <c:v>265.70076160583403</c:v>
                </c:pt>
                <c:pt idx="261">
                  <c:v>265.52358494534514</c:v>
                </c:pt>
                <c:pt idx="262">
                  <c:v>265.34457501944564</c:v>
                </c:pt>
                <c:pt idx="263">
                  <c:v>265.16373324750231</c:v>
                </c:pt>
                <c:pt idx="264">
                  <c:v>264.98106106451752</c:v>
                </c:pt>
                <c:pt idx="265">
                  <c:v>264.79655992099339</c:v>
                </c:pt>
                <c:pt idx="266">
                  <c:v>264.61023128299848</c:v>
                </c:pt>
                <c:pt idx="267">
                  <c:v>264.42207663232665</c:v>
                </c:pt>
                <c:pt idx="268">
                  <c:v>264.23209746625417</c:v>
                </c:pt>
                <c:pt idx="269">
                  <c:v>264.04029529775232</c:v>
                </c:pt>
                <c:pt idx="270">
                  <c:v>263.8466716555576</c:v>
                </c:pt>
                <c:pt idx="271">
                  <c:v>263.65122808392925</c:v>
                </c:pt>
                <c:pt idx="272">
                  <c:v>263.45396614295902</c:v>
                </c:pt>
                <c:pt idx="273">
                  <c:v>263.25488740840723</c:v>
                </c:pt>
                <c:pt idx="274">
                  <c:v>263.05399347174176</c:v>
                </c:pt>
                <c:pt idx="275">
                  <c:v>262.85128594025917</c:v>
                </c:pt>
                <c:pt idx="276">
                  <c:v>262.64676643702842</c:v>
                </c:pt>
                <c:pt idx="277">
                  <c:v>262.44043660088141</c:v>
                </c:pt>
                <c:pt idx="278">
                  <c:v>262.23229808650427</c:v>
                </c:pt>
                <c:pt idx="279">
                  <c:v>262.02235256446625</c:v>
                </c:pt>
                <c:pt idx="280">
                  <c:v>261.81060172111154</c:v>
                </c:pt>
                <c:pt idx="281">
                  <c:v>261.59704725874951</c:v>
                </c:pt>
                <c:pt idx="282">
                  <c:v>261.38169089558704</c:v>
                </c:pt>
                <c:pt idx="283">
                  <c:v>261.16453436572851</c:v>
                </c:pt>
                <c:pt idx="284">
                  <c:v>260.94557941927064</c:v>
                </c:pt>
                <c:pt idx="285">
                  <c:v>260.72482782226325</c:v>
                </c:pt>
                <c:pt idx="286">
                  <c:v>260.50228135675093</c:v>
                </c:pt>
                <c:pt idx="287">
                  <c:v>260.27794182085478</c:v>
                </c:pt>
                <c:pt idx="288">
                  <c:v>260.05181102866806</c:v>
                </c:pt>
                <c:pt idx="289">
                  <c:v>259.82389081035694</c:v>
                </c:pt>
                <c:pt idx="290">
                  <c:v>259.59418301226066</c:v>
                </c:pt>
                <c:pt idx="291">
                  <c:v>259.36268949672035</c:v>
                </c:pt>
                <c:pt idx="292">
                  <c:v>259.12941214229659</c:v>
                </c:pt>
                <c:pt idx="293">
                  <c:v>258.89435284369057</c:v>
                </c:pt>
                <c:pt idx="294">
                  <c:v>258.65751351178756</c:v>
                </c:pt>
                <c:pt idx="295">
                  <c:v>258.41889607365476</c:v>
                </c:pt>
                <c:pt idx="296">
                  <c:v>258.17850247271309</c:v>
                </c:pt>
                <c:pt idx="297">
                  <c:v>257.93633466841447</c:v>
                </c:pt>
                <c:pt idx="298">
                  <c:v>257.69239463679298</c:v>
                </c:pt>
                <c:pt idx="299">
                  <c:v>257.44668436992691</c:v>
                </c:pt>
                <c:pt idx="300">
                  <c:v>257.19920587641116</c:v>
                </c:pt>
                <c:pt idx="301">
                  <c:v>256.94996118109492</c:v>
                </c:pt>
                <c:pt idx="302">
                  <c:v>256.69895232529467</c:v>
                </c:pt>
                <c:pt idx="303">
                  <c:v>256.44618136676058</c:v>
                </c:pt>
                <c:pt idx="304">
                  <c:v>256.19165037955099</c:v>
                </c:pt>
                <c:pt idx="305">
                  <c:v>255.93536145432404</c:v>
                </c:pt>
                <c:pt idx="306">
                  <c:v>255.67731669822135</c:v>
                </c:pt>
                <c:pt idx="307">
                  <c:v>255.41751823480149</c:v>
                </c:pt>
                <c:pt idx="308">
                  <c:v>255.15596820432387</c:v>
                </c:pt>
                <c:pt idx="309">
                  <c:v>254.89266876353793</c:v>
                </c:pt>
                <c:pt idx="310">
                  <c:v>254.62762208586761</c:v>
                </c:pt>
                <c:pt idx="311">
                  <c:v>254.36083036126695</c:v>
                </c:pt>
                <c:pt idx="312">
                  <c:v>254.09229579644577</c:v>
                </c:pt>
                <c:pt idx="313">
                  <c:v>253.82202061479114</c:v>
                </c:pt>
                <c:pt idx="314">
                  <c:v>253.55000705638443</c:v>
                </c:pt>
                <c:pt idx="315">
                  <c:v>253.27625737810624</c:v>
                </c:pt>
                <c:pt idx="316">
                  <c:v>253.00077385357542</c:v>
                </c:pt>
                <c:pt idx="317">
                  <c:v>252.72355877326754</c:v>
                </c:pt>
                <c:pt idx="318">
                  <c:v>252.44461444443107</c:v>
                </c:pt>
                <c:pt idx="319">
                  <c:v>252.16394319128477</c:v>
                </c:pt>
                <c:pt idx="320">
                  <c:v>251.88154735489249</c:v>
                </c:pt>
                <c:pt idx="321">
                  <c:v>251.59742929321575</c:v>
                </c:pt>
                <c:pt idx="322">
                  <c:v>251.31159138127086</c:v>
                </c:pt>
                <c:pt idx="323">
                  <c:v>251.02403601105726</c:v>
                </c:pt>
                <c:pt idx="324">
                  <c:v>250.73476559149785</c:v>
                </c:pt>
                <c:pt idx="325">
                  <c:v>250.44378254871245</c:v>
                </c:pt>
                <c:pt idx="326">
                  <c:v>250.15108932585375</c:v>
                </c:pt>
                <c:pt idx="327">
                  <c:v>249.85668838318779</c:v>
                </c:pt>
                <c:pt idx="328">
                  <c:v>249.56058219814096</c:v>
                </c:pt>
                <c:pt idx="329">
                  <c:v>249.2627732654046</c:v>
                </c:pt>
                <c:pt idx="330">
                  <c:v>248.96326409681831</c:v>
                </c:pt>
                <c:pt idx="331">
                  <c:v>248.66205722146637</c:v>
                </c:pt>
                <c:pt idx="332">
                  <c:v>248.35915518580282</c:v>
                </c:pt>
                <c:pt idx="333">
                  <c:v>248.0545605535446</c:v>
                </c:pt>
                <c:pt idx="334">
                  <c:v>247.74827590582049</c:v>
                </c:pt>
                <c:pt idx="335">
                  <c:v>247.44030384111051</c:v>
                </c:pt>
                <c:pt idx="336">
                  <c:v>247.13064697537104</c:v>
                </c:pt>
                <c:pt idx="337">
                  <c:v>246.81930794196325</c:v>
                </c:pt>
                <c:pt idx="338">
                  <c:v>246.50628939183707</c:v>
                </c:pt>
                <c:pt idx="339">
                  <c:v>246.19159399339787</c:v>
                </c:pt>
                <c:pt idx="340">
                  <c:v>245.8752244326875</c:v>
                </c:pt>
                <c:pt idx="341">
                  <c:v>245.55718341332448</c:v>
                </c:pt>
                <c:pt idx="342">
                  <c:v>245.23747365659318</c:v>
                </c:pt>
                <c:pt idx="343">
                  <c:v>244.916097901439</c:v>
                </c:pt>
                <c:pt idx="344">
                  <c:v>244.59305890459166</c:v>
                </c:pt>
                <c:pt idx="345">
                  <c:v>244.26835944040548</c:v>
                </c:pt>
                <c:pt idx="346">
                  <c:v>243.94200230120097</c:v>
                </c:pt>
                <c:pt idx="347">
                  <c:v>243.61399029705277</c:v>
                </c:pt>
                <c:pt idx="348">
                  <c:v>243.28432625588815</c:v>
                </c:pt>
                <c:pt idx="349">
                  <c:v>242.95301302361131</c:v>
                </c:pt>
                <c:pt idx="350">
                  <c:v>242.6200534640073</c:v>
                </c:pt>
                <c:pt idx="351">
                  <c:v>242.28545045890414</c:v>
                </c:pt>
                <c:pt idx="352">
                  <c:v>241.94920690814413</c:v>
                </c:pt>
                <c:pt idx="353">
                  <c:v>241.61132572966392</c:v>
                </c:pt>
                <c:pt idx="354">
                  <c:v>241.2718098594942</c:v>
                </c:pt>
                <c:pt idx="355">
                  <c:v>240.93066225182048</c:v>
                </c:pt>
                <c:pt idx="356">
                  <c:v>240.5878858790077</c:v>
                </c:pt>
                <c:pt idx="357">
                  <c:v>240.24348373167896</c:v>
                </c:pt>
                <c:pt idx="358">
                  <c:v>239.89745881875797</c:v>
                </c:pt>
                <c:pt idx="359">
                  <c:v>239.54981416742751</c:v>
                </c:pt>
                <c:pt idx="360">
                  <c:v>239.20055282328929</c:v>
                </c:pt>
                <c:pt idx="361">
                  <c:v>238.8496778502722</c:v>
                </c:pt>
                <c:pt idx="362">
                  <c:v>238.4971923308774</c:v>
                </c:pt>
                <c:pt idx="363">
                  <c:v>238.14309936598892</c:v>
                </c:pt>
                <c:pt idx="364">
                  <c:v>237.78740207505072</c:v>
                </c:pt>
                <c:pt idx="365">
                  <c:v>237.43010359612251</c:v>
                </c:pt>
                <c:pt idx="366">
                  <c:v>237.07120708582804</c:v>
                </c:pt>
                <c:pt idx="367">
                  <c:v>236.71071571952314</c:v>
                </c:pt>
                <c:pt idx="368">
                  <c:v>236.34863269121581</c:v>
                </c:pt>
                <c:pt idx="369">
                  <c:v>235.98496121373506</c:v>
                </c:pt>
                <c:pt idx="370">
                  <c:v>235.61970451863314</c:v>
                </c:pt>
                <c:pt idx="371">
                  <c:v>235.25286585639586</c:v>
                </c:pt>
                <c:pt idx="372">
                  <c:v>234.88444849634149</c:v>
                </c:pt>
                <c:pt idx="373">
                  <c:v>234.5144557267509</c:v>
                </c:pt>
                <c:pt idx="374">
                  <c:v>234.14289085493053</c:v>
                </c:pt>
                <c:pt idx="375">
                  <c:v>233.76975720715973</c:v>
                </c:pt>
                <c:pt idx="376">
                  <c:v>233.39505812884022</c:v>
                </c:pt>
                <c:pt idx="377">
                  <c:v>233.01879698450907</c:v>
                </c:pt>
                <c:pt idx="378">
                  <c:v>232.6409771578623</c:v>
                </c:pt>
                <c:pt idx="379">
                  <c:v>232.26160205184701</c:v>
                </c:pt>
                <c:pt idx="380">
                  <c:v>231.88067508868846</c:v>
                </c:pt>
                <c:pt idx="381">
                  <c:v>231.49819970993917</c:v>
                </c:pt>
                <c:pt idx="382">
                  <c:v>231.11417937650222</c:v>
                </c:pt>
                <c:pt idx="383">
                  <c:v>230.72861756876694</c:v>
                </c:pt>
                <c:pt idx="384">
                  <c:v>230.3415177865177</c:v>
                </c:pt>
                <c:pt idx="385">
                  <c:v>229.9528835491808</c:v>
                </c:pt>
                <c:pt idx="386">
                  <c:v>229.56271839566872</c:v>
                </c:pt>
                <c:pt idx="387">
                  <c:v>229.1710258845763</c:v>
                </c:pt>
                <c:pt idx="388">
                  <c:v>228.77780959417976</c:v>
                </c:pt>
                <c:pt idx="389">
                  <c:v>228.38307312247599</c:v>
                </c:pt>
                <c:pt idx="390">
                  <c:v>227.9868200872767</c:v>
                </c:pt>
                <c:pt idx="391">
                  <c:v>227.58905412623099</c:v>
                </c:pt>
                <c:pt idx="392">
                  <c:v>227.1897788968582</c:v>
                </c:pt>
                <c:pt idx="393">
                  <c:v>226.78899807669234</c:v>
                </c:pt>
                <c:pt idx="394">
                  <c:v>226.38671536322823</c:v>
                </c:pt>
                <c:pt idx="395">
                  <c:v>225.98293447403532</c:v>
                </c:pt>
                <c:pt idx="396">
                  <c:v>225.57765914680061</c:v>
                </c:pt>
                <c:pt idx="397">
                  <c:v>225.17089313940591</c:v>
                </c:pt>
                <c:pt idx="398">
                  <c:v>224.76264022991563</c:v>
                </c:pt>
                <c:pt idx="399">
                  <c:v>224.3529042167298</c:v>
                </c:pt>
                <c:pt idx="400">
                  <c:v>223.94168891856651</c:v>
                </c:pt>
                <c:pt idx="401">
                  <c:v>223.52899817458783</c:v>
                </c:pt>
                <c:pt idx="402">
                  <c:v>223.11483584433563</c:v>
                </c:pt>
                <c:pt idx="403">
                  <c:v>222.69920580793587</c:v>
                </c:pt>
                <c:pt idx="404">
                  <c:v>222.28211196607467</c:v>
                </c:pt>
                <c:pt idx="405">
                  <c:v>221.86355824003991</c:v>
                </c:pt>
                <c:pt idx="406">
                  <c:v>221.44354857188492</c:v>
                </c:pt>
                <c:pt idx="407">
                  <c:v>221.02208692437571</c:v>
                </c:pt>
                <c:pt idx="408">
                  <c:v>220.59917728106774</c:v>
                </c:pt>
                <c:pt idx="409">
                  <c:v>220.1748236464353</c:v>
                </c:pt>
                <c:pt idx="410">
                  <c:v>219.74903004588776</c:v>
                </c:pt>
                <c:pt idx="411">
                  <c:v>219.32180052582393</c:v>
                </c:pt>
                <c:pt idx="412">
                  <c:v>218.89313915369448</c:v>
                </c:pt>
                <c:pt idx="413">
                  <c:v>218.46305001811709</c:v>
                </c:pt>
                <c:pt idx="414">
                  <c:v>218.03153722882979</c:v>
                </c:pt>
                <c:pt idx="415">
                  <c:v>217.59860491689614</c:v>
                </c:pt>
                <c:pt idx="416">
                  <c:v>217.16425723464047</c:v>
                </c:pt>
                <c:pt idx="417">
                  <c:v>216.72849835580521</c:v>
                </c:pt>
                <c:pt idx="418">
                  <c:v>216.29133247555561</c:v>
                </c:pt>
                <c:pt idx="419">
                  <c:v>215.85276381057065</c:v>
                </c:pt>
                <c:pt idx="420">
                  <c:v>215.41279659912905</c:v>
                </c:pt>
                <c:pt idx="421">
                  <c:v>214.97143510110726</c:v>
                </c:pt>
                <c:pt idx="422">
                  <c:v>214.52868359816372</c:v>
                </c:pt>
                <c:pt idx="423">
                  <c:v>214.08454639365772</c:v>
                </c:pt>
                <c:pt idx="424">
                  <c:v>213.63902781286444</c:v>
                </c:pt>
                <c:pt idx="425">
                  <c:v>213.19213220291516</c:v>
                </c:pt>
                <c:pt idx="426">
                  <c:v>212.74386393296587</c:v>
                </c:pt>
                <c:pt idx="427">
                  <c:v>212.29422739419982</c:v>
                </c:pt>
                <c:pt idx="428">
                  <c:v>211.8432269999569</c:v>
                </c:pt>
                <c:pt idx="429">
                  <c:v>211.39086718574711</c:v>
                </c:pt>
                <c:pt idx="430">
                  <c:v>210.93715240935512</c:v>
                </c:pt>
                <c:pt idx="431">
                  <c:v>210.48208715087014</c:v>
                </c:pt>
                <c:pt idx="432">
                  <c:v>210.02567591284159</c:v>
                </c:pt>
                <c:pt idx="433">
                  <c:v>209.56792322027047</c:v>
                </c:pt>
                <c:pt idx="434">
                  <c:v>209.10883362073793</c:v>
                </c:pt>
                <c:pt idx="435">
                  <c:v>208.64841168440759</c:v>
                </c:pt>
                <c:pt idx="436">
                  <c:v>208.1866620041672</c:v>
                </c:pt>
                <c:pt idx="437">
                  <c:v>207.72358919572369</c:v>
                </c:pt>
                <c:pt idx="438">
                  <c:v>207.25919789755221</c:v>
                </c:pt>
                <c:pt idx="439">
                  <c:v>206.79349277114798</c:v>
                </c:pt>
                <c:pt idx="440">
                  <c:v>206.3264785009633</c:v>
                </c:pt>
                <c:pt idx="441">
                  <c:v>205.85815979450967</c:v>
                </c:pt>
                <c:pt idx="442">
                  <c:v>205.38854138251503</c:v>
                </c:pt>
                <c:pt idx="443">
                  <c:v>204.91762801889888</c:v>
                </c:pt>
                <c:pt idx="444">
                  <c:v>204.4454244809144</c:v>
                </c:pt>
                <c:pt idx="445">
                  <c:v>203.97193556921965</c:v>
                </c:pt>
                <c:pt idx="446">
                  <c:v>203.49716610792493</c:v>
                </c:pt>
                <c:pt idx="447">
                  <c:v>203.02112094473688</c:v>
                </c:pt>
                <c:pt idx="448">
                  <c:v>202.54380495094119</c:v>
                </c:pt>
                <c:pt idx="449">
                  <c:v>202.06522302159084</c:v>
                </c:pt>
                <c:pt idx="450">
                  <c:v>201.58538007552499</c:v>
                </c:pt>
                <c:pt idx="451">
                  <c:v>201.10428105546072</c:v>
                </c:pt>
                <c:pt idx="452">
                  <c:v>200.62193092808661</c:v>
                </c:pt>
                <c:pt idx="453">
                  <c:v>200.13833468413986</c:v>
                </c:pt>
                <c:pt idx="454">
                  <c:v>199.65349733849624</c:v>
                </c:pt>
                <c:pt idx="455">
                  <c:v>199.16742393024592</c:v>
                </c:pt>
                <c:pt idx="456">
                  <c:v>198.68011952281327</c:v>
                </c:pt>
                <c:pt idx="457">
                  <c:v>198.19158920397416</c:v>
                </c:pt>
                <c:pt idx="458">
                  <c:v>197.70183808600041</c:v>
                </c:pt>
                <c:pt idx="459">
                  <c:v>197.21087130576902</c:v>
                </c:pt>
                <c:pt idx="460">
                  <c:v>196.71869402474596</c:v>
                </c:pt>
                <c:pt idx="461">
                  <c:v>196.22531142921892</c:v>
                </c:pt>
                <c:pt idx="462">
                  <c:v>195.7307287302589</c:v>
                </c:pt>
                <c:pt idx="463">
                  <c:v>195.23495116386061</c:v>
                </c:pt>
                <c:pt idx="464">
                  <c:v>194.73798399108779</c:v>
                </c:pt>
                <c:pt idx="465">
                  <c:v>194.23983249806375</c:v>
                </c:pt>
                <c:pt idx="466">
                  <c:v>193.74050199613964</c:v>
                </c:pt>
                <c:pt idx="467">
                  <c:v>193.23999782193951</c:v>
                </c:pt>
                <c:pt idx="468">
                  <c:v>192.73832533750183</c:v>
                </c:pt>
                <c:pt idx="469">
                  <c:v>192.23548993033376</c:v>
                </c:pt>
                <c:pt idx="470">
                  <c:v>191.73149701353199</c:v>
                </c:pt>
                <c:pt idx="471">
                  <c:v>191.22635202584667</c:v>
                </c:pt>
                <c:pt idx="472">
                  <c:v>190.72006043183683</c:v>
                </c:pt>
                <c:pt idx="473">
                  <c:v>190.21262772189368</c:v>
                </c:pt>
                <c:pt idx="474">
                  <c:v>189.70405941239807</c:v>
                </c:pt>
                <c:pt idx="475">
                  <c:v>189.19436104577835</c:v>
                </c:pt>
                <c:pt idx="476">
                  <c:v>188.68353819064146</c:v>
                </c:pt>
                <c:pt idx="477">
                  <c:v>188.1715964418652</c:v>
                </c:pt>
                <c:pt idx="478">
                  <c:v>187.65854142069315</c:v>
                </c:pt>
                <c:pt idx="479">
                  <c:v>187.14437877482908</c:v>
                </c:pt>
                <c:pt idx="480">
                  <c:v>186.62911417853633</c:v>
                </c:pt>
                <c:pt idx="481">
                  <c:v>186.11275333278249</c:v>
                </c:pt>
                <c:pt idx="482">
                  <c:v>185.59530196529298</c:v>
                </c:pt>
                <c:pt idx="483">
                  <c:v>185.07676583069212</c:v>
                </c:pt>
                <c:pt idx="484">
                  <c:v>184.55715071058549</c:v>
                </c:pt>
                <c:pt idx="485">
                  <c:v>184.03646241366454</c:v>
                </c:pt>
                <c:pt idx="486">
                  <c:v>183.5147067758412</c:v>
                </c:pt>
                <c:pt idx="487">
                  <c:v>182.99188966033694</c:v>
                </c:pt>
                <c:pt idx="488">
                  <c:v>182.46801695778311</c:v>
                </c:pt>
                <c:pt idx="489">
                  <c:v>181.94309458635425</c:v>
                </c:pt>
                <c:pt idx="490">
                  <c:v>181.41712849184509</c:v>
                </c:pt>
                <c:pt idx="491">
                  <c:v>180.89012464783309</c:v>
                </c:pt>
                <c:pt idx="492">
                  <c:v>180.36208905573878</c:v>
                </c:pt>
                <c:pt idx="493">
                  <c:v>179.83302774494385</c:v>
                </c:pt>
                <c:pt idx="494">
                  <c:v>179.30294677296982</c:v>
                </c:pt>
                <c:pt idx="495">
                  <c:v>178.77185222550722</c:v>
                </c:pt>
                <c:pt idx="496">
                  <c:v>178.23975021655625</c:v>
                </c:pt>
                <c:pt idx="497">
                  <c:v>177.70664688859529</c:v>
                </c:pt>
                <c:pt idx="498">
                  <c:v>177.17254841263127</c:v>
                </c:pt>
                <c:pt idx="499">
                  <c:v>176.63746098834361</c:v>
                </c:pt>
                <c:pt idx="500">
                  <c:v>176.10139084422775</c:v>
                </c:pt>
                <c:pt idx="501">
                  <c:v>175.56434423766601</c:v>
                </c:pt>
                <c:pt idx="502">
                  <c:v>175.02632745507802</c:v>
                </c:pt>
                <c:pt idx="503">
                  <c:v>174.48734681207065</c:v>
                </c:pt>
                <c:pt idx="504">
                  <c:v>173.94740865347111</c:v>
                </c:pt>
                <c:pt idx="505">
                  <c:v>173.40651935356479</c:v>
                </c:pt>
                <c:pt idx="506">
                  <c:v>172.86468531613053</c:v>
                </c:pt>
                <c:pt idx="507">
                  <c:v>172.3219129746067</c:v>
                </c:pt>
                <c:pt idx="508">
                  <c:v>171.77820879222412</c:v>
                </c:pt>
                <c:pt idx="509">
                  <c:v>171.23357926210812</c:v>
                </c:pt>
                <c:pt idx="510">
                  <c:v>170.6880309073911</c:v>
                </c:pt>
                <c:pt idx="511">
                  <c:v>170.14157028142895</c:v>
                </c:pt>
                <c:pt idx="512">
                  <c:v>169.59420396782519</c:v>
                </c:pt>
                <c:pt idx="513">
                  <c:v>169.04593858063913</c:v>
                </c:pt>
                <c:pt idx="514">
                  <c:v>168.49678076445971</c:v>
                </c:pt>
                <c:pt idx="515">
                  <c:v>167.94673719458387</c:v>
                </c:pt>
                <c:pt idx="516">
                  <c:v>167.39581457715366</c:v>
                </c:pt>
                <c:pt idx="517">
                  <c:v>166.84401964920912</c:v>
                </c:pt>
                <c:pt idx="518">
                  <c:v>166.29135917897344</c:v>
                </c:pt>
                <c:pt idx="519">
                  <c:v>165.737839965837</c:v>
                </c:pt>
                <c:pt idx="520">
                  <c:v>165.18346884059335</c:v>
                </c:pt>
                <c:pt idx="521">
                  <c:v>164.62825266556317</c:v>
                </c:pt>
                <c:pt idx="522">
                  <c:v>164.07219833468835</c:v>
                </c:pt>
                <c:pt idx="523">
                  <c:v>163.51531277374025</c:v>
                </c:pt>
                <c:pt idx="524">
                  <c:v>162.95760294038581</c:v>
                </c:pt>
                <c:pt idx="525">
                  <c:v>162.39907582442819</c:v>
                </c:pt>
                <c:pt idx="526">
                  <c:v>161.83973844784194</c:v>
                </c:pt>
                <c:pt idx="527">
                  <c:v>161.27959786504073</c:v>
                </c:pt>
                <c:pt idx="528">
                  <c:v>160.71866116291051</c:v>
                </c:pt>
                <c:pt idx="529">
                  <c:v>160.15693546100272</c:v>
                </c:pt>
                <c:pt idx="530">
                  <c:v>159.59442791172592</c:v>
                </c:pt>
                <c:pt idx="531">
                  <c:v>159.03114570043633</c:v>
                </c:pt>
                <c:pt idx="532">
                  <c:v>158.46709604559175</c:v>
                </c:pt>
                <c:pt idx="533">
                  <c:v>157.90228619897221</c:v>
                </c:pt>
                <c:pt idx="534">
                  <c:v>157.33672344573918</c:v>
                </c:pt>
                <c:pt idx="535">
                  <c:v>156.77041510468129</c:v>
                </c:pt>
                <c:pt idx="536">
                  <c:v>156.2033685282677</c:v>
                </c:pt>
                <c:pt idx="537">
                  <c:v>155.63559110294182</c:v>
                </c:pt>
                <c:pt idx="538">
                  <c:v>155.06709024913343</c:v>
                </c:pt>
                <c:pt idx="539">
                  <c:v>154.49787342152553</c:v>
                </c:pt>
                <c:pt idx="540">
                  <c:v>153.9279481091888</c:v>
                </c:pt>
                <c:pt idx="541">
                  <c:v>153.3573218356988</c:v>
                </c:pt>
                <c:pt idx="542">
                  <c:v>152.78600215934725</c:v>
                </c:pt>
                <c:pt idx="543">
                  <c:v>152.21399667333313</c:v>
                </c:pt>
                <c:pt idx="544">
                  <c:v>151.64131300583074</c:v>
                </c:pt>
                <c:pt idx="545">
                  <c:v>151.06795882025264</c:v>
                </c:pt>
                <c:pt idx="546">
                  <c:v>150.49394181537997</c:v>
                </c:pt>
                <c:pt idx="547">
                  <c:v>149.9192697255354</c:v>
                </c:pt>
                <c:pt idx="548">
                  <c:v>149.34395032073979</c:v>
                </c:pt>
                <c:pt idx="549">
                  <c:v>148.767991406931</c:v>
                </c:pt>
                <c:pt idx="550">
                  <c:v>148.19140082607342</c:v>
                </c:pt>
                <c:pt idx="551">
                  <c:v>147.6141864563815</c:v>
                </c:pt>
                <c:pt idx="552">
                  <c:v>147.03635621245758</c:v>
                </c:pt>
                <c:pt idx="553">
                  <c:v>146.457918045562</c:v>
                </c:pt>
                <c:pt idx="554">
                  <c:v>145.87887994364391</c:v>
                </c:pt>
                <c:pt idx="555">
                  <c:v>145.29924993164977</c:v>
                </c:pt>
                <c:pt idx="556">
                  <c:v>144.71903607163938</c:v>
                </c:pt>
                <c:pt idx="557">
                  <c:v>144.13824646298281</c:v>
                </c:pt>
                <c:pt idx="558">
                  <c:v>143.5568892425749</c:v>
                </c:pt>
                <c:pt idx="559">
                  <c:v>142.97497258497046</c:v>
                </c:pt>
                <c:pt idx="560">
                  <c:v>142.39250470262019</c:v>
                </c:pt>
                <c:pt idx="561">
                  <c:v>141.80949384601803</c:v>
                </c:pt>
                <c:pt idx="562">
                  <c:v>141.2259483039083</c:v>
                </c:pt>
                <c:pt idx="563">
                  <c:v>140.64187640351372</c:v>
                </c:pt>
                <c:pt idx="564">
                  <c:v>140.05728651065459</c:v>
                </c:pt>
                <c:pt idx="565">
                  <c:v>139.47218703000317</c:v>
                </c:pt>
                <c:pt idx="566">
                  <c:v>138.88658640526756</c:v>
                </c:pt>
                <c:pt idx="567">
                  <c:v>138.30049311936651</c:v>
                </c:pt>
                <c:pt idx="568">
                  <c:v>137.71391569465376</c:v>
                </c:pt>
                <c:pt idx="569">
                  <c:v>137.1268626931147</c:v>
                </c:pt>
                <c:pt idx="570">
                  <c:v>136.53934271654444</c:v>
                </c:pt>
                <c:pt idx="571">
                  <c:v>135.95136440679707</c:v>
                </c:pt>
                <c:pt idx="572">
                  <c:v>135.36293644594107</c:v>
                </c:pt>
                <c:pt idx="573">
                  <c:v>134.77406755649349</c:v>
                </c:pt>
                <c:pt idx="574">
                  <c:v>134.18476650164405</c:v>
                </c:pt>
                <c:pt idx="575">
                  <c:v>133.59504208541389</c:v>
                </c:pt>
                <c:pt idx="576">
                  <c:v>133.00490315290514</c:v>
                </c:pt>
                <c:pt idx="577">
                  <c:v>132.41435859052686</c:v>
                </c:pt>
                <c:pt idx="578">
                  <c:v>131.82341732615944</c:v>
                </c:pt>
                <c:pt idx="579">
                  <c:v>131.23208832942743</c:v>
                </c:pt>
                <c:pt idx="580">
                  <c:v>130.64038061183578</c:v>
                </c:pt>
                <c:pt idx="581">
                  <c:v>130.04830322712354</c:v>
                </c:pt>
                <c:pt idx="582">
                  <c:v>129.4558652713113</c:v>
                </c:pt>
                <c:pt idx="583">
                  <c:v>128.86307588309916</c:v>
                </c:pt>
                <c:pt idx="584">
                  <c:v>128.26994424393376</c:v>
                </c:pt>
                <c:pt idx="585">
                  <c:v>127.67647957834727</c:v>
                </c:pt>
                <c:pt idx="586">
                  <c:v>127.08269115414234</c:v>
                </c:pt>
                <c:pt idx="587">
                  <c:v>126.48858828258723</c:v>
                </c:pt>
                <c:pt idx="588">
                  <c:v>125.89418031871575</c:v>
                </c:pt>
                <c:pt idx="589">
                  <c:v>125.29947666149955</c:v>
                </c:pt>
                <c:pt idx="590">
                  <c:v>124.70448675411363</c:v>
                </c:pt>
                <c:pt idx="591">
                  <c:v>124.10922008416537</c:v>
                </c:pt>
                <c:pt idx="592">
                  <c:v>123.51368618390538</c:v>
                </c:pt>
                <c:pt idx="593">
                  <c:v>122.91789463051464</c:v>
                </c:pt>
                <c:pt idx="594">
                  <c:v>122.32185504628592</c:v>
                </c:pt>
                <c:pt idx="595">
                  <c:v>121.72557709893711</c:v>
                </c:pt>
                <c:pt idx="596">
                  <c:v>121.12907050176308</c:v>
                </c:pt>
                <c:pt idx="597">
                  <c:v>120.53234501395778</c:v>
                </c:pt>
                <c:pt idx="598">
                  <c:v>119.9354104408621</c:v>
                </c:pt>
                <c:pt idx="599">
                  <c:v>119.33827663411377</c:v>
                </c:pt>
                <c:pt idx="600">
                  <c:v>118.74095349201586</c:v>
                </c:pt>
                <c:pt idx="601">
                  <c:v>118.14345095971899</c:v>
                </c:pt>
                <c:pt idx="602">
                  <c:v>117.54577902949653</c:v>
                </c:pt>
                <c:pt idx="603">
                  <c:v>116.94794774099225</c:v>
                </c:pt>
                <c:pt idx="604">
                  <c:v>116.34996718146623</c:v>
                </c:pt>
                <c:pt idx="605">
                  <c:v>115.7518474860755</c:v>
                </c:pt>
                <c:pt idx="606">
                  <c:v>115.15359883814091</c:v>
                </c:pt>
                <c:pt idx="607">
                  <c:v>114.55523146933807</c:v>
                </c:pt>
                <c:pt idx="608">
                  <c:v>113.95675566004248</c:v>
                </c:pt>
                <c:pt idx="609">
                  <c:v>113.35818173957487</c:v>
                </c:pt>
                <c:pt idx="610">
                  <c:v>112.75952008640161</c:v>
                </c:pt>
                <c:pt idx="611">
                  <c:v>112.16078112847498</c:v>
                </c:pt>
                <c:pt idx="612">
                  <c:v>111.56197534350098</c:v>
                </c:pt>
                <c:pt idx="613">
                  <c:v>110.96311325915964</c:v>
                </c:pt>
                <c:pt idx="614">
                  <c:v>110.36420545340366</c:v>
                </c:pt>
                <c:pt idx="615">
                  <c:v>109.7652625547146</c:v>
                </c:pt>
                <c:pt idx="616">
                  <c:v>109.16629524242035</c:v>
                </c:pt>
                <c:pt idx="617">
                  <c:v>108.5673142469404</c:v>
                </c:pt>
                <c:pt idx="618">
                  <c:v>107.96833035002075</c:v>
                </c:pt>
                <c:pt idx="619">
                  <c:v>107.36935438509637</c:v>
                </c:pt>
                <c:pt idx="620">
                  <c:v>106.77039723752749</c:v>
                </c:pt>
                <c:pt idx="621">
                  <c:v>106.17146984485345</c:v>
                </c:pt>
                <c:pt idx="622">
                  <c:v>105.57258319710802</c:v>
                </c:pt>
                <c:pt idx="623">
                  <c:v>104.97374833714869</c:v>
                </c:pt>
                <c:pt idx="624">
                  <c:v>104.37497636083077</c:v>
                </c:pt>
                <c:pt idx="625">
                  <c:v>103.77627841739368</c:v>
                </c:pt>
                <c:pt idx="626">
                  <c:v>103.1776657096587</c:v>
                </c:pt>
                <c:pt idx="627">
                  <c:v>102.57914949441152</c:v>
                </c:pt>
                <c:pt idx="628">
                  <c:v>101.98074108265831</c:v>
                </c:pt>
                <c:pt idx="629">
                  <c:v>101.38245183984013</c:v>
                </c:pt>
                <c:pt idx="630">
                  <c:v>100.78429318623361</c:v>
                </c:pt>
                <c:pt idx="631">
                  <c:v>100.18627659722267</c:v>
                </c:pt>
                <c:pt idx="632">
                  <c:v>99.588413603490096</c:v>
                </c:pt>
                <c:pt idx="633">
                  <c:v>98.990715791440891</c:v>
                </c:pt>
                <c:pt idx="634">
                  <c:v>98.393194803450868</c:v>
                </c:pt>
                <c:pt idx="635">
                  <c:v>97.79586233812816</c:v>
                </c:pt>
                <c:pt idx="636">
                  <c:v>97.198730150648586</c:v>
                </c:pt>
                <c:pt idx="637">
                  <c:v>96.601810053023698</c:v>
                </c:pt>
                <c:pt idx="638">
                  <c:v>96.005113914438311</c:v>
                </c:pt>
                <c:pt idx="639">
                  <c:v>95.408653661507131</c:v>
                </c:pt>
                <c:pt idx="640">
                  <c:v>94.812441278606528</c:v>
                </c:pt>
                <c:pt idx="641">
                  <c:v>94.216488808139459</c:v>
                </c:pt>
                <c:pt idx="642">
                  <c:v>93.620808350833613</c:v>
                </c:pt>
                <c:pt idx="643">
                  <c:v>93.025412066099022</c:v>
                </c:pt>
                <c:pt idx="644">
                  <c:v>92.430312172246857</c:v>
                </c:pt>
                <c:pt idx="645">
                  <c:v>91.835520946844156</c:v>
                </c:pt>
                <c:pt idx="646">
                  <c:v>91.241050726960907</c:v>
                </c:pt>
                <c:pt idx="647">
                  <c:v>90.646913909563651</c:v>
                </c:pt>
                <c:pt idx="648">
                  <c:v>90.053122951660598</c:v>
                </c:pt>
                <c:pt idx="649">
                  <c:v>89.459690370751943</c:v>
                </c:pt>
                <c:pt idx="650">
                  <c:v>88.866628745023846</c:v>
                </c:pt>
                <c:pt idx="651">
                  <c:v>88.273950713695484</c:v>
                </c:pt>
                <c:pt idx="652">
                  <c:v>87.681668977276033</c:v>
                </c:pt>
                <c:pt idx="653">
                  <c:v>87.089796297894082</c:v>
                </c:pt>
                <c:pt idx="654">
                  <c:v>86.498345499571201</c:v>
                </c:pt>
                <c:pt idx="655">
                  <c:v>85.90732946849144</c:v>
                </c:pt>
                <c:pt idx="656">
                  <c:v>85.316761153329239</c:v>
                </c:pt>
                <c:pt idx="657">
                  <c:v>84.726653565504819</c:v>
                </c:pt>
                <c:pt idx="658">
                  <c:v>84.13701977946684</c:v>
                </c:pt>
                <c:pt idx="659">
                  <c:v>83.547872933024493</c:v>
                </c:pt>
                <c:pt idx="660">
                  <c:v>82.959226227555163</c:v>
                </c:pt>
                <c:pt idx="661">
                  <c:v>82.371092928308741</c:v>
                </c:pt>
                <c:pt idx="662">
                  <c:v>81.783486364713795</c:v>
                </c:pt>
                <c:pt idx="663">
                  <c:v>81.196419930593578</c:v>
                </c:pt>
                <c:pt idx="664">
                  <c:v>80.60990708447558</c:v>
                </c:pt>
                <c:pt idx="665">
                  <c:v>80.023961349817284</c:v>
                </c:pt>
                <c:pt idx="666">
                  <c:v>79.438596315317838</c:v>
                </c:pt>
                <c:pt idx="667">
                  <c:v>78.853825635085343</c:v>
                </c:pt>
                <c:pt idx="668">
                  <c:v>78.269663028992312</c:v>
                </c:pt>
                <c:pt idx="669">
                  <c:v>77.686122282838767</c:v>
                </c:pt>
                <c:pt idx="670">
                  <c:v>77.103217248634351</c:v>
                </c:pt>
                <c:pt idx="671">
                  <c:v>76.520961844794797</c:v>
                </c:pt>
                <c:pt idx="672">
                  <c:v>75.93937005640089</c:v>
                </c:pt>
                <c:pt idx="673">
                  <c:v>75.358455935428992</c:v>
                </c:pt>
                <c:pt idx="674">
                  <c:v>74.778233600893046</c:v>
                </c:pt>
                <c:pt idx="675">
                  <c:v>74.198717239157105</c:v>
                </c:pt>
                <c:pt idx="676">
                  <c:v>73.619921104050704</c:v>
                </c:pt>
                <c:pt idx="677">
                  <c:v>73.04185951707052</c:v>
                </c:pt>
                <c:pt idx="678">
                  <c:v>72.464546867580452</c:v>
                </c:pt>
                <c:pt idx="679">
                  <c:v>71.887997613005354</c:v>
                </c:pt>
                <c:pt idx="680">
                  <c:v>71.31222627891276</c:v>
                </c:pt>
                <c:pt idx="681">
                  <c:v>70.737247459251122</c:v>
                </c:pt>
                <c:pt idx="682">
                  <c:v>70.163075816421767</c:v>
                </c:pt>
                <c:pt idx="683">
                  <c:v>69.589726081461123</c:v>
                </c:pt>
                <c:pt idx="684">
                  <c:v>69.017213054095464</c:v>
                </c:pt>
                <c:pt idx="685">
                  <c:v>68.445551602884265</c:v>
                </c:pt>
                <c:pt idx="686">
                  <c:v>67.874756665300055</c:v>
                </c:pt>
                <c:pt idx="687">
                  <c:v>67.304843247781605</c:v>
                </c:pt>
                <c:pt idx="688">
                  <c:v>66.73582642579845</c:v>
                </c:pt>
                <c:pt idx="689">
                  <c:v>66.167721343906678</c:v>
                </c:pt>
                <c:pt idx="690">
                  <c:v>65.600543215733822</c:v>
                </c:pt>
                <c:pt idx="691">
                  <c:v>65.034307324009546</c:v>
                </c:pt>
                <c:pt idx="692">
                  <c:v>64.469029020528851</c:v>
                </c:pt>
                <c:pt idx="693">
                  <c:v>63.904723726146997</c:v>
                </c:pt>
                <c:pt idx="694">
                  <c:v>63.341406930657406</c:v>
                </c:pt>
                <c:pt idx="695">
                  <c:v>62.779094192791916</c:v>
                </c:pt>
                <c:pt idx="696">
                  <c:v>62.217801140015844</c:v>
                </c:pt>
                <c:pt idx="697">
                  <c:v>61.65754346847384</c:v>
                </c:pt>
                <c:pt idx="698">
                  <c:v>61.098336942794276</c:v>
                </c:pt>
                <c:pt idx="699">
                  <c:v>60.540197395883034</c:v>
                </c:pt>
                <c:pt idx="700">
                  <c:v>59.983140728739201</c:v>
                </c:pt>
                <c:pt idx="701">
                  <c:v>59.427182910190119</c:v>
                </c:pt>
                <c:pt idx="702">
                  <c:v>58.872339976595498</c:v>
                </c:pt>
                <c:pt idx="703">
                  <c:v>58.318628031526714</c:v>
                </c:pt>
                <c:pt idx="704">
                  <c:v>57.766063245409185</c:v>
                </c:pt>
                <c:pt idx="705">
                  <c:v>57.214661855146588</c:v>
                </c:pt>
                <c:pt idx="706">
                  <c:v>56.664440163657972</c:v>
                </c:pt>
                <c:pt idx="707">
                  <c:v>56.115414539366007</c:v>
                </c:pt>
                <c:pt idx="708">
                  <c:v>55.567601415776672</c:v>
                </c:pt>
                <c:pt idx="709">
                  <c:v>55.021017290727549</c:v>
                </c:pt>
                <c:pt idx="710">
                  <c:v>54.475678725944334</c:v>
                </c:pt>
                <c:pt idx="711">
                  <c:v>53.931602346225205</c:v>
                </c:pt>
                <c:pt idx="712">
                  <c:v>53.388804838747234</c:v>
                </c:pt>
                <c:pt idx="713">
                  <c:v>52.84730295227655</c:v>
                </c:pt>
                <c:pt idx="714">
                  <c:v>52.307113496273459</c:v>
                </c:pt>
                <c:pt idx="715">
                  <c:v>51.768253340003511</c:v>
                </c:pt>
                <c:pt idx="716">
                  <c:v>51.230739411498163</c:v>
                </c:pt>
                <c:pt idx="717">
                  <c:v>50.694588696497746</c:v>
                </c:pt>
                <c:pt idx="718">
                  <c:v>50.159818237296797</c:v>
                </c:pt>
                <c:pt idx="719">
                  <c:v>49.626445131479002</c:v>
                </c:pt>
                <c:pt idx="720">
                  <c:v>49.09448653065072</c:v>
                </c:pt>
                <c:pt idx="721">
                  <c:v>48.563959638968377</c:v>
                </c:pt>
                <c:pt idx="722">
                  <c:v>48.034881711664113</c:v>
                </c:pt>
                <c:pt idx="723">
                  <c:v>47.507270053363527</c:v>
                </c:pt>
                <c:pt idx="724">
                  <c:v>46.981142016449859</c:v>
                </c:pt>
                <c:pt idx="725">
                  <c:v>46.456514999157569</c:v>
                </c:pt>
                <c:pt idx="726">
                  <c:v>45.933406443624193</c:v>
                </c:pt>
                <c:pt idx="727">
                  <c:v>45.411833833782033</c:v>
                </c:pt>
                <c:pt idx="728">
                  <c:v>44.891814693171519</c:v>
                </c:pt>
                <c:pt idx="729">
                  <c:v>44.373366582509277</c:v>
                </c:pt>
                <c:pt idx="730">
                  <c:v>43.856507097222114</c:v>
                </c:pt>
                <c:pt idx="731">
                  <c:v>43.341253864693606</c:v>
                </c:pt>
                <c:pt idx="732">
                  <c:v>42.827624541457759</c:v>
                </c:pt>
                <c:pt idx="733">
                  <c:v>42.315636810123429</c:v>
                </c:pt>
                <c:pt idx="734">
                  <c:v>41.80530837617934</c:v>
                </c:pt>
                <c:pt idx="735">
                  <c:v>41.296656964490154</c:v>
                </c:pt>
                <c:pt idx="736">
                  <c:v>40.789700315692201</c:v>
                </c:pt>
                <c:pt idx="737">
                  <c:v>40.284456182285695</c:v>
                </c:pt>
                <c:pt idx="738">
                  <c:v>39.780942324539424</c:v>
                </c:pt>
                <c:pt idx="739">
                  <c:v>39.279176506026303</c:v>
                </c:pt>
                <c:pt idx="740">
                  <c:v>38.779176489045007</c:v>
                </c:pt>
                <c:pt idx="741">
                  <c:v>38.280960029546328</c:v>
                </c:pt>
                <c:pt idx="742">
                  <c:v>37.784544872001064</c:v>
                </c:pt>
                <c:pt idx="743">
                  <c:v>37.289948743676739</c:v>
                </c:pt>
                <c:pt idx="744">
                  <c:v>36.797189348703277</c:v>
                </c:pt>
                <c:pt idx="745">
                  <c:v>36.30628436176611</c:v>
                </c:pt>
                <c:pt idx="746">
                  <c:v>35.817251421321735</c:v>
                </c:pt>
                <c:pt idx="747">
                  <c:v>35.33010812244126</c:v>
                </c:pt>
                <c:pt idx="748">
                  <c:v>34.844872009164604</c:v>
                </c:pt>
                <c:pt idx="749">
                  <c:v>34.361560566354513</c:v>
                </c:pt>
                <c:pt idx="750">
                  <c:v>33.880191211076152</c:v>
                </c:pt>
                <c:pt idx="751">
                  <c:v>33.400781283325699</c:v>
                </c:pt>
                <c:pt idx="752">
                  <c:v>32.923348036268308</c:v>
                </c:pt>
                <c:pt idx="753">
                  <c:v>32.447908625668639</c:v>
                </c:pt>
                <c:pt idx="754">
                  <c:v>31.974480098807366</c:v>
                </c:pt>
                <c:pt idx="755">
                  <c:v>31.503079382516297</c:v>
                </c:pt>
                <c:pt idx="756">
                  <c:v>31.033723270457966</c:v>
                </c:pt>
                <c:pt idx="757">
                  <c:v>30.566428409527376</c:v>
                </c:pt>
                <c:pt idx="758">
                  <c:v>30.101211285355067</c:v>
                </c:pt>
                <c:pt idx="759">
                  <c:v>29.638088206744804</c:v>
                </c:pt>
                <c:pt idx="760">
                  <c:v>29.177075289091544</c:v>
                </c:pt>
                <c:pt idx="761">
                  <c:v>28.718188436571261</c:v>
                </c:pt>
                <c:pt idx="762">
                  <c:v>28.261443323083565</c:v>
                </c:pt>
                <c:pt idx="763">
                  <c:v>27.8068553718524</c:v>
                </c:pt>
                <c:pt idx="764">
                  <c:v>27.354439733454516</c:v>
                </c:pt>
                <c:pt idx="765">
                  <c:v>26.904211262333725</c:v>
                </c:pt>
                <c:pt idx="766">
                  <c:v>26.45618449146459</c:v>
                </c:pt>
                <c:pt idx="767">
                  <c:v>26.010373605163473</c:v>
                </c:pt>
                <c:pt idx="768">
                  <c:v>25.566792409798687</c:v>
                </c:pt>
                <c:pt idx="769">
                  <c:v>25.125454302180273</c:v>
                </c:pt>
                <c:pt idx="770">
                  <c:v>24.686372235542123</c:v>
                </c:pt>
                <c:pt idx="771">
                  <c:v>24.249558682734271</c:v>
                </c:pt>
                <c:pt idx="772">
                  <c:v>23.815025596432296</c:v>
                </c:pt>
                <c:pt idx="773">
                  <c:v>23.382784366133702</c:v>
                </c:pt>
                <c:pt idx="774">
                  <c:v>22.952845771452179</c:v>
                </c:pt>
                <c:pt idx="775">
                  <c:v>22.525219931490721</c:v>
                </c:pt>
                <c:pt idx="776">
                  <c:v>22.099916249826144</c:v>
                </c:pt>
                <c:pt idx="777">
                  <c:v>21.676943354652959</c:v>
                </c:pt>
                <c:pt idx="778">
                  <c:v>21.256309033445216</c:v>
                </c:pt>
                <c:pt idx="779">
                  <c:v>20.838020161854484</c:v>
                </c:pt>
                <c:pt idx="780">
                  <c:v>20.422082625726688</c:v>
                </c:pt>
                <c:pt idx="781">
                  <c:v>20.008501235908387</c:v>
                </c:pt>
                <c:pt idx="782">
                  <c:v>19.597279634621859</c:v>
                </c:pt>
                <c:pt idx="783">
                  <c:v>19.188420192723886</c:v>
                </c:pt>
                <c:pt idx="784">
                  <c:v>18.781923896404887</c:v>
                </c:pt>
                <c:pt idx="785">
                  <c:v>18.377790222297442</c:v>
                </c:pt>
                <c:pt idx="786">
                  <c:v>17.976016999230136</c:v>
                </c:pt>
                <c:pt idx="787">
                  <c:v>17.576600255196972</c:v>
                </c:pt>
                <c:pt idx="788">
                  <c:v>17.179534047150497</c:v>
                </c:pt>
                <c:pt idx="789">
                  <c:v>16.784810271600112</c:v>
                </c:pt>
                <c:pt idx="790">
                  <c:v>16.392418453085121</c:v>
                </c:pt>
                <c:pt idx="791">
                  <c:v>16.002345507354569</c:v>
                </c:pt>
                <c:pt idx="792">
                  <c:v>15.614575475529596</c:v>
                </c:pt>
                <c:pt idx="793">
                  <c:v>15.229089224688673</c:v>
                </c:pt>
                <c:pt idx="794">
                  <c:v>14.845864109610858</c:v>
                </c:pt>
                <c:pt idx="795">
                  <c:v>14.464873589555857</c:v>
                </c:pt>
                <c:pt idx="796">
                  <c:v>14.086086792094918</c:v>
                </c:pt>
                <c:pt idx="797">
                  <c:v>13.709468015445342</c:v>
                </c:pt>
                <c:pt idx="798">
                  <c:v>13.334976157850814</c:v>
                </c:pt>
                <c:pt idx="799">
                  <c:v>12.962564061078943</c:v>
                </c:pt>
                <c:pt idx="800">
                  <c:v>12.592177751256482</c:v>
                </c:pt>
                <c:pt idx="801">
                  <c:v>12.223755557342045</c:v>
                </c:pt>
                <c:pt idx="802">
                  <c:v>11.857227082022961</c:v>
                </c:pt>
                <c:pt idx="803">
                  <c:v>11.492511994168529</c:v>
                </c:pt>
                <c:pt idx="804">
                  <c:v>11.129518603550375</c:v>
                </c:pt>
                <c:pt idx="805">
                  <c:v>10.768142168418594</c:v>
                </c:pt>
                <c:pt idx="806">
                  <c:v>10.408262872553708</c:v>
                </c:pt>
                <c:pt idx="807">
                  <c:v>10.04974338988097</c:v>
                </c:pt>
                <c:pt idx="808">
                  <c:v>9.6924259301749203</c:v>
                </c:pt>
                <c:pt idx="809">
                  <c:v>9.3361286251084312</c:v>
                </c:pt>
                <c:pt idx="810">
                  <c:v>8.980641067004397</c:v>
                </c:pt>
                <c:pt idx="811">
                  <c:v>8.6257187466766005</c:v>
                </c:pt>
                <c:pt idx="812">
                  <c:v>8.2710760422601908</c:v>
                </c:pt>
                <c:pt idx="813">
                  <c:v>7.9163772742244927</c:v>
                </c:pt>
                <c:pt idx="814">
                  <c:v>7.5612251386148852</c:v>
                </c:pt>
                <c:pt idx="815">
                  <c:v>7.2051455237382784</c:v>
                </c:pt>
                <c:pt idx="816">
                  <c:v>6.8475672390899662</c:v>
                </c:pt>
                <c:pt idx="817">
                  <c:v>6.487794426200999</c:v>
                </c:pt>
                <c:pt idx="818">
                  <c:v>6.1249681730248229</c:v>
                </c:pt>
                <c:pt idx="819">
                  <c:v>5.7580117253464493</c:v>
                </c:pt>
                <c:pt idx="820">
                  <c:v>5.3855499096404804</c:v>
                </c:pt>
                <c:pt idx="821">
                  <c:v>5.0057863277017214</c:v>
                </c:pt>
                <c:pt idx="822">
                  <c:v>4.6163079311739779</c:v>
                </c:pt>
                <c:pt idx="823">
                  <c:v>4.2137569316756593</c:v>
                </c:pt>
                <c:pt idx="824">
                  <c:v>3.793241087315264</c:v>
                </c:pt>
                <c:pt idx="825">
                  <c:v>3.3471734906860591</c:v>
                </c:pt>
                <c:pt idx="826">
                  <c:v>2.8626825959438609</c:v>
                </c:pt>
                <c:pt idx="827">
                  <c:v>2.3146053017893733</c:v>
                </c:pt>
                <c:pt idx="828">
                  <c:v>1.6387604576992536</c:v>
                </c:pt>
                <c:pt idx="829">
                  <c:v>0.41718932748480247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473760"/>
        <c:axId val="183817536"/>
      </c:scatterChart>
      <c:valAx>
        <c:axId val="216473760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5605769605208846"/>
              <c:y val="0.89095352601882849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3817536"/>
        <c:crosses val="autoZero"/>
        <c:crossBetween val="midCat"/>
      </c:valAx>
      <c:valAx>
        <c:axId val="183817536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(N.)</a:t>
                </a:r>
              </a:p>
            </c:rich>
          </c:tx>
          <c:layout>
            <c:manualLayout>
              <c:xMode val="edge"/>
              <c:yMode val="edge"/>
              <c:x val="4.2755204560854229E-2"/>
              <c:y val="0.4176343376239646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6473760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0" verticalDpi="0"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400"/>
              <a:t>Thrust vs time</a:t>
            </a:r>
          </a:p>
        </c:rich>
      </c:tx>
      <c:layout>
        <c:manualLayout>
          <c:xMode val="edge"/>
          <c:yMode val="edge"/>
          <c:x val="0.36499096491443245"/>
          <c:y val="0.1476253378775414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539481508570781"/>
          <c:y val="0.26411316322884171"/>
          <c:w val="0.71991920035091528"/>
          <c:h val="0.5443553745937959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Performance!$L$28:$L$910</c:f>
              <c:numCache>
                <c:formatCode>0.0000</c:formatCode>
                <c:ptCount val="883"/>
                <c:pt idx="0">
                  <c:v>0</c:v>
                </c:pt>
                <c:pt idx="1">
                  <c:v>7.3899494585141431E-3</c:v>
                </c:pt>
                <c:pt idx="2">
                  <c:v>9.2733548584941847E-3</c:v>
                </c:pt>
                <c:pt idx="3">
                  <c:v>1.6663304317008326E-2</c:v>
                </c:pt>
                <c:pt idx="4">
                  <c:v>1.8560427292921143E-2</c:v>
                </c:pt>
                <c:pt idx="5">
                  <c:v>2.5950376751435286E-2</c:v>
                </c:pt>
                <c:pt idx="6">
                  <c:v>2.7860991744952109E-2</c:v>
                </c:pt>
                <c:pt idx="7">
                  <c:v>3.5250941203466252E-2</c:v>
                </c:pt>
                <c:pt idx="8">
                  <c:v>3.7174831615923755E-2</c:v>
                </c:pt>
                <c:pt idx="9">
                  <c:v>4.4564781074437898E-2</c:v>
                </c:pt>
                <c:pt idx="10">
                  <c:v>4.6501738736726216E-2</c:v>
                </c:pt>
                <c:pt idx="11">
                  <c:v>5.3891688195240359E-2</c:v>
                </c:pt>
                <c:pt idx="12">
                  <c:v>5.5841512879938889E-2</c:v>
                </c:pt>
                <c:pt idx="13">
                  <c:v>6.3231462338453032E-2</c:v>
                </c:pt>
                <c:pt idx="14">
                  <c:v>6.5193961310017964E-2</c:v>
                </c:pt>
                <c:pt idx="15">
                  <c:v>7.2583910768532101E-2</c:v>
                </c:pt>
                <c:pt idx="16">
                  <c:v>7.4558898367839369E-2</c:v>
                </c:pt>
                <c:pt idx="17">
                  <c:v>8.1948847826353505E-2</c:v>
                </c:pt>
                <c:pt idx="18">
                  <c:v>8.3936145086324854E-2</c:v>
                </c:pt>
                <c:pt idx="19">
                  <c:v>9.1326094544839004E-2</c:v>
                </c:pt>
                <c:pt idx="20">
                  <c:v>9.3325528834252769E-2</c:v>
                </c:pt>
                <c:pt idx="21">
                  <c:v>0.10071547829276692</c:v>
                </c:pt>
                <c:pt idx="22">
                  <c:v>0.10272688298567398</c:v>
                </c:pt>
                <c:pt idx="23">
                  <c:v>0.11011683244418813</c:v>
                </c:pt>
                <c:pt idx="24">
                  <c:v>0.11214004661263885</c:v>
                </c:pt>
                <c:pt idx="25">
                  <c:v>0.119529996071153</c:v>
                </c:pt>
                <c:pt idx="26">
                  <c:v>0.12156486419918164</c:v>
                </c:pt>
                <c:pt idx="27">
                  <c:v>0.12895481365769579</c:v>
                </c:pt>
                <c:pt idx="28">
                  <c:v>0.13100118537472791</c:v>
                </c:pt>
                <c:pt idx="29">
                  <c:v>0.13839113483324206</c:v>
                </c:pt>
                <c:pt idx="30">
                  <c:v>0.14044886466527809</c:v>
                </c:pt>
                <c:pt idx="31">
                  <c:v>0.14783881412379224</c:v>
                </c:pt>
                <c:pt idx="32">
                  <c:v>0.14990776126088667</c:v>
                </c:pt>
                <c:pt idx="33">
                  <c:v>0.15729771071940082</c:v>
                </c:pt>
                <c:pt idx="34">
                  <c:v>0.15937773879810432</c:v>
                </c:pt>
                <c:pt idx="35">
                  <c:v>0.16676768825661847</c:v>
                </c:pt>
                <c:pt idx="36">
                  <c:v>0.16885866515618048</c:v>
                </c:pt>
                <c:pt idx="37">
                  <c:v>0.17624861461469463</c:v>
                </c:pt>
                <c:pt idx="38">
                  <c:v>0.17835041226593876</c:v>
                </c:pt>
                <c:pt idx="39">
                  <c:v>0.18574036172445291</c:v>
                </c:pt>
                <c:pt idx="40">
                  <c:v>0.18785285593034051</c:v>
                </c:pt>
                <c:pt idx="41">
                  <c:v>0.19524280538885466</c:v>
                </c:pt>
                <c:pt idx="42">
                  <c:v>0.19736587565584399</c:v>
                </c:pt>
                <c:pt idx="43">
                  <c:v>0.20475582511435814</c:v>
                </c:pt>
                <c:pt idx="44">
                  <c:v>0.20688935449374743</c:v>
                </c:pt>
                <c:pt idx="45">
                  <c:v>0.21427930395226158</c:v>
                </c:pt>
                <c:pt idx="46">
                  <c:v>0.2164231788907767</c:v>
                </c:pt>
                <c:pt idx="47">
                  <c:v>0.22381312834929085</c:v>
                </c:pt>
                <c:pt idx="48">
                  <c:v>0.22596723854824563</c:v>
                </c:pt>
                <c:pt idx="49">
                  <c:v>0.23335718800675978</c:v>
                </c:pt>
                <c:pt idx="50">
                  <c:v>0.23552142628917369</c:v>
                </c:pt>
                <c:pt idx="51">
                  <c:v>0.24291137574768784</c:v>
                </c:pt>
                <c:pt idx="52">
                  <c:v>0.24508563793279894</c:v>
                </c:pt>
                <c:pt idx="53">
                  <c:v>0.25247558739131309</c:v>
                </c:pt>
                <c:pt idx="54">
                  <c:v>0.2546597721759733</c:v>
                </c:pt>
                <c:pt idx="55">
                  <c:v>0.26204972163448742</c:v>
                </c:pt>
                <c:pt idx="56">
                  <c:v>0.26424373048096728</c:v>
                </c:pt>
                <c:pt idx="57">
                  <c:v>0.2716336799394814</c:v>
                </c:pt>
                <c:pt idx="58">
                  <c:v>0.27383741696925185</c:v>
                </c:pt>
                <c:pt idx="59">
                  <c:v>0.28122736642776597</c:v>
                </c:pt>
                <c:pt idx="60">
                  <c:v>0.28344073832086047</c:v>
                </c:pt>
                <c:pt idx="61">
                  <c:v>0.2908306877793746</c:v>
                </c:pt>
                <c:pt idx="62">
                  <c:v>0.29305360367896405</c:v>
                </c:pt>
                <c:pt idx="63">
                  <c:v>0.30044355313747817</c:v>
                </c:pt>
                <c:pt idx="64">
                  <c:v>0.30267592455932263</c:v>
                </c:pt>
                <c:pt idx="65">
                  <c:v>0.31006587401783675</c:v>
                </c:pt>
                <c:pt idx="66">
                  <c:v>0.3123076147643018</c:v>
                </c:pt>
                <c:pt idx="67">
                  <c:v>0.31969756422281592</c:v>
                </c:pt>
                <c:pt idx="68">
                  <c:v>0.32194859030116757</c:v>
                </c:pt>
                <c:pt idx="69">
                  <c:v>0.32933853975968169</c:v>
                </c:pt>
                <c:pt idx="70">
                  <c:v>0.33159876930439391</c:v>
                </c:pt>
                <c:pt idx="71">
                  <c:v>0.33898871876290804</c:v>
                </c:pt>
                <c:pt idx="72">
                  <c:v>0.34125807196173613</c:v>
                </c:pt>
                <c:pt idx="73">
                  <c:v>0.34864802142025025</c:v>
                </c:pt>
                <c:pt idx="74">
                  <c:v>0.3509264204438437</c:v>
                </c:pt>
                <c:pt idx="75">
                  <c:v>0.35831636990235782</c:v>
                </c:pt>
                <c:pt idx="76">
                  <c:v>0.36060373883720098</c:v>
                </c:pt>
                <c:pt idx="77">
                  <c:v>0.36712802431995589</c:v>
                </c:pt>
                <c:pt idx="78">
                  <c:v>0.36946717034548832</c:v>
                </c:pt>
                <c:pt idx="79">
                  <c:v>0.37468038666492759</c:v>
                </c:pt>
                <c:pt idx="80">
                  <c:v>0.37713238777352909</c:v>
                </c:pt>
                <c:pt idx="81">
                  <c:v>0.38143311134175284</c:v>
                </c:pt>
                <c:pt idx="82">
                  <c:v>0.38403069064945167</c:v>
                </c:pt>
                <c:pt idx="83">
                  <c:v>0.38780543572281545</c:v>
                </c:pt>
                <c:pt idx="84">
                  <c:v>0.39054801711148535</c:v>
                </c:pt>
                <c:pt idx="85">
                  <c:v>0.3940228886861955</c:v>
                </c:pt>
                <c:pt idx="86">
                  <c:v>0.39688774767138696</c:v>
                </c:pt>
                <c:pt idx="87">
                  <c:v>0.40018987602014949</c:v>
                </c:pt>
                <c:pt idx="88">
                  <c:v>0.4031451894118242</c:v>
                </c:pt>
                <c:pt idx="89">
                  <c:v>0.4063481837029867</c:v>
                </c:pt>
                <c:pt idx="90">
                  <c:v>0.40936322838282885</c:v>
                </c:pt>
                <c:pt idx="91">
                  <c:v>0.41251049971384779</c:v>
                </c:pt>
                <c:pt idx="92">
                  <c:v>0.41556114729593557</c:v>
                </c:pt>
                <c:pt idx="93">
                  <c:v>0.41867810372983583</c:v>
                </c:pt>
                <c:pt idx="94">
                  <c:v>0.42174801467211798</c:v>
                </c:pt>
                <c:pt idx="95">
                  <c:v>0.42484907137735517</c:v>
                </c:pt>
                <c:pt idx="96">
                  <c:v>0.42792840106528035</c:v>
                </c:pt>
                <c:pt idx="97">
                  <c:v>0.43102135534281194</c:v>
                </c:pt>
                <c:pt idx="98">
                  <c:v>0.43410472525604982</c:v>
                </c:pt>
                <c:pt idx="99">
                  <c:v>0.43719355972392282</c:v>
                </c:pt>
                <c:pt idx="100">
                  <c:v>0.44027827630029681</c:v>
                </c:pt>
                <c:pt idx="101">
                  <c:v>0.44336490483177288</c:v>
                </c:pt>
                <c:pt idx="102">
                  <c:v>0.4464497269256486</c:v>
                </c:pt>
                <c:pt idx="103">
                  <c:v>0.44953501706970911</c:v>
                </c:pt>
                <c:pt idx="104">
                  <c:v>0.45261942138484934</c:v>
                </c:pt>
                <c:pt idx="105">
                  <c:v>0.45570374884899584</c:v>
                </c:pt>
                <c:pt idx="106">
                  <c:v>0.45878753895426788</c:v>
                </c:pt>
                <c:pt idx="107">
                  <c:v>0.46187106473976924</c:v>
                </c:pt>
                <c:pt idx="108">
                  <c:v>0.46495418194311222</c:v>
                </c:pt>
                <c:pt idx="109">
                  <c:v>0.46803697997132976</c:v>
                </c:pt>
                <c:pt idx="110">
                  <c:v>0.47111941942354874</c:v>
                </c:pt>
                <c:pt idx="111">
                  <c:v>0.47420153076872845</c:v>
                </c:pt>
                <c:pt idx="112">
                  <c:v>0.47728330716166956</c:v>
                </c:pt>
                <c:pt idx="113">
                  <c:v>0.48036476135370948</c:v>
                </c:pt>
                <c:pt idx="114">
                  <c:v>0.48344589595554838</c:v>
                </c:pt>
                <c:pt idx="115">
                  <c:v>0.48652671872780057</c:v>
                </c:pt>
                <c:pt idx="116">
                  <c:v>0.48960723484519164</c:v>
                </c:pt>
                <c:pt idx="117">
                  <c:v>0.49268745074735826</c:v>
                </c:pt>
                <c:pt idx="118">
                  <c:v>0.49576737225331224</c:v>
                </c:pt>
                <c:pt idx="119">
                  <c:v>0.49884700546986871</c:v>
                </c:pt>
                <c:pt idx="120">
                  <c:v>0.50192635636140015</c:v>
                </c:pt>
                <c:pt idx="121">
                  <c:v>0.50500543095048234</c:v>
                </c:pt>
                <c:pt idx="122">
                  <c:v>0.50808423522611168</c:v>
                </c:pt>
                <c:pt idx="123">
                  <c:v>0.51116277518522057</c:v>
                </c:pt>
                <c:pt idx="124">
                  <c:v>0.51424105681444388</c:v>
                </c:pt>
                <c:pt idx="125">
                  <c:v>0.51731908609821797</c:v>
                </c:pt>
                <c:pt idx="126">
                  <c:v>0.52039686901546878</c:v>
                </c:pt>
                <c:pt idx="127">
                  <c:v>0.52347441154116103</c:v>
                </c:pt>
                <c:pt idx="128">
                  <c:v>0.52655171964581127</c:v>
                </c:pt>
                <c:pt idx="129">
                  <c:v>0.52962879929583895</c:v>
                </c:pt>
                <c:pt idx="130">
                  <c:v>0.53270565645357781</c:v>
                </c:pt>
                <c:pt idx="131">
                  <c:v>0.53578229707742187</c:v>
                </c:pt>
                <c:pt idx="132">
                  <c:v>0.53885872712191951</c:v>
                </c:pt>
                <c:pt idx="133">
                  <c:v>0.54193495253788682</c:v>
                </c:pt>
                <c:pt idx="134">
                  <c:v>0.54501097927251219</c:v>
                </c:pt>
                <c:pt idx="135">
                  <c:v>0.54808681326946607</c:v>
                </c:pt>
                <c:pt idx="136">
                  <c:v>0.55116246046900708</c:v>
                </c:pt>
                <c:pt idx="137">
                  <c:v>0.55423792680808903</c:v>
                </c:pt>
                <c:pt idx="138">
                  <c:v>0.55731321822046909</c:v>
                </c:pt>
                <c:pt idx="139">
                  <c:v>0.56038834063681331</c:v>
                </c:pt>
                <c:pt idx="140">
                  <c:v>0.5634632999848046</c:v>
                </c:pt>
                <c:pt idx="141">
                  <c:v>0.56653810218924772</c:v>
                </c:pt>
                <c:pt idx="142">
                  <c:v>0.56961275317217774</c:v>
                </c:pt>
                <c:pt idx="143">
                  <c:v>0.57268725885296412</c:v>
                </c:pt>
                <c:pt idx="144">
                  <c:v>0.57576162514841855</c:v>
                </c:pt>
                <c:pt idx="145">
                  <c:v>0.57883585797290038</c:v>
                </c:pt>
                <c:pt idx="146">
                  <c:v>0.58190996323842259</c:v>
                </c:pt>
                <c:pt idx="147">
                  <c:v>0.58498394685475719</c:v>
                </c:pt>
                <c:pt idx="148">
                  <c:v>0.58805781472954144</c:v>
                </c:pt>
                <c:pt idx="149">
                  <c:v>0.5911315727683838</c:v>
                </c:pt>
                <c:pt idx="150">
                  <c:v>0.5942052268749678</c:v>
                </c:pt>
                <c:pt idx="151">
                  <c:v>0.59727878295115999</c:v>
                </c:pt>
                <c:pt idx="152">
                  <c:v>0.60035224689711264</c:v>
                </c:pt>
                <c:pt idx="153">
                  <c:v>0.60342562461137039</c:v>
                </c:pt>
                <c:pt idx="154">
                  <c:v>0.60649892199097577</c:v>
                </c:pt>
                <c:pt idx="155">
                  <c:v>0.60957214493157308</c:v>
                </c:pt>
                <c:pt idx="156">
                  <c:v>0.61264529932751399</c:v>
                </c:pt>
                <c:pt idx="157">
                  <c:v>0.61571839107196291</c:v>
                </c:pt>
                <c:pt idx="158">
                  <c:v>0.61879142605700144</c:v>
                </c:pt>
                <c:pt idx="159">
                  <c:v>0.62186441017373273</c:v>
                </c:pt>
                <c:pt idx="160">
                  <c:v>0.62493734931238754</c:v>
                </c:pt>
                <c:pt idx="161">
                  <c:v>0.62801024936242789</c:v>
                </c:pt>
                <c:pt idx="162">
                  <c:v>0.63108311621265245</c:v>
                </c:pt>
                <c:pt idx="163">
                  <c:v>0.63415595575130024</c:v>
                </c:pt>
                <c:pt idx="164">
                  <c:v>0.63722877386615673</c:v>
                </c:pt>
                <c:pt idx="165">
                  <c:v>0.64030157644465779</c:v>
                </c:pt>
                <c:pt idx="166">
                  <c:v>0.64337436937399362</c:v>
                </c:pt>
                <c:pt idx="167">
                  <c:v>0.64644715854121459</c:v>
                </c:pt>
                <c:pt idx="168">
                  <c:v>0.64951994983333528</c:v>
                </c:pt>
                <c:pt idx="169">
                  <c:v>0.65259274913743892</c:v>
                </c:pt>
                <c:pt idx="170">
                  <c:v>0.6556655623407821</c:v>
                </c:pt>
                <c:pt idx="171">
                  <c:v>0.65873839533089973</c:v>
                </c:pt>
                <c:pt idx="172">
                  <c:v>0.66181125399570928</c:v>
                </c:pt>
                <c:pt idx="173">
                  <c:v>0.66488414422361553</c:v>
                </c:pt>
                <c:pt idx="174">
                  <c:v>0.66795707190361553</c:v>
                </c:pt>
                <c:pt idx="175">
                  <c:v>0.67103004292540269</c:v>
                </c:pt>
                <c:pt idx="176">
                  <c:v>0.67410306317947233</c:v>
                </c:pt>
                <c:pt idx="177">
                  <c:v>0.67717613855722558</c:v>
                </c:pt>
                <c:pt idx="178">
                  <c:v>0.68024927495107512</c:v>
                </c:pt>
                <c:pt idx="179">
                  <c:v>0.68332247825454939</c:v>
                </c:pt>
                <c:pt idx="180">
                  <c:v>0.68639575436239786</c:v>
                </c:pt>
                <c:pt idx="181">
                  <c:v>0.68946910917069559</c:v>
                </c:pt>
                <c:pt idx="182">
                  <c:v>0.69254254857694908</c:v>
                </c:pt>
                <c:pt idx="183">
                  <c:v>0.69561607848020035</c:v>
                </c:pt>
                <c:pt idx="184">
                  <c:v>0.69868970478113324</c:v>
                </c:pt>
                <c:pt idx="185">
                  <c:v>0.70176343338217795</c:v>
                </c:pt>
                <c:pt idx="186">
                  <c:v>0.70483727018761655</c:v>
                </c:pt>
                <c:pt idx="187">
                  <c:v>0.70791122110368854</c:v>
                </c:pt>
                <c:pt idx="188">
                  <c:v>0.71098529203869643</c:v>
                </c:pt>
                <c:pt idx="189">
                  <c:v>0.71405948890311144</c:v>
                </c:pt>
                <c:pt idx="190">
                  <c:v>0.71713381760967876</c:v>
                </c:pt>
                <c:pt idx="191">
                  <c:v>0.72020828407352422</c:v>
                </c:pt>
                <c:pt idx="192">
                  <c:v>0.72328289421225977</c:v>
                </c:pt>
                <c:pt idx="193">
                  <c:v>0.72635765394608987</c:v>
                </c:pt>
                <c:pt idx="194">
                  <c:v>0.72943256919791699</c:v>
                </c:pt>
                <c:pt idx="195">
                  <c:v>0.73250764589344919</c:v>
                </c:pt>
                <c:pt idx="196">
                  <c:v>0.73558288996130583</c:v>
                </c:pt>
                <c:pt idx="197">
                  <c:v>0.73865830733312421</c:v>
                </c:pt>
                <c:pt idx="198">
                  <c:v>0.74173390394366667</c:v>
                </c:pt>
                <c:pt idx="199">
                  <c:v>0.7448096857309271</c:v>
                </c:pt>
                <c:pt idx="200">
                  <c:v>0.74788565863623879</c:v>
                </c:pt>
                <c:pt idx="201">
                  <c:v>0.7509618286043811</c:v>
                </c:pt>
                <c:pt idx="202">
                  <c:v>0.75403820158368684</c:v>
                </c:pt>
                <c:pt idx="203">
                  <c:v>0.75711478352615058</c:v>
                </c:pt>
                <c:pt idx="204">
                  <c:v>0.76019158038753565</c:v>
                </c:pt>
                <c:pt idx="205">
                  <c:v>0.76326859812748227</c:v>
                </c:pt>
                <c:pt idx="206">
                  <c:v>0.76634584270961636</c:v>
                </c:pt>
                <c:pt idx="207">
                  <c:v>0.76942332010165704</c:v>
                </c:pt>
                <c:pt idx="208">
                  <c:v>0.77250103627552591</c:v>
                </c:pt>
                <c:pt idx="209">
                  <c:v>0.77557899720745527</c:v>
                </c:pt>
                <c:pt idx="210">
                  <c:v>0.77865720887809753</c:v>
                </c:pt>
                <c:pt idx="211">
                  <c:v>0.78173567727263382</c:v>
                </c:pt>
                <c:pt idx="212">
                  <c:v>0.78481440838088434</c:v>
                </c:pt>
                <c:pt idx="213">
                  <c:v>0.78789340819741738</c:v>
                </c:pt>
                <c:pt idx="214">
                  <c:v>0.7909726827216591</c:v>
                </c:pt>
                <c:pt idx="215">
                  <c:v>0.79405223795800406</c:v>
                </c:pt>
                <c:pt idx="216">
                  <c:v>0.7971320799159255</c:v>
                </c:pt>
                <c:pt idx="217">
                  <c:v>0.80021221461008551</c:v>
                </c:pt>
                <c:pt idx="218">
                  <c:v>0.80329264806044665</c:v>
                </c:pt>
                <c:pt idx="219">
                  <c:v>0.80637338629238253</c:v>
                </c:pt>
                <c:pt idx="220">
                  <c:v>0.80945443533678962</c:v>
                </c:pt>
                <c:pt idx="221">
                  <c:v>0.81253580123019864</c:v>
                </c:pt>
                <c:pt idx="222">
                  <c:v>0.81561749001488637</c:v>
                </c:pt>
                <c:pt idx="223">
                  <c:v>0.81869950773898836</c:v>
                </c:pt>
                <c:pt idx="224">
                  <c:v>0.82178186045661161</c:v>
                </c:pt>
                <c:pt idx="225">
                  <c:v>0.82486455422794636</c:v>
                </c:pt>
                <c:pt idx="226">
                  <c:v>0.82794759511938021</c:v>
                </c:pt>
                <c:pt idx="227">
                  <c:v>0.8310309892036114</c:v>
                </c:pt>
                <c:pt idx="228">
                  <c:v>0.83411474255976226</c:v>
                </c:pt>
                <c:pt idx="229">
                  <c:v>0.83719886127349363</c:v>
                </c:pt>
                <c:pt idx="230">
                  <c:v>0.84028335143711896</c:v>
                </c:pt>
                <c:pt idx="231">
                  <c:v>0.84336821914971938</c:v>
                </c:pt>
                <c:pt idx="232">
                  <c:v>0.84645347051725828</c:v>
                </c:pt>
                <c:pt idx="233">
                  <c:v>0.84953911165269735</c:v>
                </c:pt>
                <c:pt idx="234">
                  <c:v>0.85262514867611194</c:v>
                </c:pt>
                <c:pt idx="235">
                  <c:v>0.85571158771480726</c:v>
                </c:pt>
                <c:pt idx="236">
                  <c:v>0.85879843490343521</c:v>
                </c:pt>
                <c:pt idx="237">
                  <c:v>0.86188569638411028</c:v>
                </c:pt>
                <c:pt idx="238">
                  <c:v>0.86497337830652798</c:v>
                </c:pt>
                <c:pt idx="239">
                  <c:v>0.86806148682808193</c:v>
                </c:pt>
                <c:pt idx="240">
                  <c:v>0.87115002811398157</c:v>
                </c:pt>
                <c:pt idx="241">
                  <c:v>0.87423900833737089</c:v>
                </c:pt>
                <c:pt idx="242">
                  <c:v>0.87732843367944735</c:v>
                </c:pt>
                <c:pt idx="243">
                  <c:v>0.88041831032958096</c:v>
                </c:pt>
                <c:pt idx="244">
                  <c:v>0.88350864448543343</c:v>
                </c:pt>
                <c:pt idx="245">
                  <c:v>0.88659944235307908</c:v>
                </c:pt>
                <c:pt idx="246">
                  <c:v>0.88969071014712453</c:v>
                </c:pt>
                <c:pt idx="247">
                  <c:v>0.89278245409083024</c:v>
                </c:pt>
                <c:pt idx="248">
                  <c:v>0.89587468041623131</c:v>
                </c:pt>
                <c:pt idx="249">
                  <c:v>0.8989673953642594</c:v>
                </c:pt>
                <c:pt idx="250">
                  <c:v>0.90206060518486531</c:v>
                </c:pt>
                <c:pt idx="251">
                  <c:v>0.90515431613714104</c:v>
                </c:pt>
                <c:pt idx="252">
                  <c:v>0.90824853448944376</c:v>
                </c:pt>
                <c:pt idx="253">
                  <c:v>0.91134326651951858</c:v>
                </c:pt>
                <c:pt idx="254">
                  <c:v>0.91443851851462354</c:v>
                </c:pt>
                <c:pt idx="255">
                  <c:v>0.91753429677165321</c:v>
                </c:pt>
                <c:pt idx="256">
                  <c:v>0.92063060759726489</c:v>
                </c:pt>
                <c:pt idx="257">
                  <c:v>0.92372745730800321</c:v>
                </c:pt>
                <c:pt idx="258">
                  <c:v>0.92682485223042699</c:v>
                </c:pt>
                <c:pt idx="259">
                  <c:v>0.9299227987012354</c:v>
                </c:pt>
                <c:pt idx="260">
                  <c:v>0.93302130306739528</c:v>
                </c:pt>
                <c:pt idx="261">
                  <c:v>0.93612037168626883</c:v>
                </c:pt>
                <c:pt idx="262">
                  <c:v>0.9392200109257417</c:v>
                </c:pt>
                <c:pt idx="263">
                  <c:v>0.94232022716435193</c:v>
                </c:pt>
                <c:pt idx="264">
                  <c:v>0.94542102679141926</c:v>
                </c:pt>
                <c:pt idx="265">
                  <c:v>0.94852241620717459</c:v>
                </c:pt>
                <c:pt idx="266">
                  <c:v>0.95162440182289099</c:v>
                </c:pt>
                <c:pt idx="267">
                  <c:v>0.95472699006101436</c:v>
                </c:pt>
                <c:pt idx="268">
                  <c:v>0.9578301873552949</c:v>
                </c:pt>
                <c:pt idx="269">
                  <c:v>0.9609340001509199</c:v>
                </c:pt>
                <c:pt idx="270">
                  <c:v>0.96403843490464591</c:v>
                </c:pt>
                <c:pt idx="271">
                  <c:v>0.96714349808493216</c:v>
                </c:pt>
                <c:pt idx="272">
                  <c:v>0.97024919617207506</c:v>
                </c:pt>
                <c:pt idx="273">
                  <c:v>0.97335553565834221</c:v>
                </c:pt>
                <c:pt idx="274">
                  <c:v>0.9764625230481081</c:v>
                </c:pt>
                <c:pt idx="275">
                  <c:v>0.97957016485798976</c:v>
                </c:pt>
                <c:pt idx="276">
                  <c:v>0.98267846761698341</c:v>
                </c:pt>
                <c:pt idx="277">
                  <c:v>0.9857874378666015</c:v>
                </c:pt>
                <c:pt idx="278">
                  <c:v>0.98889708216101091</c:v>
                </c:pt>
                <c:pt idx="279">
                  <c:v>0.99200740706717094</c:v>
                </c:pt>
                <c:pt idx="280">
                  <c:v>0.99511841916497279</c:v>
                </c:pt>
                <c:pt idx="281">
                  <c:v>0.99823012504737973</c:v>
                </c:pt>
                <c:pt idx="282">
                  <c:v>1.0013425313205671</c:v>
                </c:pt>
                <c:pt idx="283">
                  <c:v>1.004455644604064</c:v>
                </c:pt>
                <c:pt idx="284">
                  <c:v>1.0075694715308954</c:v>
                </c:pt>
                <c:pt idx="285">
                  <c:v>1.0106840187477242</c:v>
                </c:pt>
                <c:pt idx="286">
                  <c:v>1.0137992929149955</c:v>
                </c:pt>
                <c:pt idx="287">
                  <c:v>1.0169153007070804</c:v>
                </c:pt>
                <c:pt idx="288">
                  <c:v>1.0200320488124206</c:v>
                </c:pt>
                <c:pt idx="289">
                  <c:v>1.0231495439336751</c:v>
                </c:pt>
                <c:pt idx="290">
                  <c:v>1.0262677927878656</c:v>
                </c:pt>
                <c:pt idx="291">
                  <c:v>1.0293868021065242</c:v>
                </c:pt>
                <c:pt idx="292">
                  <c:v>1.0325065786358418</c:v>
                </c:pt>
                <c:pt idx="293">
                  <c:v>1.035627129136816</c:v>
                </c:pt>
                <c:pt idx="294">
                  <c:v>1.0387484603854018</c:v>
                </c:pt>
                <c:pt idx="295">
                  <c:v>1.0418705791726612</c:v>
                </c:pt>
                <c:pt idx="296">
                  <c:v>1.0449934923049149</c:v>
                </c:pt>
                <c:pt idx="297">
                  <c:v>1.0481172066038942</c:v>
                </c:pt>
                <c:pt idx="298">
                  <c:v>1.0512417289068943</c:v>
                </c:pt>
                <c:pt idx="299">
                  <c:v>1.0543670660669275</c:v>
                </c:pt>
                <c:pt idx="300">
                  <c:v>1.0574932249528788</c:v>
                </c:pt>
                <c:pt idx="301">
                  <c:v>1.0606202124496604</c:v>
                </c:pt>
                <c:pt idx="302">
                  <c:v>1.0637480354583688</c:v>
                </c:pt>
                <c:pt idx="303">
                  <c:v>1.0668767008964417</c:v>
                </c:pt>
                <c:pt idx="304">
                  <c:v>1.0700062156978165</c:v>
                </c:pt>
                <c:pt idx="305">
                  <c:v>1.0731365868130895</c:v>
                </c:pt>
                <c:pt idx="306">
                  <c:v>1.0762678212096759</c:v>
                </c:pt>
                <c:pt idx="307">
                  <c:v>1.0793999258719706</c:v>
                </c:pt>
                <c:pt idx="308">
                  <c:v>1.0825329078015105</c:v>
                </c:pt>
                <c:pt idx="309">
                  <c:v>1.0856667740171371</c:v>
                </c:pt>
                <c:pt idx="310">
                  <c:v>1.0888015315551602</c:v>
                </c:pt>
                <c:pt idx="311">
                  <c:v>1.0919371874695236</c:v>
                </c:pt>
                <c:pt idx="312">
                  <c:v>1.0950737488319702</c:v>
                </c:pt>
                <c:pt idx="313">
                  <c:v>1.0982112227322089</c:v>
                </c:pt>
                <c:pt idx="314">
                  <c:v>1.1013496162780831</c:v>
                </c:pt>
                <c:pt idx="315">
                  <c:v>1.1044889365957387</c:v>
                </c:pt>
                <c:pt idx="316">
                  <c:v>1.1076291908297946</c:v>
                </c:pt>
                <c:pt idx="317">
                  <c:v>1.1107703861435139</c:v>
                </c:pt>
                <c:pt idx="318">
                  <c:v>1.1139125297189751</c:v>
                </c:pt>
                <c:pt idx="319">
                  <c:v>1.1170556287572464</c:v>
                </c:pt>
                <c:pt idx="320">
                  <c:v>1.1201996904785587</c:v>
                </c:pt>
                <c:pt idx="321">
                  <c:v>1.1233447221224819</c:v>
                </c:pt>
                <c:pt idx="322">
                  <c:v>1.1264907309481009</c:v>
                </c:pt>
                <c:pt idx="323">
                  <c:v>1.1296377242341928</c:v>
                </c:pt>
                <c:pt idx="324">
                  <c:v>1.1327857092794065</c:v>
                </c:pt>
                <c:pt idx="325">
                  <c:v>1.1359346934024415</c:v>
                </c:pt>
                <c:pt idx="326">
                  <c:v>1.1390846839422297</c:v>
                </c:pt>
                <c:pt idx="327">
                  <c:v>1.1422356882581173</c:v>
                </c:pt>
                <c:pt idx="328">
                  <c:v>1.1453877137300481</c:v>
                </c:pt>
                <c:pt idx="329">
                  <c:v>1.148540767758748</c:v>
                </c:pt>
                <c:pt idx="330">
                  <c:v>1.151694857765911</c:v>
                </c:pt>
                <c:pt idx="331">
                  <c:v>1.1548499911943859</c:v>
                </c:pt>
                <c:pt idx="332">
                  <c:v>1.1580061755083653</c:v>
                </c:pt>
                <c:pt idx="333">
                  <c:v>1.1611634181935742</c:v>
                </c:pt>
                <c:pt idx="334">
                  <c:v>1.164321726757461</c:v>
                </c:pt>
                <c:pt idx="335">
                  <c:v>1.1674811087293904</c:v>
                </c:pt>
                <c:pt idx="336">
                  <c:v>1.1706415716608354</c:v>
                </c:pt>
                <c:pt idx="337">
                  <c:v>1.1738031231255732</c:v>
                </c:pt>
                <c:pt idx="338">
                  <c:v>1.1769657707198806</c:v>
                </c:pt>
                <c:pt idx="339">
                  <c:v>1.1801295220627315</c:v>
                </c:pt>
                <c:pt idx="340">
                  <c:v>1.1832943847959956</c:v>
                </c:pt>
                <c:pt idx="341">
                  <c:v>1.1864603665846385</c:v>
                </c:pt>
                <c:pt idx="342">
                  <c:v>1.1896274751169233</c:v>
                </c:pt>
                <c:pt idx="343">
                  <c:v>1.1927957181046134</c:v>
                </c:pt>
                <c:pt idx="344">
                  <c:v>1.1959651032831768</c:v>
                </c:pt>
                <c:pt idx="345">
                  <c:v>1.1991356384119922</c:v>
                </c:pt>
                <c:pt idx="346">
                  <c:v>1.2023073312745556</c:v>
                </c:pt>
                <c:pt idx="347">
                  <c:v>1.2054801896786893</c:v>
                </c:pt>
                <c:pt idx="348">
                  <c:v>1.2086542214567522</c:v>
                </c:pt>
                <c:pt idx="349">
                  <c:v>1.2118294344658511</c:v>
                </c:pt>
                <c:pt idx="350">
                  <c:v>1.2150058365880545</c:v>
                </c:pt>
                <c:pt idx="351">
                  <c:v>1.2181834357306067</c:v>
                </c:pt>
                <c:pt idx="352">
                  <c:v>1.2213622398261446</c:v>
                </c:pt>
                <c:pt idx="353">
                  <c:v>1.224542256832915</c:v>
                </c:pt>
                <c:pt idx="354">
                  <c:v>1.2277234947349944</c:v>
                </c:pt>
                <c:pt idx="355">
                  <c:v>1.2309059615425102</c:v>
                </c:pt>
                <c:pt idx="356">
                  <c:v>1.2340896652918631</c:v>
                </c:pt>
                <c:pt idx="357">
                  <c:v>1.2372746140459514</c:v>
                </c:pt>
                <c:pt idx="358">
                  <c:v>1.2404608158943971</c:v>
                </c:pt>
                <c:pt idx="359">
                  <c:v>1.2436482789537735</c:v>
                </c:pt>
                <c:pt idx="360">
                  <c:v>1.2468370113678349</c:v>
                </c:pt>
                <c:pt idx="361">
                  <c:v>1.2500270213077471</c:v>
                </c:pt>
                <c:pt idx="362">
                  <c:v>1.2532183169723208</c:v>
                </c:pt>
                <c:pt idx="363">
                  <c:v>1.2564109065882456</c:v>
                </c:pt>
                <c:pt idx="364">
                  <c:v>1.2596047984103267</c:v>
                </c:pt>
                <c:pt idx="365">
                  <c:v>1.262800000721723</c:v>
                </c:pt>
                <c:pt idx="366">
                  <c:v>1.2659965218341875</c:v>
                </c:pt>
                <c:pt idx="367">
                  <c:v>1.2691943700883082</c:v>
                </c:pt>
                <c:pt idx="368">
                  <c:v>1.2723935538537523</c:v>
                </c:pt>
                <c:pt idx="369">
                  <c:v>1.2755940815295117</c:v>
                </c:pt>
                <c:pt idx="370">
                  <c:v>1.2787959615441507</c:v>
                </c:pt>
                <c:pt idx="371">
                  <c:v>1.2819992023560547</c:v>
                </c:pt>
                <c:pt idx="372">
                  <c:v>1.2852038124536822</c:v>
                </c:pt>
                <c:pt idx="373">
                  <c:v>1.2884098003558178</c:v>
                </c:pt>
                <c:pt idx="374">
                  <c:v>1.291617174611827</c:v>
                </c:pt>
                <c:pt idx="375">
                  <c:v>1.2948259438019145</c:v>
                </c:pt>
                <c:pt idx="376">
                  <c:v>1.2980361165373828</c:v>
                </c:pt>
                <c:pt idx="377">
                  <c:v>1.3012477014608934</c:v>
                </c:pt>
                <c:pt idx="378">
                  <c:v>1.3044607072467307</c:v>
                </c:pt>
                <c:pt idx="379">
                  <c:v>1.3076751426010675</c:v>
                </c:pt>
                <c:pt idx="380">
                  <c:v>1.3108910162622325</c:v>
                </c:pt>
                <c:pt idx="381">
                  <c:v>1.3141083370009798</c:v>
                </c:pt>
                <c:pt idx="382">
                  <c:v>1.3173271136207618</c:v>
                </c:pt>
                <c:pt idx="383">
                  <c:v>1.3205473549580027</c:v>
                </c:pt>
                <c:pt idx="384">
                  <c:v>1.323769069882375</c:v>
                </c:pt>
                <c:pt idx="385">
                  <c:v>1.3269922672970782</c:v>
                </c:pt>
                <c:pt idx="386">
                  <c:v>1.3302169561391199</c:v>
                </c:pt>
                <c:pt idx="387">
                  <c:v>1.3334431453795992</c:v>
                </c:pt>
                <c:pt idx="388">
                  <c:v>1.3366708440239914</c:v>
                </c:pt>
                <c:pt idx="389">
                  <c:v>1.3399000611124372</c:v>
                </c:pt>
                <c:pt idx="390">
                  <c:v>1.3431308057200322</c:v>
                </c:pt>
                <c:pt idx="391">
                  <c:v>1.3463630869571197</c:v>
                </c:pt>
                <c:pt idx="392">
                  <c:v>1.349596913969586</c:v>
                </c:pt>
                <c:pt idx="393">
                  <c:v>1.3528322959391583</c:v>
                </c:pt>
                <c:pt idx="394">
                  <c:v>1.3560692420837042</c:v>
                </c:pt>
                <c:pt idx="395">
                  <c:v>1.3593077616575346</c:v>
                </c:pt>
                <c:pt idx="396">
                  <c:v>1.3625478639517095</c:v>
                </c:pt>
                <c:pt idx="397">
                  <c:v>1.3657895582943445</c:v>
                </c:pt>
                <c:pt idx="398">
                  <c:v>1.3690328540509225</c:v>
                </c:pt>
                <c:pt idx="399">
                  <c:v>1.3722777606246059</c:v>
                </c:pt>
                <c:pt idx="400">
                  <c:v>1.3755242874565528</c:v>
                </c:pt>
                <c:pt idx="401">
                  <c:v>1.3787724440262346</c:v>
                </c:pt>
                <c:pt idx="402">
                  <c:v>1.3820222398517581</c:v>
                </c:pt>
                <c:pt idx="403">
                  <c:v>1.385273684490189</c:v>
                </c:pt>
                <c:pt idx="404">
                  <c:v>1.3885267875378782</c:v>
                </c:pt>
                <c:pt idx="405">
                  <c:v>1.3917815586307922</c:v>
                </c:pt>
                <c:pt idx="406">
                  <c:v>1.3950380074448447</c:v>
                </c:pt>
                <c:pt idx="407">
                  <c:v>1.398296143696232</c:v>
                </c:pt>
                <c:pt idx="408">
                  <c:v>1.4015559771417716</c:v>
                </c:pt>
                <c:pt idx="409">
                  <c:v>1.4048175175792432</c:v>
                </c:pt>
                <c:pt idx="410">
                  <c:v>1.4080807748477326</c:v>
                </c:pt>
                <c:pt idx="411">
                  <c:v>1.4113457588279794</c:v>
                </c:pt>
                <c:pt idx="412">
                  <c:v>1.4146124794427268</c:v>
                </c:pt>
                <c:pt idx="413">
                  <c:v>1.4178809466570752</c:v>
                </c:pt>
                <c:pt idx="414">
                  <c:v>1.4211511704788389</c:v>
                </c:pt>
                <c:pt idx="415">
                  <c:v>1.4244231609589055</c:v>
                </c:pt>
                <c:pt idx="416">
                  <c:v>1.427696928191599</c:v>
                </c:pt>
                <c:pt idx="417">
                  <c:v>1.430972482315046</c:v>
                </c:pt>
                <c:pt idx="418">
                  <c:v>1.434249833511545</c:v>
                </c:pt>
                <c:pt idx="419">
                  <c:v>1.4375289920079395</c:v>
                </c:pt>
                <c:pt idx="420">
                  <c:v>1.440809968075994</c:v>
                </c:pt>
                <c:pt idx="421">
                  <c:v>1.4440927720327736</c:v>
                </c:pt>
                <c:pt idx="422">
                  <c:v>1.4473774142410269</c:v>
                </c:pt>
                <c:pt idx="423">
                  <c:v>1.4506639051095729</c:v>
                </c:pt>
                <c:pt idx="424">
                  <c:v>1.4539522550936907</c:v>
                </c:pt>
                <c:pt idx="425">
                  <c:v>1.4572424746955137</c:v>
                </c:pt>
                <c:pt idx="426">
                  <c:v>1.460534574464426</c:v>
                </c:pt>
                <c:pt idx="427">
                  <c:v>1.4638285649974645</c:v>
                </c:pt>
                <c:pt idx="428">
                  <c:v>1.4671244569397224</c:v>
                </c:pt>
                <c:pt idx="429">
                  <c:v>1.4704222609847581</c:v>
                </c:pt>
                <c:pt idx="430">
                  <c:v>1.4737219878750079</c:v>
                </c:pt>
                <c:pt idx="431">
                  <c:v>1.4770236484022012</c:v>
                </c:pt>
                <c:pt idx="432">
                  <c:v>1.4803272534077812</c:v>
                </c:pt>
                <c:pt idx="433">
                  <c:v>1.4836328137833279</c:v>
                </c:pt>
                <c:pt idx="434">
                  <c:v>1.4869403404709869</c:v>
                </c:pt>
                <c:pt idx="435">
                  <c:v>1.4902498444639007</c:v>
                </c:pt>
                <c:pt idx="436">
                  <c:v>1.4935613368066454</c:v>
                </c:pt>
                <c:pt idx="437">
                  <c:v>1.4968748285956694</c:v>
                </c:pt>
                <c:pt idx="438">
                  <c:v>1.5001903309797395</c:v>
                </c:pt>
                <c:pt idx="439">
                  <c:v>1.5035078551603882</c:v>
                </c:pt>
                <c:pt idx="440">
                  <c:v>1.5068274123923666</c:v>
                </c:pt>
                <c:pt idx="441">
                  <c:v>1.5101490139841023</c:v>
                </c:pt>
                <c:pt idx="442">
                  <c:v>1.5134726712981603</c:v>
                </c:pt>
                <c:pt idx="443">
                  <c:v>1.5167983957517095</c:v>
                </c:pt>
                <c:pt idx="444">
                  <c:v>1.520126198816993</c:v>
                </c:pt>
                <c:pt idx="445">
                  <c:v>1.5234560920218025</c:v>
                </c:pt>
                <c:pt idx="446">
                  <c:v>1.5267880869499597</c:v>
                </c:pt>
                <c:pt idx="447">
                  <c:v>1.5301221952417987</c:v>
                </c:pt>
                <c:pt idx="448">
                  <c:v>1.5334584285946564</c:v>
                </c:pt>
                <c:pt idx="449">
                  <c:v>1.5367967987633659</c:v>
                </c:pt>
                <c:pt idx="450">
                  <c:v>1.5401373175607553</c:v>
                </c:pt>
                <c:pt idx="451">
                  <c:v>1.5434799968581514</c:v>
                </c:pt>
                <c:pt idx="452">
                  <c:v>1.5468248485858882</c:v>
                </c:pt>
                <c:pt idx="453">
                  <c:v>1.5501718847338206</c:v>
                </c:pt>
                <c:pt idx="454">
                  <c:v>1.5535211173518433</c:v>
                </c:pt>
                <c:pt idx="455">
                  <c:v>1.5568725585504144</c:v>
                </c:pt>
                <c:pt idx="456">
                  <c:v>1.5602262205010846</c:v>
                </c:pt>
                <c:pt idx="457">
                  <c:v>1.563582115437032</c:v>
                </c:pt>
                <c:pt idx="458">
                  <c:v>1.5669402556536014</c:v>
                </c:pt>
                <c:pt idx="459">
                  <c:v>1.5703006535088497</c:v>
                </c:pt>
                <c:pt idx="460">
                  <c:v>1.5736633214240967</c:v>
                </c:pt>
                <c:pt idx="461">
                  <c:v>1.577028271884481</c:v>
                </c:pt>
                <c:pt idx="462">
                  <c:v>1.5803955174395223</c:v>
                </c:pt>
                <c:pt idx="463">
                  <c:v>1.583765070703689</c:v>
                </c:pt>
                <c:pt idx="464">
                  <c:v>1.5871369443569712</c:v>
                </c:pt>
                <c:pt idx="465">
                  <c:v>1.5905111511454602</c:v>
                </c:pt>
                <c:pt idx="466">
                  <c:v>1.5938877038819337</c:v>
                </c:pt>
                <c:pt idx="467">
                  <c:v>1.5972666154464472</c:v>
                </c:pt>
                <c:pt idx="468">
                  <c:v>1.6006478987869308</c:v>
                </c:pt>
                <c:pt idx="469">
                  <c:v>1.6040315669197929</c:v>
                </c:pt>
                <c:pt idx="470">
                  <c:v>1.6074176329305296</c:v>
                </c:pt>
                <c:pt idx="471">
                  <c:v>1.6108061099743416</c:v>
                </c:pt>
                <c:pt idx="472">
                  <c:v>1.614197011276755</c:v>
                </c:pt>
                <c:pt idx="473">
                  <c:v>1.6175903501342517</c:v>
                </c:pt>
                <c:pt idx="474">
                  <c:v>1.6209861399149039</c:v>
                </c:pt>
                <c:pt idx="475">
                  <c:v>1.624384394059017</c:v>
                </c:pt>
                <c:pt idx="476">
                  <c:v>1.6277851260797778</c:v>
                </c:pt>
                <c:pt idx="477">
                  <c:v>1.6311883495639106</c:v>
                </c:pt>
                <c:pt idx="478">
                  <c:v>1.6345940781723394</c:v>
                </c:pt>
                <c:pt idx="479">
                  <c:v>1.638002325640858</c:v>
                </c:pt>
                <c:pt idx="480">
                  <c:v>1.6414131057808066</c:v>
                </c:pt>
                <c:pt idx="481">
                  <c:v>1.6448264324797557</c:v>
                </c:pt>
                <c:pt idx="482">
                  <c:v>1.6482423197021974</c:v>
                </c:pt>
                <c:pt idx="483">
                  <c:v>1.651660781490244</c:v>
                </c:pt>
                <c:pt idx="484">
                  <c:v>1.6550818319643341</c:v>
                </c:pt>
                <c:pt idx="485">
                  <c:v>1.6585054853239465</c:v>
                </c:pt>
                <c:pt idx="486">
                  <c:v>1.6619317558483215</c:v>
                </c:pt>
                <c:pt idx="487">
                  <c:v>1.6653606578971902</c:v>
                </c:pt>
                <c:pt idx="488">
                  <c:v>1.6687922059115112</c:v>
                </c:pt>
                <c:pt idx="489">
                  <c:v>1.6722264144142165</c:v>
                </c:pt>
                <c:pt idx="490">
                  <c:v>1.675663298010964</c:v>
                </c:pt>
                <c:pt idx="491">
                  <c:v>1.6791028713908998</c:v>
                </c:pt>
                <c:pt idx="492">
                  <c:v>1.6825451493274268</c:v>
                </c:pt>
                <c:pt idx="493">
                  <c:v>1.6859901466789844</c:v>
                </c:pt>
                <c:pt idx="494">
                  <c:v>1.6894378783898341</c:v>
                </c:pt>
                <c:pt idx="495">
                  <c:v>1.6928883594908555</c:v>
                </c:pt>
                <c:pt idx="496">
                  <c:v>1.6963416051003508</c:v>
                </c:pt>
                <c:pt idx="497">
                  <c:v>1.6997976304248579</c:v>
                </c:pt>
                <c:pt idx="498">
                  <c:v>1.7032564507599723</c:v>
                </c:pt>
                <c:pt idx="499">
                  <c:v>1.7067180814911789</c:v>
                </c:pt>
                <c:pt idx="500">
                  <c:v>1.7101825380946925</c:v>
                </c:pt>
                <c:pt idx="501">
                  <c:v>1.7136498361383081</c:v>
                </c:pt>
                <c:pt idx="502">
                  <c:v>1.7171199912822606</c:v>
                </c:pt>
                <c:pt idx="503">
                  <c:v>1.7205930192800936</c:v>
                </c:pt>
                <c:pt idx="504">
                  <c:v>1.7240689359795396</c:v>
                </c:pt>
                <c:pt idx="505">
                  <c:v>1.7275477573234084</c:v>
                </c:pt>
                <c:pt idx="506">
                  <c:v>1.7310294993504864</c:v>
                </c:pt>
                <c:pt idx="507">
                  <c:v>1.7345141781964462</c:v>
                </c:pt>
                <c:pt idx="508">
                  <c:v>1.7380018100947661</c:v>
                </c:pt>
                <c:pt idx="509">
                  <c:v>1.7414924113776609</c:v>
                </c:pt>
                <c:pt idx="510">
                  <c:v>1.7449859984770228</c:v>
                </c:pt>
                <c:pt idx="511">
                  <c:v>1.7484825879253731</c:v>
                </c:pt>
                <c:pt idx="512">
                  <c:v>1.7519821963568247</c:v>
                </c:pt>
                <c:pt idx="513">
                  <c:v>1.7554848405080565</c:v>
                </c:pt>
                <c:pt idx="514">
                  <c:v>1.7589905372192987</c:v>
                </c:pt>
                <c:pt idx="515">
                  <c:v>1.7624993034353285</c:v>
                </c:pt>
                <c:pt idx="516">
                  <c:v>1.7660111562064795</c:v>
                </c:pt>
                <c:pt idx="517">
                  <c:v>1.7695261126896611</c:v>
                </c:pt>
                <c:pt idx="518">
                  <c:v>1.7730441901493907</c:v>
                </c:pt>
                <c:pt idx="519">
                  <c:v>1.7765654059588374</c:v>
                </c:pt>
                <c:pt idx="520">
                  <c:v>1.7800897776008786</c:v>
                </c:pt>
                <c:pt idx="521">
                  <c:v>1.7836173226691689</c:v>
                </c:pt>
                <c:pt idx="522">
                  <c:v>1.7871480588692217</c:v>
                </c:pt>
                <c:pt idx="523">
                  <c:v>1.7906820040195024</c:v>
                </c:pt>
                <c:pt idx="524">
                  <c:v>1.7942191760525372</c:v>
                </c:pt>
                <c:pt idx="525">
                  <c:v>1.7977595930160326</c:v>
                </c:pt>
                <c:pt idx="526">
                  <c:v>1.8013032730740097</c:v>
                </c:pt>
                <c:pt idx="527">
                  <c:v>1.8048502345079511</c:v>
                </c:pt>
                <c:pt idx="528">
                  <c:v>1.8084004957179627</c:v>
                </c:pt>
                <c:pt idx="529">
                  <c:v>1.8119540752239487</c:v>
                </c:pt>
                <c:pt idx="530">
                  <c:v>1.8155109916668011</c:v>
                </c:pt>
                <c:pt idx="531">
                  <c:v>1.8190712638096032</c:v>
                </c:pt>
                <c:pt idx="532">
                  <c:v>1.8226349105388484</c:v>
                </c:pt>
                <c:pt idx="533">
                  <c:v>1.8262019508656733</c:v>
                </c:pt>
                <c:pt idx="534">
                  <c:v>1.8297724039271057</c:v>
                </c:pt>
                <c:pt idx="535">
                  <c:v>1.8333462889873289</c:v>
                </c:pt>
                <c:pt idx="536">
                  <c:v>1.8369236254389596</c:v>
                </c:pt>
                <c:pt idx="537">
                  <c:v>1.8405044328043441</c:v>
                </c:pt>
                <c:pt idx="538">
                  <c:v>1.8440887307368676</c:v>
                </c:pt>
                <c:pt idx="539">
                  <c:v>1.8476765390222825</c:v>
                </c:pt>
                <c:pt idx="540">
                  <c:v>1.8512678775800508</c:v>
                </c:pt>
                <c:pt idx="541">
                  <c:v>1.8548627664647046</c:v>
                </c:pt>
                <c:pt idx="542">
                  <c:v>1.8584612258672233</c:v>
                </c:pt>
                <c:pt idx="543">
                  <c:v>1.8620632761164275</c:v>
                </c:pt>
                <c:pt idx="544">
                  <c:v>1.8656689376803908</c:v>
                </c:pt>
                <c:pt idx="545">
                  <c:v>1.8692782311678693</c:v>
                </c:pt>
                <c:pt idx="546">
                  <c:v>1.8728911773297494</c:v>
                </c:pt>
                <c:pt idx="547">
                  <c:v>1.8765077970605128</c:v>
                </c:pt>
                <c:pt idx="548">
                  <c:v>1.8801281113997212</c:v>
                </c:pt>
                <c:pt idx="549">
                  <c:v>1.8837521415335192</c:v>
                </c:pt>
                <c:pt idx="550">
                  <c:v>1.8873799087961569</c:v>
                </c:pt>
                <c:pt idx="551">
                  <c:v>1.8910114346715312</c:v>
                </c:pt>
                <c:pt idx="552">
                  <c:v>1.8946467407947474</c:v>
                </c:pt>
                <c:pt idx="553">
                  <c:v>1.8982858489537004</c:v>
                </c:pt>
                <c:pt idx="554">
                  <c:v>1.9019287810906766</c:v>
                </c:pt>
                <c:pt idx="555">
                  <c:v>1.9055755593039765</c:v>
                </c:pt>
                <c:pt idx="556">
                  <c:v>1.9092262058495575</c:v>
                </c:pt>
                <c:pt idx="557">
                  <c:v>1.9128807431426993</c:v>
                </c:pt>
                <c:pt idx="558">
                  <c:v>1.9165391937596898</c:v>
                </c:pt>
                <c:pt idx="559">
                  <c:v>1.9202015804395336</c:v>
                </c:pt>
                <c:pt idx="560">
                  <c:v>1.9238679260856824</c:v>
                </c:pt>
                <c:pt idx="561">
                  <c:v>1.9275382537677888</c:v>
                </c:pt>
                <c:pt idx="562">
                  <c:v>1.9312125867234822</c:v>
                </c:pt>
                <c:pt idx="563">
                  <c:v>1.9348909483601688</c:v>
                </c:pt>
                <c:pt idx="564">
                  <c:v>1.9385733622568555</c:v>
                </c:pt>
                <c:pt idx="565">
                  <c:v>1.9422598521659966</c:v>
                </c:pt>
                <c:pt idx="566">
                  <c:v>1.9459504420153673</c:v>
                </c:pt>
                <c:pt idx="567">
                  <c:v>1.9496451559099601</c:v>
                </c:pt>
                <c:pt idx="568">
                  <c:v>1.9533440181339075</c:v>
                </c:pt>
                <c:pt idx="569">
                  <c:v>1.9570470531524302</c:v>
                </c:pt>
                <c:pt idx="570">
                  <c:v>1.960754285613812</c:v>
                </c:pt>
                <c:pt idx="571">
                  <c:v>1.9644657403514005</c:v>
                </c:pt>
                <c:pt idx="572">
                  <c:v>1.968181442385635</c:v>
                </c:pt>
                <c:pt idx="573">
                  <c:v>1.971901416926102</c:v>
                </c:pt>
                <c:pt idx="574">
                  <c:v>1.9756256893736188</c:v>
                </c:pt>
                <c:pt idx="575">
                  <c:v>1.9793542853223456</c:v>
                </c:pt>
                <c:pt idx="576">
                  <c:v>1.9830872305619252</c:v>
                </c:pt>
                <c:pt idx="577">
                  <c:v>1.9868245510796536</c:v>
                </c:pt>
                <c:pt idx="578">
                  <c:v>1.9905662730626794</c:v>
                </c:pt>
                <c:pt idx="579">
                  <c:v>1.994312422900234</c:v>
                </c:pt>
                <c:pt idx="580">
                  <c:v>1.9980630271858919</c:v>
                </c:pt>
                <c:pt idx="581">
                  <c:v>2.0018181127198629</c:v>
                </c:pt>
                <c:pt idx="582">
                  <c:v>2.0055777065113163</c:v>
                </c:pt>
                <c:pt idx="583">
                  <c:v>2.0093418357807358</c:v>
                </c:pt>
                <c:pt idx="584">
                  <c:v>2.01311052796231</c:v>
                </c:pt>
                <c:pt idx="585">
                  <c:v>2.0168838107063545</c:v>
                </c:pt>
                <c:pt idx="586">
                  <c:v>2.0206617118817669</c:v>
                </c:pt>
                <c:pt idx="587">
                  <c:v>2.0244442595785199</c:v>
                </c:pt>
                <c:pt idx="588">
                  <c:v>2.0282314821101859</c:v>
                </c:pt>
                <c:pt idx="589">
                  <c:v>2.0320234080164994</c:v>
                </c:pt>
                <c:pt idx="590">
                  <c:v>2.0358200660659556</c:v>
                </c:pt>
                <c:pt idx="591">
                  <c:v>2.0396214852584444</c:v>
                </c:pt>
                <c:pt idx="592">
                  <c:v>2.0434276948279249</c:v>
                </c:pt>
                <c:pt idx="593">
                  <c:v>2.0472387242451342</c:v>
                </c:pt>
                <c:pt idx="594">
                  <c:v>2.0510546032203396</c:v>
                </c:pt>
                <c:pt idx="595">
                  <c:v>2.0548753617061268</c:v>
                </c:pt>
                <c:pt idx="596">
                  <c:v>2.0587010299002295</c:v>
                </c:pt>
                <c:pt idx="597">
                  <c:v>2.0625316382484007</c:v>
                </c:pt>
                <c:pt idx="598">
                  <c:v>2.0663672174473242</c:v>
                </c:pt>
                <c:pt idx="599">
                  <c:v>2.0702077984475697</c:v>
                </c:pt>
                <c:pt idx="600">
                  <c:v>2.0740534124565908</c:v>
                </c:pt>
                <c:pt idx="601">
                  <c:v>2.0779040909417663</c:v>
                </c:pt>
                <c:pt idx="602">
                  <c:v>2.0817598656334866</c:v>
                </c:pt>
                <c:pt idx="603">
                  <c:v>2.085620768528285</c:v>
                </c:pt>
                <c:pt idx="604">
                  <c:v>2.0894868318920161</c:v>
                </c:pt>
                <c:pt idx="605">
                  <c:v>2.0933580882630802</c:v>
                </c:pt>
                <c:pt idx="606">
                  <c:v>2.0972345704556967</c:v>
                </c:pt>
                <c:pt idx="607">
                  <c:v>2.1011163115632248</c:v>
                </c:pt>
                <c:pt idx="608">
                  <c:v>2.1050033449615349</c:v>
                </c:pt>
                <c:pt idx="609">
                  <c:v>2.1088957043124301</c:v>
                </c:pt>
                <c:pt idx="610">
                  <c:v>2.1127934235671191</c:v>
                </c:pt>
                <c:pt idx="611">
                  <c:v>2.1166965369697412</c:v>
                </c:pt>
                <c:pt idx="612">
                  <c:v>2.1206050790609448</c:v>
                </c:pt>
                <c:pt idx="613">
                  <c:v>2.124519084681519</c:v>
                </c:pt>
                <c:pt idx="614">
                  <c:v>2.1284385889760822</c:v>
                </c:pt>
                <c:pt idx="615">
                  <c:v>2.1323636273968258</c:v>
                </c:pt>
                <c:pt idx="616">
                  <c:v>2.1362942357073149</c:v>
                </c:pt>
                <c:pt idx="617">
                  <c:v>2.1402304499863471</c:v>
                </c:pt>
                <c:pt idx="618">
                  <c:v>2.1441723066318716</c:v>
                </c:pt>
                <c:pt idx="619">
                  <c:v>2.1481198423649674</c:v>
                </c:pt>
                <c:pt idx="620">
                  <c:v>2.1520730942338839</c:v>
                </c:pt>
                <c:pt idx="621">
                  <c:v>2.1560320996181432</c:v>
                </c:pt>
                <c:pt idx="622">
                  <c:v>2.1599968962327076</c:v>
                </c:pt>
                <c:pt idx="623">
                  <c:v>2.1639675221322094</c:v>
                </c:pt>
                <c:pt idx="624">
                  <c:v>2.1679440157152499</c:v>
                </c:pt>
                <c:pt idx="625">
                  <c:v>2.171926415728763</c:v>
                </c:pt>
                <c:pt idx="626">
                  <c:v>2.1759147612724505</c:v>
                </c:pt>
                <c:pt idx="627">
                  <c:v>2.179909091803284</c:v>
                </c:pt>
                <c:pt idx="628">
                  <c:v>2.1839094471400791</c:v>
                </c:pt>
                <c:pt idx="629">
                  <c:v>2.1879158674681438</c:v>
                </c:pt>
                <c:pt idx="630">
                  <c:v>2.191928393343999</c:v>
                </c:pt>
                <c:pt idx="631">
                  <c:v>2.1959470657001736</c:v>
                </c:pt>
                <c:pt idx="632">
                  <c:v>2.1999719258500789</c:v>
                </c:pt>
                <c:pt idx="633">
                  <c:v>2.2040030154929591</c:v>
                </c:pt>
                <c:pt idx="634">
                  <c:v>2.2080403767189214</c:v>
                </c:pt>
                <c:pt idx="635">
                  <c:v>2.2120840520140486</c:v>
                </c:pt>
                <c:pt idx="636">
                  <c:v>2.216134084265593</c:v>
                </c:pt>
                <c:pt idx="637">
                  <c:v>2.2201905167672562</c:v>
                </c:pt>
                <c:pt idx="638">
                  <c:v>2.224253393224553</c:v>
                </c:pt>
                <c:pt idx="639">
                  <c:v>2.2283227577602633</c:v>
                </c:pt>
                <c:pt idx="640">
                  <c:v>2.2323986549199746</c:v>
                </c:pt>
                <c:pt idx="641">
                  <c:v>2.2364811296777138</c:v>
                </c:pt>
                <c:pt idx="642">
                  <c:v>2.2405702274416734</c:v>
                </c:pt>
                <c:pt idx="643">
                  <c:v>2.2446659940600298</c:v>
                </c:pt>
                <c:pt idx="644">
                  <c:v>2.2487684758268602</c:v>
                </c:pt>
                <c:pt idx="645">
                  <c:v>2.2528777194881577</c:v>
                </c:pt>
                <c:pt idx="646">
                  <c:v>2.2569937722479447</c:v>
                </c:pt>
                <c:pt idx="647">
                  <c:v>2.2611166817744901</c:v>
                </c:pt>
                <c:pt idx="648">
                  <c:v>2.2652464962066303</c:v>
                </c:pt>
                <c:pt idx="649">
                  <c:v>2.2693832641601968</c:v>
                </c:pt>
                <c:pt idx="650">
                  <c:v>2.2735270347345504</c:v>
                </c:pt>
                <c:pt idx="651">
                  <c:v>2.2776778575192287</c:v>
                </c:pt>
                <c:pt idx="652">
                  <c:v>2.2818357826007039</c:v>
                </c:pt>
                <c:pt idx="653">
                  <c:v>2.2860008605692559</c:v>
                </c:pt>
                <c:pt idx="654">
                  <c:v>2.2901731425259637</c:v>
                </c:pt>
                <c:pt idx="655">
                  <c:v>2.294352680089816</c:v>
                </c:pt>
                <c:pt idx="656">
                  <c:v>2.298539525404943</c:v>
                </c:pt>
                <c:pt idx="657">
                  <c:v>2.3027337311479728</c:v>
                </c:pt>
                <c:pt idx="658">
                  <c:v>2.3069353505355159</c:v>
                </c:pt>
                <c:pt idx="659">
                  <c:v>2.311144437331778</c:v>
                </c:pt>
                <c:pt idx="660">
                  <c:v>2.3153610458563043</c:v>
                </c:pt>
                <c:pt idx="661">
                  <c:v>2.3195852309918616</c:v>
                </c:pt>
                <c:pt idx="662">
                  <c:v>2.323817048192454</c:v>
                </c:pt>
                <c:pt idx="663">
                  <c:v>2.3280565534914825</c:v>
                </c:pt>
                <c:pt idx="664">
                  <c:v>2.3323038035100447</c:v>
                </c:pt>
                <c:pt idx="665">
                  <c:v>2.336558855465384</c:v>
                </c:pt>
                <c:pt idx="666">
                  <c:v>2.3408217671794844</c:v>
                </c:pt>
                <c:pt idx="667">
                  <c:v>2.3450925970878216</c:v>
                </c:pt>
                <c:pt idx="668">
                  <c:v>2.3493714042482656</c:v>
                </c:pt>
                <c:pt idx="669">
                  <c:v>2.3536582483501443</c:v>
                </c:pt>
                <c:pt idx="670">
                  <c:v>2.3579531897234687</c:v>
                </c:pt>
                <c:pt idx="671">
                  <c:v>2.362256289348323</c:v>
                </c:pt>
                <c:pt idx="672">
                  <c:v>2.3665676088644236</c:v>
                </c:pt>
                <c:pt idx="673">
                  <c:v>2.3708872105808507</c:v>
                </c:pt>
                <c:pt idx="674">
                  <c:v>2.3752151574859552</c:v>
                </c:pt>
                <c:pt idx="675">
                  <c:v>2.3795515132574461</c:v>
                </c:pt>
                <c:pt idx="676">
                  <c:v>2.3838963422726591</c:v>
                </c:pt>
                <c:pt idx="677">
                  <c:v>2.3882497096190169</c:v>
                </c:pt>
                <c:pt idx="678">
                  <c:v>2.3926116811046754</c:v>
                </c:pt>
                <c:pt idx="679">
                  <c:v>2.396982323269369</c:v>
                </c:pt>
                <c:pt idx="680">
                  <c:v>2.4013617033954535</c:v>
                </c:pt>
                <c:pt idx="681">
                  <c:v>2.4057498895191531</c:v>
                </c:pt>
                <c:pt idx="682">
                  <c:v>2.4101469504420163</c:v>
                </c:pt>
                <c:pt idx="683">
                  <c:v>2.4145529557425824</c:v>
                </c:pt>
                <c:pt idx="684">
                  <c:v>2.4189679757882661</c:v>
                </c:pt>
                <c:pt idx="685">
                  <c:v>2.4233920817474646</c:v>
                </c:pt>
                <c:pt idx="686">
                  <c:v>2.4278253456018897</c:v>
                </c:pt>
                <c:pt idx="687">
                  <c:v>2.4322678401591311</c:v>
                </c:pt>
                <c:pt idx="688">
                  <c:v>2.436719639065458</c:v>
                </c:pt>
                <c:pt idx="689">
                  <c:v>2.4411808168188598</c:v>
                </c:pt>
                <c:pt idx="690">
                  <c:v>2.4456514487823346</c:v>
                </c:pt>
                <c:pt idx="691">
                  <c:v>2.4501316111974303</c:v>
                </c:pt>
                <c:pt idx="692">
                  <c:v>2.4546213811980415</c:v>
                </c:pt>
                <c:pt idx="693">
                  <c:v>2.459120836824471</c:v>
                </c:pt>
                <c:pt idx="694">
                  <c:v>2.4636300570377592</c:v>
                </c:pt>
                <c:pt idx="695">
                  <c:v>2.4681491217342897</c:v>
                </c:pt>
                <c:pt idx="696">
                  <c:v>2.4726781117606733</c:v>
                </c:pt>
                <c:pt idx="697">
                  <c:v>2.4772171089289214</c:v>
                </c:pt>
                <c:pt idx="698">
                  <c:v>2.4817661960319111</c:v>
                </c:pt>
                <c:pt idx="699">
                  <c:v>2.4863254568591504</c:v>
                </c:pt>
                <c:pt idx="700">
                  <c:v>2.4908949762128501</c:v>
                </c:pt>
                <c:pt idx="701">
                  <c:v>2.4954748399243076</c:v>
                </c:pt>
                <c:pt idx="702">
                  <c:v>2.5000651348706122</c:v>
                </c:pt>
                <c:pt idx="703">
                  <c:v>2.5046659489916769</c:v>
                </c:pt>
                <c:pt idx="704">
                  <c:v>2.5092773713076046</c:v>
                </c:pt>
                <c:pt idx="705">
                  <c:v>2.5138994919363946</c:v>
                </c:pt>
                <c:pt idx="706">
                  <c:v>2.5185324021120019</c:v>
                </c:pt>
                <c:pt idx="707">
                  <c:v>2.5231761942027497</c:v>
                </c:pt>
                <c:pt idx="708">
                  <c:v>2.5278309617301105</c:v>
                </c:pt>
                <c:pt idx="709">
                  <c:v>2.5324967993878573</c:v>
                </c:pt>
                <c:pt idx="710">
                  <c:v>2.5371738030616</c:v>
                </c:pt>
                <c:pt idx="711">
                  <c:v>2.5418620698487082</c:v>
                </c:pt>
                <c:pt idx="712">
                  <c:v>2.5465616980786359</c:v>
                </c:pt>
                <c:pt idx="713">
                  <c:v>2.551272787333652</c:v>
                </c:pt>
                <c:pt idx="714">
                  <c:v>2.5559954384699899</c:v>
                </c:pt>
                <c:pt idx="715">
                  <c:v>2.5607297536394205</c:v>
                </c:pt>
                <c:pt idx="716">
                  <c:v>2.5654758363112635</c:v>
                </c:pt>
                <c:pt idx="717">
                  <c:v>2.5702337912948447</c:v>
                </c:pt>
                <c:pt idx="718">
                  <c:v>2.5750037247624062</c:v>
                </c:pt>
                <c:pt idx="719">
                  <c:v>2.5797857442724856</c:v>
                </c:pt>
                <c:pt idx="720">
                  <c:v>2.5845799587937708</c:v>
                </c:pt>
                <c:pt idx="721">
                  <c:v>2.5893864787294407</c:v>
                </c:pt>
                <c:pt idx="722">
                  <c:v>2.5942054159420049</c:v>
                </c:pt>
                <c:pt idx="723">
                  <c:v>2.5990368837786542</c:v>
                </c:pt>
                <c:pt idx="724">
                  <c:v>2.6038809970971291</c:v>
                </c:pt>
                <c:pt idx="725">
                  <c:v>2.6087378722921231</c:v>
                </c:pt>
                <c:pt idx="726">
                  <c:v>2.6136076273222293</c:v>
                </c:pt>
                <c:pt idx="727">
                  <c:v>2.6184903817374447</c:v>
                </c:pt>
                <c:pt idx="728">
                  <c:v>2.6233862567072435</c:v>
                </c:pt>
                <c:pt idx="729">
                  <c:v>2.6282953750492304</c:v>
                </c:pt>
                <c:pt idx="730">
                  <c:v>2.6332178612583927</c:v>
                </c:pt>
                <c:pt idx="731">
                  <c:v>2.6381538415369579</c:v>
                </c:pt>
                <c:pt idx="732">
                  <c:v>2.6431034438248746</c:v>
                </c:pt>
                <c:pt idx="733">
                  <c:v>2.6480667978309289</c:v>
                </c:pt>
                <c:pt idx="734">
                  <c:v>2.6530440350645113</c:v>
                </c:pt>
                <c:pt idx="735">
                  <c:v>2.6580352888680467</c:v>
                </c:pt>
                <c:pt idx="736">
                  <c:v>2.6630406944501077</c:v>
                </c:pt>
                <c:pt idx="737">
                  <c:v>2.6680603889192178</c:v>
                </c:pt>
                <c:pt idx="738">
                  <c:v>2.6730945113183666</c:v>
                </c:pt>
                <c:pt idx="739">
                  <c:v>2.6781432026602512</c:v>
                </c:pt>
                <c:pt idx="740">
                  <c:v>2.683206605963258</c:v>
                </c:pt>
                <c:pt idx="741">
                  <c:v>2.6882848662882024</c:v>
                </c:pt>
                <c:pt idx="742">
                  <c:v>2.693378130775844</c:v>
                </c:pt>
                <c:pt idx="743">
                  <c:v>2.6984865486851914</c:v>
                </c:pt>
                <c:pt idx="744">
                  <c:v>2.7036102714326171</c:v>
                </c:pt>
                <c:pt idx="745">
                  <c:v>2.7087494526317983</c:v>
                </c:pt>
                <c:pt idx="746">
                  <c:v>2.7139042481345004</c:v>
                </c:pt>
                <c:pt idx="747">
                  <c:v>2.7190748160722236</c:v>
                </c:pt>
                <c:pt idx="748">
                  <c:v>2.7242613168987293</c:v>
                </c:pt>
                <c:pt idx="749">
                  <c:v>2.7294639134334666</c:v>
                </c:pt>
                <c:pt idx="750">
                  <c:v>2.7346827709059167</c:v>
                </c:pt>
                <c:pt idx="751">
                  <c:v>2.7399180570008728</c:v>
                </c:pt>
                <c:pt idx="752">
                  <c:v>2.7451699419046807</c:v>
                </c:pt>
                <c:pt idx="753">
                  <c:v>2.7504385983524515</c:v>
                </c:pt>
                <c:pt idx="754">
                  <c:v>2.7557242016762764</c:v>
                </c:pt>
                <c:pt idx="755">
                  <c:v>2.7610269298544554</c:v>
                </c:pt>
                <c:pt idx="756">
                  <c:v>2.7663469635617641</c:v>
                </c:pt>
                <c:pt idx="757">
                  <c:v>2.7716844862207806</c:v>
                </c:pt>
                <c:pt idx="758">
                  <c:v>2.7770396840542908</c:v>
                </c:pt>
                <c:pt idx="759">
                  <c:v>2.782412746138796</c:v>
                </c:pt>
                <c:pt idx="760">
                  <c:v>2.7878038644591419</c:v>
                </c:pt>
                <c:pt idx="761">
                  <c:v>2.7932132339642903</c:v>
                </c:pt>
                <c:pt idx="762">
                  <c:v>2.7986410526242596</c:v>
                </c:pt>
                <c:pt idx="763">
                  <c:v>2.804087521488249</c:v>
                </c:pt>
                <c:pt idx="764">
                  <c:v>2.8095528447439753</c:v>
                </c:pt>
                <c:pt idx="765">
                  <c:v>2.8150372297782376</c:v>
                </c:pt>
                <c:pt idx="766">
                  <c:v>2.8205408872387379</c:v>
                </c:pt>
                <c:pt idx="767">
                  <c:v>2.8260640310971752</c:v>
                </c:pt>
                <c:pt idx="768">
                  <c:v>2.8316068787136364</c:v>
                </c:pt>
                <c:pt idx="769">
                  <c:v>2.8371696509023061</c:v>
                </c:pt>
                <c:pt idx="770">
                  <c:v>2.8427525719985169</c:v>
                </c:pt>
                <c:pt idx="771">
                  <c:v>2.8483558699271612</c:v>
                </c:pt>
                <c:pt idx="772">
                  <c:v>2.8539797762724852</c:v>
                </c:pt>
                <c:pt idx="773">
                  <c:v>2.8596245263492883</c:v>
                </c:pt>
                <c:pt idx="774">
                  <c:v>2.8652903592755443</c:v>
                </c:pt>
                <c:pt idx="775">
                  <c:v>2.8709775180464674</c:v>
                </c:pt>
                <c:pt idx="776">
                  <c:v>2.876686249610044</c:v>
                </c:pt>
                <c:pt idx="777">
                  <c:v>2.8824168049440453</c:v>
                </c:pt>
                <c:pt idx="778">
                  <c:v>2.8881694391345385</c:v>
                </c:pt>
                <c:pt idx="779">
                  <c:v>2.8939444114559238</c:v>
                </c:pt>
                <c:pt idx="780">
                  <c:v>2.8997419854524966</c:v>
                </c:pt>
                <c:pt idx="781">
                  <c:v>2.9055624290215678</c:v>
                </c:pt>
                <c:pt idx="782">
                  <c:v>2.9114060144981462</c:v>
                </c:pt>
                <c:pt idx="783">
                  <c:v>2.9172730187412004</c:v>
                </c:pt>
                <c:pt idx="784">
                  <c:v>2.9231637232215109</c:v>
                </c:pt>
                <c:pt idx="785">
                  <c:v>2.9290784141111224</c:v>
                </c:pt>
                <c:pt idx="786">
                  <c:v>2.9350173823744075</c:v>
                </c:pt>
                <c:pt idx="787">
                  <c:v>2.9409809238607498</c:v>
                </c:pt>
                <c:pt idx="788">
                  <c:v>2.9469693393988439</c:v>
                </c:pt>
                <c:pt idx="789">
                  <c:v>2.9529829348926269</c:v>
                </c:pt>
                <c:pt idx="790">
                  <c:v>2.9590220214188334</c:v>
                </c:pt>
                <c:pt idx="791">
                  <c:v>2.9650869153261774</c:v>
                </c:pt>
                <c:pt idx="792">
                  <c:v>2.9711779383361536</c:v>
                </c:pt>
                <c:pt idx="793">
                  <c:v>2.9772954176454545</c:v>
                </c:pt>
                <c:pt idx="794">
                  <c:v>2.9834396860299872</c:v>
                </c:pt>
                <c:pt idx="795">
                  <c:v>2.9896110819504891</c:v>
                </c:pt>
                <c:pt idx="796">
                  <c:v>2.9958099496597024</c:v>
                </c:pt>
                <c:pt idx="797">
                  <c:v>3.0020366393111142</c:v>
                </c:pt>
                <c:pt idx="798">
                  <c:v>3.0082915070692144</c:v>
                </c:pt>
                <c:pt idx="799">
                  <c:v>3.0145749152212562</c:v>
                </c:pt>
                <c:pt idx="800">
                  <c:v>3.0208872322904723</c:v>
                </c:pt>
                <c:pt idx="801">
                  <c:v>3.0272288331507218</c:v>
                </c:pt>
                <c:pt idx="802">
                  <c:v>3.0336000991425101</c:v>
                </c:pt>
                <c:pt idx="803">
                  <c:v>3.0400014181903394</c:v>
                </c:pt>
                <c:pt idx="804">
                  <c:v>3.0464331849213289</c:v>
                </c:pt>
                <c:pt idx="805">
                  <c:v>3.0528958007850435</c:v>
                </c:pt>
                <c:pt idx="806">
                  <c:v>3.0593896741744611</c:v>
                </c:pt>
                <c:pt idx="807">
                  <c:v>3.0659152205479998</c:v>
                </c:pt>
                <c:pt idx="808">
                  <c:v>3.0724728625525239</c:v>
                </c:pt>
                <c:pt idx="809">
                  <c:v>3.0790630301472315</c:v>
                </c:pt>
                <c:pt idx="810">
                  <c:v>3.0856861607283248</c:v>
                </c:pt>
                <c:pt idx="811">
                  <c:v>3.0923426992543548</c:v>
                </c:pt>
                <c:pt idx="812">
                  <c:v>3.0990330983721153</c:v>
                </c:pt>
                <c:pt idx="813">
                  <c:v>3.1057578185429668</c:v>
                </c:pt>
                <c:pt idx="814">
                  <c:v>3.1125173281694396</c:v>
                </c:pt>
                <c:pt idx="815">
                  <c:v>3.1193121037219735</c:v>
                </c:pt>
                <c:pt idx="816">
                  <c:v>3.1261426298656345</c:v>
                </c:pt>
                <c:pt idx="817">
                  <c:v>3.1330093995866273</c:v>
                </c:pt>
                <c:pt idx="818">
                  <c:v>3.1399129143184332</c:v>
                </c:pt>
                <c:pt idx="819">
                  <c:v>3.1468536840673567</c:v>
                </c:pt>
                <c:pt idx="820">
                  <c:v>3.1538322275372983</c:v>
                </c:pt>
                <c:pt idx="821">
                  <c:v>3.1608490722535003</c:v>
                </c:pt>
                <c:pt idx="822">
                  <c:v>3.1679047546850607</c:v>
                </c:pt>
                <c:pt idx="823">
                  <c:v>3.1749998203659366</c:v>
                </c:pt>
                <c:pt idx="824">
                  <c:v>3.1821348240141965</c:v>
                </c:pt>
                <c:pt idx="825">
                  <c:v>3.1893103296492331</c:v>
                </c:pt>
                <c:pt idx="826">
                  <c:v>3.1965269107066372</c:v>
                </c:pt>
                <c:pt idx="827">
                  <c:v>3.2037851501504488</c:v>
                </c:pt>
                <c:pt idx="828">
                  <c:v>3.2110856405824268</c:v>
                </c:pt>
                <c:pt idx="829">
                  <c:v>3.2184289843480509</c:v>
                </c:pt>
                <c:pt idx="830">
                  <c:v>3.2258157936388456</c:v>
                </c:pt>
                <c:pt idx="831">
                  <c:v>3.23320574309736</c:v>
                </c:pt>
                <c:pt idx="832">
                  <c:v>3.2405956925558743</c:v>
                </c:pt>
                <c:pt idx="833">
                  <c:v>3.2479856420143887</c:v>
                </c:pt>
                <c:pt idx="834">
                  <c:v>3.255375591472903</c:v>
                </c:pt>
                <c:pt idx="835">
                  <c:v>3.2571421283557895</c:v>
                </c:pt>
                <c:pt idx="836">
                  <c:v>3.2589086652386761</c:v>
                </c:pt>
                <c:pt idx="837">
                  <c:v>3.2606752021215626</c:v>
                </c:pt>
                <c:pt idx="838">
                  <c:v>3.2624417390044491</c:v>
                </c:pt>
                <c:pt idx="839">
                  <c:v>3.2642082758873356</c:v>
                </c:pt>
                <c:pt idx="840">
                  <c:v>3.2659748127702222</c:v>
                </c:pt>
                <c:pt idx="841">
                  <c:v>3.2677413496531087</c:v>
                </c:pt>
                <c:pt idx="842">
                  <c:v>3.2695078865359952</c:v>
                </c:pt>
                <c:pt idx="843">
                  <c:v>3.2712744234188817</c:v>
                </c:pt>
                <c:pt idx="844">
                  <c:v>3.2730409603017683</c:v>
                </c:pt>
                <c:pt idx="845">
                  <c:v>3.2748074971846548</c:v>
                </c:pt>
                <c:pt idx="846">
                  <c:v>3.2765740340675413</c:v>
                </c:pt>
                <c:pt idx="847">
                  <c:v>3.2783405709504279</c:v>
                </c:pt>
                <c:pt idx="848">
                  <c:v>3.2801071078333144</c:v>
                </c:pt>
                <c:pt idx="849">
                  <c:v>3.2818736447162009</c:v>
                </c:pt>
                <c:pt idx="850">
                  <c:v>3.2836401815990874</c:v>
                </c:pt>
                <c:pt idx="851">
                  <c:v>3.285406718481974</c:v>
                </c:pt>
                <c:pt idx="852">
                  <c:v>3.2871732553648605</c:v>
                </c:pt>
                <c:pt idx="853">
                  <c:v>3.288939792247747</c:v>
                </c:pt>
                <c:pt idx="854">
                  <c:v>3.2907063291306335</c:v>
                </c:pt>
                <c:pt idx="855">
                  <c:v>3.2924728660135201</c:v>
                </c:pt>
                <c:pt idx="856">
                  <c:v>3.2942394028964066</c:v>
                </c:pt>
                <c:pt idx="857">
                  <c:v>3.2960059397792931</c:v>
                </c:pt>
                <c:pt idx="858">
                  <c:v>3.2977724766621797</c:v>
                </c:pt>
                <c:pt idx="859">
                  <c:v>3.2995390135450662</c:v>
                </c:pt>
                <c:pt idx="860">
                  <c:v>3.3013055504279527</c:v>
                </c:pt>
                <c:pt idx="861">
                  <c:v>3.3030720873108392</c:v>
                </c:pt>
                <c:pt idx="862">
                  <c:v>3.3048386241937258</c:v>
                </c:pt>
                <c:pt idx="863">
                  <c:v>3.3066051610766123</c:v>
                </c:pt>
                <c:pt idx="864">
                  <c:v>3.3083716979594988</c:v>
                </c:pt>
                <c:pt idx="865">
                  <c:v>3.3101382348423853</c:v>
                </c:pt>
                <c:pt idx="866">
                  <c:v>3.3119047717252719</c:v>
                </c:pt>
                <c:pt idx="867">
                  <c:v>3.3136713086081584</c:v>
                </c:pt>
                <c:pt idx="868">
                  <c:v>3.3154378454910449</c:v>
                </c:pt>
                <c:pt idx="869">
                  <c:v>3.3172043823739314</c:v>
                </c:pt>
                <c:pt idx="870">
                  <c:v>3.318970919256818</c:v>
                </c:pt>
                <c:pt idx="871">
                  <c:v>3.3207374561397045</c:v>
                </c:pt>
                <c:pt idx="872">
                  <c:v>3.322503993022591</c:v>
                </c:pt>
                <c:pt idx="873">
                  <c:v>3.3242705299054776</c:v>
                </c:pt>
                <c:pt idx="874">
                  <c:v>3.3260370667883641</c:v>
                </c:pt>
                <c:pt idx="875">
                  <c:v>3.3278036036712506</c:v>
                </c:pt>
                <c:pt idx="876">
                  <c:v>3.3295701405541371</c:v>
                </c:pt>
                <c:pt idx="877">
                  <c:v>3.3313366774370237</c:v>
                </c:pt>
                <c:pt idx="878">
                  <c:v>3.3331032143199102</c:v>
                </c:pt>
                <c:pt idx="879">
                  <c:v>3.3348697512027967</c:v>
                </c:pt>
                <c:pt idx="880">
                  <c:v>3.3366362880856832</c:v>
                </c:pt>
                <c:pt idx="881">
                  <c:v>3.3384028249685698</c:v>
                </c:pt>
                <c:pt idx="882">
                  <c:v>3.3401693618514563</c:v>
                </c:pt>
              </c:numCache>
            </c:numRef>
          </c:xVal>
          <c:yVal>
            <c:numRef>
              <c:f>Performance!$K$28:$K$910</c:f>
              <c:numCache>
                <c:formatCode>0</c:formatCode>
                <c:ptCount val="883"/>
                <c:pt idx="0" formatCode="General">
                  <c:v>0</c:v>
                </c:pt>
                <c:pt idx="1">
                  <c:v>342.34694321766113</c:v>
                </c:pt>
                <c:pt idx="2">
                  <c:v>0</c:v>
                </c:pt>
                <c:pt idx="3">
                  <c:v>334.04200201304383</c:v>
                </c:pt>
                <c:pt idx="4">
                  <c:v>0</c:v>
                </c:pt>
                <c:pt idx="5">
                  <c:v>326.1122955743914</c:v>
                </c:pt>
                <c:pt idx="6">
                  <c:v>0</c:v>
                </c:pt>
                <c:pt idx="7">
                  <c:v>318.53266075841128</c:v>
                </c:pt>
                <c:pt idx="8">
                  <c:v>0</c:v>
                </c:pt>
                <c:pt idx="9">
                  <c:v>311.2801364047981</c:v>
                </c:pt>
                <c:pt idx="10">
                  <c:v>0</c:v>
                </c:pt>
                <c:pt idx="11">
                  <c:v>304.33372760366581</c:v>
                </c:pt>
                <c:pt idx="12">
                  <c:v>0</c:v>
                </c:pt>
                <c:pt idx="13">
                  <c:v>297.67419961310895</c:v>
                </c:pt>
                <c:pt idx="14">
                  <c:v>0</c:v>
                </c:pt>
                <c:pt idx="15">
                  <c:v>291.28389716315581</c:v>
                </c:pt>
                <c:pt idx="16">
                  <c:v>0</c:v>
                </c:pt>
                <c:pt idx="17">
                  <c:v>285.14658557281371</c:v>
                </c:pt>
                <c:pt idx="18">
                  <c:v>0</c:v>
                </c:pt>
                <c:pt idx="19">
                  <c:v>279.2473106673495</c:v>
                </c:pt>
                <c:pt idx="20">
                  <c:v>0</c:v>
                </c:pt>
                <c:pt idx="21">
                  <c:v>273.5722749520873</c:v>
                </c:pt>
                <c:pt idx="22">
                  <c:v>0</c:v>
                </c:pt>
                <c:pt idx="23">
                  <c:v>268.10872788161709</c:v>
                </c:pt>
                <c:pt idx="24">
                  <c:v>0</c:v>
                </c:pt>
                <c:pt idx="25">
                  <c:v>262.84486838938227</c:v>
                </c:pt>
                <c:pt idx="26">
                  <c:v>0</c:v>
                </c:pt>
                <c:pt idx="27">
                  <c:v>257.76975810717533</c:v>
                </c:pt>
                <c:pt idx="28">
                  <c:v>0</c:v>
                </c:pt>
                <c:pt idx="29">
                  <c:v>252.87324393183803</c:v>
                </c:pt>
                <c:pt idx="30">
                  <c:v>0</c:v>
                </c:pt>
                <c:pt idx="31">
                  <c:v>248.14588878539016</c:v>
                </c:pt>
                <c:pt idx="32">
                  <c:v>0</c:v>
                </c:pt>
                <c:pt idx="33">
                  <c:v>243.57890957454023</c:v>
                </c:pt>
                <c:pt idx="34">
                  <c:v>0</c:v>
                </c:pt>
                <c:pt idx="35">
                  <c:v>239.1641214908463</c:v>
                </c:pt>
                <c:pt idx="36">
                  <c:v>0</c:v>
                </c:pt>
                <c:pt idx="37">
                  <c:v>234.8938879086499</c:v>
                </c:pt>
                <c:pt idx="38">
                  <c:v>0</c:v>
                </c:pt>
                <c:pt idx="39">
                  <c:v>230.76107523502725</c:v>
                </c:pt>
                <c:pt idx="40">
                  <c:v>0</c:v>
                </c:pt>
                <c:pt idx="41">
                  <c:v>226.75901214973322</c:v>
                </c:pt>
                <c:pt idx="42">
                  <c:v>0</c:v>
                </c:pt>
                <c:pt idx="43">
                  <c:v>222.90241055495633</c:v>
                </c:pt>
                <c:pt idx="44">
                  <c:v>0</c:v>
                </c:pt>
                <c:pt idx="45">
                  <c:v>219.21011356097605</c:v>
                </c:pt>
                <c:pt idx="46">
                  <c:v>0</c:v>
                </c:pt>
                <c:pt idx="47">
                  <c:v>215.63285322764176</c:v>
                </c:pt>
                <c:pt idx="48">
                  <c:v>0</c:v>
                </c:pt>
                <c:pt idx="49">
                  <c:v>212.16528517158167</c:v>
                </c:pt>
                <c:pt idx="50">
                  <c:v>0</c:v>
                </c:pt>
                <c:pt idx="51">
                  <c:v>208.80238974340739</c:v>
                </c:pt>
                <c:pt idx="52">
                  <c:v>0</c:v>
                </c:pt>
                <c:pt idx="53">
                  <c:v>205.53944779627355</c:v>
                </c:pt>
                <c:pt idx="54">
                  <c:v>0</c:v>
                </c:pt>
                <c:pt idx="55">
                  <c:v>202.37201858873254</c:v>
                </c:pt>
                <c:pt idx="56">
                  <c:v>0</c:v>
                </c:pt>
                <c:pt idx="57">
                  <c:v>199.29591960536214</c:v>
                </c:pt>
                <c:pt idx="58">
                  <c:v>0</c:v>
                </c:pt>
                <c:pt idx="59">
                  <c:v>196.30720810408332</c:v>
                </c:pt>
                <c:pt idx="60">
                  <c:v>0</c:v>
                </c:pt>
                <c:pt idx="61">
                  <c:v>193.40216422087713</c:v>
                </c:pt>
                <c:pt idx="62">
                  <c:v>0</c:v>
                </c:pt>
                <c:pt idx="63">
                  <c:v>190.57727548024715</c:v>
                </c:pt>
                <c:pt idx="64">
                  <c:v>0</c:v>
                </c:pt>
                <c:pt idx="65">
                  <c:v>187.82922257771131</c:v>
                </c:pt>
                <c:pt idx="66">
                  <c:v>0</c:v>
                </c:pt>
                <c:pt idx="67">
                  <c:v>185.15486631354764</c:v>
                </c:pt>
                <c:pt idx="68">
                  <c:v>0</c:v>
                </c:pt>
                <c:pt idx="69">
                  <c:v>182.55123557101558</c:v>
                </c:pt>
                <c:pt idx="70">
                  <c:v>0</c:v>
                </c:pt>
                <c:pt idx="71">
                  <c:v>180.01551624333459</c:v>
                </c:pt>
                <c:pt idx="72">
                  <c:v>0</c:v>
                </c:pt>
                <c:pt idx="73">
                  <c:v>177.54504102260864</c:v>
                </c:pt>
                <c:pt idx="74">
                  <c:v>0</c:v>
                </c:pt>
                <c:pt idx="75">
                  <c:v>175.13727997403558</c:v>
                </c:pt>
                <c:pt idx="76">
                  <c:v>2.343076315062564</c:v>
                </c:pt>
                <c:pt idx="77">
                  <c:v>162.01339351455357</c:v>
                </c:pt>
                <c:pt idx="78">
                  <c:v>7.7623419583009765</c:v>
                </c:pt>
                <c:pt idx="79">
                  <c:v>137.42747932959011</c:v>
                </c:pt>
                <c:pt idx="80">
                  <c:v>17.371626239121252</c:v>
                </c:pt>
                <c:pt idx="81">
                  <c:v>112.21367257805481</c:v>
                </c:pt>
                <c:pt idx="82">
                  <c:v>28.794047601231689</c:v>
                </c:pt>
                <c:pt idx="83">
                  <c:v>92.585619340570801</c:v>
                </c:pt>
                <c:pt idx="84">
                  <c:v>39.270292966229</c:v>
                </c:pt>
                <c:pt idx="85">
                  <c:v>79.254839881439054</c:v>
                </c:pt>
                <c:pt idx="86">
                  <c:v>47.39615107028856</c:v>
                </c:pt>
                <c:pt idx="87">
                  <c:v>70.897903164977691</c:v>
                </c:pt>
                <c:pt idx="88">
                  <c:v>52.984538207022602</c:v>
                </c:pt>
                <c:pt idx="89">
                  <c:v>65.970996179829513</c:v>
                </c:pt>
                <c:pt idx="90">
                  <c:v>56.479234986177218</c:v>
                </c:pt>
                <c:pt idx="91">
                  <c:v>63.234224867844574</c:v>
                </c:pt>
                <c:pt idx="92">
                  <c:v>58.49891057496172</c:v>
                </c:pt>
                <c:pt idx="93">
                  <c:v>61.811601724495553</c:v>
                </c:pt>
                <c:pt idx="94">
                  <c:v>59.593563866089674</c:v>
                </c:pt>
                <c:pt idx="95">
                  <c:v>61.13032352855091</c:v>
                </c:pt>
                <c:pt idx="96">
                  <c:v>60.161049794155566</c:v>
                </c:pt>
                <c:pt idx="97">
                  <c:v>60.840910664027497</c:v>
                </c:pt>
                <c:pt idx="98">
                  <c:v>60.452138123141836</c:v>
                </c:pt>
                <c:pt idx="99">
                  <c:v>60.744819024445825</c:v>
                </c:pt>
                <c:pt idx="100">
                  <c:v>60.608710345214185</c:v>
                </c:pt>
                <c:pt idx="101">
                  <c:v>60.73729765256499</c:v>
                </c:pt>
                <c:pt idx="102">
                  <c:v>60.703948430429698</c:v>
                </c:pt>
                <c:pt idx="103">
                  <c:v>60.767083949365812</c:v>
                </c:pt>
                <c:pt idx="104">
                  <c:v>60.772565132228401</c:v>
                </c:pt>
                <c:pt idx="105">
                  <c:v>60.81090770679441</c:v>
                </c:pt>
                <c:pt idx="106">
                  <c:v>60.829778803954952</c:v>
                </c:pt>
                <c:pt idx="107">
                  <c:v>60.85896364480287</c:v>
                </c:pt>
                <c:pt idx="108">
                  <c:v>60.881774132397886</c:v>
                </c:pt>
                <c:pt idx="109">
                  <c:v>60.907412993832558</c:v>
                </c:pt>
                <c:pt idx="110">
                  <c:v>60.930884873397083</c:v>
                </c:pt>
                <c:pt idx="111">
                  <c:v>60.954857887409105</c:v>
                </c:pt>
                <c:pt idx="112">
                  <c:v>60.97792918983054</c:v>
                </c:pt>
                <c:pt idx="113">
                  <c:v>61.000824136519569</c:v>
                </c:pt>
                <c:pt idx="114">
                  <c:v>61.023173290881196</c:v>
                </c:pt>
                <c:pt idx="115">
                  <c:v>61.04516136510567</c:v>
                </c:pt>
                <c:pt idx="116">
                  <c:v>61.066697115089966</c:v>
                </c:pt>
                <c:pt idx="117">
                  <c:v>61.087824494661142</c:v>
                </c:pt>
                <c:pt idx="118">
                  <c:v>61.108522309522648</c:v>
                </c:pt>
                <c:pt idx="119">
                  <c:v>61.128800250315386</c:v>
                </c:pt>
                <c:pt idx="120">
                  <c:v>61.148653614996554</c:v>
                </c:pt>
                <c:pt idx="121">
                  <c:v>61.168084304373394</c:v>
                </c:pt>
                <c:pt idx="122">
                  <c:v>61.187091247788516</c:v>
                </c:pt>
                <c:pt idx="123">
                  <c:v>61.205674696347124</c:v>
                </c:pt>
                <c:pt idx="124">
                  <c:v>61.22383433001589</c:v>
                </c:pt>
                <c:pt idx="125">
                  <c:v>61.24157007821087</c:v>
                </c:pt>
                <c:pt idx="126">
                  <c:v>61.258881770058487</c:v>
                </c:pt>
                <c:pt idx="127">
                  <c:v>61.275769280906374</c:v>
                </c:pt>
                <c:pt idx="128">
                  <c:v>61.292232471991703</c:v>
                </c:pt>
                <c:pt idx="129">
                  <c:v>61.308271214876306</c:v>
                </c:pt>
                <c:pt idx="130">
                  <c:v>61.323885381730491</c:v>
                </c:pt>
                <c:pt idx="131">
                  <c:v>61.339074849074947</c:v>
                </c:pt>
                <c:pt idx="132">
                  <c:v>61.353839496370142</c:v>
                </c:pt>
                <c:pt idx="133">
                  <c:v>61.36817920662196</c:v>
                </c:pt>
                <c:pt idx="134">
                  <c:v>61.38209386600456</c:v>
                </c:pt>
                <c:pt idx="135">
                  <c:v>61.395583364117698</c:v>
                </c:pt>
                <c:pt idx="136">
                  <c:v>61.408647593885455</c:v>
                </c:pt>
                <c:pt idx="137">
                  <c:v>61.421286451482999</c:v>
                </c:pt>
                <c:pt idx="138">
                  <c:v>61.433499836515054</c:v>
                </c:pt>
                <c:pt idx="139">
                  <c:v>61.445287651794565</c:v>
                </c:pt>
                <c:pt idx="140">
                  <c:v>61.4566498035922</c:v>
                </c:pt>
                <c:pt idx="141">
                  <c:v>61.467586201343977</c:v>
                </c:pt>
                <c:pt idx="142">
                  <c:v>61.478096757967769</c:v>
                </c:pt>
                <c:pt idx="143">
                  <c:v>61.488181389571622</c:v>
                </c:pt>
                <c:pt idx="144">
                  <c:v>61.497840015640293</c:v>
                </c:pt>
                <c:pt idx="145">
                  <c:v>61.507072558971686</c:v>
                </c:pt>
                <c:pt idx="146">
                  <c:v>61.515878945688648</c:v>
                </c:pt>
                <c:pt idx="147">
                  <c:v>61.524259105205246</c:v>
                </c:pt>
                <c:pt idx="148">
                  <c:v>61.532212970240813</c:v>
                </c:pt>
                <c:pt idx="149">
                  <c:v>61.539740476928877</c:v>
                </c:pt>
                <c:pt idx="150">
                  <c:v>61.546841564524563</c:v>
                </c:pt>
                <c:pt idx="151">
                  <c:v>61.553516175806621</c:v>
                </c:pt>
                <c:pt idx="152">
                  <c:v>61.559764256741566</c:v>
                </c:pt>
                <c:pt idx="153">
                  <c:v>61.565585756605955</c:v>
                </c:pt>
                <c:pt idx="154">
                  <c:v>61.570980628061875</c:v>
                </c:pt>
                <c:pt idx="155">
                  <c:v>61.575948827027844</c:v>
                </c:pt>
                <c:pt idx="156">
                  <c:v>61.580490312718105</c:v>
                </c:pt>
                <c:pt idx="157">
                  <c:v>61.584605047694644</c:v>
                </c:pt>
                <c:pt idx="158">
                  <c:v>61.58829299785021</c:v>
                </c:pt>
                <c:pt idx="159">
                  <c:v>61.591554132297752</c:v>
                </c:pt>
                <c:pt idx="160">
                  <c:v>61.594388423548082</c:v>
                </c:pt>
                <c:pt idx="161">
                  <c:v>61.596795847359047</c:v>
                </c:pt>
                <c:pt idx="162">
                  <c:v>61.59877638287432</c:v>
                </c:pt>
                <c:pt idx="163">
                  <c:v>61.600330012450137</c:v>
                </c:pt>
                <c:pt idx="164">
                  <c:v>61.601456721795849</c:v>
                </c:pt>
                <c:pt idx="165">
                  <c:v>61.60215649996448</c:v>
                </c:pt>
                <c:pt idx="166">
                  <c:v>61.602429339253582</c:v>
                </c:pt>
                <c:pt idx="167">
                  <c:v>61.602275235288253</c:v>
                </c:pt>
                <c:pt idx="168">
                  <c:v>61.601694187024883</c:v>
                </c:pt>
                <c:pt idx="169">
                  <c:v>61.600686196721291</c:v>
                </c:pt>
                <c:pt idx="170">
                  <c:v>61.59925126991228</c:v>
                </c:pt>
                <c:pt idx="171">
                  <c:v>61.597389415470069</c:v>
                </c:pt>
                <c:pt idx="172">
                  <c:v>61.595100645577752</c:v>
                </c:pt>
                <c:pt idx="173">
                  <c:v>61.592384975684425</c:v>
                </c:pt>
                <c:pt idx="174">
                  <c:v>61.589242424616579</c:v>
                </c:pt>
                <c:pt idx="175">
                  <c:v>61.585673014452105</c:v>
                </c:pt>
                <c:pt idx="176">
                  <c:v>61.581676770607345</c:v>
                </c:pt>
                <c:pt idx="177">
                  <c:v>61.577253721785382</c:v>
                </c:pt>
                <c:pt idx="178">
                  <c:v>61.572403900029528</c:v>
                </c:pt>
                <c:pt idx="179">
                  <c:v>61.567127340650885</c:v>
                </c:pt>
                <c:pt idx="180">
                  <c:v>61.561424082339038</c:v>
                </c:pt>
                <c:pt idx="181">
                  <c:v>61.555294167005059</c:v>
                </c:pt>
                <c:pt idx="182">
                  <c:v>61.548737639966198</c:v>
                </c:pt>
                <c:pt idx="183">
                  <c:v>61.541754549775547</c:v>
                </c:pt>
                <c:pt idx="184">
                  <c:v>61.534344948326179</c:v>
                </c:pt>
                <c:pt idx="185">
                  <c:v>61.526508890855617</c:v>
                </c:pt>
                <c:pt idx="186">
                  <c:v>61.51824643586631</c:v>
                </c:pt>
                <c:pt idx="187">
                  <c:v>61.509557645209519</c:v>
                </c:pt>
                <c:pt idx="188">
                  <c:v>61.500442584030239</c:v>
                </c:pt>
                <c:pt idx="189">
                  <c:v>61.490901320826779</c:v>
                </c:pt>
                <c:pt idx="190">
                  <c:v>61.480933927365122</c:v>
                </c:pt>
                <c:pt idx="191">
                  <c:v>61.470540478758416</c:v>
                </c:pt>
                <c:pt idx="192">
                  <c:v>61.459721053438152</c:v>
                </c:pt>
                <c:pt idx="193">
                  <c:v>61.448475733181702</c:v>
                </c:pt>
                <c:pt idx="194">
                  <c:v>61.436804603017052</c:v>
                </c:pt>
                <c:pt idx="195">
                  <c:v>61.424707751359591</c:v>
                </c:pt>
                <c:pt idx="196">
                  <c:v>61.412185269928592</c:v>
                </c:pt>
                <c:pt idx="197">
                  <c:v>61.399237253758827</c:v>
                </c:pt>
                <c:pt idx="198">
                  <c:v>61.385863801247645</c:v>
                </c:pt>
                <c:pt idx="199">
                  <c:v>61.372065014053916</c:v>
                </c:pt>
                <c:pt idx="200">
                  <c:v>61.357840997223818</c:v>
                </c:pt>
                <c:pt idx="201">
                  <c:v>61.343191859120907</c:v>
                </c:pt>
                <c:pt idx="202">
                  <c:v>61.328117711406414</c:v>
                </c:pt>
                <c:pt idx="203">
                  <c:v>61.312618669111934</c:v>
                </c:pt>
                <c:pt idx="204">
                  <c:v>61.296694850617044</c:v>
                </c:pt>
                <c:pt idx="205">
                  <c:v>61.280346377567284</c:v>
                </c:pt>
                <c:pt idx="206">
                  <c:v>61.263573375025324</c:v>
                </c:pt>
                <c:pt idx="207">
                  <c:v>61.246375971337315</c:v>
                </c:pt>
                <c:pt idx="208">
                  <c:v>61.22875429820995</c:v>
                </c:pt>
                <c:pt idx="209">
                  <c:v>61.210708490695495</c:v>
                </c:pt>
                <c:pt idx="210">
                  <c:v>61.192238687204828</c:v>
                </c:pt>
                <c:pt idx="211">
                  <c:v>61.17334502943843</c:v>
                </c:pt>
                <c:pt idx="212">
                  <c:v>61.15402766249985</c:v>
                </c:pt>
                <c:pt idx="213">
                  <c:v>61.134286734820925</c:v>
                </c:pt>
                <c:pt idx="214">
                  <c:v>61.114122398181493</c:v>
                </c:pt>
                <c:pt idx="215">
                  <c:v>61.09353480771513</c:v>
                </c:pt>
                <c:pt idx="216">
                  <c:v>61.072524121930009</c:v>
                </c:pt>
                <c:pt idx="217">
                  <c:v>61.051090502654255</c:v>
                </c:pt>
                <c:pt idx="218">
                  <c:v>61.029234115100984</c:v>
                </c:pt>
                <c:pt idx="219">
                  <c:v>61.006955127830878</c:v>
                </c:pt>
                <c:pt idx="220">
                  <c:v>60.984253712773487</c:v>
                </c:pt>
                <c:pt idx="221">
                  <c:v>60.961130045237269</c:v>
                </c:pt>
                <c:pt idx="222">
                  <c:v>60.93758430387409</c:v>
                </c:pt>
                <c:pt idx="223">
                  <c:v>60.913616670687794</c:v>
                </c:pt>
                <c:pt idx="224">
                  <c:v>60.889227331116899</c:v>
                </c:pt>
                <c:pt idx="225">
                  <c:v>60.86441647392634</c:v>
                </c:pt>
                <c:pt idx="226">
                  <c:v>60.839184291244941</c:v>
                </c:pt>
                <c:pt idx="227">
                  <c:v>60.813530978631348</c:v>
                </c:pt>
                <c:pt idx="228">
                  <c:v>60.787456734974839</c:v>
                </c:pt>
                <c:pt idx="229">
                  <c:v>60.760961762582205</c:v>
                </c:pt>
                <c:pt idx="230">
                  <c:v>60.734046267110699</c:v>
                </c:pt>
                <c:pt idx="231">
                  <c:v>60.706710457653941</c:v>
                </c:pt>
                <c:pt idx="232">
                  <c:v>60.678954546657167</c:v>
                </c:pt>
                <c:pt idx="233">
                  <c:v>60.650778749964218</c:v>
                </c:pt>
                <c:pt idx="234">
                  <c:v>60.622183286844056</c:v>
                </c:pt>
                <c:pt idx="235">
                  <c:v>60.593168379905812</c:v>
                </c:pt>
                <c:pt idx="236">
                  <c:v>60.56373425524415</c:v>
                </c:pt>
                <c:pt idx="237">
                  <c:v>60.53388114228175</c:v>
                </c:pt>
                <c:pt idx="238">
                  <c:v>60.503609273874709</c:v>
                </c:pt>
                <c:pt idx="239">
                  <c:v>60.472918886310381</c:v>
                </c:pt>
                <c:pt idx="240">
                  <c:v>60.441810219273393</c:v>
                </c:pt>
                <c:pt idx="241">
                  <c:v>60.410283515842885</c:v>
                </c:pt>
                <c:pt idx="242">
                  <c:v>60.378339022544495</c:v>
                </c:pt>
                <c:pt idx="243">
                  <c:v>60.345976989336116</c:v>
                </c:pt>
                <c:pt idx="244">
                  <c:v>60.313197669556246</c:v>
                </c:pt>
                <c:pt idx="245">
                  <c:v>60.280001320027452</c:v>
                </c:pt>
                <c:pt idx="246">
                  <c:v>60.246388200946583</c:v>
                </c:pt>
                <c:pt idx="247">
                  <c:v>60.212358575984375</c:v>
                </c:pt>
                <c:pt idx="248">
                  <c:v>60.177912712260195</c:v>
                </c:pt>
                <c:pt idx="249">
                  <c:v>60.143050880278125</c:v>
                </c:pt>
                <c:pt idx="250">
                  <c:v>60.107773354051872</c:v>
                </c:pt>
                <c:pt idx="251">
                  <c:v>60.072080410991958</c:v>
                </c:pt>
                <c:pt idx="252">
                  <c:v>60.035972332007084</c:v>
                </c:pt>
                <c:pt idx="253">
                  <c:v>59.999449401409834</c:v>
                </c:pt>
                <c:pt idx="254">
                  <c:v>59.962511907028073</c:v>
                </c:pt>
                <c:pt idx="255">
                  <c:v>59.925160140089048</c:v>
                </c:pt>
                <c:pt idx="256">
                  <c:v>59.887394395353425</c:v>
                </c:pt>
                <c:pt idx="257">
                  <c:v>59.849214970992293</c:v>
                </c:pt>
                <c:pt idx="258">
                  <c:v>59.810622168683871</c:v>
                </c:pt>
                <c:pt idx="259">
                  <c:v>59.77161629358001</c:v>
                </c:pt>
                <c:pt idx="260">
                  <c:v>59.732197654294779</c:v>
                </c:pt>
                <c:pt idx="261">
                  <c:v>59.692366562956956</c:v>
                </c:pt>
                <c:pt idx="262">
                  <c:v>59.652123335157064</c:v>
                </c:pt>
                <c:pt idx="263">
                  <c:v>59.611468289982987</c:v>
                </c:pt>
                <c:pt idx="264">
                  <c:v>59.570401750037661</c:v>
                </c:pt>
                <c:pt idx="265">
                  <c:v>59.528924041408523</c:v>
                </c:pt>
                <c:pt idx="266">
                  <c:v>59.487035493682498</c:v>
                </c:pt>
                <c:pt idx="267">
                  <c:v>59.44473643998171</c:v>
                </c:pt>
                <c:pt idx="268">
                  <c:v>59.402027216908905</c:v>
                </c:pt>
                <c:pt idx="269">
                  <c:v>59.358908164595192</c:v>
                </c:pt>
                <c:pt idx="270">
                  <c:v>59.315379626715888</c:v>
                </c:pt>
                <c:pt idx="271">
                  <c:v>59.271441950435964</c:v>
                </c:pt>
                <c:pt idx="272">
                  <c:v>59.227095486479705</c:v>
                </c:pt>
                <c:pt idx="273">
                  <c:v>59.18234058909384</c:v>
                </c:pt>
                <c:pt idx="274">
                  <c:v>59.137177616056327</c:v>
                </c:pt>
                <c:pt idx="275">
                  <c:v>59.091606928703563</c:v>
                </c:pt>
                <c:pt idx="276">
                  <c:v>59.045628891917723</c:v>
                </c:pt>
                <c:pt idx="277">
                  <c:v>58.99924387412468</c:v>
                </c:pt>
                <c:pt idx="278">
                  <c:v>58.952452247314483</c:v>
                </c:pt>
                <c:pt idx="279">
                  <c:v>58.905254387047847</c:v>
                </c:pt>
                <c:pt idx="280">
                  <c:v>58.857650672431895</c:v>
                </c:pt>
                <c:pt idx="281">
                  <c:v>58.809641486162832</c:v>
                </c:pt>
                <c:pt idx="282">
                  <c:v>58.761227214510825</c:v>
                </c:pt>
                <c:pt idx="283">
                  <c:v>58.712408247319928</c:v>
                </c:pt>
                <c:pt idx="284">
                  <c:v>58.663184978029463</c:v>
                </c:pt>
                <c:pt idx="285">
                  <c:v>58.613557803665138</c:v>
                </c:pt>
                <c:pt idx="286">
                  <c:v>58.563527124848463</c:v>
                </c:pt>
                <c:pt idx="287">
                  <c:v>58.513093345815115</c:v>
                </c:pt>
                <c:pt idx="288">
                  <c:v>58.46225687439145</c:v>
                </c:pt>
                <c:pt idx="289">
                  <c:v>58.411018122017211</c:v>
                </c:pt>
                <c:pt idx="290">
                  <c:v>58.359377503767966</c:v>
                </c:pt>
                <c:pt idx="291">
                  <c:v>58.307335438316699</c:v>
                </c:pt>
                <c:pt idx="292">
                  <c:v>58.25489234798269</c:v>
                </c:pt>
                <c:pt idx="293">
                  <c:v>58.202048658713764</c:v>
                </c:pt>
                <c:pt idx="294">
                  <c:v>58.148804800096123</c:v>
                </c:pt>
                <c:pt idx="295">
                  <c:v>58.095161205353797</c:v>
                </c:pt>
                <c:pt idx="296">
                  <c:v>58.041118311387322</c:v>
                </c:pt>
                <c:pt idx="297">
                  <c:v>57.986676558701156</c:v>
                </c:pt>
                <c:pt idx="298">
                  <c:v>57.931836391527582</c:v>
                </c:pt>
                <c:pt idx="299">
                  <c:v>57.876598257705794</c:v>
                </c:pt>
                <c:pt idx="300">
                  <c:v>57.820962608788086</c:v>
                </c:pt>
                <c:pt idx="301">
                  <c:v>57.764929899980871</c:v>
                </c:pt>
                <c:pt idx="302">
                  <c:v>57.708500590192585</c:v>
                </c:pt>
                <c:pt idx="303">
                  <c:v>57.651675142026122</c:v>
                </c:pt>
                <c:pt idx="304">
                  <c:v>57.594454021750593</c:v>
                </c:pt>
                <c:pt idx="305">
                  <c:v>57.536837699366941</c:v>
                </c:pt>
                <c:pt idx="306">
                  <c:v>57.478826648581752</c:v>
                </c:pt>
                <c:pt idx="307">
                  <c:v>57.420421346792295</c:v>
                </c:pt>
                <c:pt idx="308">
                  <c:v>57.361622275150367</c:v>
                </c:pt>
                <c:pt idx="309">
                  <c:v>57.302429918514889</c:v>
                </c:pt>
                <c:pt idx="310">
                  <c:v>57.242844765493373</c:v>
                </c:pt>
                <c:pt idx="311">
                  <c:v>57.182867308409456</c:v>
                </c:pt>
                <c:pt idx="312">
                  <c:v>57.122498043353666</c:v>
                </c:pt>
                <c:pt idx="313">
                  <c:v>57.061737470165717</c:v>
                </c:pt>
                <c:pt idx="314">
                  <c:v>57.00058609243839</c:v>
                </c:pt>
                <c:pt idx="315">
                  <c:v>56.939044417541083</c:v>
                </c:pt>
                <c:pt idx="316">
                  <c:v>56.87711295660614</c:v>
                </c:pt>
                <c:pt idx="317">
                  <c:v>56.814792224555447</c:v>
                </c:pt>
                <c:pt idx="318">
                  <c:v>56.752082740081619</c:v>
                </c:pt>
                <c:pt idx="319">
                  <c:v>56.688985025692368</c:v>
                </c:pt>
                <c:pt idx="320">
                  <c:v>56.625499607682322</c:v>
                </c:pt>
                <c:pt idx="321">
                  <c:v>56.561627016144904</c:v>
                </c:pt>
                <c:pt idx="322">
                  <c:v>56.497367785007611</c:v>
                </c:pt>
                <c:pt idx="323">
                  <c:v>56.432722452015931</c:v>
                </c:pt>
                <c:pt idx="324">
                  <c:v>56.367691558719898</c:v>
                </c:pt>
                <c:pt idx="325">
                  <c:v>56.302275650535599</c:v>
                </c:pt>
                <c:pt idx="326">
                  <c:v>56.236475276708276</c:v>
                </c:pt>
                <c:pt idx="327">
                  <c:v>56.170290990330422</c:v>
                </c:pt>
                <c:pt idx="328">
                  <c:v>56.103723348352361</c:v>
                </c:pt>
                <c:pt idx="329">
                  <c:v>56.03677291160573</c:v>
                </c:pt>
                <c:pt idx="330">
                  <c:v>55.969440244777282</c:v>
                </c:pt>
                <c:pt idx="331">
                  <c:v>55.90172591643055</c:v>
                </c:pt>
                <c:pt idx="332">
                  <c:v>55.833630499033951</c:v>
                </c:pt>
                <c:pt idx="333">
                  <c:v>55.765154568936786</c:v>
                </c:pt>
                <c:pt idx="334">
                  <c:v>55.6962987064027</c:v>
                </c:pt>
                <c:pt idx="335">
                  <c:v>55.627063495596083</c:v>
                </c:pt>
                <c:pt idx="336">
                  <c:v>55.557449524610192</c:v>
                </c:pt>
                <c:pt idx="337">
                  <c:v>55.487457385451023</c:v>
                </c:pt>
                <c:pt idx="338">
                  <c:v>55.417087674078743</c:v>
                </c:pt>
                <c:pt idx="339">
                  <c:v>55.346340990377655</c:v>
                </c:pt>
                <c:pt idx="340">
                  <c:v>55.27521793819691</c:v>
                </c:pt>
                <c:pt idx="341">
                  <c:v>55.203719125337102</c:v>
                </c:pt>
                <c:pt idx="342">
                  <c:v>55.131845163570247</c:v>
                </c:pt>
                <c:pt idx="343">
                  <c:v>55.059596668638775</c:v>
                </c:pt>
                <c:pt idx="344">
                  <c:v>54.986974260283183</c:v>
                </c:pt>
                <c:pt idx="345">
                  <c:v>54.913978562206168</c:v>
                </c:pt>
                <c:pt idx="346">
                  <c:v>54.840610202149406</c:v>
                </c:pt>
                <c:pt idx="347">
                  <c:v>54.766869811845865</c:v>
                </c:pt>
                <c:pt idx="348">
                  <c:v>54.692758027041982</c:v>
                </c:pt>
                <c:pt idx="349">
                  <c:v>54.618275487525587</c:v>
                </c:pt>
                <c:pt idx="350">
                  <c:v>54.543422837104288</c:v>
                </c:pt>
                <c:pt idx="351">
                  <c:v>54.468200723641957</c:v>
                </c:pt>
                <c:pt idx="352">
                  <c:v>54.392609799052231</c:v>
                </c:pt>
                <c:pt idx="353">
                  <c:v>54.316650719316563</c:v>
                </c:pt>
                <c:pt idx="354">
                  <c:v>54.240324144484106</c:v>
                </c:pt>
                <c:pt idx="355">
                  <c:v>54.16363073868542</c:v>
                </c:pt>
                <c:pt idx="356">
                  <c:v>54.086571170137965</c:v>
                </c:pt>
                <c:pt idx="357">
                  <c:v>54.009146111163837</c:v>
                </c:pt>
                <c:pt idx="358">
                  <c:v>53.931356238199264</c:v>
                </c:pt>
                <c:pt idx="359">
                  <c:v>53.853202231785332</c:v>
                </c:pt>
                <c:pt idx="360">
                  <c:v>53.774684776603863</c:v>
                </c:pt>
                <c:pt idx="361">
                  <c:v>53.695804561456818</c:v>
                </c:pt>
                <c:pt idx="362">
                  <c:v>53.616562279321386</c:v>
                </c:pt>
                <c:pt idx="363">
                  <c:v>53.536958627307435</c:v>
                </c:pt>
                <c:pt idx="364">
                  <c:v>53.456994306697254</c:v>
                </c:pt>
                <c:pt idx="365">
                  <c:v>53.376670022958166</c:v>
                </c:pt>
                <c:pt idx="366">
                  <c:v>53.295986485730865</c:v>
                </c:pt>
                <c:pt idx="367">
                  <c:v>53.214944408867211</c:v>
                </c:pt>
                <c:pt idx="368">
                  <c:v>53.133544510412257</c:v>
                </c:pt>
                <c:pt idx="369">
                  <c:v>53.051787512642207</c:v>
                </c:pt>
                <c:pt idx="370">
                  <c:v>52.969674142042429</c:v>
                </c:pt>
                <c:pt idx="371">
                  <c:v>52.887205129354761</c:v>
                </c:pt>
                <c:pt idx="372">
                  <c:v>52.804381209554762</c:v>
                </c:pt>
                <c:pt idx="373">
                  <c:v>52.721203121880961</c:v>
                </c:pt>
                <c:pt idx="374">
                  <c:v>52.63767160984905</c:v>
                </c:pt>
                <c:pt idx="375">
                  <c:v>52.553787421239988</c:v>
                </c:pt>
                <c:pt idx="376">
                  <c:v>52.469551308133674</c:v>
                </c:pt>
                <c:pt idx="377">
                  <c:v>52.384964026911803</c:v>
                </c:pt>
                <c:pt idx="378">
                  <c:v>52.300026338263187</c:v>
                </c:pt>
                <c:pt idx="379">
                  <c:v>52.214739007204493</c:v>
                </c:pt>
                <c:pt idx="380">
                  <c:v>52.129102803086298</c:v>
                </c:pt>
                <c:pt idx="381">
                  <c:v>52.043118499604148</c:v>
                </c:pt>
                <c:pt idx="382">
                  <c:v>51.95678687480379</c:v>
                </c:pt>
                <c:pt idx="383">
                  <c:v>51.870108711111669</c:v>
                </c:pt>
                <c:pt idx="384">
                  <c:v>51.783084795314444</c:v>
                </c:pt>
                <c:pt idx="385">
                  <c:v>51.695715918614454</c:v>
                </c:pt>
                <c:pt idx="386">
                  <c:v>51.608002876594739</c:v>
                </c:pt>
                <c:pt idx="387">
                  <c:v>51.519946469263139</c:v>
                </c:pt>
                <c:pt idx="388">
                  <c:v>51.431547501052059</c:v>
                </c:pt>
                <c:pt idx="389">
                  <c:v>51.342806780827303</c:v>
                </c:pt>
                <c:pt idx="390">
                  <c:v>51.253725121909241</c:v>
                </c:pt>
                <c:pt idx="391">
                  <c:v>51.164303342077915</c:v>
                </c:pt>
                <c:pt idx="392">
                  <c:v>51.074542263580369</c:v>
                </c:pt>
                <c:pt idx="393">
                  <c:v>50.984442713163155</c:v>
                </c:pt>
                <c:pt idx="394">
                  <c:v>50.894005522060212</c:v>
                </c:pt>
                <c:pt idx="395">
                  <c:v>50.803231526018465</c:v>
                </c:pt>
                <c:pt idx="396">
                  <c:v>50.712121565307456</c:v>
                </c:pt>
                <c:pt idx="397">
                  <c:v>50.620676484736727</c:v>
                </c:pt>
                <c:pt idx="398">
                  <c:v>50.528897133653082</c:v>
                </c:pt>
                <c:pt idx="399">
                  <c:v>50.436784365974958</c:v>
                </c:pt>
                <c:pt idx="400">
                  <c:v>50.344339040188508</c:v>
                </c:pt>
                <c:pt idx="401">
                  <c:v>50.251562019375889</c:v>
                </c:pt>
                <c:pt idx="402">
                  <c:v>50.158454171200852</c:v>
                </c:pt>
                <c:pt idx="403">
                  <c:v>50.065016367954648</c:v>
                </c:pt>
                <c:pt idx="404">
                  <c:v>49.971249486550668</c:v>
                </c:pt>
                <c:pt idx="405">
                  <c:v>49.877154408533769</c:v>
                </c:pt>
                <c:pt idx="406">
                  <c:v>49.782732020117109</c:v>
                </c:pt>
                <c:pt idx="407">
                  <c:v>49.687983212170252</c:v>
                </c:pt>
                <c:pt idx="408">
                  <c:v>49.592908880236443</c:v>
                </c:pt>
                <c:pt idx="409">
                  <c:v>49.49750992456169</c:v>
                </c:pt>
                <c:pt idx="410">
                  <c:v>49.401787250098415</c:v>
                </c:pt>
                <c:pt idx="411">
                  <c:v>49.305741766517677</c:v>
                </c:pt>
                <c:pt idx="412">
                  <c:v>49.20937438822321</c:v>
                </c:pt>
                <c:pt idx="413">
                  <c:v>49.112686034377298</c:v>
                </c:pt>
                <c:pt idx="414">
                  <c:v>49.015677628890295</c:v>
                </c:pt>
                <c:pt idx="415">
                  <c:v>48.918350100466739</c:v>
                </c:pt>
                <c:pt idx="416">
                  <c:v>48.820704382590819</c:v>
                </c:pt>
                <c:pt idx="417">
                  <c:v>48.722741413561714</c:v>
                </c:pt>
                <c:pt idx="418">
                  <c:v>48.624462136494671</c:v>
                </c:pt>
                <c:pt idx="419">
                  <c:v>48.525867499341452</c:v>
                </c:pt>
                <c:pt idx="420">
                  <c:v>48.426958454909638</c:v>
                </c:pt>
                <c:pt idx="421">
                  <c:v>48.327735960862206</c:v>
                </c:pt>
                <c:pt idx="422">
                  <c:v>48.228200979758945</c:v>
                </c:pt>
                <c:pt idx="423">
                  <c:v>48.128354479038201</c:v>
                </c:pt>
                <c:pt idx="424">
                  <c:v>48.028197431065252</c:v>
                </c:pt>
                <c:pt idx="425">
                  <c:v>47.927730813118828</c:v>
                </c:pt>
                <c:pt idx="426">
                  <c:v>47.826955607429042</c:v>
                </c:pt>
                <c:pt idx="427">
                  <c:v>47.725872801177964</c:v>
                </c:pt>
                <c:pt idx="428">
                  <c:v>47.624483386528688</c:v>
                </c:pt>
                <c:pt idx="429">
                  <c:v>47.522788360628368</c:v>
                </c:pt>
                <c:pt idx="430">
                  <c:v>47.420788725631745</c:v>
                </c:pt>
                <c:pt idx="431">
                  <c:v>47.318485488707822</c:v>
                </c:pt>
                <c:pt idx="432">
                  <c:v>47.215879662074904</c:v>
                </c:pt>
                <c:pt idx="433">
                  <c:v>47.112972262998625</c:v>
                </c:pt>
                <c:pt idx="434">
                  <c:v>47.009764313820853</c:v>
                </c:pt>
                <c:pt idx="435">
                  <c:v>46.90625684196025</c:v>
                </c:pt>
                <c:pt idx="436">
                  <c:v>46.802450879944068</c:v>
                </c:pt>
                <c:pt idx="437">
                  <c:v>46.698347465429542</c:v>
                </c:pt>
                <c:pt idx="438">
                  <c:v>46.593947641192443</c:v>
                </c:pt>
                <c:pt idx="439">
                  <c:v>46.489252455183667</c:v>
                </c:pt>
                <c:pt idx="440">
                  <c:v>46.384262960515109</c:v>
                </c:pt>
                <c:pt idx="441">
                  <c:v>46.278980215482598</c:v>
                </c:pt>
                <c:pt idx="442">
                  <c:v>46.173405283601241</c:v>
                </c:pt>
                <c:pt idx="443">
                  <c:v>46.067539233599859</c:v>
                </c:pt>
                <c:pt idx="444">
                  <c:v>45.961383139452906</c:v>
                </c:pt>
                <c:pt idx="445">
                  <c:v>45.854938080396487</c:v>
                </c:pt>
                <c:pt idx="446">
                  <c:v>45.748205140939014</c:v>
                </c:pt>
                <c:pt idx="447">
                  <c:v>45.641185410893591</c:v>
                </c:pt>
                <c:pt idx="448">
                  <c:v>45.533879985374128</c:v>
                </c:pt>
                <c:pt idx="449">
                  <c:v>45.42628996483765</c:v>
                </c:pt>
                <c:pt idx="450">
                  <c:v>45.318416455088574</c:v>
                </c:pt>
                <c:pt idx="451">
                  <c:v>45.210260567299294</c:v>
                </c:pt>
                <c:pt idx="452">
                  <c:v>45.101823418031252</c:v>
                </c:pt>
                <c:pt idx="453">
                  <c:v>44.993106129252254</c:v>
                </c:pt>
                <c:pt idx="454">
                  <c:v>44.884109828356692</c:v>
                </c:pt>
                <c:pt idx="455">
                  <c:v>44.774835648182616</c:v>
                </c:pt>
                <c:pt idx="456">
                  <c:v>44.665284727038639</c:v>
                </c:pt>
                <c:pt idx="457">
                  <c:v>44.555458208707826</c:v>
                </c:pt>
                <c:pt idx="458">
                  <c:v>44.445357242480199</c:v>
                </c:pt>
                <c:pt idx="459">
                  <c:v>44.334982983177248</c:v>
                </c:pt>
                <c:pt idx="460">
                  <c:v>44.224336591148322</c:v>
                </c:pt>
                <c:pt idx="461">
                  <c:v>44.113419232322947</c:v>
                </c:pt>
                <c:pt idx="462">
                  <c:v>44.002232078202177</c:v>
                </c:pt>
                <c:pt idx="463">
                  <c:v>43.890776305890164</c:v>
                </c:pt>
                <c:pt idx="464">
                  <c:v>43.779053098126838</c:v>
                </c:pt>
                <c:pt idx="465">
                  <c:v>43.667063643285765</c:v>
                </c:pt>
                <c:pt idx="466">
                  <c:v>43.554809135412</c:v>
                </c:pt>
                <c:pt idx="467">
                  <c:v>43.442290774232163</c:v>
                </c:pt>
                <c:pt idx="468">
                  <c:v>43.32950976518633</c:v>
                </c:pt>
                <c:pt idx="469">
                  <c:v>43.21646731944017</c:v>
                </c:pt>
                <c:pt idx="470">
                  <c:v>43.103164653912145</c:v>
                </c:pt>
                <c:pt idx="471">
                  <c:v>42.98960299128786</c:v>
                </c:pt>
                <c:pt idx="472">
                  <c:v>42.875783560055041</c:v>
                </c:pt>
                <c:pt idx="473">
                  <c:v>42.761707594508721</c:v>
                </c:pt>
                <c:pt idx="474">
                  <c:v>42.647376334786671</c:v>
                </c:pt>
                <c:pt idx="475">
                  <c:v>42.532791026882414</c:v>
                </c:pt>
                <c:pt idx="476">
                  <c:v>42.417952922674665</c:v>
                </c:pt>
                <c:pt idx="477">
                  <c:v>42.302863279948113</c:v>
                </c:pt>
                <c:pt idx="478">
                  <c:v>42.187523362414723</c:v>
                </c:pt>
                <c:pt idx="479">
                  <c:v>42.071934439734967</c:v>
                </c:pt>
                <c:pt idx="480">
                  <c:v>41.956097787540202</c:v>
                </c:pt>
                <c:pt idx="481">
                  <c:v>41.84001468746515</c:v>
                </c:pt>
                <c:pt idx="482">
                  <c:v>41.723686427159969</c:v>
                </c:pt>
                <c:pt idx="483">
                  <c:v>41.607114300321953</c:v>
                </c:pt>
                <c:pt idx="484">
                  <c:v>41.490299606714061</c:v>
                </c:pt>
                <c:pt idx="485">
                  <c:v>41.373243652188421</c:v>
                </c:pt>
                <c:pt idx="486">
                  <c:v>41.255947748716608</c:v>
                </c:pt>
                <c:pt idx="487">
                  <c:v>41.138413214409638</c:v>
                </c:pt>
                <c:pt idx="488">
                  <c:v>41.020641373540556</c:v>
                </c:pt>
                <c:pt idx="489">
                  <c:v>40.902633556574401</c:v>
                </c:pt>
                <c:pt idx="490">
                  <c:v>40.784391100185488</c:v>
                </c:pt>
                <c:pt idx="491">
                  <c:v>40.665915347293982</c:v>
                </c:pt>
                <c:pt idx="492">
                  <c:v>40.547207647079446</c:v>
                </c:pt>
                <c:pt idx="493">
                  <c:v>40.428269355007387</c:v>
                </c:pt>
                <c:pt idx="494">
                  <c:v>40.309101832869437</c:v>
                </c:pt>
                <c:pt idx="495">
                  <c:v>40.189706448789899</c:v>
                </c:pt>
                <c:pt idx="496">
                  <c:v>40.070084577257376</c:v>
                </c:pt>
                <c:pt idx="497">
                  <c:v>39.950237599162648</c:v>
                </c:pt>
                <c:pt idx="498">
                  <c:v>39.83016690181001</c:v>
                </c:pt>
                <c:pt idx="499">
                  <c:v>39.709873878949601</c:v>
                </c:pt>
                <c:pt idx="500">
                  <c:v>39.589359930809714</c:v>
                </c:pt>
                <c:pt idx="501">
                  <c:v>39.468626464112674</c:v>
                </c:pt>
                <c:pt idx="502">
                  <c:v>39.347674892108721</c:v>
                </c:pt>
                <c:pt idx="503">
                  <c:v>39.226506634609656</c:v>
                </c:pt>
                <c:pt idx="504">
                  <c:v>39.105123117996293</c:v>
                </c:pt>
                <c:pt idx="505">
                  <c:v>38.983525775271971</c:v>
                </c:pt>
                <c:pt idx="506">
                  <c:v>38.861716046070441</c:v>
                </c:pt>
                <c:pt idx="507">
                  <c:v>38.739695376693206</c:v>
                </c:pt>
                <c:pt idx="508">
                  <c:v>38.617465220139408</c:v>
                </c:pt>
                <c:pt idx="509">
                  <c:v>38.495027036128796</c:v>
                </c:pt>
                <c:pt idx="510">
                  <c:v>38.372382291126996</c:v>
                </c:pt>
                <c:pt idx="511">
                  <c:v>38.249532458394171</c:v>
                </c:pt>
                <c:pt idx="512">
                  <c:v>38.126479017990469</c:v>
                </c:pt>
                <c:pt idx="513">
                  <c:v>38.003223456822788</c:v>
                </c:pt>
                <c:pt idx="514">
                  <c:v>37.879767268661418</c:v>
                </c:pt>
                <c:pt idx="515">
                  <c:v>37.756111954180092</c:v>
                </c:pt>
                <c:pt idx="516">
                  <c:v>37.632259020986837</c:v>
                </c:pt>
                <c:pt idx="517">
                  <c:v>37.508209983635879</c:v>
                </c:pt>
                <c:pt idx="518">
                  <c:v>37.383966363691705</c:v>
                </c:pt>
                <c:pt idx="519">
                  <c:v>37.259529689725504</c:v>
                </c:pt>
                <c:pt idx="520">
                  <c:v>37.134901497368226</c:v>
                </c:pt>
                <c:pt idx="521">
                  <c:v>37.010083329338421</c:v>
                </c:pt>
                <c:pt idx="522">
                  <c:v>36.885076735463414</c:v>
                </c:pt>
                <c:pt idx="523">
                  <c:v>36.7598832727261</c:v>
                </c:pt>
                <c:pt idx="524">
                  <c:v>36.63450450527985</c:v>
                </c:pt>
                <c:pt idx="525">
                  <c:v>36.508942004502536</c:v>
                </c:pt>
                <c:pt idx="526">
                  <c:v>36.383197349004526</c:v>
                </c:pt>
                <c:pt idx="527">
                  <c:v>36.257272124688804</c:v>
                </c:pt>
                <c:pt idx="528">
                  <c:v>36.131167924758444</c:v>
                </c:pt>
                <c:pt idx="529">
                  <c:v>36.004886349760064</c:v>
                </c:pt>
                <c:pt idx="530">
                  <c:v>35.878429007626885</c:v>
                </c:pt>
                <c:pt idx="531">
                  <c:v>35.751797513699096</c:v>
                </c:pt>
                <c:pt idx="532">
                  <c:v>35.624993490758449</c:v>
                </c:pt>
                <c:pt idx="533">
                  <c:v>35.498018569077878</c:v>
                </c:pt>
                <c:pt idx="534">
                  <c:v>35.370874386434778</c:v>
                </c:pt>
                <c:pt idx="535">
                  <c:v>35.243562588166292</c:v>
                </c:pt>
                <c:pt idx="536">
                  <c:v>35.116084827181268</c:v>
                </c:pt>
                <c:pt idx="537">
                  <c:v>34.98844276402631</c:v>
                </c:pt>
                <c:pt idx="538">
                  <c:v>34.860638066888498</c:v>
                </c:pt>
                <c:pt idx="539">
                  <c:v>34.732672411655393</c:v>
                </c:pt>
                <c:pt idx="540">
                  <c:v>34.604547481945239</c:v>
                </c:pt>
                <c:pt idx="541">
                  <c:v>34.476264969133311</c:v>
                </c:pt>
                <c:pt idx="542">
                  <c:v>34.347826572399455</c:v>
                </c:pt>
                <c:pt idx="543">
                  <c:v>34.219233998770996</c:v>
                </c:pt>
                <c:pt idx="544">
                  <c:v>34.090488963138064</c:v>
                </c:pt>
                <c:pt idx="545">
                  <c:v>33.961593188312719</c:v>
                </c:pt>
                <c:pt idx="546">
                  <c:v>33.832548405058219</c:v>
                </c:pt>
                <c:pt idx="547">
                  <c:v>33.703356352127919</c:v>
                </c:pt>
                <c:pt idx="548">
                  <c:v>33.574018776300477</c:v>
                </c:pt>
                <c:pt idx="549">
                  <c:v>33.444537432429073</c:v>
                </c:pt>
                <c:pt idx="550">
                  <c:v>33.314914083465993</c:v>
                </c:pt>
                <c:pt idx="551">
                  <c:v>33.185150500512904</c:v>
                </c:pt>
                <c:pt idx="552">
                  <c:v>33.055248462851843</c:v>
                </c:pt>
                <c:pt idx="553">
                  <c:v>32.925209758005934</c:v>
                </c:pt>
                <c:pt idx="554">
                  <c:v>32.795036181746305</c:v>
                </c:pt>
                <c:pt idx="555">
                  <c:v>32.664729538161453</c:v>
                </c:pt>
                <c:pt idx="556">
                  <c:v>32.534291639683332</c:v>
                </c:pt>
                <c:pt idx="557">
                  <c:v>32.403724307131604</c:v>
                </c:pt>
                <c:pt idx="558">
                  <c:v>32.2730293697619</c:v>
                </c:pt>
                <c:pt idx="559">
                  <c:v>32.142208665296181</c:v>
                </c:pt>
                <c:pt idx="560">
                  <c:v>32.011264039975764</c:v>
                </c:pt>
                <c:pt idx="561">
                  <c:v>31.880197348594496</c:v>
                </c:pt>
                <c:pt idx="562">
                  <c:v>31.749010454545278</c:v>
                </c:pt>
                <c:pt idx="563">
                  <c:v>31.617705229871348</c:v>
                </c:pt>
                <c:pt idx="564">
                  <c:v>31.48628355529306</c:v>
                </c:pt>
                <c:pt idx="565">
                  <c:v>31.354747320265091</c:v>
                </c:pt>
                <c:pt idx="566">
                  <c:v>31.223098423017753</c:v>
                </c:pt>
                <c:pt idx="567">
                  <c:v>31.091338770596312</c:v>
                </c:pt>
                <c:pt idx="568">
                  <c:v>30.959470278911418</c:v>
                </c:pt>
                <c:pt idx="569">
                  <c:v>30.827494872783305</c:v>
                </c:pt>
                <c:pt idx="570">
                  <c:v>30.695414485981846</c:v>
                </c:pt>
                <c:pt idx="571">
                  <c:v>30.563231061282558</c:v>
                </c:pt>
                <c:pt idx="572">
                  <c:v>30.430946550501567</c:v>
                </c:pt>
                <c:pt idx="573">
                  <c:v>30.298562914548242</c:v>
                </c:pt>
                <c:pt idx="574">
                  <c:v>30.166082123475576</c:v>
                </c:pt>
                <c:pt idx="575">
                  <c:v>30.03350615651587</c:v>
                </c:pt>
                <c:pt idx="576">
                  <c:v>29.900837002136853</c:v>
                </c:pt>
                <c:pt idx="577">
                  <c:v>29.768076658092454</c:v>
                </c:pt>
                <c:pt idx="578">
                  <c:v>29.635227131459793</c:v>
                </c:pt>
                <c:pt idx="579">
                  <c:v>29.50229043870047</c:v>
                </c:pt>
                <c:pt idx="580">
                  <c:v>29.369268605691243</c:v>
                </c:pt>
                <c:pt idx="581">
                  <c:v>29.236163667803503</c:v>
                </c:pt>
                <c:pt idx="582">
                  <c:v>29.102977669913965</c:v>
                </c:pt>
                <c:pt idx="583">
                  <c:v>28.969712666494122</c:v>
                </c:pt>
                <c:pt idx="584">
                  <c:v>28.836370721625325</c:v>
                </c:pt>
                <c:pt idx="585">
                  <c:v>28.702953909074967</c:v>
                </c:pt>
                <c:pt idx="586">
                  <c:v>28.569464312338102</c:v>
                </c:pt>
                <c:pt idx="587">
                  <c:v>28.435904024681271</c:v>
                </c:pt>
                <c:pt idx="588">
                  <c:v>28.302275149209962</c:v>
                </c:pt>
                <c:pt idx="589">
                  <c:v>28.168579798907324</c:v>
                </c:pt>
                <c:pt idx="590">
                  <c:v>28.03482009669386</c:v>
                </c:pt>
                <c:pt idx="591">
                  <c:v>27.900998175478929</c:v>
                </c:pt>
                <c:pt idx="592">
                  <c:v>27.767116178208124</c:v>
                </c:pt>
                <c:pt idx="593">
                  <c:v>27.633176257927843</c:v>
                </c:pt>
                <c:pt idx="594">
                  <c:v>27.499180577826071</c:v>
                </c:pt>
                <c:pt idx="595">
                  <c:v>27.3651313113028</c:v>
                </c:pt>
                <c:pt idx="596">
                  <c:v>27.2310306420042</c:v>
                </c:pt>
                <c:pt idx="597">
                  <c:v>27.096880763895008</c:v>
                </c:pt>
                <c:pt idx="598">
                  <c:v>26.962683881314263</c:v>
                </c:pt>
                <c:pt idx="599">
                  <c:v>26.828442209008987</c:v>
                </c:pt>
                <c:pt idx="600">
                  <c:v>26.694157972217045</c:v>
                </c:pt>
                <c:pt idx="601">
                  <c:v>26.559833406708105</c:v>
                </c:pt>
                <c:pt idx="602">
                  <c:v>26.425470758845496</c:v>
                </c:pt>
                <c:pt idx="603">
                  <c:v>26.291072285641889</c:v>
                </c:pt>
                <c:pt idx="604">
                  <c:v>26.156640254814583</c:v>
                </c:pt>
                <c:pt idx="605">
                  <c:v>26.022176944848592</c:v>
                </c:pt>
                <c:pt idx="606">
                  <c:v>25.88768464505663</c:v>
                </c:pt>
                <c:pt idx="607">
                  <c:v>25.753165655622066</c:v>
                </c:pt>
                <c:pt idx="608">
                  <c:v>25.61862228767647</c:v>
                </c:pt>
                <c:pt idx="609">
                  <c:v>25.484056863354812</c:v>
                </c:pt>
                <c:pt idx="610">
                  <c:v>25.349471715840476</c:v>
                </c:pt>
                <c:pt idx="611">
                  <c:v>25.214869189441792</c:v>
                </c:pt>
                <c:pt idx="612">
                  <c:v>25.080251639652214</c:v>
                </c:pt>
                <c:pt idx="613">
                  <c:v>24.945621433199864</c:v>
                </c:pt>
                <c:pt idx="614">
                  <c:v>24.810980948114665</c:v>
                </c:pt>
                <c:pt idx="615">
                  <c:v>24.676332573785935</c:v>
                </c:pt>
                <c:pt idx="616">
                  <c:v>24.541678711033754</c:v>
                </c:pt>
                <c:pt idx="617">
                  <c:v>24.407021772164111</c:v>
                </c:pt>
                <c:pt idx="618">
                  <c:v>24.272364181021707</c:v>
                </c:pt>
                <c:pt idx="619">
                  <c:v>24.13770837307144</c:v>
                </c:pt>
                <c:pt idx="620">
                  <c:v>24.003056795451528</c:v>
                </c:pt>
                <c:pt idx="621">
                  <c:v>23.868411907030584</c:v>
                </c:pt>
                <c:pt idx="622">
                  <c:v>23.73377617847849</c:v>
                </c:pt>
                <c:pt idx="623">
                  <c:v>23.599152092340429</c:v>
                </c:pt>
                <c:pt idx="624">
                  <c:v>23.464542143076024</c:v>
                </c:pt>
                <c:pt idx="625">
                  <c:v>23.32994883714619</c:v>
                </c:pt>
                <c:pt idx="626">
                  <c:v>23.195374693057573</c:v>
                </c:pt>
                <c:pt idx="627">
                  <c:v>23.06082224144857</c:v>
                </c:pt>
                <c:pt idx="628">
                  <c:v>22.92629402514687</c:v>
                </c:pt>
                <c:pt idx="629">
                  <c:v>22.79179259921769</c:v>
                </c:pt>
                <c:pt idx="630">
                  <c:v>22.657320531053823</c:v>
                </c:pt>
                <c:pt idx="631">
                  <c:v>22.522880400436733</c:v>
                </c:pt>
                <c:pt idx="632">
                  <c:v>22.388474799579626</c:v>
                </c:pt>
                <c:pt idx="633">
                  <c:v>22.254106333222627</c:v>
                </c:pt>
                <c:pt idx="634">
                  <c:v>22.119777618688655</c:v>
                </c:pt>
                <c:pt idx="635">
                  <c:v>21.985491285942214</c:v>
                </c:pt>
                <c:pt idx="636">
                  <c:v>21.851249977664807</c:v>
                </c:pt>
                <c:pt idx="637">
                  <c:v>21.717056349315161</c:v>
                </c:pt>
                <c:pt idx="638">
                  <c:v>21.582913069205141</c:v>
                </c:pt>
                <c:pt idx="639">
                  <c:v>21.448822818557424</c:v>
                </c:pt>
                <c:pt idx="640">
                  <c:v>21.314788291580083</c:v>
                </c:pt>
                <c:pt idx="641">
                  <c:v>21.180812195526158</c:v>
                </c:pt>
                <c:pt idx="642">
                  <c:v>21.046897250760672</c:v>
                </c:pt>
                <c:pt idx="643">
                  <c:v>20.913046190841019</c:v>
                </c:pt>
                <c:pt idx="644">
                  <c:v>20.779261762566176</c:v>
                </c:pt>
                <c:pt idx="645">
                  <c:v>20.645546726056416</c:v>
                </c:pt>
                <c:pt idx="646">
                  <c:v>20.511903854808892</c:v>
                </c:pt>
                <c:pt idx="647">
                  <c:v>20.378335935786083</c:v>
                </c:pt>
                <c:pt idx="648">
                  <c:v>20.24484576944845</c:v>
                </c:pt>
                <c:pt idx="649">
                  <c:v>20.111436169855658</c:v>
                </c:pt>
                <c:pt idx="650">
                  <c:v>19.978109964710185</c:v>
                </c:pt>
                <c:pt idx="651">
                  <c:v>19.844869995435342</c:v>
                </c:pt>
                <c:pt idx="652">
                  <c:v>19.711719117233045</c:v>
                </c:pt>
                <c:pt idx="653">
                  <c:v>19.578660199157881</c:v>
                </c:pt>
                <c:pt idx="654">
                  <c:v>19.445696124178589</c:v>
                </c:pt>
                <c:pt idx="655">
                  <c:v>19.312829789238666</c:v>
                </c:pt>
                <c:pt idx="656">
                  <c:v>19.180064105330075</c:v>
                </c:pt>
                <c:pt idx="657">
                  <c:v>19.047401997550654</c:v>
                </c:pt>
                <c:pt idx="658">
                  <c:v>18.914846405167673</c:v>
                </c:pt>
                <c:pt idx="659">
                  <c:v>18.782400281692482</c:v>
                </c:pt>
                <c:pt idx="660">
                  <c:v>18.6500665949272</c:v>
                </c:pt>
                <c:pt idx="661">
                  <c:v>18.517848327033125</c:v>
                </c:pt>
                <c:pt idx="662">
                  <c:v>18.385748474599566</c:v>
                </c:pt>
                <c:pt idx="663">
                  <c:v>18.253770048692409</c:v>
                </c:pt>
                <c:pt idx="664">
                  <c:v>18.121916074923696</c:v>
                </c:pt>
                <c:pt idx="665">
                  <c:v>17.990189593502379</c:v>
                </c:pt>
                <c:pt idx="666">
                  <c:v>17.8585936593044</c:v>
                </c:pt>
                <c:pt idx="667">
                  <c:v>17.727131341910287</c:v>
                </c:pt>
                <c:pt idx="668">
                  <c:v>17.595805725685068</c:v>
                </c:pt>
                <c:pt idx="669">
                  <c:v>17.464619909814928</c:v>
                </c:pt>
                <c:pt idx="670">
                  <c:v>17.333577008370657</c:v>
                </c:pt>
                <c:pt idx="671">
                  <c:v>17.202680150351782</c:v>
                </c:pt>
                <c:pt idx="672">
                  <c:v>17.071932479744817</c:v>
                </c:pt>
                <c:pt idx="673">
                  <c:v>16.941337155575063</c:v>
                </c:pt>
                <c:pt idx="674">
                  <c:v>16.810897351938547</c:v>
                </c:pt>
                <c:pt idx="675">
                  <c:v>16.680616258072277</c:v>
                </c:pt>
                <c:pt idx="676">
                  <c:v>16.550497078380179</c:v>
                </c:pt>
                <c:pt idx="677">
                  <c:v>16.420543032478424</c:v>
                </c:pt>
                <c:pt idx="678">
                  <c:v>16.290757355240423</c:v>
                </c:pt>
                <c:pt idx="679">
                  <c:v>16.161143296840375</c:v>
                </c:pt>
                <c:pt idx="680">
                  <c:v>16.031704122771629</c:v>
                </c:pt>
                <c:pt idx="681">
                  <c:v>15.902443113900256</c:v>
                </c:pt>
                <c:pt idx="682">
                  <c:v>15.773363566481221</c:v>
                </c:pt>
                <c:pt idx="683">
                  <c:v>15.644468792199344</c:v>
                </c:pt>
                <c:pt idx="684">
                  <c:v>15.515762118181616</c:v>
                </c:pt>
                <c:pt idx="685">
                  <c:v>15.38724688702942</c:v>
                </c:pt>
                <c:pt idx="686">
                  <c:v>15.258926456836486</c:v>
                </c:pt>
                <c:pt idx="687">
                  <c:v>15.130804201200847</c:v>
                </c:pt>
                <c:pt idx="688">
                  <c:v>15.002883509239345</c:v>
                </c:pt>
                <c:pt idx="689">
                  <c:v>14.875167785600171</c:v>
                </c:pt>
                <c:pt idx="690">
                  <c:v>14.747660450459472</c:v>
                </c:pt>
                <c:pt idx="691">
                  <c:v>14.620364939528248</c:v>
                </c:pt>
                <c:pt idx="692">
                  <c:v>14.493284704044074</c:v>
                </c:pt>
                <c:pt idx="693">
                  <c:v>14.366423210769973</c:v>
                </c:pt>
                <c:pt idx="694">
                  <c:v>14.239783941966955</c:v>
                </c:pt>
                <c:pt idx="695">
                  <c:v>14.113370395394073</c:v>
                </c:pt>
                <c:pt idx="696">
                  <c:v>13.987186084262364</c:v>
                </c:pt>
                <c:pt idx="697">
                  <c:v>13.861234537222661</c:v>
                </c:pt>
                <c:pt idx="698">
                  <c:v>13.735519298321631</c:v>
                </c:pt>
                <c:pt idx="699">
                  <c:v>13.610043926955406</c:v>
                </c:pt>
                <c:pt idx="700">
                  <c:v>13.484811997828155</c:v>
                </c:pt>
                <c:pt idx="701">
                  <c:v>13.359827100892522</c:v>
                </c:pt>
                <c:pt idx="702">
                  <c:v>13.235092841283103</c:v>
                </c:pt>
                <c:pt idx="703">
                  <c:v>13.11061283924435</c:v>
                </c:pt>
                <c:pt idx="704">
                  <c:v>12.986390730050175</c:v>
                </c:pt>
                <c:pt idx="705">
                  <c:v>12.86243016391947</c:v>
                </c:pt>
                <c:pt idx="706">
                  <c:v>12.738734805912047</c:v>
                </c:pt>
                <c:pt idx="707">
                  <c:v>12.615308335813589</c:v>
                </c:pt>
                <c:pt idx="708">
                  <c:v>12.492154448041157</c:v>
                </c:pt>
                <c:pt idx="709">
                  <c:v>12.369276851474202</c:v>
                </c:pt>
                <c:pt idx="710">
                  <c:v>12.246679269354871</c:v>
                </c:pt>
                <c:pt idx="711">
                  <c:v>12.124365439104627</c:v>
                </c:pt>
                <c:pt idx="712">
                  <c:v>12.002339112168345</c:v>
                </c:pt>
                <c:pt idx="713">
                  <c:v>11.880604053836732</c:v>
                </c:pt>
                <c:pt idx="714">
                  <c:v>11.759164043045155</c:v>
                </c:pt>
                <c:pt idx="715">
                  <c:v>11.638022872173803</c:v>
                </c:pt>
                <c:pt idx="716">
                  <c:v>11.517184346814028</c:v>
                </c:pt>
                <c:pt idx="717">
                  <c:v>11.39665228553072</c:v>
                </c:pt>
                <c:pt idx="718">
                  <c:v>11.276430519602716</c:v>
                </c:pt>
                <c:pt idx="719">
                  <c:v>11.156522892738412</c:v>
                </c:pt>
                <c:pt idx="720">
                  <c:v>11.036933260791043</c:v>
                </c:pt>
                <c:pt idx="721">
                  <c:v>10.917665491427629</c:v>
                </c:pt>
                <c:pt idx="722">
                  <c:v>10.798723463797517</c:v>
                </c:pt>
                <c:pt idx="723">
                  <c:v>10.680111068154204</c:v>
                </c:pt>
                <c:pt idx="724">
                  <c:v>10.561832205487582</c:v>
                </c:pt>
                <c:pt idx="725">
                  <c:v>10.443890787095357</c:v>
                </c:pt>
                <c:pt idx="726">
                  <c:v>10.326290734145092</c:v>
                </c:pt>
                <c:pt idx="727">
                  <c:v>10.209035977200223</c:v>
                </c:pt>
                <c:pt idx="728">
                  <c:v>10.092130455728501</c:v>
                </c:pt>
                <c:pt idx="729">
                  <c:v>9.9755781175552531</c:v>
                </c:pt>
                <c:pt idx="730">
                  <c:v>9.859382918309004</c:v>
                </c:pt>
                <c:pt idx="731">
                  <c:v>9.7435488208024825</c:v>
                </c:pt>
                <c:pt idx="732">
                  <c:v>9.6280797944017262</c:v>
                </c:pt>
                <c:pt idx="733">
                  <c:v>9.5129798143346598</c:v>
                </c:pt>
                <c:pt idx="734">
                  <c:v>9.3982528609728302</c:v>
                </c:pt>
                <c:pt idx="735">
                  <c:v>9.2839029190436921</c:v>
                </c:pt>
                <c:pt idx="736">
                  <c:v>9.1699339768203316</c:v>
                </c:pt>
                <c:pt idx="737">
                  <c:v>9.056350025242951</c:v>
                </c:pt>
                <c:pt idx="738">
                  <c:v>8.9431550569982079</c:v>
                </c:pt>
                <c:pt idx="739">
                  <c:v>8.830353065515558</c:v>
                </c:pt>
                <c:pt idx="740">
                  <c:v>8.7179480439379997</c:v>
                </c:pt>
                <c:pt idx="741">
                  <c:v>8.6059439839814598</c:v>
                </c:pt>
                <c:pt idx="742">
                  <c:v>8.4943448747810493</c:v>
                </c:pt>
                <c:pt idx="743">
                  <c:v>8.3831547016044112</c:v>
                </c:pt>
                <c:pt idx="744">
                  <c:v>8.2723774445176197</c:v>
                </c:pt>
                <c:pt idx="745">
                  <c:v>8.1620170769673379</c:v>
                </c:pt>
                <c:pt idx="746">
                  <c:v>8.052077564255594</c:v>
                </c:pt>
                <c:pt idx="747">
                  <c:v>7.9425628619309521</c:v>
                </c:pt>
                <c:pt idx="748">
                  <c:v>7.8334769140696467</c:v>
                </c:pt>
                <c:pt idx="749">
                  <c:v>7.7248236514442947</c:v>
                </c:pt>
                <c:pt idx="750">
                  <c:v>7.6166069895859341</c:v>
                </c:pt>
                <c:pt idx="751">
                  <c:v>7.5088308266997208</c:v>
                </c:pt>
                <c:pt idx="752">
                  <c:v>7.401499041470327</c:v>
                </c:pt>
                <c:pt idx="753">
                  <c:v>7.2946154906858141</c:v>
                </c:pt>
                <c:pt idx="754">
                  <c:v>7.1881840067459573</c:v>
                </c:pt>
                <c:pt idx="755">
                  <c:v>7.0822083949724153</c:v>
                </c:pt>
                <c:pt idx="756">
                  <c:v>6.9766924307490594</c:v>
                </c:pt>
                <c:pt idx="757">
                  <c:v>6.871639856464947</c:v>
                </c:pt>
                <c:pt idx="758">
                  <c:v>6.7670543782552643</c:v>
                </c:pt>
                <c:pt idx="759">
                  <c:v>6.6629396625027661</c:v>
                </c:pt>
                <c:pt idx="760">
                  <c:v>6.5592993321099646</c:v>
                </c:pt>
                <c:pt idx="761">
                  <c:v>6.4561369624952256</c:v>
                </c:pt>
                <c:pt idx="762">
                  <c:v>6.3534560773084765</c:v>
                </c:pt>
                <c:pt idx="763">
                  <c:v>6.2512601438452409</c:v>
                </c:pt>
                <c:pt idx="764">
                  <c:v>6.1495525681072154</c:v>
                </c:pt>
                <c:pt idx="765">
                  <c:v>6.0483366895224417</c:v>
                </c:pt>
                <c:pt idx="766">
                  <c:v>5.9476157752494467</c:v>
                </c:pt>
                <c:pt idx="767">
                  <c:v>5.8473930140648962</c:v>
                </c:pt>
                <c:pt idx="768">
                  <c:v>5.7476715097789413</c:v>
                </c:pt>
                <c:pt idx="769">
                  <c:v>5.6484542741289223</c:v>
                </c:pt>
                <c:pt idx="770">
                  <c:v>5.5497442191318118</c:v>
                </c:pt>
                <c:pt idx="771">
                  <c:v>5.4515441488094671</c:v>
                </c:pt>
                <c:pt idx="772">
                  <c:v>5.3538567502433114</c:v>
                </c:pt>
                <c:pt idx="773">
                  <c:v>5.256684583906682</c:v>
                </c:pt>
                <c:pt idx="774">
                  <c:v>5.1600300731649158</c:v>
                </c:pt>
                <c:pt idx="775">
                  <c:v>5.0638954928939173</c:v>
                </c:pt>
                <c:pt idx="776">
                  <c:v>4.9682829571121232</c:v>
                </c:pt>
                <c:pt idx="777">
                  <c:v>4.8731944055242478</c:v>
                </c:pt>
                <c:pt idx="778">
                  <c:v>4.7786315888326101</c:v>
                </c:pt>
                <c:pt idx="779">
                  <c:v>4.6845960527526831</c:v>
                </c:pt>
                <c:pt idx="780">
                  <c:v>4.5910891204816977</c:v>
                </c:pt>
                <c:pt idx="781">
                  <c:v>4.4981118735462404</c:v>
                </c:pt>
                <c:pt idx="782">
                  <c:v>4.4056651307544312</c:v>
                </c:pt>
                <c:pt idx="783">
                  <c:v>4.3137494250986661</c:v>
                </c:pt>
                <c:pt idx="784">
                  <c:v>4.2223649782844497</c:v>
                </c:pt>
                <c:pt idx="785">
                  <c:v>4.1315116726535326</c:v>
                </c:pt>
                <c:pt idx="786">
                  <c:v>4.0411890201047926</c:v>
                </c:pt>
                <c:pt idx="787">
                  <c:v>3.9513961276914196</c:v>
                </c:pt>
                <c:pt idx="788">
                  <c:v>3.8621316593567054</c:v>
                </c:pt>
                <c:pt idx="789">
                  <c:v>3.7733937933546406</c:v>
                </c:pt>
                <c:pt idx="790">
                  <c:v>3.6851801746965336</c:v>
                </c:pt>
                <c:pt idx="791">
                  <c:v>3.5974878619114627</c:v>
                </c:pt>
                <c:pt idx="792">
                  <c:v>3.5103132672833048</c:v>
                </c:pt>
                <c:pt idx="793">
                  <c:v>3.4236520895392908</c:v>
                </c:pt>
                <c:pt idx="794">
                  <c:v>3.3374992378064965</c:v>
                </c:pt>
                <c:pt idx="795">
                  <c:v>3.2518487454601539</c:v>
                </c:pt>
                <c:pt idx="796">
                  <c:v>3.1666936720684586</c:v>
                </c:pt>
                <c:pt idx="797">
                  <c:v>3.0820259915123742</c:v>
                </c:pt>
                <c:pt idx="798">
                  <c:v>2.9978364637046031</c:v>
                </c:pt>
                <c:pt idx="799">
                  <c:v>2.9141144870012461</c:v>
                </c:pt>
                <c:pt idx="800">
                  <c:v>2.8308479275339424</c:v>
                </c:pt>
                <c:pt idx="801">
                  <c:v>2.7480229210336868</c:v>
                </c:pt>
                <c:pt idx="802">
                  <c:v>2.6656236414781174</c:v>
                </c:pt>
                <c:pt idx="803">
                  <c:v>2.5836320296228878</c:v>
                </c:pt>
                <c:pt idx="804">
                  <c:v>2.5020274725845004</c:v>
                </c:pt>
                <c:pt idx="805">
                  <c:v>2.4207864233664389</c:v>
                </c:pt>
                <c:pt idx="806">
                  <c:v>2.3398819460801468</c:v>
                </c:pt>
                <c:pt idx="807">
                  <c:v>2.2592831684458816</c:v>
                </c:pt>
                <c:pt idx="808">
                  <c:v>2.1789546176374532</c:v>
                </c:pt>
                <c:pt idx="809">
                  <c:v>2.098855407829781</c:v>
                </c:pt>
                <c:pt idx="810">
                  <c:v>2.0189382372655</c:v>
                </c:pt>
                <c:pt idx="811">
                  <c:v>1.9391481378257724</c:v>
                </c:pt>
                <c:pt idx="812">
                  <c:v>1.8594208988490155</c:v>
                </c:pt>
                <c:pt idx="813">
                  <c:v>1.7796810562080152</c:v>
                </c:pt>
                <c:pt idx="814">
                  <c:v>1.6998392919866205</c:v>
                </c:pt>
                <c:pt idx="815">
                  <c:v>1.6197890211182677</c:v>
                </c:pt>
                <c:pt idx="816">
                  <c:v>1.5394018342453051</c:v>
                </c:pt>
                <c:pt idx="817">
                  <c:v>1.4585212954006113</c:v>
                </c:pt>
                <c:pt idx="818">
                  <c:v>1.3769543125364918</c:v>
                </c:pt>
                <c:pt idx="819">
                  <c:v>1.294458820499629</c:v>
                </c:pt>
                <c:pt idx="820">
                  <c:v>1.2107256664809318</c:v>
                </c:pt>
                <c:pt idx="821">
                  <c:v>1.1253510021360824</c:v>
                </c:pt>
                <c:pt idx="822">
                  <c:v>1.0377923499784132</c:v>
                </c:pt>
                <c:pt idx="823">
                  <c:v>0.94729484548259058</c:v>
                </c:pt>
                <c:pt idx="824">
                  <c:v>0.85275866357521335</c:v>
                </c:pt>
                <c:pt idx="825">
                  <c:v>0.75247819133268723</c:v>
                </c:pt>
                <c:pt idx="826">
                  <c:v>0.64355977607658399</c:v>
                </c:pt>
                <c:pt idx="827">
                  <c:v>0.52034650011001604</c:v>
                </c:pt>
                <c:pt idx="828">
                  <c:v>0.36840979670411711</c:v>
                </c:pt>
                <c:pt idx="829">
                  <c:v>9.3788347530417357E-2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69736"/>
        <c:axId val="258173648"/>
      </c:scatterChart>
      <c:valAx>
        <c:axId val="221569736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4887907703125896"/>
              <c:y val="0.89352136953030126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8173648"/>
        <c:crosses val="autoZero"/>
        <c:crossBetween val="midCat"/>
      </c:valAx>
      <c:valAx>
        <c:axId val="258173648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"/>
                  </a:rPr>
                  <a:t>Thrust  (lb</a:t>
                </a:r>
                <a:r>
                  <a:rPr lang="en-US" sz="800" b="0" i="0" u="none" strike="noStrike" baseline="0">
                    <a:solidFill>
                      <a:srgbClr val="0000FF"/>
                    </a:solidFill>
                    <a:latin typeface="Arial"/>
                  </a:rPr>
                  <a:t>f</a:t>
                </a: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4.4887613347397E-2"/>
              <c:y val="0.4328715477729463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156973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201219512195122E-2"/>
          <c:y val="0.05"/>
          <c:w val="0.93292682926829273"/>
          <c:h val="0.89772727272727271"/>
        </c:manualLayout>
      </c:layout>
      <c:scatterChart>
        <c:scatterStyle val="smoothMarker"/>
        <c:varyColors val="0"/>
        <c:ser>
          <c:idx val="0"/>
          <c:order val="0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0.51153598780313447</c:v>
                </c:pt>
              </c:numCache>
            </c:numRef>
          </c:xVal>
          <c:yVal>
            <c:numRef>
              <c:f>'Nozzle Design'!$Z$20:$Z$21</c:f>
              <c:numCache>
                <c:formatCode>0.00</c:formatCode>
                <c:ptCount val="2"/>
                <c:pt idx="0">
                  <c:v>0.5</c:v>
                </c:pt>
                <c:pt idx="1">
                  <c:v>0.14181864527469512</c:v>
                </c:pt>
              </c:numCache>
            </c:numRef>
          </c:yVal>
          <c:smooth val="1"/>
        </c:ser>
        <c:ser>
          <c:idx val="1"/>
          <c:order val="1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0.51153598780313447</c:v>
                </c:pt>
                <c:pt idx="1">
                  <c:v>1.7314703703396852</c:v>
                </c:pt>
              </c:numCache>
            </c:numRef>
          </c:xVal>
          <c:yVal>
            <c:numRef>
              <c:f>'Nozzle Design'!$Z$21:$Z$22</c:f>
              <c:numCache>
                <c:formatCode>0.00</c:formatCode>
                <c:ptCount val="2"/>
                <c:pt idx="0">
                  <c:v>0.14181864527469512</c:v>
                </c:pt>
                <c:pt idx="1">
                  <c:v>0.4011237030897058</c:v>
                </c:pt>
              </c:numCache>
            </c:numRef>
          </c:yVal>
          <c:smooth val="1"/>
        </c:ser>
        <c:ser>
          <c:idx val="2"/>
          <c:order val="2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1.7314703703396852</c:v>
                </c:pt>
                <c:pt idx="1">
                  <c:v>0</c:v>
                </c:pt>
              </c:numCache>
            </c:numRef>
          </c:xVal>
          <c:yVal>
            <c:numRef>
              <c:f>'Nozzle Design'!$Z$22:$Z$23</c:f>
              <c:numCache>
                <c:formatCode>0.00</c:formatCode>
                <c:ptCount val="2"/>
                <c:pt idx="0">
                  <c:v>0.4011237030897058</c:v>
                </c:pt>
                <c:pt idx="1">
                  <c:v>0</c:v>
                </c:pt>
              </c:numCache>
            </c:numRef>
          </c:yVal>
          <c:smooth val="1"/>
        </c:ser>
        <c:ser>
          <c:idx val="3"/>
          <c:order val="3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0.51153598780313447</c:v>
                </c:pt>
              </c:numCache>
            </c:numRef>
          </c:xVal>
          <c:yVal>
            <c:numRef>
              <c:f>'Nozzle Design'!$AA$20:$AA$21</c:f>
              <c:numCache>
                <c:formatCode>0.00</c:formatCode>
                <c:ptCount val="2"/>
                <c:pt idx="0">
                  <c:v>-0.5</c:v>
                </c:pt>
                <c:pt idx="1">
                  <c:v>-0.14181864527469512</c:v>
                </c:pt>
              </c:numCache>
            </c:numRef>
          </c:yVal>
          <c:smooth val="1"/>
        </c:ser>
        <c:ser>
          <c:idx val="4"/>
          <c:order val="4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0.51153598780313447</c:v>
                </c:pt>
                <c:pt idx="1">
                  <c:v>1.7314703703396852</c:v>
                </c:pt>
              </c:numCache>
            </c:numRef>
          </c:xVal>
          <c:yVal>
            <c:numRef>
              <c:f>'Nozzle Design'!$AA$21:$AA$22</c:f>
              <c:numCache>
                <c:formatCode>0.00</c:formatCode>
                <c:ptCount val="2"/>
                <c:pt idx="0">
                  <c:v>-0.14181864527469512</c:v>
                </c:pt>
                <c:pt idx="1">
                  <c:v>-0.4011237030897058</c:v>
                </c:pt>
              </c:numCache>
            </c:numRef>
          </c:yVal>
          <c:smooth val="1"/>
        </c:ser>
        <c:ser>
          <c:idx val="5"/>
          <c:order val="5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1.7314703703396852</c:v>
                </c:pt>
                <c:pt idx="1">
                  <c:v>0</c:v>
                </c:pt>
              </c:numCache>
            </c:numRef>
          </c:xVal>
          <c:yVal>
            <c:numRef>
              <c:f>'Nozzle Design'!$AA$22:$AA$23</c:f>
              <c:numCache>
                <c:formatCode>0.00</c:formatCode>
                <c:ptCount val="2"/>
                <c:pt idx="0">
                  <c:v>-0.4011237030897058</c:v>
                </c:pt>
                <c:pt idx="1">
                  <c:v>0</c:v>
                </c:pt>
              </c:numCache>
            </c:numRef>
          </c:yVal>
          <c:smooth val="1"/>
        </c:ser>
        <c:ser>
          <c:idx val="6"/>
          <c:order val="6"/>
          <c:spPr>
            <a:ln w="2222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Design'!$Y$24:$Y$25</c:f>
              <c:numCache>
                <c:formatCode>0.00</c:formatCode>
                <c:ptCount val="2"/>
                <c:pt idx="0">
                  <c:v>1.7314703703396852</c:v>
                </c:pt>
                <c:pt idx="1">
                  <c:v>1.7314703703396852</c:v>
                </c:pt>
              </c:numCache>
            </c:numRef>
          </c:xVal>
          <c:yVal>
            <c:numRef>
              <c:f>'Nozzle Design'!$Z$24:$Z$25</c:f>
              <c:numCache>
                <c:formatCode>0.00</c:formatCode>
                <c:ptCount val="2"/>
                <c:pt idx="0">
                  <c:v>0.4011237030897058</c:v>
                </c:pt>
                <c:pt idx="1">
                  <c:v>-0.4011237030897058</c:v>
                </c:pt>
              </c:numCache>
            </c:numRef>
          </c:yVal>
          <c:smooth val="1"/>
        </c:ser>
        <c:ser>
          <c:idx val="7"/>
          <c:order val="7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Design'!$Y$26:$Y$27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'Nozzle Design'!$Z$26:$Z$27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</c:ser>
        <c:ser>
          <c:idx val="8"/>
          <c:order val="8"/>
          <c:spPr>
            <a:ln w="63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exit plane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'Nozzle Design'!$Y$28:$Y$29</c:f>
              <c:numCache>
                <c:formatCode>0.00</c:formatCode>
                <c:ptCount val="2"/>
                <c:pt idx="0">
                  <c:v>1.7314703703396852</c:v>
                </c:pt>
                <c:pt idx="1">
                  <c:v>1.7314703703396852</c:v>
                </c:pt>
              </c:numCache>
            </c:numRef>
          </c:xVal>
          <c:yVal>
            <c:numRef>
              <c:f>'Nozzle Design'!$Z$28:$Z$29</c:f>
              <c:numCache>
                <c:formatCode>General</c:formatCode>
                <c:ptCount val="2"/>
                <c:pt idx="0">
                  <c:v>1</c:v>
                </c:pt>
                <c:pt idx="1">
                  <c:v>-1</c:v>
                </c:pt>
              </c:numCache>
            </c:numRef>
          </c:yVal>
          <c:smooth val="1"/>
        </c:ser>
        <c:ser>
          <c:idx val="9"/>
          <c:order val="9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0.51153598780313447</c:v>
                </c:pt>
              </c:numCache>
            </c:numRef>
          </c:xVal>
          <c:yVal>
            <c:numRef>
              <c:f>'Nozzle Design'!$Z$20:$Z$21</c:f>
              <c:numCache>
                <c:formatCode>0.00</c:formatCode>
                <c:ptCount val="2"/>
                <c:pt idx="0">
                  <c:v>0.5</c:v>
                </c:pt>
                <c:pt idx="1">
                  <c:v>0.14181864527469512</c:v>
                </c:pt>
              </c:numCache>
            </c:numRef>
          </c:yVal>
          <c:smooth val="1"/>
        </c:ser>
        <c:ser>
          <c:idx val="10"/>
          <c:order val="10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0.51153598780313447</c:v>
                </c:pt>
                <c:pt idx="1">
                  <c:v>1.7314703703396852</c:v>
                </c:pt>
              </c:numCache>
            </c:numRef>
          </c:xVal>
          <c:yVal>
            <c:numRef>
              <c:f>'Nozzle Design'!$Z$21:$Z$22</c:f>
              <c:numCache>
                <c:formatCode>0.00</c:formatCode>
                <c:ptCount val="2"/>
                <c:pt idx="0">
                  <c:v>0.14181864527469512</c:v>
                </c:pt>
                <c:pt idx="1">
                  <c:v>0.4011237030897058</c:v>
                </c:pt>
              </c:numCache>
            </c:numRef>
          </c:yVal>
          <c:smooth val="1"/>
        </c:ser>
        <c:ser>
          <c:idx val="11"/>
          <c:order val="11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1.7314703703396852</c:v>
                </c:pt>
                <c:pt idx="1">
                  <c:v>0</c:v>
                </c:pt>
              </c:numCache>
            </c:numRef>
          </c:xVal>
          <c:yVal>
            <c:numRef>
              <c:f>'Nozzle Design'!$Z$22:$Z$23</c:f>
              <c:numCache>
                <c:formatCode>0.00</c:formatCode>
                <c:ptCount val="2"/>
                <c:pt idx="0">
                  <c:v>0.4011237030897058</c:v>
                </c:pt>
                <c:pt idx="1">
                  <c:v>0</c:v>
                </c:pt>
              </c:numCache>
            </c:numRef>
          </c:yVal>
          <c:smooth val="1"/>
        </c:ser>
        <c:ser>
          <c:idx val="12"/>
          <c:order val="12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0.51153598780313447</c:v>
                </c:pt>
              </c:numCache>
            </c:numRef>
          </c:xVal>
          <c:yVal>
            <c:numRef>
              <c:f>'Nozzle Design'!$AA$20:$AA$21</c:f>
              <c:numCache>
                <c:formatCode>0.00</c:formatCode>
                <c:ptCount val="2"/>
                <c:pt idx="0">
                  <c:v>-0.5</c:v>
                </c:pt>
                <c:pt idx="1">
                  <c:v>-0.14181864527469512</c:v>
                </c:pt>
              </c:numCache>
            </c:numRef>
          </c:yVal>
          <c:smooth val="1"/>
        </c:ser>
        <c:ser>
          <c:idx val="13"/>
          <c:order val="13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0.51153598780313447</c:v>
                </c:pt>
                <c:pt idx="1">
                  <c:v>1.7314703703396852</c:v>
                </c:pt>
              </c:numCache>
            </c:numRef>
          </c:xVal>
          <c:yVal>
            <c:numRef>
              <c:f>'Nozzle Design'!$AA$21:$AA$22</c:f>
              <c:numCache>
                <c:formatCode>0.00</c:formatCode>
                <c:ptCount val="2"/>
                <c:pt idx="0">
                  <c:v>-0.14181864527469512</c:v>
                </c:pt>
                <c:pt idx="1">
                  <c:v>-0.4011237030897058</c:v>
                </c:pt>
              </c:numCache>
            </c:numRef>
          </c:yVal>
          <c:smooth val="1"/>
        </c:ser>
        <c:ser>
          <c:idx val="14"/>
          <c:order val="14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1.7314703703396852</c:v>
                </c:pt>
                <c:pt idx="1">
                  <c:v>0</c:v>
                </c:pt>
              </c:numCache>
            </c:numRef>
          </c:xVal>
          <c:yVal>
            <c:numRef>
              <c:f>'Nozzle Design'!$AA$22:$AA$23</c:f>
              <c:numCache>
                <c:formatCode>0.00</c:formatCode>
                <c:ptCount val="2"/>
                <c:pt idx="0">
                  <c:v>-0.4011237030897058</c:v>
                </c:pt>
                <c:pt idx="1">
                  <c:v>0</c:v>
                </c:pt>
              </c:numCache>
            </c:numRef>
          </c:yVal>
          <c:smooth val="1"/>
        </c:ser>
        <c:ser>
          <c:idx val="15"/>
          <c:order val="15"/>
          <c:spPr>
            <a:ln w="2222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Design'!$Y$24:$Y$25</c:f>
              <c:numCache>
                <c:formatCode>0.00</c:formatCode>
                <c:ptCount val="2"/>
                <c:pt idx="0">
                  <c:v>1.7314703703396852</c:v>
                </c:pt>
                <c:pt idx="1">
                  <c:v>1.7314703703396852</c:v>
                </c:pt>
              </c:numCache>
            </c:numRef>
          </c:xVal>
          <c:yVal>
            <c:numRef>
              <c:f>'Nozzle Design'!$Z$24:$Z$25</c:f>
              <c:numCache>
                <c:formatCode>0.00</c:formatCode>
                <c:ptCount val="2"/>
                <c:pt idx="0">
                  <c:v>0.4011237030897058</c:v>
                </c:pt>
                <c:pt idx="1">
                  <c:v>-0.4011237030897058</c:v>
                </c:pt>
              </c:numCache>
            </c:numRef>
          </c:yVal>
          <c:smooth val="1"/>
        </c:ser>
        <c:ser>
          <c:idx val="16"/>
          <c:order val="16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Design'!$Y$26:$Y$27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'Nozzle Design'!$Z$26:$Z$27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</c:ser>
        <c:ser>
          <c:idx val="17"/>
          <c:order val="17"/>
          <c:spPr>
            <a:ln w="63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'Nozzle Design'!$Y$28:$Y$29</c:f>
              <c:numCache>
                <c:formatCode>0.00</c:formatCode>
                <c:ptCount val="2"/>
                <c:pt idx="0">
                  <c:v>1.7314703703396852</c:v>
                </c:pt>
                <c:pt idx="1">
                  <c:v>1.7314703703396852</c:v>
                </c:pt>
              </c:numCache>
            </c:numRef>
          </c:xVal>
          <c:yVal>
            <c:numRef>
              <c:f>'Nozzle Design'!$Z$28:$Z$29</c:f>
              <c:numCache>
                <c:formatCode>General</c:formatCode>
                <c:ptCount val="2"/>
                <c:pt idx="0">
                  <c:v>1</c:v>
                </c:pt>
                <c:pt idx="1">
                  <c:v>-1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265320"/>
        <c:axId val="255968176"/>
      </c:scatterChart>
      <c:valAx>
        <c:axId val="256265320"/>
        <c:scaling>
          <c:orientation val="minMax"/>
          <c:max val="2.5"/>
          <c:min val="0"/>
        </c:scaling>
        <c:delete val="0"/>
        <c:axPos val="b"/>
        <c:numFmt formatCode="0.00" sourceLinked="1"/>
        <c:majorTickMark val="none"/>
        <c:minorTickMark val="none"/>
        <c:tickLblPos val="none"/>
        <c:crossAx val="255968176"/>
        <c:crosses val="autoZero"/>
        <c:crossBetween val="midCat"/>
      </c:valAx>
      <c:valAx>
        <c:axId val="255968176"/>
        <c:scaling>
          <c:orientation val="minMax"/>
          <c:max val="1"/>
          <c:min val="-1"/>
        </c:scaling>
        <c:delete val="0"/>
        <c:axPos val="l"/>
        <c:numFmt formatCode="0.00" sourceLinked="1"/>
        <c:majorTickMark val="none"/>
        <c:minorTickMark val="none"/>
        <c:tickLblPos val="none"/>
        <c:crossAx val="256265320"/>
        <c:crosses val="autoZero"/>
        <c:crossBetween val="midCat"/>
        <c:majorUnit val="0.2"/>
      </c:valAx>
    </c:plotArea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556608550231567"/>
          <c:y val="0.10625048637612781"/>
          <c:w val="0.68591301366850743"/>
          <c:h val="0.62812787534122627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333399"/>
              </a:solidFill>
              <a:prstDash val="solid"/>
            </a:ln>
          </c:spPr>
          <c:marker>
            <c:symbol val="diamond"/>
            <c:size val="2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Output!$C$24:$C$46</c:f>
              <c:numCache>
                <c:formatCode>0.000</c:formatCode>
                <c:ptCount val="23"/>
                <c:pt idx="0">
                  <c:v>0</c:v>
                </c:pt>
                <c:pt idx="1">
                  <c:v>0.19736587565584399</c:v>
                </c:pt>
                <c:pt idx="2">
                  <c:v>0.20475582511435814</c:v>
                </c:pt>
                <c:pt idx="3">
                  <c:v>0.39054801711148535</c:v>
                </c:pt>
                <c:pt idx="4">
                  <c:v>0.52039686901546878</c:v>
                </c:pt>
                <c:pt idx="5">
                  <c:v>0.64951994983333528</c:v>
                </c:pt>
                <c:pt idx="6">
                  <c:v>0.77865720887809753</c:v>
                </c:pt>
                <c:pt idx="7">
                  <c:v>0.90824853448944376</c:v>
                </c:pt>
                <c:pt idx="8">
                  <c:v>1.0387484603854018</c:v>
                </c:pt>
                <c:pt idx="9">
                  <c:v>1.1706415716608354</c:v>
                </c:pt>
                <c:pt idx="10">
                  <c:v>1.3044607072467307</c:v>
                </c:pt>
                <c:pt idx="11">
                  <c:v>1.440809968075994</c:v>
                </c:pt>
                <c:pt idx="12">
                  <c:v>1.5803955174395223</c:v>
                </c:pt>
                <c:pt idx="13">
                  <c:v>1.7240689359795396</c:v>
                </c:pt>
                <c:pt idx="14">
                  <c:v>1.8728911773297494</c:v>
                </c:pt>
                <c:pt idx="15">
                  <c:v>2.0282314821101859</c:v>
                </c:pt>
                <c:pt idx="16">
                  <c:v>2.191928393343999</c:v>
                </c:pt>
                <c:pt idx="17">
                  <c:v>2.3665676088644236</c:v>
                </c:pt>
                <c:pt idx="18">
                  <c:v>2.5559954384699899</c:v>
                </c:pt>
                <c:pt idx="19">
                  <c:v>2.7663469635617641</c:v>
                </c:pt>
                <c:pt idx="20">
                  <c:v>3.0082915070692144</c:v>
                </c:pt>
                <c:pt idx="21">
                  <c:v>3.2659748127702222</c:v>
                </c:pt>
                <c:pt idx="22">
                  <c:v>3.3401693618514563</c:v>
                </c:pt>
              </c:numCache>
            </c:numRef>
          </c:xVal>
          <c:yVal>
            <c:numRef>
              <c:f>Output!$D$24:$D$46</c:f>
              <c:numCache>
                <c:formatCode>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991.51450263055676</c:v>
                </c:pt>
                <c:pt idx="3">
                  <c:v>174.68211717237983</c:v>
                </c:pt>
                <c:pt idx="4">
                  <c:v>272.49175788957416</c:v>
                </c:pt>
                <c:pt idx="5">
                  <c:v>274.01665608272407</c:v>
                </c:pt>
                <c:pt idx="6">
                  <c:v>272.19531612842451</c:v>
                </c:pt>
                <c:pt idx="7">
                  <c:v>267.05201212723392</c:v>
                </c:pt>
                <c:pt idx="8">
                  <c:v>258.65751351178756</c:v>
                </c:pt>
                <c:pt idx="9">
                  <c:v>247.13064697537104</c:v>
                </c:pt>
                <c:pt idx="10">
                  <c:v>232.6409771578623</c:v>
                </c:pt>
                <c:pt idx="11">
                  <c:v>215.41279659912905</c:v>
                </c:pt>
                <c:pt idx="12">
                  <c:v>195.7307287302589</c:v>
                </c:pt>
                <c:pt idx="13">
                  <c:v>173.94740865347111</c:v>
                </c:pt>
                <c:pt idx="14">
                  <c:v>150.49394181537997</c:v>
                </c:pt>
                <c:pt idx="15">
                  <c:v>125.89418031871575</c:v>
                </c:pt>
                <c:pt idx="16">
                  <c:v>100.78429318623361</c:v>
                </c:pt>
                <c:pt idx="17">
                  <c:v>75.93937005640089</c:v>
                </c:pt>
                <c:pt idx="18">
                  <c:v>52.307113496273459</c:v>
                </c:pt>
                <c:pt idx="19">
                  <c:v>31.033723270457966</c:v>
                </c:pt>
                <c:pt idx="20">
                  <c:v>13.334976157850814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2336"/>
        <c:axId val="217179040"/>
      </c:scatterChart>
      <c:valAx>
        <c:axId val="182042336"/>
        <c:scaling>
          <c:orientation val="minMax"/>
        </c:scaling>
        <c:delete val="0"/>
        <c:axPos val="b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(seconds)</a:t>
                </a:r>
              </a:p>
            </c:rich>
          </c:tx>
          <c:layout>
            <c:manualLayout>
              <c:xMode val="edge"/>
              <c:yMode val="edge"/>
              <c:x val="0.44198966478671137"/>
              <c:y val="0.85357441430932257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7179040"/>
        <c:crosses val="autoZero"/>
        <c:crossBetween val="midCat"/>
      </c:valAx>
      <c:valAx>
        <c:axId val="217179040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(Newtons)</a:t>
                </a:r>
              </a:p>
            </c:rich>
          </c:tx>
          <c:layout>
            <c:manualLayout>
              <c:xMode val="edge"/>
              <c:yMode val="edge"/>
              <c:x val="5.2486172792414791E-2"/>
              <c:y val="0.2321434820647418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204233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379358340872712"/>
          <c:y val="0.10658347995858013"/>
          <c:w val="0.70804756655793499"/>
          <c:h val="0.62696164681517719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333399"/>
              </a:solidFill>
              <a:prstDash val="solid"/>
            </a:ln>
          </c:spPr>
          <c:marker>
            <c:symbol val="diamond"/>
            <c:size val="2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Output!$C$24:$C$46</c:f>
              <c:numCache>
                <c:formatCode>0.000</c:formatCode>
                <c:ptCount val="23"/>
                <c:pt idx="0">
                  <c:v>0</c:v>
                </c:pt>
                <c:pt idx="1">
                  <c:v>0.19736587565584399</c:v>
                </c:pt>
                <c:pt idx="2">
                  <c:v>0.20475582511435814</c:v>
                </c:pt>
                <c:pt idx="3">
                  <c:v>0.39054801711148535</c:v>
                </c:pt>
                <c:pt idx="4">
                  <c:v>0.52039686901546878</c:v>
                </c:pt>
                <c:pt idx="5">
                  <c:v>0.64951994983333528</c:v>
                </c:pt>
                <c:pt idx="6">
                  <c:v>0.77865720887809753</c:v>
                </c:pt>
                <c:pt idx="7">
                  <c:v>0.90824853448944376</c:v>
                </c:pt>
                <c:pt idx="8">
                  <c:v>1.0387484603854018</c:v>
                </c:pt>
                <c:pt idx="9">
                  <c:v>1.1706415716608354</c:v>
                </c:pt>
                <c:pt idx="10">
                  <c:v>1.3044607072467307</c:v>
                </c:pt>
                <c:pt idx="11">
                  <c:v>1.440809968075994</c:v>
                </c:pt>
                <c:pt idx="12">
                  <c:v>1.5803955174395223</c:v>
                </c:pt>
                <c:pt idx="13">
                  <c:v>1.7240689359795396</c:v>
                </c:pt>
                <c:pt idx="14">
                  <c:v>1.8728911773297494</c:v>
                </c:pt>
                <c:pt idx="15">
                  <c:v>2.0282314821101859</c:v>
                </c:pt>
                <c:pt idx="16">
                  <c:v>2.191928393343999</c:v>
                </c:pt>
                <c:pt idx="17">
                  <c:v>2.3665676088644236</c:v>
                </c:pt>
                <c:pt idx="18">
                  <c:v>2.5559954384699899</c:v>
                </c:pt>
                <c:pt idx="19">
                  <c:v>2.7663469635617641</c:v>
                </c:pt>
                <c:pt idx="20">
                  <c:v>3.0082915070692144</c:v>
                </c:pt>
                <c:pt idx="21">
                  <c:v>3.2659748127702222</c:v>
                </c:pt>
                <c:pt idx="22">
                  <c:v>3.3401693618514563</c:v>
                </c:pt>
              </c:numCache>
            </c:numRef>
          </c:xVal>
          <c:yVal>
            <c:numRef>
              <c:f>Output!$E$24:$E$46</c:f>
              <c:numCache>
                <c:formatCode>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222.90241055495633</c:v>
                </c:pt>
                <c:pt idx="3">
                  <c:v>39.270292966229</c:v>
                </c:pt>
                <c:pt idx="4">
                  <c:v>61.258881770058487</c:v>
                </c:pt>
                <c:pt idx="5">
                  <c:v>61.601694187024883</c:v>
                </c:pt>
                <c:pt idx="6">
                  <c:v>61.192238687204828</c:v>
                </c:pt>
                <c:pt idx="7">
                  <c:v>60.035972332007084</c:v>
                </c:pt>
                <c:pt idx="8">
                  <c:v>58.148804800096123</c:v>
                </c:pt>
                <c:pt idx="9">
                  <c:v>55.557449524610192</c:v>
                </c:pt>
                <c:pt idx="10">
                  <c:v>52.300026338263187</c:v>
                </c:pt>
                <c:pt idx="11">
                  <c:v>48.426958454909638</c:v>
                </c:pt>
                <c:pt idx="12">
                  <c:v>44.002232078202177</c:v>
                </c:pt>
                <c:pt idx="13">
                  <c:v>39.105123117996293</c:v>
                </c:pt>
                <c:pt idx="14">
                  <c:v>33.832548405058219</c:v>
                </c:pt>
                <c:pt idx="15">
                  <c:v>28.302275149209962</c:v>
                </c:pt>
                <c:pt idx="16">
                  <c:v>22.657320531053823</c:v>
                </c:pt>
                <c:pt idx="17">
                  <c:v>17.071932479744817</c:v>
                </c:pt>
                <c:pt idx="18">
                  <c:v>11.759164043045155</c:v>
                </c:pt>
                <c:pt idx="19">
                  <c:v>6.9766924307490594</c:v>
                </c:pt>
                <c:pt idx="20">
                  <c:v>2.9978364637046031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263176"/>
        <c:axId val="252194296"/>
      </c:scatterChart>
      <c:valAx>
        <c:axId val="216263176"/>
        <c:scaling>
          <c:orientation val="minMax"/>
        </c:scaling>
        <c:delete val="0"/>
        <c:axPos val="b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(seconds)</a:t>
                </a:r>
              </a:p>
            </c:rich>
          </c:tx>
          <c:layout>
            <c:manualLayout>
              <c:xMode val="edge"/>
              <c:yMode val="edge"/>
              <c:x val="0.43093999456964432"/>
              <c:y val="0.8540958186678278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2194296"/>
        <c:crosses val="autoZero"/>
        <c:crossBetween val="midCat"/>
      </c:valAx>
      <c:valAx>
        <c:axId val="252194296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80008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(Pounds)</a:t>
                </a:r>
              </a:p>
            </c:rich>
          </c:tx>
          <c:layout>
            <c:manualLayout>
              <c:xMode val="edge"/>
              <c:yMode val="edge"/>
              <c:x val="5.2486197845958912E-2"/>
              <c:y val="0.2455522091996564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80008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626317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254174397031541"/>
          <c:y val="0.10000057445182935"/>
          <c:w val="0.47866419294990725"/>
          <c:h val="0.72353311718388147"/>
        </c:manualLayout>
      </c:layout>
      <c:scatterChart>
        <c:scatterStyle val="smoothMarker"/>
        <c:varyColors val="0"/>
        <c:ser>
          <c:idx val="0"/>
          <c:order val="0"/>
          <c:tx>
            <c:v>KNDX</c:v>
          </c:tx>
          <c:spPr>
            <a:ln w="127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Burnrate!$M$9:$M$54</c:f>
              <c:numCache>
                <c:formatCode>General</c:formatCode>
                <c:ptCount val="46"/>
                <c:pt idx="0">
                  <c:v>0.1</c:v>
                </c:pt>
                <c:pt idx="1">
                  <c:v>0.25</c:v>
                </c:pt>
                <c:pt idx="2">
                  <c:v>0.5</c:v>
                </c:pt>
                <c:pt idx="3">
                  <c:v>0.77900000000000003</c:v>
                </c:pt>
                <c:pt idx="4">
                  <c:v>1.0289999999999999</c:v>
                </c:pt>
                <c:pt idx="5">
                  <c:v>1.2789999999999999</c:v>
                </c:pt>
                <c:pt idx="6">
                  <c:v>1.5289999999999999</c:v>
                </c:pt>
                <c:pt idx="7">
                  <c:v>1.7789999999999999</c:v>
                </c:pt>
                <c:pt idx="8">
                  <c:v>2.0289999999999999</c:v>
                </c:pt>
                <c:pt idx="9">
                  <c:v>2.2789999999999999</c:v>
                </c:pt>
                <c:pt idx="10">
                  <c:v>2.5720000000000001</c:v>
                </c:pt>
                <c:pt idx="11">
                  <c:v>2.8220000000000001</c:v>
                </c:pt>
                <c:pt idx="12">
                  <c:v>3.0720000000000001</c:v>
                </c:pt>
                <c:pt idx="13">
                  <c:v>3.3220000000000001</c:v>
                </c:pt>
                <c:pt idx="14">
                  <c:v>3.5720000000000001</c:v>
                </c:pt>
                <c:pt idx="15">
                  <c:v>3.8220000000000001</c:v>
                </c:pt>
                <c:pt idx="16">
                  <c:v>4.0720000000000001</c:v>
                </c:pt>
                <c:pt idx="17">
                  <c:v>4.3220000000000001</c:v>
                </c:pt>
                <c:pt idx="18">
                  <c:v>4.5720000000000001</c:v>
                </c:pt>
                <c:pt idx="19">
                  <c:v>4.8220000000000001</c:v>
                </c:pt>
                <c:pt idx="20">
                  <c:v>5.0720000000000001</c:v>
                </c:pt>
                <c:pt idx="21">
                  <c:v>5.3220000000000001</c:v>
                </c:pt>
                <c:pt idx="22">
                  <c:v>5.5720000000000001</c:v>
                </c:pt>
                <c:pt idx="23">
                  <c:v>5.93</c:v>
                </c:pt>
                <c:pt idx="24">
                  <c:v>6.18</c:v>
                </c:pt>
                <c:pt idx="25">
                  <c:v>6.43</c:v>
                </c:pt>
                <c:pt idx="26">
                  <c:v>6.68</c:v>
                </c:pt>
                <c:pt idx="27">
                  <c:v>6.93</c:v>
                </c:pt>
                <c:pt idx="28">
                  <c:v>7.18</c:v>
                </c:pt>
                <c:pt idx="29">
                  <c:v>7.43</c:v>
                </c:pt>
                <c:pt idx="30">
                  <c:v>7.68</c:v>
                </c:pt>
                <c:pt idx="31">
                  <c:v>7.93</c:v>
                </c:pt>
                <c:pt idx="32">
                  <c:v>8.18</c:v>
                </c:pt>
                <c:pt idx="33">
                  <c:v>8.5</c:v>
                </c:pt>
                <c:pt idx="34">
                  <c:v>8.75</c:v>
                </c:pt>
                <c:pt idx="35">
                  <c:v>9</c:v>
                </c:pt>
                <c:pt idx="36">
                  <c:v>9.25</c:v>
                </c:pt>
                <c:pt idx="37">
                  <c:v>9.5</c:v>
                </c:pt>
                <c:pt idx="38">
                  <c:v>9.75</c:v>
                </c:pt>
                <c:pt idx="39">
                  <c:v>10</c:v>
                </c:pt>
                <c:pt idx="40">
                  <c:v>10.25</c:v>
                </c:pt>
                <c:pt idx="41">
                  <c:v>10.5</c:v>
                </c:pt>
                <c:pt idx="42">
                  <c:v>10.75</c:v>
                </c:pt>
                <c:pt idx="43">
                  <c:v>11</c:v>
                </c:pt>
                <c:pt idx="44">
                  <c:v>11.25</c:v>
                </c:pt>
                <c:pt idx="45">
                  <c:v>11.5</c:v>
                </c:pt>
              </c:numCache>
            </c:numRef>
          </c:xVal>
          <c:yVal>
            <c:numRef>
              <c:f>Burnrate!$P$9:$P$54</c:f>
              <c:numCache>
                <c:formatCode>General</c:formatCode>
                <c:ptCount val="46"/>
                <c:pt idx="0">
                  <c:v>2.1325053799737348</c:v>
                </c:pt>
                <c:pt idx="1">
                  <c:v>3.7612688985091727</c:v>
                </c:pt>
                <c:pt idx="2">
                  <c:v>5.7777967355870876</c:v>
                </c:pt>
                <c:pt idx="3">
                  <c:v>7.6036003680458659</c:v>
                </c:pt>
                <c:pt idx="4">
                  <c:v>7.5509061978369258</c:v>
                </c:pt>
                <c:pt idx="5">
                  <c:v>7.5366320912941802</c:v>
                </c:pt>
                <c:pt idx="6">
                  <c:v>7.5249348438442505</c:v>
                </c:pt>
                <c:pt idx="7">
                  <c:v>7.5150272244598799</c:v>
                </c:pt>
                <c:pt idx="8">
                  <c:v>7.5064351188758884</c:v>
                </c:pt>
                <c:pt idx="9">
                  <c:v>7.4988508095539634</c:v>
                </c:pt>
                <c:pt idx="10">
                  <c:v>7.3583290655181441</c:v>
                </c:pt>
                <c:pt idx="11">
                  <c:v>7.8433945471532729</c:v>
                </c:pt>
                <c:pt idx="12">
                  <c:v>8.3152250095321865</c:v>
                </c:pt>
                <c:pt idx="13">
                  <c:v>8.7752187637091339</c:v>
                </c:pt>
                <c:pt idx="14">
                  <c:v>9.2245329836184613</c:v>
                </c:pt>
                <c:pt idx="15">
                  <c:v>9.6641391797676466</c:v>
                </c:pt>
                <c:pt idx="16">
                  <c:v>10.094863127774543</c:v>
                </c:pt>
                <c:pt idx="17">
                  <c:v>10.517414293326143</c:v>
                </c:pt>
                <c:pt idx="18">
                  <c:v>10.932407963195997</c:v>
                </c:pt>
                <c:pt idx="19">
                  <c:v>11.340382189469967</c:v>
                </c:pt>
                <c:pt idx="20">
                  <c:v>11.741810967849634</c:v>
                </c:pt>
                <c:pt idx="21">
                  <c:v>12.137114630927718</c:v>
                </c:pt>
                <c:pt idx="22">
                  <c:v>12.526668147844054</c:v>
                </c:pt>
                <c:pt idx="23">
                  <c:v>13.217360622834429</c:v>
                </c:pt>
                <c:pt idx="24">
                  <c:v>13.136774539884957</c:v>
                </c:pt>
                <c:pt idx="25">
                  <c:v>13.059847161795481</c:v>
                </c:pt>
                <c:pt idx="26">
                  <c:v>12.986279488740509</c:v>
                </c:pt>
                <c:pt idx="27">
                  <c:v>12.915807022080093</c:v>
                </c:pt>
                <c:pt idx="28">
                  <c:v>12.848194703751872</c:v>
                </c:pt>
                <c:pt idx="29">
                  <c:v>12.783232745506083</c:v>
                </c:pt>
                <c:pt idx="30">
                  <c:v>12.720733167280462</c:v>
                </c:pt>
                <c:pt idx="31">
                  <c:v>12.660526905315331</c:v>
                </c:pt>
                <c:pt idx="32">
                  <c:v>12.602461381483874</c:v>
                </c:pt>
                <c:pt idx="33">
                  <c:v>12.531042318830446</c:v>
                </c:pt>
                <c:pt idx="34">
                  <c:v>12.447445669176275</c:v>
                </c:pt>
                <c:pt idx="35">
                  <c:v>12.603297815275388</c:v>
                </c:pt>
                <c:pt idx="36">
                  <c:v>12.756751208083816</c:v>
                </c:pt>
                <c:pt idx="37">
                  <c:v>12.907906140183</c:v>
                </c:pt>
                <c:pt idx="38">
                  <c:v>13.056856199302223</c:v>
                </c:pt>
                <c:pt idx="39">
                  <c:v>13.203688875937655</c:v>
                </c:pt>
                <c:pt idx="40">
                  <c:v>13.348486102178473</c:v>
                </c:pt>
                <c:pt idx="41">
                  <c:v>13.491324731007724</c:v>
                </c:pt>
                <c:pt idx="42">
                  <c:v>13.632276963907207</c:v>
                </c:pt>
                <c:pt idx="43">
                  <c:v>13.771410733408681</c:v>
                </c:pt>
                <c:pt idx="44">
                  <c:v>13.908790046249266</c:v>
                </c:pt>
                <c:pt idx="45">
                  <c:v>14.044475291969215</c:v>
                </c:pt>
              </c:numCache>
            </c:numRef>
          </c:yVal>
          <c:smooth val="0"/>
        </c:ser>
        <c:ser>
          <c:idx val="1"/>
          <c:order val="1"/>
          <c:tx>
            <c:v>KNSB fine</c:v>
          </c:tx>
          <c:spPr>
            <a:ln w="19050">
              <a:solidFill>
                <a:srgbClr val="7030A0"/>
              </a:solidFill>
              <a:prstDash val="solid"/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Burnrate!$U$9:$U$83</c:f>
              <c:numCache>
                <c:formatCode>General</c:formatCode>
                <c:ptCount val="75"/>
                <c:pt idx="0">
                  <c:v>2.5961439795794132</c:v>
                </c:pt>
                <c:pt idx="1">
                  <c:v>4.5095242519879797</c:v>
                </c:pt>
                <c:pt idx="2">
                  <c:v>6.0172969584618192</c:v>
                </c:pt>
                <c:pt idx="3">
                  <c:v>7.3244229711811482</c:v>
                </c:pt>
                <c:pt idx="4">
                  <c:v>8.5038132745340107</c:v>
                </c:pt>
                <c:pt idx="5">
                  <c:v>9.3740448526367466</c:v>
                </c:pt>
                <c:pt idx="6">
                  <c:v>8.8939071755279144</c:v>
                </c:pt>
                <c:pt idx="7">
                  <c:v>8.5023135353635624</c:v>
                </c:pt>
                <c:pt idx="8">
                  <c:v>8.1740270219434006</c:v>
                </c:pt>
                <c:pt idx="9">
                  <c:v>7.8929886040141852</c:v>
                </c:pt>
                <c:pt idx="10">
                  <c:v>7.7102095237583672</c:v>
                </c:pt>
                <c:pt idx="11">
                  <c:v>7.801213608674356</c:v>
                </c:pt>
                <c:pt idx="12">
                  <c:v>7.7925632490984515</c:v>
                </c:pt>
                <c:pt idx="13">
                  <c:v>7.7846019298594484</c:v>
                </c:pt>
                <c:pt idx="14">
                  <c:v>7.7772284917136059</c:v>
                </c:pt>
                <c:pt idx="15">
                  <c:v>7.7703625013564839</c:v>
                </c:pt>
                <c:pt idx="16">
                  <c:v>7.7639389539880135</c:v>
                </c:pt>
                <c:pt idx="17">
                  <c:v>7.7579045664627335</c:v>
                </c:pt>
                <c:pt idx="18">
                  <c:v>7.7522151204058236</c:v>
                </c:pt>
                <c:pt idx="19">
                  <c:v>7.7468335175651957</c:v>
                </c:pt>
                <c:pt idx="20">
                  <c:v>7.7417283299614903</c:v>
                </c:pt>
                <c:pt idx="21">
                  <c:v>7.7368727010922083</c:v>
                </c:pt>
                <c:pt idx="22">
                  <c:v>7.7322435009134436</c:v>
                </c:pt>
                <c:pt idx="23">
                  <c:v>7.7278206673804695</c:v>
                </c:pt>
                <c:pt idx="24">
                  <c:v>7.723586687220636</c:v>
                </c:pt>
                <c:pt idx="25">
                  <c:v>7.7172784893185353</c:v>
                </c:pt>
                <c:pt idx="26">
                  <c:v>8.1393047534918015</c:v>
                </c:pt>
                <c:pt idx="27">
                  <c:v>8.3005486392322965</c:v>
                </c:pt>
                <c:pt idx="28">
                  <c:v>8.4591190785716908</c:v>
                </c:pt>
                <c:pt idx="29">
                  <c:v>8.6151510103659632</c:v>
                </c:pt>
                <c:pt idx="30">
                  <c:v>8.7687682925235677</c:v>
                </c:pt>
                <c:pt idx="31">
                  <c:v>8.9200849400797466</c:v>
                </c:pt>
                <c:pt idx="32">
                  <c:v>9.069206190561534</c:v>
                </c:pt>
                <c:pt idx="33">
                  <c:v>9.2162294252424335</c:v>
                </c:pt>
                <c:pt idx="34">
                  <c:v>9.3612449694474318</c:v>
                </c:pt>
                <c:pt idx="35">
                  <c:v>9.5043367907911236</c:v>
                </c:pt>
                <c:pt idx="36">
                  <c:v>9.6455831108406453</c:v>
                </c:pt>
                <c:pt idx="37">
                  <c:v>9.7850569429885326</c:v>
                </c:pt>
                <c:pt idx="38">
                  <c:v>9.9228265671455205</c:v>
                </c:pt>
                <c:pt idx="39">
                  <c:v>10.05895595010481</c:v>
                </c:pt>
                <c:pt idx="40">
                  <c:v>10.193505118998692</c:v>
                </c:pt>
                <c:pt idx="41">
                  <c:v>10.326530494098591</c:v>
                </c:pt>
                <c:pt idx="42">
                  <c:v>10.458085186247397</c:v>
                </c:pt>
                <c:pt idx="43">
                  <c:v>10.58821926341796</c:v>
                </c:pt>
                <c:pt idx="44">
                  <c:v>10.716979990231412</c:v>
                </c:pt>
                <c:pt idx="45">
                  <c:v>10.84441204371837</c:v>
                </c:pt>
                <c:pt idx="46">
                  <c:v>10.970557708144641</c:v>
                </c:pt>
                <c:pt idx="47">
                  <c:v>10.932488733891011</c:v>
                </c:pt>
                <c:pt idx="48">
                  <c:v>10.946926612745623</c:v>
                </c:pt>
                <c:pt idx="49">
                  <c:v>10.961090363496956</c:v>
                </c:pt>
                <c:pt idx="50">
                  <c:v>10.97499053683531</c:v>
                </c:pt>
                <c:pt idx="51">
                  <c:v>10.988637079627617</c:v>
                </c:pt>
                <c:pt idx="52">
                  <c:v>11.0020393803598</c:v>
                </c:pt>
                <c:pt idx="53">
                  <c:v>11.015206310370765</c:v>
                </c:pt>
                <c:pt idx="54">
                  <c:v>11.028146261338042</c:v>
                </c:pt>
                <c:pt idx="55">
                  <c:v>11.040867179417527</c:v>
                </c:pt>
                <c:pt idx="56">
                  <c:v>11.053376596390002</c:v>
                </c:pt>
                <c:pt idx="57">
                  <c:v>11.065681658124634</c:v>
                </c:pt>
                <c:pt idx="58">
                  <c:v>11.077789150632556</c:v>
                </c:pt>
                <c:pt idx="59">
                  <c:v>11.089705523951828</c:v>
                </c:pt>
                <c:pt idx="60">
                  <c:v>11.101436914077221</c:v>
                </c:pt>
                <c:pt idx="61">
                  <c:v>11.112989163124192</c:v>
                </c:pt>
                <c:pt idx="62">
                  <c:v>11.124367837895285</c:v>
                </c:pt>
                <c:pt idx="63">
                  <c:v>11.135578246998753</c:v>
                </c:pt>
                <c:pt idx="64">
                  <c:v>11.146625456653096</c:v>
                </c:pt>
                <c:pt idx="65">
                  <c:v>11.157514305296953</c:v>
                </c:pt>
                <c:pt idx="66">
                  <c:v>11.168249417111291</c:v>
                </c:pt>
                <c:pt idx="67">
                  <c:v>11.178835214549855</c:v>
                </c:pt>
                <c:pt idx="68">
                  <c:v>11.189275929964063</c:v>
                </c:pt>
                <c:pt idx="69">
                  <c:v>11.19957561639991</c:v>
                </c:pt>
                <c:pt idx="70">
                  <c:v>11.209738157636787</c:v>
                </c:pt>
                <c:pt idx="71">
                  <c:v>11.219767277531348</c:v>
                </c:pt>
                <c:pt idx="72">
                  <c:v>11.22966654872347</c:v>
                </c:pt>
                <c:pt idx="73">
                  <c:v>11.239439400755961</c:v>
                </c:pt>
                <c:pt idx="74">
                  <c:v>11.249089127654859</c:v>
                </c:pt>
              </c:numCache>
            </c:numRef>
          </c:yVal>
          <c:smooth val="0"/>
        </c:ser>
        <c:ser>
          <c:idx val="2"/>
          <c:order val="2"/>
          <c:tx>
            <c:v>KNSB/KNER Coarse</c:v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Burnrate!$X$9:$X$83</c:f>
              <c:numCache>
                <c:formatCode>General</c:formatCode>
                <c:ptCount val="75"/>
                <c:pt idx="0">
                  <c:v>3.1146140765372103</c:v>
                </c:pt>
                <c:pt idx="1">
                  <c:v>3.7831631063172546</c:v>
                </c:pt>
                <c:pt idx="2">
                  <c:v>4.1876611638803078</c:v>
                </c:pt>
                <c:pt idx="3">
                  <c:v>4.4878351897905322</c:v>
                </c:pt>
                <c:pt idx="4">
                  <c:v>4.7301144132054924</c:v>
                </c:pt>
                <c:pt idx="5">
                  <c:v>4.8936121159802841</c:v>
                </c:pt>
                <c:pt idx="6">
                  <c:v>5.0771267720387012</c:v>
                </c:pt>
                <c:pt idx="7">
                  <c:v>5.2397501080146469</c:v>
                </c:pt>
                <c:pt idx="8">
                  <c:v>5.3862260238248547</c:v>
                </c:pt>
                <c:pt idx="9">
                  <c:v>5.5198044312655083</c:v>
                </c:pt>
                <c:pt idx="10">
                  <c:v>5.6111042914110296</c:v>
                </c:pt>
                <c:pt idx="11">
                  <c:v>5.7274833168357899</c:v>
                </c:pt>
                <c:pt idx="12">
                  <c:v>5.8360357294929761</c:v>
                </c:pt>
                <c:pt idx="13">
                  <c:v>5.937868048236747</c:v>
                </c:pt>
                <c:pt idx="14">
                  <c:v>6.0338603202130594</c:v>
                </c:pt>
                <c:pt idx="15">
                  <c:v>6.1247248523620117</c:v>
                </c:pt>
                <c:pt idx="16">
                  <c:v>6.2110469116140763</c:v>
                </c:pt>
                <c:pt idx="17">
                  <c:v>6.2933136860522163</c:v>
                </c:pt>
                <c:pt idx="18">
                  <c:v>6.371935369505298</c:v>
                </c:pt>
                <c:pt idx="19">
                  <c:v>6.4472608211874141</c:v>
                </c:pt>
                <c:pt idx="20">
                  <c:v>6.5195894024173873</c:v>
                </c:pt>
                <c:pt idx="21">
                  <c:v>6.589180064357417</c:v>
                </c:pt>
                <c:pt idx="22">
                  <c:v>6.6562584231512005</c:v>
                </c:pt>
                <c:pt idx="23">
                  <c:v>6.7210223376619975</c:v>
                </c:pt>
                <c:pt idx="24">
                  <c:v>6.7836463568428407</c:v>
                </c:pt>
                <c:pt idx="25">
                  <c:v>6.8780986019197048</c:v>
                </c:pt>
                <c:pt idx="26">
                  <c:v>6.9358913427372242</c:v>
                </c:pt>
                <c:pt idx="27">
                  <c:v>6.9920255211013549</c:v>
                </c:pt>
                <c:pt idx="28">
                  <c:v>7.0466059172433386</c:v>
                </c:pt>
                <c:pt idx="29">
                  <c:v>7.0997273261921308</c:v>
                </c:pt>
                <c:pt idx="30">
                  <c:v>7.1514758088742738</c:v>
                </c:pt>
                <c:pt idx="31">
                  <c:v>7.2019297513263716</c:v>
                </c:pt>
                <c:pt idx="32">
                  <c:v>7.2511607665049107</c:v>
                </c:pt>
                <c:pt idx="33">
                  <c:v>7.2992344661271771</c:v>
                </c:pt>
                <c:pt idx="34">
                  <c:v>7.3462111245320374</c:v>
                </c:pt>
                <c:pt idx="35">
                  <c:v>7.3921462523092965</c:v>
                </c:pt>
                <c:pt idx="36">
                  <c:v>7.4370910941186619</c:v>
                </c:pt>
                <c:pt idx="37">
                  <c:v>7.4810930624882701</c:v>
                </c:pt>
                <c:pt idx="38">
                  <c:v>7.5241961172882137</c:v>
                </c:pt>
                <c:pt idx="39">
                  <c:v>7.566441098895984</c:v>
                </c:pt>
                <c:pt idx="40">
                  <c:v>7.6078660217174825</c:v>
                </c:pt>
                <c:pt idx="41">
                  <c:v>7.6485063336296886</c:v>
                </c:pt>
                <c:pt idx="42">
                  <c:v>7.6883951460161137</c:v>
                </c:pt>
                <c:pt idx="43">
                  <c:v>7.7275634383324352</c:v>
                </c:pt>
                <c:pt idx="44">
                  <c:v>7.7660402405353262</c:v>
                </c:pt>
                <c:pt idx="45">
                  <c:v>7.8038527962071509</c:v>
                </c:pt>
                <c:pt idx="46">
                  <c:v>7.8410267087931862</c:v>
                </c:pt>
                <c:pt idx="47">
                  <c:v>7.8793120581569127</c:v>
                </c:pt>
                <c:pt idx="48">
                  <c:v>7.9152519394326157</c:v>
                </c:pt>
                <c:pt idx="49">
                  <c:v>7.9506223873730706</c:v>
                </c:pt>
                <c:pt idx="50">
                  <c:v>7.9854435818622189</c:v>
                </c:pt>
                <c:pt idx="51">
                  <c:v>8.0197346076317295</c:v>
                </c:pt>
                <c:pt idx="52">
                  <c:v>8.0535135335288697</c:v>
                </c:pt>
                <c:pt idx="53">
                  <c:v>8.0867974846651229</c:v>
                </c:pt>
                <c:pt idx="54">
                  <c:v>8.1196027082045017</c:v>
                </c:pt>
                <c:pt idx="55">
                  <c:v>8.1519446334572692</c:v>
                </c:pt>
                <c:pt idx="56">
                  <c:v>8.18383792686455</c:v>
                </c:pt>
                <c:pt idx="57">
                  <c:v>8.2152965423899076</c:v>
                </c:pt>
                <c:pt idx="58">
                  <c:v>8.2463337677738693</c:v>
                </c:pt>
                <c:pt idx="59">
                  <c:v>8.2769622670551541</c:v>
                </c:pt>
                <c:pt idx="60">
                  <c:v>8.3071941197169767</c:v>
                </c:pt>
                <c:pt idx="61">
                  <c:v>8.3370408567769818</c:v>
                </c:pt>
                <c:pt idx="62">
                  <c:v>8.3665134941047885</c:v>
                </c:pt>
                <c:pt idx="63">
                  <c:v>8.3956225632205825</c:v>
                </c:pt>
                <c:pt idx="64">
                  <c:v>8.4243781398014583</c:v>
                </c:pt>
                <c:pt idx="65">
                  <c:v>8.4527898700986448</c:v>
                </c:pt>
                <c:pt idx="66">
                  <c:v>8.4808669954479772</c:v>
                </c:pt>
                <c:pt idx="67">
                  <c:v>8.5086183750375515</c:v>
                </c:pt>
                <c:pt idx="68">
                  <c:v>8.5360525070802016</c:v>
                </c:pt>
                <c:pt idx="69">
                  <c:v>8.563177548524024</c:v>
                </c:pt>
                <c:pt idx="70">
                  <c:v>8.5900013334212488</c:v>
                </c:pt>
                <c:pt idx="71">
                  <c:v>8.6165313900643685</c:v>
                </c:pt>
                <c:pt idx="72">
                  <c:v>8.6427749569881502</c:v>
                </c:pt>
                <c:pt idx="73">
                  <c:v>8.6687389979270772</c:v>
                </c:pt>
                <c:pt idx="74">
                  <c:v>8.6944302158095503</c:v>
                </c:pt>
              </c:numCache>
            </c:numRef>
          </c:yVal>
          <c:smooth val="1"/>
        </c:ser>
        <c:ser>
          <c:idx val="3"/>
          <c:order val="3"/>
          <c:tx>
            <c:v>KNSU</c:v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Burnrate!$AA$9:$AA$83</c:f>
              <c:numCache>
                <c:formatCode>General</c:formatCode>
                <c:ptCount val="75"/>
                <c:pt idx="0">
                  <c:v>4.0063235406169513</c:v>
                </c:pt>
                <c:pt idx="1">
                  <c:v>5.3112863117496252</c:v>
                </c:pt>
                <c:pt idx="2">
                  <c:v>6.154157302027957</c:v>
                </c:pt>
                <c:pt idx="3">
                  <c:v>6.8039853892487088</c:v>
                </c:pt>
                <c:pt idx="4">
                  <c:v>7.3430038203476196</c:v>
                </c:pt>
                <c:pt idx="5">
                  <c:v>7.7138769158553897</c:v>
                </c:pt>
                <c:pt idx="6">
                  <c:v>8.1368437956329398</c:v>
                </c:pt>
                <c:pt idx="7">
                  <c:v>8.5174619489981307</c:v>
                </c:pt>
                <c:pt idx="8">
                  <c:v>8.8648726296577909</c:v>
                </c:pt>
                <c:pt idx="9">
                  <c:v>9.1854242404966282</c:v>
                </c:pt>
                <c:pt idx="10">
                  <c:v>9.4065412024390511</c:v>
                </c:pt>
                <c:pt idx="11">
                  <c:v>9.6907507955007954</c:v>
                </c:pt>
                <c:pt idx="12">
                  <c:v>9.9582009066836878</c:v>
                </c:pt>
                <c:pt idx="13">
                  <c:v>10.211138208716385</c:v>
                </c:pt>
                <c:pt idx="14">
                  <c:v>10.451364245048202</c:v>
                </c:pt>
                <c:pt idx="15">
                  <c:v>10.680348243691963</c:v>
                </c:pt>
                <c:pt idx="16">
                  <c:v>10.899305898790347</c:v>
                </c:pt>
                <c:pt idx="17">
                  <c:v>11.109255829876441</c:v>
                </c:pt>
                <c:pt idx="18">
                  <c:v>11.311060959363074</c:v>
                </c:pt>
                <c:pt idx="19">
                  <c:v>11.505459435177105</c:v>
                </c:pt>
                <c:pt idx="20">
                  <c:v>11.693088141181613</c:v>
                </c:pt>
                <c:pt idx="21">
                  <c:v>11.874500847160288</c:v>
                </c:pt>
                <c:pt idx="22">
                  <c:v>12.050182413095706</c:v>
                </c:pt>
                <c:pt idx="23">
                  <c:v>12.220560042775332</c:v>
                </c:pt>
                <c:pt idx="24">
                  <c:v>12.38601229914714</c:v>
                </c:pt>
                <c:pt idx="25">
                  <c:v>12.636856219276774</c:v>
                </c:pt>
                <c:pt idx="26">
                  <c:v>12.791108275097109</c:v>
                </c:pt>
                <c:pt idx="27">
                  <c:v>12.94148832547007</c:v>
                </c:pt>
                <c:pt idx="28">
                  <c:v>13.088227790813562</c:v>
                </c:pt>
                <c:pt idx="29">
                  <c:v>13.231536786637625</c:v>
                </c:pt>
                <c:pt idx="30">
                  <c:v>13.371606727397856</c:v>
                </c:pt>
                <c:pt idx="31">
                  <c:v>13.508612538615981</c:v>
                </c:pt>
                <c:pt idx="32">
                  <c:v>13.642714546571433</c:v>
                </c:pt>
                <c:pt idx="33">
                  <c:v>13.774060100882698</c:v>
                </c:pt>
                <c:pt idx="34">
                  <c:v>13.902784974461726</c:v>
                </c:pt>
                <c:pt idx="35">
                  <c:v>14.029014576860025</c:v>
                </c:pt>
                <c:pt idx="36">
                  <c:v>14.15286501036107</c:v>
                </c:pt>
                <c:pt idx="37">
                  <c:v>14.274443992889061</c:v>
                </c:pt>
                <c:pt idx="38">
                  <c:v>14.393851667584638</c:v>
                </c:pt>
                <c:pt idx="39">
                  <c:v>14.511181315507365</c:v>
                </c:pt>
                <c:pt idx="40">
                  <c:v>14.626519985183409</c:v>
                </c:pt>
                <c:pt idx="41">
                  <c:v>14.739949050487544</c:v>
                </c:pt>
                <c:pt idx="42">
                  <c:v>14.851544706526093</c:v>
                </c:pt>
                <c:pt idx="43">
                  <c:v>14.961378411689379</c:v>
                </c:pt>
                <c:pt idx="44">
                  <c:v>15.069517282805291</c:v>
                </c:pt>
                <c:pt idx="45">
                  <c:v>15.17602444929908</c:v>
                </c:pt>
                <c:pt idx="46">
                  <c:v>15.280959371408951</c:v>
                </c:pt>
                <c:pt idx="47">
                  <c:v>15.389265924804342</c:v>
                </c:pt>
                <c:pt idx="48">
                  <c:v>15.491153061205791</c:v>
                </c:pt>
                <c:pt idx="49">
                  <c:v>15.591629364312524</c:v>
                </c:pt>
                <c:pt idx="50">
                  <c:v>15.6907420980202</c:v>
                </c:pt>
                <c:pt idx="51">
                  <c:v>15.788536050167133</c:v>
                </c:pt>
                <c:pt idx="52">
                  <c:v>15.885053707226641</c:v>
                </c:pt>
                <c:pt idx="53">
                  <c:v>15.980335413620324</c:v>
                </c:pt>
                <c:pt idx="54">
                  <c:v>16.074419517265053</c:v>
                </c:pt>
                <c:pt idx="55">
                  <c:v>16.167342502771259</c:v>
                </c:pt>
                <c:pt idx="56">
                  <c:v>16.259139113541448</c:v>
                </c:pt>
                <c:pt idx="57">
                  <c:v>16.349842463871937</c:v>
                </c:pt>
                <c:pt idx="58">
                  <c:v>16.439484142034068</c:v>
                </c:pt>
                <c:pt idx="59">
                  <c:v>16.528094305200984</c:v>
                </c:pt>
                <c:pt idx="60">
                  <c:v>16.615701766989869</c:v>
                </c:pt>
                <c:pt idx="61">
                  <c:v>16.702334078305423</c:v>
                </c:pt>
                <c:pt idx="62">
                  <c:v>16.788017602096723</c:v>
                </c:pt>
                <c:pt idx="63">
                  <c:v>16.87277758257477</c:v>
                </c:pt>
                <c:pt idx="64">
                  <c:v>16.956638209381165</c:v>
                </c:pt>
                <c:pt idx="65">
                  <c:v>17.039622677148028</c:v>
                </c:pt>
                <c:pt idx="66">
                  <c:v>17.121753240844736</c:v>
                </c:pt>
                <c:pt idx="67">
                  <c:v>17.203051267267902</c:v>
                </c:pt>
                <c:pt idx="68">
                  <c:v>17.28353728299594</c:v>
                </c:pt>
                <c:pt idx="69">
                  <c:v>17.363231019098606</c:v>
                </c:pt>
                <c:pt idx="70">
                  <c:v>17.442151452864127</c:v>
                </c:pt>
                <c:pt idx="71">
                  <c:v>17.520316846782137</c:v>
                </c:pt>
                <c:pt idx="72">
                  <c:v>17.597744784998241</c:v>
                </c:pt>
                <c:pt idx="73">
                  <c:v>17.674452207436644</c:v>
                </c:pt>
                <c:pt idx="74">
                  <c:v>17.750455441769379</c:v>
                </c:pt>
              </c:numCache>
            </c:numRef>
          </c:yVal>
          <c:smooth val="1"/>
        </c:ser>
        <c:ser>
          <c:idx val="4"/>
          <c:order val="4"/>
          <c:tx>
            <c:v>KNER Coarse</c:v>
          </c:tx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Burnrate!$AD$9:$AD$83</c:f>
              <c:numCache>
                <c:formatCode>General</c:formatCode>
                <c:ptCount val="75"/>
                <c:pt idx="0">
                  <c:v>1.1705073303177296</c:v>
                </c:pt>
                <c:pt idx="1">
                  <c:v>1.6669443061951288</c:v>
                </c:pt>
                <c:pt idx="2">
                  <c:v>2.0050852910630397</c:v>
                </c:pt>
                <c:pt idx="3">
                  <c:v>2.2740350358343679</c:v>
                </c:pt>
                <c:pt idx="4">
                  <c:v>2.502158816479831</c:v>
                </c:pt>
                <c:pt idx="5">
                  <c:v>2.6616283381672599</c:v>
                </c:pt>
                <c:pt idx="6">
                  <c:v>2.8458850077329401</c:v>
                </c:pt>
                <c:pt idx="7">
                  <c:v>3.0137895695176322</c:v>
                </c:pt>
                <c:pt idx="8">
                  <c:v>3.1687197595398047</c:v>
                </c:pt>
                <c:pt idx="9">
                  <c:v>3.3130476405669254</c:v>
                </c:pt>
                <c:pt idx="10">
                  <c:v>3.4133560332957864</c:v>
                </c:pt>
                <c:pt idx="11">
                  <c:v>3.5431666180067785</c:v>
                </c:pt>
                <c:pt idx="12">
                  <c:v>3.6662090804915897</c:v>
                </c:pt>
                <c:pt idx="13">
                  <c:v>3.7833498443975704</c:v>
                </c:pt>
                <c:pt idx="14">
                  <c:v>3.8952883413514137</c:v>
                </c:pt>
                <c:pt idx="15">
                  <c:v>4.002598522988575</c:v>
                </c:pt>
                <c:pt idx="16">
                  <c:v>4.1057580328790628</c:v>
                </c:pt>
                <c:pt idx="17">
                  <c:v>4.2051692348090439</c:v>
                </c:pt>
                <c:pt idx="18">
                  <c:v>4.3011747076556706</c:v>
                </c:pt>
                <c:pt idx="19">
                  <c:v>4.3940688841132829</c:v>
                </c:pt>
                <c:pt idx="20">
                  <c:v>4.4841069419350692</c:v>
                </c:pt>
                <c:pt idx="21">
                  <c:v>4.5715116989344065</c:v>
                </c:pt>
                <c:pt idx="22">
                  <c:v>4.6564790321090843</c:v>
                </c:pt>
                <c:pt idx="23">
                  <c:v>4.7391821884610827</c:v>
                </c:pt>
                <c:pt idx="24">
                  <c:v>4.819775251764181</c:v>
                </c:pt>
                <c:pt idx="25">
                  <c:v>4.9424846520138512</c:v>
                </c:pt>
                <c:pt idx="26">
                  <c:v>5.0182511202694222</c:v>
                </c:pt>
                <c:pt idx="27">
                  <c:v>5.0923394178357002</c:v>
                </c:pt>
                <c:pt idx="28">
                  <c:v>5.1648451506439796</c:v>
                </c:pt>
                <c:pt idx="29">
                  <c:v>5.2358553768711609</c:v>
                </c:pt>
                <c:pt idx="30">
                  <c:v>5.3054496300473195</c:v>
                </c:pt>
                <c:pt idx="31">
                  <c:v>5.3737007907047829</c:v>
                </c:pt>
                <c:pt idx="32">
                  <c:v>5.4406758330164502</c:v>
                </c:pt>
                <c:pt idx="33">
                  <c:v>5.5064364675921631</c:v>
                </c:pt>
                <c:pt idx="34">
                  <c:v>5.5710396975007379</c:v>
                </c:pt>
                <c:pt idx="35">
                  <c:v>5.6345383013730448</c:v>
                </c:pt>
                <c:pt idx="36">
                  <c:v>5.6969812549062393</c:v>
                </c:pt>
                <c:pt idx="37">
                  <c:v>5.7584141000737281</c:v>
                </c:pt>
                <c:pt idx="38">
                  <c:v>5.8188792697324221</c:v>
                </c:pt>
                <c:pt idx="39">
                  <c:v>5.8784163740195217</c:v>
                </c:pt>
                <c:pt idx="40">
                  <c:v>5.9370624538782817</c:v>
                </c:pt>
                <c:pt idx="41">
                  <c:v>5.9948522061941407</c:v>
                </c:pt>
                <c:pt idx="42">
                  <c:v>6.0518181843196643</c:v>
                </c:pt>
                <c:pt idx="43">
                  <c:v>6.1079909771877627</c:v>
                </c:pt>
                <c:pt idx="44">
                  <c:v>6.1633993697335185</c:v>
                </c:pt>
                <c:pt idx="45">
                  <c:v>6.2180704869466865</c:v>
                </c:pt>
                <c:pt idx="46">
                  <c:v>6.2720299235442489</c:v>
                </c:pt>
                <c:pt idx="47">
                  <c:v>6.3278218658739025</c:v>
                </c:pt>
                <c:pt idx="48">
                  <c:v>6.3803980788639256</c:v>
                </c:pt>
                <c:pt idx="49">
                  <c:v>6.4323323319313559</c:v>
                </c:pt>
                <c:pt idx="50">
                  <c:v>6.4836451115017439</c:v>
                </c:pt>
                <c:pt idx="51">
                  <c:v>6.5343558623541309</c:v>
                </c:pt>
                <c:pt idx="52">
                  <c:v>6.5844830595512249</c:v>
                </c:pt>
                <c:pt idx="53">
                  <c:v>6.6340442741419654</c:v>
                </c:pt>
                <c:pt idx="54">
                  <c:v>6.683056233280726</c:v>
                </c:pt>
                <c:pt idx="55">
                  <c:v>6.7315348753303219</c:v>
                </c:pt>
                <c:pt idx="56">
                  <c:v>6.7794954004493073</c:v>
                </c:pt>
                <c:pt idx="57">
                  <c:v>6.8269523171061817</c:v>
                </c:pt>
                <c:pt idx="58">
                  <c:v>6.8739194849129204</c:v>
                </c:pt>
                <c:pt idx="59">
                  <c:v>6.9204101541263778</c:v>
                </c:pt>
                <c:pt idx="60">
                  <c:v>6.9664370021279289</c:v>
                </c:pt>
                <c:pt idx="61">
                  <c:v>7.0120121671581304</c:v>
                </c:pt>
                <c:pt idx="62">
                  <c:v>7.057147279553841</c:v>
                </c:pt>
                <c:pt idx="63">
                  <c:v>7.1018534907093276</c:v>
                </c:pt>
                <c:pt idx="64">
                  <c:v>7.1461414999601116</c:v>
                </c:pt>
                <c:pt idx="65">
                  <c:v>7.1900215795681497</c:v>
                </c:pt>
                <c:pt idx="66">
                  <c:v>7.2335035979691371</c:v>
                </c:pt>
                <c:pt idx="67">
                  <c:v>7.2765970414268999</c:v>
                </c:pt>
                <c:pt idx="68">
                  <c:v>7.3193110342258034</c:v>
                </c:pt>
                <c:pt idx="69">
                  <c:v>7.3616543575196065</c:v>
                </c:pt>
                <c:pt idx="70">
                  <c:v>7.4036354669440323</c:v>
                </c:pt>
                <c:pt idx="71">
                  <c:v>7.4452625090904112</c:v>
                </c:pt>
                <c:pt idx="72">
                  <c:v>7.4865433369287784</c:v>
                </c:pt>
                <c:pt idx="73">
                  <c:v>7.5274855242609071</c:v>
                </c:pt>
                <c:pt idx="74">
                  <c:v>7.5680963792765219</c:v>
                </c:pt>
              </c:numCache>
            </c:numRef>
          </c:yVal>
          <c:smooth val="1"/>
        </c:ser>
        <c:ser>
          <c:idx val="5"/>
          <c:order val="5"/>
          <c:tx>
            <c:v>KNFR</c:v>
          </c:tx>
          <c:spPr>
            <a:ln w="25400"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Burnrate!$AJ$9:$AJ$83</c:f>
              <c:numCache>
                <c:formatCode>General</c:formatCode>
                <c:ptCount val="75"/>
                <c:pt idx="0">
                  <c:v>4.1972690333403282</c:v>
                </c:pt>
                <c:pt idx="1">
                  <c:v>2.7249881072410118</c:v>
                </c:pt>
                <c:pt idx="2">
                  <c:v>5.8757864446362271</c:v>
                </c:pt>
                <c:pt idx="3">
                  <c:v>6.3566923165906974</c:v>
                </c:pt>
                <c:pt idx="4">
                  <c:v>6.7480729027969204</c:v>
                </c:pt>
                <c:pt idx="5">
                  <c:v>7.013747120498742</c:v>
                </c:pt>
                <c:pt idx="6">
                  <c:v>7.3133913440034917</c:v>
                </c:pt>
                <c:pt idx="7">
                  <c:v>7.5801630853860091</c:v>
                </c:pt>
                <c:pt idx="8">
                  <c:v>7.8214156508743988</c:v>
                </c:pt>
                <c:pt idx="9">
                  <c:v>8.0422074505158729</c:v>
                </c:pt>
                <c:pt idx="10">
                  <c:v>8.1935378614209071</c:v>
                </c:pt>
                <c:pt idx="11">
                  <c:v>8.3869239653624046</c:v>
                </c:pt>
                <c:pt idx="12">
                  <c:v>8.5677885359303758</c:v>
                </c:pt>
                <c:pt idx="13">
                  <c:v>8.7378741404185103</c:v>
                </c:pt>
                <c:pt idx="14">
                  <c:v>8.8985701392664716</c:v>
                </c:pt>
                <c:pt idx="15">
                  <c:v>9.051003655134167</c:v>
                </c:pt>
                <c:pt idx="16">
                  <c:v>9.1961027603038037</c:v>
                </c:pt>
                <c:pt idx="17">
                  <c:v>9.3346415362260817</c:v>
                </c:pt>
                <c:pt idx="18">
                  <c:v>9.4672729442092223</c:v>
                </c:pt>
                <c:pt idx="19">
                  <c:v>9.5945532846241601</c:v>
                </c:pt>
                <c:pt idx="20">
                  <c:v>9.7169607177155495</c:v>
                </c:pt>
                <c:pt idx="21">
                  <c:v>9.8349095068547836</c:v>
                </c:pt>
                <c:pt idx="22">
                  <c:v>9.9487611249664454</c:v>
                </c:pt>
                <c:pt idx="23">
                  <c:v>10.058833023504658</c:v>
                </c:pt>
                <c:pt idx="24">
                  <c:v>10.165405634324063</c:v>
                </c:pt>
                <c:pt idx="25">
                  <c:v>10.326396627737143</c:v>
                </c:pt>
                <c:pt idx="26">
                  <c:v>10.425051640599454</c:v>
                </c:pt>
                <c:pt idx="27">
                  <c:v>10.520982792737936</c:v>
                </c:pt>
                <c:pt idx="28">
                  <c:v>10.614359355674466</c:v>
                </c:pt>
                <c:pt idx="29">
                  <c:v>10.705334635668097</c:v>
                </c:pt>
                <c:pt idx="30">
                  <c:v>10.794047959220769</c:v>
                </c:pt>
                <c:pt idx="31">
                  <c:v>10.880626355817851</c:v>
                </c:pt>
                <c:pt idx="32">
                  <c:v>10.965185992058132</c:v>
                </c:pt>
                <c:pt idx="33">
                  <c:v>11.047833400298872</c:v>
                </c:pt>
                <c:pt idx="34">
                  <c:v>11.128666536416029</c:v>
                </c:pt>
                <c:pt idx="35">
                  <c:v>11.207775694634545</c:v>
                </c:pt>
                <c:pt idx="36">
                  <c:v>11.285244302163202</c:v>
                </c:pt>
                <c:pt idx="37">
                  <c:v>11.361149612237483</c:v>
                </c:pt>
                <c:pt idx="38">
                  <c:v>11.435563310882092</c:v>
                </c:pt>
                <c:pt idx="39">
                  <c:v>11.50855205006471</c:v>
                </c:pt>
                <c:pt idx="40">
                  <c:v>11.580177917782205</c:v>
                </c:pt>
                <c:pt idx="41">
                  <c:v>11.650498853891351</c:v>
                </c:pt>
                <c:pt idx="42">
                  <c:v>11.719569019084915</c:v>
                </c:pt>
                <c:pt idx="43">
                  <c:v>11.78743912325632</c:v>
                </c:pt>
                <c:pt idx="44">
                  <c:v>11.854156718541505</c:v>
                </c:pt>
                <c:pt idx="45">
                  <c:v>11.919766461536112</c:v>
                </c:pt>
                <c:pt idx="46">
                  <c:v>11.984310348528084</c:v>
                </c:pt>
                <c:pt idx="47">
                  <c:v>12.050827617659314</c:v>
                </c:pt>
                <c:pt idx="48">
                  <c:v>12.113309974915285</c:v>
                </c:pt>
                <c:pt idx="49">
                  <c:v>12.174840143736873</c:v>
                </c:pt>
                <c:pt idx="50">
                  <c:v>12.235451309528322</c:v>
                </c:pt>
                <c:pt idx="51">
                  <c:v>12.29517487564703</c:v>
                </c:pt>
                <c:pt idx="52">
                  <c:v>12.354040591402779</c:v>
                </c:pt>
                <c:pt idx="53">
                  <c:v>12.412076668629981</c:v>
                </c:pt>
                <c:pt idx="54">
                  <c:v>12.46930988804499</c:v>
                </c:pt>
                <c:pt idx="55">
                  <c:v>12.525765696452495</c:v>
                </c:pt>
                <c:pt idx="56">
                  <c:v>12.581468295737162</c:v>
                </c:pt>
                <c:pt idx="57">
                  <c:v>12.636440724466194</c:v>
                </c:pt>
                <c:pt idx="58">
                  <c:v>12.690704932832819</c:v>
                </c:pt>
                <c:pt idx="59">
                  <c:v>12.744281851587347</c:v>
                </c:pt>
                <c:pt idx="60">
                  <c:v>12.797191455530086</c:v>
                </c:pt>
                <c:pt idx="61">
                  <c:v>12.849452822076939</c:v>
                </c:pt>
                <c:pt idx="62">
                  <c:v>12.901084185353186</c:v>
                </c:pt>
                <c:pt idx="63">
                  <c:v>12.952102986222215</c:v>
                </c:pt>
                <c:pt idx="64">
                  <c:v>13.002525918613269</c:v>
                </c:pt>
                <c:pt idx="65">
                  <c:v>13.052368972474545</c:v>
                </c:pt>
                <c:pt idx="66">
                  <c:v>13.101647473644753</c:v>
                </c:pt>
                <c:pt idx="67">
                  <c:v>13.150376120906746</c:v>
                </c:pt>
                <c:pt idx="68">
                  <c:v>13.198569020460795</c:v>
                </c:pt>
                <c:pt idx="69">
                  <c:v>13.246239718031903</c:v>
                </c:pt>
                <c:pt idx="70">
                  <c:v>13.293401228804905</c:v>
                </c:pt>
                <c:pt idx="71">
                  <c:v>13.340066065362763</c:v>
                </c:pt>
                <c:pt idx="72">
                  <c:v>13.386246263787081</c:v>
                </c:pt>
                <c:pt idx="73">
                  <c:v>13.431953408065175</c:v>
                </c:pt>
                <c:pt idx="74">
                  <c:v>13.477198652934886</c:v>
                </c:pt>
              </c:numCache>
            </c:numRef>
          </c:yVal>
          <c:smooth val="1"/>
        </c:ser>
        <c:ser>
          <c:idx val="6"/>
          <c:order val="6"/>
          <c:tx>
            <c:v>KNPSB</c:v>
          </c:tx>
          <c:spPr>
            <a:ln w="25400"/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Burnrate!$AG$9:$AG$83</c:f>
              <c:numCache>
                <c:formatCode>General</c:formatCode>
                <c:ptCount val="75"/>
                <c:pt idx="0">
                  <c:v>1.5642130193513473</c:v>
                </c:pt>
                <c:pt idx="1">
                  <c:v>2.7249881072410118</c:v>
                </c:pt>
                <c:pt idx="2">
                  <c:v>3.6416405487216759</c:v>
                </c:pt>
                <c:pt idx="3">
                  <c:v>4.4373126292294538</c:v>
                </c:pt>
                <c:pt idx="4">
                  <c:v>5.1558805653125406</c:v>
                </c:pt>
                <c:pt idx="5">
                  <c:v>5.6810673304710848</c:v>
                </c:pt>
                <c:pt idx="6">
                  <c:v>6.3105866731279221</c:v>
                </c:pt>
                <c:pt idx="7">
                  <c:v>6.904874555942639</c:v>
                </c:pt>
                <c:pt idx="8">
                  <c:v>7.4702668576959486</c:v>
                </c:pt>
                <c:pt idx="9">
                  <c:v>8.01135467453026</c:v>
                </c:pt>
                <c:pt idx="10">
                  <c:v>8.3954425955308736</c:v>
                </c:pt>
                <c:pt idx="11">
                  <c:v>8.9021165022776234</c:v>
                </c:pt>
                <c:pt idx="12">
                  <c:v>9.3922479475190634</c:v>
                </c:pt>
                <c:pt idx="13">
                  <c:v>9.8676697988229947</c:v>
                </c:pt>
                <c:pt idx="14">
                  <c:v>10.329889818849496</c:v>
                </c:pt>
                <c:pt idx="15">
                  <c:v>10.780166988144853</c:v>
                </c:pt>
                <c:pt idx="16">
                  <c:v>11.219566096126943</c:v>
                </c:pt>
                <c:pt idx="17">
                  <c:v>11.648997742109536</c:v>
                </c:pt>
                <c:pt idx="18">
                  <c:v>12.069248263561752</c:v>
                </c:pt>
                <c:pt idx="19">
                  <c:v>12.481002539659375</c:v>
                </c:pt>
                <c:pt idx="20">
                  <c:v>12.884861647272995</c:v>
                </c:pt>
                <c:pt idx="21">
                  <c:v>13.281356727501089</c:v>
                </c:pt>
                <c:pt idx="22">
                  <c:v>13.670960015615663</c:v>
                </c:pt>
                <c:pt idx="23">
                  <c:v>14.05409371572029</c:v>
                </c:pt>
                <c:pt idx="24">
                  <c:v>14.431137215583565</c:v>
                </c:pt>
                <c:pt idx="25">
                  <c:v>15.012142113684396</c:v>
                </c:pt>
                <c:pt idx="26">
                  <c:v>15.375022237708167</c:v>
                </c:pt>
                <c:pt idx="27">
                  <c:v>15.732898040730188</c:v>
                </c:pt>
                <c:pt idx="28">
                  <c:v>16.08601499643903</c:v>
                </c:pt>
                <c:pt idx="29">
                  <c:v>16.434598476510683</c:v>
                </c:pt>
                <c:pt idx="30">
                  <c:v>16.778856013022484</c:v>
                </c:pt>
                <c:pt idx="31">
                  <c:v>17.118979241345706</c:v>
                </c:pt>
                <c:pt idx="32">
                  <c:v>17.455145577236557</c:v>
                </c:pt>
                <c:pt idx="33">
                  <c:v>17.787519671456163</c:v>
                </c:pt>
                <c:pt idx="34">
                  <c:v>18.116254677117375</c:v>
                </c:pt>
                <c:pt idx="35">
                  <c:v>18.441493358539184</c:v>
                </c:pt>
                <c:pt idx="36">
                  <c:v>18.76336906528817</c:v>
                </c:pt>
                <c:pt idx="37">
                  <c:v>19.082006591003598</c:v>
                </c:pt>
                <c:pt idx="38">
                  <c:v>19.397522933312143</c:v>
                </c:pt>
                <c:pt idx="39">
                  <c:v>19.710027968471358</c:v>
                </c:pt>
                <c:pt idx="40">
                  <c:v>20.019625052205637</c:v>
                </c:pt>
                <c:pt idx="41">
                  <c:v>20.326411556414772</c:v>
                </c:pt>
                <c:pt idx="42">
                  <c:v>20.630479349965263</c:v>
                </c:pt>
                <c:pt idx="43">
                  <c:v>20.931915230556509</c:v>
                </c:pt>
                <c:pt idx="44">
                  <c:v>21.230801313640502</c:v>
                </c:pt>
                <c:pt idx="45">
                  <c:v>21.527215383526293</c:v>
                </c:pt>
                <c:pt idx="46">
                  <c:v>21.821231211089057</c:v>
                </c:pt>
                <c:pt idx="47">
                  <c:v>22.126751803130642</c:v>
                </c:pt>
                <c:pt idx="48">
                  <c:v>22.41607172837162</c:v>
                </c:pt>
                <c:pt idx="49">
                  <c:v>22.703196336569555</c:v>
                </c:pt>
                <c:pt idx="50">
                  <c:v>22.988185839509619</c:v>
                </c:pt>
                <c:pt idx="51">
                  <c:v>23.271097649655964</c:v>
                </c:pt>
                <c:pt idx="52">
                  <c:v>23.551986561614953</c:v>
                </c:pt>
                <c:pt idx="53">
                  <c:v>23.830904918633717</c:v>
                </c:pt>
                <c:pt idx="54">
                  <c:v>24.107902765622388</c:v>
                </c:pt>
                <c:pt idx="55">
                  <c:v>24.383027990015837</c:v>
                </c:pt>
                <c:pt idx="56">
                  <c:v>24.65632645164137</c:v>
                </c:pt>
                <c:pt idx="57">
                  <c:v>24.927842102628137</c:v>
                </c:pt>
                <c:pt idx="58">
                  <c:v>25.197617098280411</c:v>
                </c:pt>
                <c:pt idx="59">
                  <c:v>25.465691899737347</c:v>
                </c:pt>
                <c:pt idx="60">
                  <c:v>25.732105369154297</c:v>
                </c:pt>
                <c:pt idx="61">
                  <c:v>25.996894858064262</c:v>
                </c:pt>
                <c:pt idx="62">
                  <c:v>26.260096289510134</c:v>
                </c:pt>
                <c:pt idx="63">
                  <c:v>26.521744234478859</c:v>
                </c:pt>
                <c:pt idx="64">
                  <c:v>26.781871983115582</c:v>
                </c:pt>
                <c:pt idx="65">
                  <c:v>27.040511611149185</c:v>
                </c:pt>
                <c:pt idx="66">
                  <c:v>27.297694041918795</c:v>
                </c:pt>
                <c:pt idx="67">
                  <c:v>27.553449104354016</c:v>
                </c:pt>
                <c:pt idx="68">
                  <c:v>27.80780558722828</c:v>
                </c:pt>
                <c:pt idx="69">
                  <c:v>28.060791289975612</c:v>
                </c:pt>
                <c:pt idx="70">
                  <c:v>28.312433070334297</c:v>
                </c:pt>
                <c:pt idx="71">
                  <c:v>28.562756889057564</c:v>
                </c:pt>
                <c:pt idx="72">
                  <c:v>28.811787851910161</c:v>
                </c:pt>
                <c:pt idx="73">
                  <c:v>29.059550249150206</c:v>
                </c:pt>
                <c:pt idx="74">
                  <c:v>29.306067592679206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191104"/>
        <c:axId val="221389120"/>
      </c:scatterChart>
      <c:valAx>
        <c:axId val="254191104"/>
        <c:scaling>
          <c:orientation val="minMax"/>
          <c:max val="12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Pressure  (MPa)</a:t>
                </a:r>
              </a:p>
            </c:rich>
          </c:tx>
          <c:layout>
            <c:manualLayout>
              <c:xMode val="edge"/>
              <c:yMode val="edge"/>
              <c:x val="0.26369243959118294"/>
              <c:y val="0.910948305374871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1389120"/>
        <c:crosses val="autoZero"/>
        <c:crossBetween val="midCat"/>
        <c:majorUnit val="2"/>
      </c:valAx>
      <c:valAx>
        <c:axId val="221389120"/>
        <c:scaling>
          <c:orientation val="minMax"/>
          <c:max val="30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900"/>
                  <a:t>Burn rate  (mm/s)</a:t>
                </a:r>
              </a:p>
            </c:rich>
          </c:tx>
          <c:layout>
            <c:manualLayout>
              <c:xMode val="edge"/>
              <c:yMode val="edge"/>
              <c:x val="3.8539509208913358E-2"/>
              <c:y val="0.2166664384343261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1911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5616136091871036"/>
          <c:y val="7.8260869565217397E-2"/>
          <c:w val="0.33237882513969419"/>
          <c:h val="0.547826086956521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6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114300</xdr:colOff>
      <xdr:row>13</xdr:row>
      <xdr:rowOff>142875</xdr:rowOff>
    </xdr:from>
    <xdr:to>
      <xdr:col>12</xdr:col>
      <xdr:colOff>142875</xdr:colOff>
      <xdr:row>30</xdr:row>
      <xdr:rowOff>114300</xdr:rowOff>
    </xdr:to>
    <xdr:graphicFrame macro="">
      <xdr:nvGraphicFramePr>
        <xdr:cNvPr id="3120388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7</xdr:col>
      <xdr:colOff>266700</xdr:colOff>
      <xdr:row>31</xdr:row>
      <xdr:rowOff>123825</xdr:rowOff>
    </xdr:from>
    <xdr:to>
      <xdr:col>8</xdr:col>
      <xdr:colOff>152400</xdr:colOff>
      <xdr:row>33</xdr:row>
      <xdr:rowOff>19050</xdr:rowOff>
    </xdr:to>
    <xdr:grpSp>
      <xdr:nvGrpSpPr>
        <xdr:cNvPr id="3120389" name="Group 29"/>
        <xdr:cNvGrpSpPr>
          <a:grpSpLocks/>
        </xdr:cNvGrpSpPr>
      </xdr:nvGrpSpPr>
      <xdr:grpSpPr bwMode="auto">
        <a:xfrm>
          <a:off x="4867275" y="5276850"/>
          <a:ext cx="495300" cy="257175"/>
          <a:chOff x="433" y="641"/>
          <a:chExt cx="95" cy="49"/>
        </a:xfrm>
      </xdr:grpSpPr>
      <xdr:sp macro="" textlink="">
        <xdr:nvSpPr>
          <xdr:cNvPr id="3120390" name="Freeform 26"/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3120391" name="Freeform 27"/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247650</xdr:colOff>
          <xdr:row>31</xdr:row>
          <xdr:rowOff>57150</xdr:rowOff>
        </xdr:from>
        <xdr:to>
          <xdr:col>9</xdr:col>
          <xdr:colOff>571500</xdr:colOff>
          <xdr:row>33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</a:rPr>
                <a:t>(1)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0.01015</cdr:x>
      <cdr:y>0.01147</cdr:y>
    </cdr:from>
    <cdr:to>
      <cdr:x>0.39435</cdr:x>
      <cdr:y>0.07144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33656" y="27946"/>
          <a:ext cx="1230144" cy="221657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495300</xdr:colOff>
      <xdr:row>0</xdr:row>
      <xdr:rowOff>38100</xdr:rowOff>
    </xdr:from>
    <xdr:to>
      <xdr:col>12</xdr:col>
      <xdr:colOff>323850</xdr:colOff>
      <xdr:row>16</xdr:row>
      <xdr:rowOff>95250</xdr:rowOff>
    </xdr:to>
    <xdr:graphicFrame macro="">
      <xdr:nvGraphicFramePr>
        <xdr:cNvPr id="3122548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13</xdr:col>
      <xdr:colOff>57150</xdr:colOff>
      <xdr:row>0</xdr:row>
      <xdr:rowOff>38100</xdr:rowOff>
    </xdr:from>
    <xdr:to>
      <xdr:col>18</xdr:col>
      <xdr:colOff>161925</xdr:colOff>
      <xdr:row>16</xdr:row>
      <xdr:rowOff>104775</xdr:rowOff>
    </xdr:to>
    <xdr:graphicFrame macro="">
      <xdr:nvGraphicFramePr>
        <xdr:cNvPr id="3122549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371475</xdr:colOff>
      <xdr:row>21</xdr:row>
      <xdr:rowOff>95250</xdr:rowOff>
    </xdr:from>
    <xdr:to>
      <xdr:col>4</xdr:col>
      <xdr:colOff>161925</xdr:colOff>
      <xdr:row>23</xdr:row>
      <xdr:rowOff>28575</xdr:rowOff>
    </xdr:to>
    <xdr:grpSp>
      <xdr:nvGrpSpPr>
        <xdr:cNvPr id="3122550" name="Group 1848"/>
        <xdr:cNvGrpSpPr>
          <a:grpSpLocks/>
        </xdr:cNvGrpSpPr>
      </xdr:nvGrpSpPr>
      <xdr:grpSpPr bwMode="auto">
        <a:xfrm>
          <a:off x="1781175" y="3533775"/>
          <a:ext cx="495300" cy="257175"/>
          <a:chOff x="433" y="641"/>
          <a:chExt cx="95" cy="49"/>
        </a:xfrm>
      </xdr:grpSpPr>
      <xdr:sp macro="" textlink="">
        <xdr:nvSpPr>
          <xdr:cNvPr id="3122552" name="Freeform 1849"/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3122553" name="Freeform 1850"/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xdr:twoCellAnchor>
    <xdr:from>
      <xdr:col>13</xdr:col>
      <xdr:colOff>93980</xdr:colOff>
      <xdr:row>0</xdr:row>
      <xdr:rowOff>81915</xdr:rowOff>
    </xdr:from>
    <xdr:to>
      <xdr:col>15</xdr:col>
      <xdr:colOff>80017</xdr:colOff>
      <xdr:row>1</xdr:row>
      <xdr:rowOff>118607</xdr:rowOff>
    </xdr:to>
    <xdr:sp macro="" textlink="">
      <xdr:nvSpPr>
        <xdr:cNvPr id="7" name="TextBox 6"/>
        <xdr:cNvSpPr txBox="1"/>
      </xdr:nvSpPr>
      <xdr:spPr>
        <a:xfrm>
          <a:off x="7904480" y="72390"/>
          <a:ext cx="1205237" cy="20447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200025</xdr:colOff>
          <xdr:row>21</xdr:row>
          <xdr:rowOff>19050</xdr:rowOff>
        </xdr:from>
        <xdr:to>
          <xdr:col>5</xdr:col>
          <xdr:colOff>590550</xdr:colOff>
          <xdr:row>23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</a:rPr>
                <a:t>(2)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21</xdr:row>
          <xdr:rowOff>38100</xdr:rowOff>
        </xdr:from>
        <xdr:to>
          <xdr:col>8</xdr:col>
          <xdr:colOff>600075</xdr:colOff>
          <xdr:row>23</xdr:row>
          <xdr:rowOff>114300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</a:rPr>
                <a:t>(3)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0.00877</cdr:x>
      <cdr:y>0.01352</cdr:y>
    </cdr:from>
    <cdr:to>
      <cdr:x>0.43741</cdr:x>
      <cdr:y>0.07469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7005" y="30422"/>
          <a:ext cx="1281095" cy="210878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533400</xdr:colOff>
      <xdr:row>0</xdr:row>
      <xdr:rowOff>28575</xdr:rowOff>
    </xdr:from>
    <xdr:to>
      <xdr:col>13</xdr:col>
      <xdr:colOff>85725</xdr:colOff>
      <xdr:row>19</xdr:row>
      <xdr:rowOff>66675</xdr:rowOff>
    </xdr:to>
    <xdr:graphicFrame macro="">
      <xdr:nvGraphicFramePr>
        <xdr:cNvPr id="3125558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13</xdr:col>
      <xdr:colOff>171450</xdr:colOff>
      <xdr:row>0</xdr:row>
      <xdr:rowOff>28575</xdr:rowOff>
    </xdr:from>
    <xdr:to>
      <xdr:col>18</xdr:col>
      <xdr:colOff>180975</xdr:colOff>
      <xdr:row>19</xdr:row>
      <xdr:rowOff>76200</xdr:rowOff>
    </xdr:to>
    <xdr:graphicFrame macro="">
      <xdr:nvGraphicFramePr>
        <xdr:cNvPr id="3125559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352425</xdr:colOff>
      <xdr:row>20</xdr:row>
      <xdr:rowOff>95250</xdr:rowOff>
    </xdr:from>
    <xdr:to>
      <xdr:col>4</xdr:col>
      <xdr:colOff>200025</xdr:colOff>
      <xdr:row>22</xdr:row>
      <xdr:rowOff>28575</xdr:rowOff>
    </xdr:to>
    <xdr:grpSp>
      <xdr:nvGrpSpPr>
        <xdr:cNvPr id="3125560" name="Group 21"/>
        <xdr:cNvGrpSpPr>
          <a:grpSpLocks/>
        </xdr:cNvGrpSpPr>
      </xdr:nvGrpSpPr>
      <xdr:grpSpPr bwMode="auto">
        <a:xfrm>
          <a:off x="1952625" y="3400425"/>
          <a:ext cx="495300" cy="257175"/>
          <a:chOff x="433" y="641"/>
          <a:chExt cx="95" cy="49"/>
        </a:xfrm>
      </xdr:grpSpPr>
      <xdr:sp macro="" textlink="">
        <xdr:nvSpPr>
          <xdr:cNvPr id="3125561" name="Freeform 22"/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3125562" name="Freeform 23"/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285750</xdr:colOff>
          <xdr:row>20</xdr:row>
          <xdr:rowOff>0</xdr:rowOff>
        </xdr:from>
        <xdr:to>
          <xdr:col>5</xdr:col>
          <xdr:colOff>723900</xdr:colOff>
          <xdr:row>22</xdr:row>
          <xdr:rowOff>152400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</a:rPr>
                <a:t>Solve 4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</a:rPr>
                <a:t> 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0.00649</cdr:x>
      <cdr:y>0.00966</cdr:y>
    </cdr:from>
    <cdr:to>
      <cdr:x>0.38949</cdr:x>
      <cdr:y>0.06519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0841" y="25750"/>
          <a:ext cx="1224384" cy="212901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0.00772</cdr:x>
      <cdr:y>0.00657</cdr:y>
    </cdr:from>
    <cdr:to>
      <cdr:x>0.40012</cdr:x>
      <cdr:y>0.06024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2860" y="15240"/>
          <a:ext cx="1211580" cy="213360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371475</xdr:colOff>
      <xdr:row>17</xdr:row>
      <xdr:rowOff>19050</xdr:rowOff>
    </xdr:from>
    <xdr:to>
      <xdr:col>5</xdr:col>
      <xdr:colOff>828675</xdr:colOff>
      <xdr:row>34</xdr:row>
      <xdr:rowOff>114300</xdr:rowOff>
    </xdr:to>
    <xdr:graphicFrame macro="">
      <xdr:nvGraphicFramePr>
        <xdr:cNvPr id="2514297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467360</xdr:colOff>
      <xdr:row>33</xdr:row>
      <xdr:rowOff>0</xdr:rowOff>
    </xdr:from>
    <xdr:to>
      <xdr:col>3</xdr:col>
      <xdr:colOff>346710</xdr:colOff>
      <xdr:row>34</xdr:row>
      <xdr:rowOff>139700</xdr:rowOff>
    </xdr:to>
    <xdr:sp macro="" textlink="">
      <xdr:nvSpPr>
        <xdr:cNvPr id="3" name="TextBox 2"/>
        <xdr:cNvSpPr txBox="1"/>
      </xdr:nvSpPr>
      <xdr:spPr>
        <a:xfrm>
          <a:off x="876300" y="5699760"/>
          <a:ext cx="1104900" cy="3200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000"/>
            <a:t>entrance plane</a:t>
          </a:r>
        </a:p>
      </xdr:txBody>
    </xdr:sp>
    <xdr:clientData/>
  </xdr:twoCellAnchor>
  <xdr:twoCellAnchor editAs="oneCell">
    <xdr:from>
      <xdr:col>5</xdr:col>
      <xdr:colOff>876300</xdr:colOff>
      <xdr:row>17</xdr:row>
      <xdr:rowOff>0</xdr:rowOff>
    </xdr:from>
    <xdr:to>
      <xdr:col>12</xdr:col>
      <xdr:colOff>19050</xdr:colOff>
      <xdr:row>34</xdr:row>
      <xdr:rowOff>142875</xdr:rowOff>
    </xdr:to>
    <xdr:pic>
      <xdr:nvPicPr>
        <xdr:cNvPr id="2514299" name="Picture 103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81550" y="2752725"/>
          <a:ext cx="4114800" cy="2895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238125</xdr:colOff>
      <xdr:row>18</xdr:row>
      <xdr:rowOff>0</xdr:rowOff>
    </xdr:from>
    <xdr:to>
      <xdr:col>9</xdr:col>
      <xdr:colOff>552450</xdr:colOff>
      <xdr:row>30</xdr:row>
      <xdr:rowOff>114300</xdr:rowOff>
    </xdr:to>
    <xdr:graphicFrame macro="">
      <xdr:nvGraphicFramePr>
        <xdr:cNvPr id="797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247650</xdr:colOff>
      <xdr:row>31</xdr:row>
      <xdr:rowOff>57150</xdr:rowOff>
    </xdr:from>
    <xdr:to>
      <xdr:col>9</xdr:col>
      <xdr:colOff>571500</xdr:colOff>
      <xdr:row>44</xdr:row>
      <xdr:rowOff>19050</xdr:rowOff>
    </xdr:to>
    <xdr:graphicFrame macro="">
      <xdr:nvGraphicFramePr>
        <xdr:cNvPr id="7978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276225</xdr:colOff>
      <xdr:row>33</xdr:row>
      <xdr:rowOff>57150</xdr:rowOff>
    </xdr:from>
    <xdr:to>
      <xdr:col>12</xdr:col>
      <xdr:colOff>133350</xdr:colOff>
      <xdr:row>46</xdr:row>
      <xdr:rowOff>114300</xdr:rowOff>
    </xdr:to>
    <xdr:graphicFrame macro="">
      <xdr:nvGraphicFramePr>
        <xdr:cNvPr id="3371044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SOFFICE/EXCEL/BATES3_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lcs"/>
      <sheetName val="class"/>
      <sheetName val="Perf"/>
      <sheetName val="Press"/>
      <sheetName val="Burnrate"/>
    </sheetNames>
    <sheetDataSet>
      <sheetData sheetId="0" refreshError="1">
        <row r="25">
          <cell r="F25">
            <v>7.8909999999999982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richard.rocketry@gmail.com" TargetMode="External"/><Relationship Id="rId2" Type="http://schemas.openxmlformats.org/officeDocument/2006/relationships/hyperlink" Target="http://www.nakka-rocketry.net/" TargetMode="External"/><Relationship Id="rId1" Type="http://schemas.openxmlformats.org/officeDocument/2006/relationships/printerSettings" Target="../printerSettings/printerSettings1.bin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www.nakka-rocketry.net/knpsb.html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7" Type="http://schemas.openxmlformats.org/officeDocument/2006/relationships/comments" Target="../comments2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Relationship Id="rId6" Type="http://schemas.openxmlformats.org/officeDocument/2006/relationships/comments" Target="../comments3.xm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5" Type="http://schemas.openxmlformats.org/officeDocument/2006/relationships/comments" Target="../comments6.xml"/><Relationship Id="rId4" Type="http://schemas.openxmlformats.org/officeDocument/2006/relationships/vmlDrawing" Target="../drawings/vmlDrawing6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8" tint="0.39997558519241921"/>
  </sheetPr>
  <dimension ref="B4:I88"/>
  <sheetViews>
    <sheetView showGridLines="0" zoomScaleNormal="100" workbookViewId="0">
      <selection activeCell="E6" sqref="E6"/>
    </sheetView>
  </sheetViews>
  <sheetFormatPr defaultRowHeight="12.75"/>
  <cols>
    <col min="2" max="2" width="56.85546875" customWidth="1"/>
    <col min="4" max="4" width="9.5703125" customWidth="1"/>
    <col min="5" max="5" width="17.28515625" customWidth="1"/>
    <col min="9" max="9" width="11.140625" customWidth="1"/>
  </cols>
  <sheetData>
    <row r="4" spans="2:9" ht="20.25">
      <c r="B4" s="412" t="s">
        <v>524</v>
      </c>
      <c r="C4" s="75"/>
      <c r="D4" s="245" t="s">
        <v>190</v>
      </c>
      <c r="E4" s="338" t="s">
        <v>267</v>
      </c>
      <c r="F4" s="287"/>
      <c r="G4" s="287"/>
      <c r="H4" s="287"/>
      <c r="I4" s="288"/>
    </row>
    <row r="5" spans="2:9" ht="18.75" thickBot="1">
      <c r="B5" s="243" t="s">
        <v>430</v>
      </c>
      <c r="C5" s="75"/>
      <c r="D5" s="246" t="s">
        <v>191</v>
      </c>
      <c r="E5" s="337" t="s">
        <v>534</v>
      </c>
      <c r="F5" s="43"/>
      <c r="G5" s="43"/>
      <c r="H5" s="43"/>
      <c r="I5" s="289"/>
    </row>
    <row r="6" spans="2:9" ht="15" thickTop="1">
      <c r="B6" s="76"/>
      <c r="C6" s="43"/>
      <c r="D6" s="247" t="s">
        <v>192</v>
      </c>
      <c r="E6" s="420">
        <v>45008</v>
      </c>
      <c r="F6" s="110"/>
      <c r="G6" s="110"/>
      <c r="H6" s="110"/>
      <c r="I6" s="28"/>
    </row>
    <row r="7" spans="2:9">
      <c r="B7" s="43"/>
      <c r="C7" s="43"/>
      <c r="D7" s="43"/>
      <c r="E7" s="43"/>
      <c r="F7" s="43"/>
    </row>
    <row r="8" spans="2:9">
      <c r="B8" s="106" t="s">
        <v>328</v>
      </c>
      <c r="C8" s="102"/>
      <c r="D8" s="103"/>
      <c r="E8" s="43"/>
      <c r="F8" s="43"/>
    </row>
    <row r="9" spans="2:9">
      <c r="B9" s="286" t="s">
        <v>467</v>
      </c>
      <c r="C9" s="43"/>
      <c r="D9" s="108"/>
      <c r="E9" s="43"/>
      <c r="F9" s="43"/>
    </row>
    <row r="10" spans="2:9">
      <c r="B10" s="216" t="s">
        <v>356</v>
      </c>
      <c r="C10" s="104"/>
      <c r="D10" s="105"/>
      <c r="E10" s="43"/>
      <c r="F10" s="43"/>
    </row>
    <row r="11" spans="2:9">
      <c r="B11" s="107"/>
      <c r="C11" s="43"/>
      <c r="D11" s="43"/>
      <c r="E11" s="43"/>
      <c r="F11" s="43"/>
    </row>
    <row r="12" spans="2:9">
      <c r="B12" s="107"/>
      <c r="C12" s="43"/>
      <c r="D12" s="43"/>
      <c r="E12" s="43"/>
      <c r="F12" s="43"/>
    </row>
    <row r="13" spans="2:9">
      <c r="B13" s="81" t="s">
        <v>193</v>
      </c>
      <c r="C13" s="43"/>
      <c r="D13" s="43"/>
      <c r="E13" s="43"/>
      <c r="F13" s="43"/>
    </row>
    <row r="14" spans="2:9">
      <c r="B14" s="81"/>
      <c r="C14" s="43"/>
      <c r="D14" s="43"/>
      <c r="E14" s="43"/>
      <c r="F14" s="43"/>
    </row>
    <row r="15" spans="2:9">
      <c r="B15" s="380" t="s">
        <v>525</v>
      </c>
      <c r="C15" s="381"/>
      <c r="D15" s="381"/>
      <c r="E15" s="382"/>
      <c r="F15" s="43"/>
    </row>
    <row r="16" spans="2:9">
      <c r="B16" s="383"/>
      <c r="C16" s="43"/>
      <c r="D16" s="43"/>
      <c r="E16" s="384"/>
      <c r="F16" s="43"/>
    </row>
    <row r="17" spans="2:6">
      <c r="B17" s="385" t="s">
        <v>541</v>
      </c>
      <c r="C17" s="290"/>
      <c r="D17" s="290"/>
      <c r="E17" s="386"/>
      <c r="F17" s="43"/>
    </row>
    <row r="18" spans="2:6">
      <c r="B18" s="385" t="s">
        <v>548</v>
      </c>
      <c r="C18" s="290"/>
      <c r="D18" s="290"/>
      <c r="E18" s="386"/>
      <c r="F18" s="43"/>
    </row>
    <row r="19" spans="2:6">
      <c r="B19" s="385" t="s">
        <v>546</v>
      </c>
      <c r="C19" s="290"/>
      <c r="D19" s="290"/>
      <c r="E19" s="386"/>
      <c r="F19" s="43"/>
    </row>
    <row r="20" spans="2:6">
      <c r="B20" s="387" t="s">
        <v>547</v>
      </c>
      <c r="C20" s="388"/>
      <c r="D20" s="388"/>
      <c r="E20" s="389"/>
      <c r="F20" s="43"/>
    </row>
    <row r="21" spans="2:6">
      <c r="B21" s="70"/>
      <c r="C21" s="43"/>
      <c r="D21" s="43"/>
      <c r="E21" s="43"/>
      <c r="F21" s="43"/>
    </row>
    <row r="22" spans="2:6">
      <c r="B22" s="70"/>
      <c r="C22" s="43"/>
      <c r="D22" s="43"/>
      <c r="E22" s="43"/>
      <c r="F22" s="43"/>
    </row>
    <row r="23" spans="2:6">
      <c r="B23" s="43" t="s">
        <v>330</v>
      </c>
      <c r="C23" s="43"/>
      <c r="D23" s="43"/>
      <c r="E23" s="43"/>
      <c r="F23" s="43"/>
    </row>
    <row r="24" spans="2:6">
      <c r="B24" s="162" t="s">
        <v>485</v>
      </c>
      <c r="C24" s="43"/>
      <c r="D24" s="43"/>
      <c r="E24" s="43"/>
      <c r="F24" s="43"/>
    </row>
    <row r="25" spans="2:6">
      <c r="B25" s="43" t="s">
        <v>255</v>
      </c>
      <c r="C25" s="43"/>
      <c r="D25" s="43"/>
      <c r="E25" s="43"/>
      <c r="F25" s="43"/>
    </row>
    <row r="26" spans="2:6">
      <c r="B26" s="43" t="s">
        <v>256</v>
      </c>
      <c r="C26" s="43"/>
      <c r="D26" s="43"/>
    </row>
    <row r="27" spans="2:6">
      <c r="B27" s="43"/>
      <c r="C27" s="43"/>
      <c r="D27" s="43"/>
    </row>
    <row r="28" spans="2:6">
      <c r="B28" s="43" t="s">
        <v>269</v>
      </c>
      <c r="C28" s="43"/>
      <c r="D28" s="43"/>
    </row>
    <row r="29" spans="2:6">
      <c r="B29" s="70" t="s">
        <v>270</v>
      </c>
      <c r="C29" s="43"/>
      <c r="D29" s="43"/>
    </row>
    <row r="30" spans="2:6">
      <c r="B30" s="43" t="s">
        <v>271</v>
      </c>
      <c r="C30" s="43"/>
      <c r="D30" s="43"/>
    </row>
    <row r="31" spans="2:6">
      <c r="B31" s="43" t="s">
        <v>272</v>
      </c>
      <c r="C31" s="43"/>
      <c r="D31" s="43"/>
    </row>
    <row r="32" spans="2:6">
      <c r="B32" s="70" t="s">
        <v>431</v>
      </c>
      <c r="C32" s="43"/>
      <c r="D32" s="43"/>
    </row>
    <row r="33" spans="2:4">
      <c r="B33" s="70" t="s">
        <v>432</v>
      </c>
      <c r="C33" s="43"/>
      <c r="D33" s="43"/>
    </row>
    <row r="34" spans="2:4">
      <c r="B34" s="244" t="s">
        <v>433</v>
      </c>
      <c r="C34" s="43"/>
      <c r="D34" s="43"/>
    </row>
    <row r="35" spans="2:4">
      <c r="B35" s="43"/>
      <c r="C35" s="43"/>
      <c r="D35" s="43"/>
    </row>
    <row r="36" spans="2:4">
      <c r="B36" s="70" t="s">
        <v>434</v>
      </c>
      <c r="C36" s="43"/>
      <c r="D36" s="43"/>
    </row>
    <row r="37" spans="2:4">
      <c r="B37" s="43" t="s">
        <v>276</v>
      </c>
      <c r="C37" s="43"/>
      <c r="D37" s="43"/>
    </row>
    <row r="38" spans="2:4">
      <c r="B38" s="43" t="s">
        <v>277</v>
      </c>
      <c r="C38" s="43"/>
      <c r="D38" s="43"/>
    </row>
    <row r="39" spans="2:4">
      <c r="B39" s="43" t="s">
        <v>278</v>
      </c>
      <c r="C39" s="43"/>
      <c r="D39" s="43"/>
    </row>
    <row r="40" spans="2:4">
      <c r="B40" s="43" t="s">
        <v>279</v>
      </c>
      <c r="C40" s="43"/>
      <c r="D40" s="43"/>
    </row>
    <row r="41" spans="2:4">
      <c r="B41" s="43" t="s">
        <v>280</v>
      </c>
      <c r="C41" s="43"/>
      <c r="D41" s="43"/>
    </row>
    <row r="42" spans="2:4">
      <c r="B42" s="43" t="s">
        <v>281</v>
      </c>
      <c r="C42" s="43"/>
      <c r="D42" s="43"/>
    </row>
    <row r="43" spans="2:4">
      <c r="B43" s="70" t="s">
        <v>486</v>
      </c>
      <c r="C43" s="43"/>
      <c r="D43" s="43"/>
    </row>
    <row r="44" spans="2:4">
      <c r="B44" s="43"/>
      <c r="C44" s="43"/>
      <c r="D44" s="43"/>
    </row>
    <row r="45" spans="2:4">
      <c r="B45" s="43" t="s">
        <v>257</v>
      </c>
      <c r="C45" s="43"/>
      <c r="D45" s="43"/>
    </row>
    <row r="46" spans="2:4">
      <c r="B46" s="43" t="s">
        <v>273</v>
      </c>
      <c r="C46" s="43"/>
      <c r="D46" s="43"/>
    </row>
    <row r="47" spans="2:4">
      <c r="B47" s="342" t="s">
        <v>487</v>
      </c>
      <c r="C47" s="43"/>
      <c r="D47" s="43"/>
    </row>
    <row r="48" spans="2:4">
      <c r="B48" s="342" t="s">
        <v>488</v>
      </c>
      <c r="C48" s="43"/>
      <c r="D48" s="43"/>
    </row>
    <row r="49" spans="2:4">
      <c r="B49" s="43"/>
      <c r="C49" s="43"/>
      <c r="D49" s="43"/>
    </row>
    <row r="50" spans="2:4">
      <c r="B50" s="43" t="s">
        <v>258</v>
      </c>
      <c r="C50" s="43"/>
      <c r="D50" s="43"/>
    </row>
    <row r="51" spans="2:4">
      <c r="B51" s="43" t="s">
        <v>265</v>
      </c>
      <c r="C51" s="43"/>
      <c r="D51" s="43"/>
    </row>
    <row r="52" spans="2:4">
      <c r="B52" s="70" t="s">
        <v>259</v>
      </c>
      <c r="C52" s="43"/>
      <c r="D52" s="43"/>
    </row>
    <row r="53" spans="2:4">
      <c r="B53" s="70" t="s">
        <v>538</v>
      </c>
      <c r="C53" s="43"/>
      <c r="D53" s="43"/>
    </row>
    <row r="54" spans="2:4">
      <c r="B54" s="244" t="s">
        <v>539</v>
      </c>
      <c r="C54" s="43"/>
      <c r="D54" s="43"/>
    </row>
    <row r="55" spans="2:4">
      <c r="B55" s="244" t="s">
        <v>540</v>
      </c>
      <c r="C55" s="43"/>
      <c r="D55" s="43"/>
    </row>
    <row r="56" spans="2:4">
      <c r="B56" s="244" t="s">
        <v>483</v>
      </c>
      <c r="C56" s="43"/>
      <c r="D56" s="43"/>
    </row>
    <row r="57" spans="2:4">
      <c r="B57" s="70" t="s">
        <v>528</v>
      </c>
      <c r="C57" s="43"/>
      <c r="D57" s="43"/>
    </row>
    <row r="58" spans="2:4">
      <c r="B58" s="244" t="s">
        <v>529</v>
      </c>
      <c r="C58" s="43"/>
      <c r="D58" s="43"/>
    </row>
    <row r="59" spans="2:4">
      <c r="B59" s="244"/>
      <c r="C59" s="43"/>
      <c r="D59" s="43"/>
    </row>
    <row r="60" spans="2:4">
      <c r="B60" s="70" t="s">
        <v>489</v>
      </c>
      <c r="C60" s="43"/>
      <c r="D60" s="43"/>
    </row>
    <row r="61" spans="2:4">
      <c r="B61" s="70" t="s">
        <v>435</v>
      </c>
      <c r="C61" s="43"/>
      <c r="D61" s="43"/>
    </row>
    <row r="62" spans="2:4">
      <c r="B62" s="244" t="s">
        <v>436</v>
      </c>
      <c r="C62" s="43"/>
      <c r="D62" s="43"/>
    </row>
    <row r="63" spans="2:4">
      <c r="B63" s="244" t="s">
        <v>437</v>
      </c>
      <c r="C63" s="43"/>
      <c r="D63" s="43"/>
    </row>
    <row r="64" spans="2:4">
      <c r="B64" s="244" t="s">
        <v>438</v>
      </c>
      <c r="C64" s="43"/>
      <c r="D64" s="43"/>
    </row>
    <row r="65" spans="2:4">
      <c r="B65" s="70"/>
      <c r="C65" s="43"/>
      <c r="D65" s="43"/>
    </row>
    <row r="66" spans="2:4">
      <c r="B66" s="43" t="s">
        <v>266</v>
      </c>
      <c r="C66" s="43"/>
      <c r="D66" s="43"/>
    </row>
    <row r="67" spans="2:4">
      <c r="B67" s="43" t="s">
        <v>262</v>
      </c>
      <c r="C67" s="43"/>
      <c r="D67" s="43"/>
    </row>
    <row r="68" spans="2:4">
      <c r="B68" s="43" t="s">
        <v>263</v>
      </c>
      <c r="C68" s="43"/>
      <c r="D68" s="43"/>
    </row>
    <row r="69" spans="2:4">
      <c r="B69" s="43"/>
      <c r="C69" s="43"/>
      <c r="D69" s="43"/>
    </row>
    <row r="70" spans="2:4">
      <c r="B70" s="43" t="s">
        <v>260</v>
      </c>
      <c r="C70" s="43"/>
      <c r="D70" s="43"/>
    </row>
    <row r="71" spans="2:4">
      <c r="B71" s="43" t="s">
        <v>261</v>
      </c>
      <c r="C71" s="43"/>
      <c r="D71" s="43"/>
    </row>
    <row r="72" spans="2:4">
      <c r="B72" s="70" t="s">
        <v>484</v>
      </c>
      <c r="C72" s="43"/>
      <c r="D72" s="43"/>
    </row>
    <row r="73" spans="2:4">
      <c r="B73" s="70"/>
      <c r="C73" s="43"/>
      <c r="D73" s="43"/>
    </row>
    <row r="74" spans="2:4">
      <c r="B74" s="244" t="s">
        <v>530</v>
      </c>
      <c r="C74" s="43"/>
      <c r="D74" s="43"/>
    </row>
    <row r="75" spans="2:4">
      <c r="B75" s="244" t="s">
        <v>532</v>
      </c>
      <c r="C75" s="43"/>
      <c r="D75" s="43"/>
    </row>
    <row r="76" spans="2:4">
      <c r="B76" s="413" t="s">
        <v>531</v>
      </c>
      <c r="C76" s="43"/>
      <c r="D76" s="43"/>
    </row>
    <row r="78" spans="2:4">
      <c r="B78" s="81" t="s">
        <v>490</v>
      </c>
    </row>
    <row r="80" spans="2:4">
      <c r="B80" s="8" t="s">
        <v>493</v>
      </c>
    </row>
    <row r="81" spans="2:4">
      <c r="B81" s="8" t="s">
        <v>491</v>
      </c>
    </row>
    <row r="82" spans="2:4">
      <c r="B82" s="8" t="s">
        <v>492</v>
      </c>
    </row>
    <row r="85" spans="2:4">
      <c r="B85" s="218" t="s">
        <v>264</v>
      </c>
    </row>
    <row r="86" spans="2:4">
      <c r="B86" s="154" t="s">
        <v>469</v>
      </c>
    </row>
    <row r="87" spans="2:4">
      <c r="B87" s="154" t="s">
        <v>468</v>
      </c>
    </row>
    <row r="88" spans="2:4">
      <c r="B88" s="110"/>
      <c r="C88" s="110"/>
      <c r="D88" s="110"/>
    </row>
  </sheetData>
  <sheetProtection password="C7BC" sheet="1"/>
  <customSheetViews>
    <customSheetView guid="{136183A0-5E83-4B15-A2A6-F3C23DCC406A}" showGridLines="0" topLeftCell="A46">
      <selection activeCell="B71" sqref="B71"/>
      <pageMargins left="0.75" right="0.75" top="1" bottom="1" header="0.5" footer="0.5"/>
      <pageSetup orientation="portrait" horizontalDpi="0" verticalDpi="0" r:id="rId1"/>
      <headerFooter alignWithMargins="0"/>
    </customSheetView>
  </customSheetViews>
  <phoneticPr fontId="0" type="noConversion"/>
  <hyperlinks>
    <hyperlink ref="B87" r:id="rId2"/>
    <hyperlink ref="B86" r:id="rId3"/>
    <hyperlink ref="B76" r:id="rId4"/>
  </hyperlinks>
  <pageMargins left="0.75" right="0.75" top="1" bottom="1" header="0.5" footer="0.5"/>
  <pageSetup orientation="portrait" r:id="rId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FF00"/>
    <pageSetUpPr autoPageBreaks="0"/>
  </sheetPr>
  <dimension ref="A1:AP106"/>
  <sheetViews>
    <sheetView showGridLines="0" tabSelected="1" topLeftCell="A7" zoomScaleNormal="100" workbookViewId="0">
      <selection activeCell="E35" sqref="E35"/>
    </sheetView>
  </sheetViews>
  <sheetFormatPr defaultRowHeight="12.75"/>
  <cols>
    <col min="1" max="1" width="5.85546875" customWidth="1"/>
    <col min="2" max="2" width="15.5703125" customWidth="1"/>
    <col min="3" max="3" width="11.85546875" customWidth="1"/>
    <col min="4" max="4" width="8.28515625" customWidth="1"/>
    <col min="9" max="9" width="10" customWidth="1"/>
    <col min="11" max="11" width="9.7109375" customWidth="1"/>
    <col min="13" max="13" width="9.28515625" customWidth="1"/>
    <col min="24" max="24" width="18.5703125" customWidth="1"/>
    <col min="30" max="30" width="12.140625" customWidth="1"/>
    <col min="33" max="33" width="10.28515625" bestFit="1" customWidth="1"/>
    <col min="34" max="34" width="11.5703125" bestFit="1" customWidth="1"/>
    <col min="35" max="35" width="11.140625" bestFit="1" customWidth="1"/>
    <col min="36" max="36" width="11.5703125" bestFit="1" customWidth="1"/>
    <col min="37" max="37" width="10.42578125" bestFit="1" customWidth="1"/>
    <col min="38" max="38" width="11.140625" bestFit="1" customWidth="1"/>
    <col min="39" max="39" width="10.42578125" bestFit="1" customWidth="1"/>
    <col min="41" max="41" width="13.5703125" customWidth="1"/>
  </cols>
  <sheetData>
    <row r="1" spans="1:42">
      <c r="A1" s="73"/>
      <c r="B1" s="74"/>
      <c r="C1" s="74"/>
      <c r="D1" s="74"/>
      <c r="E1" s="74"/>
      <c r="F1" s="74"/>
      <c r="G1" s="74"/>
    </row>
    <row r="2" spans="1:42">
      <c r="B2" s="43"/>
      <c r="C2" s="43"/>
      <c r="D2" s="43"/>
      <c r="E2" s="43"/>
    </row>
    <row r="4" spans="1:42">
      <c r="B4" s="81" t="s">
        <v>198</v>
      </c>
    </row>
    <row r="6" spans="1:42">
      <c r="B6" s="5" t="s">
        <v>202</v>
      </c>
      <c r="C6" s="167" t="s">
        <v>555</v>
      </c>
      <c r="D6" s="168"/>
      <c r="E6" s="168"/>
      <c r="F6" s="168"/>
      <c r="G6" s="168"/>
      <c r="H6" s="168"/>
      <c r="I6" s="168"/>
      <c r="J6" s="169"/>
    </row>
    <row r="7" spans="1:42">
      <c r="C7" s="170" t="s">
        <v>268</v>
      </c>
      <c r="D7" s="171"/>
      <c r="E7" s="171"/>
      <c r="F7" s="171"/>
      <c r="G7" s="171"/>
      <c r="H7" s="171"/>
      <c r="I7" s="171"/>
      <c r="J7" s="172"/>
    </row>
    <row r="8" spans="1:42">
      <c r="B8" s="2"/>
      <c r="C8" s="155" t="s">
        <v>329</v>
      </c>
      <c r="D8" s="153"/>
      <c r="E8" s="153"/>
      <c r="F8" s="153"/>
      <c r="G8" s="153"/>
      <c r="H8" s="153"/>
      <c r="I8" s="153"/>
      <c r="J8" s="153"/>
    </row>
    <row r="9" spans="1:42">
      <c r="B9" s="5" t="s">
        <v>35</v>
      </c>
    </row>
    <row r="10" spans="1:42">
      <c r="B10" s="2" t="s">
        <v>0</v>
      </c>
      <c r="C10" s="66">
        <v>48.4</v>
      </c>
      <c r="D10" t="s">
        <v>2</v>
      </c>
      <c r="E10" t="s">
        <v>3</v>
      </c>
    </row>
    <row r="11" spans="1:42">
      <c r="B11" s="2" t="s">
        <v>1</v>
      </c>
      <c r="C11" s="67">
        <v>128.19999999999999</v>
      </c>
      <c r="D11" t="s">
        <v>2</v>
      </c>
      <c r="E11" t="s">
        <v>4</v>
      </c>
    </row>
    <row r="12" spans="1:42" ht="14.25">
      <c r="B12" s="2" t="s">
        <v>22</v>
      </c>
      <c r="C12" s="4">
        <f>PI()/4*dc^2*lc</f>
        <v>235867.78563531541</v>
      </c>
      <c r="D12" t="s">
        <v>23</v>
      </c>
      <c r="E12" t="s">
        <v>24</v>
      </c>
    </row>
    <row r="13" spans="1:42">
      <c r="B13" s="5" t="s">
        <v>5</v>
      </c>
    </row>
    <row r="14" spans="1:42">
      <c r="B14" s="217" t="s">
        <v>111</v>
      </c>
      <c r="C14" s="256" t="s">
        <v>367</v>
      </c>
      <c r="D14" s="259" t="s">
        <v>458</v>
      </c>
      <c r="E14" s="219" t="s">
        <v>374</v>
      </c>
      <c r="F14" s="218"/>
      <c r="G14" s="218"/>
    </row>
    <row r="15" spans="1:42">
      <c r="B15" s="2"/>
    </row>
    <row r="16" spans="1:42">
      <c r="A16" s="21" t="str">
        <f>IF(do&gt;dc,"Invalid","")</f>
        <v/>
      </c>
      <c r="B16" s="2" t="s">
        <v>6</v>
      </c>
      <c r="C16" s="93">
        <v>48.34</v>
      </c>
      <c r="D16" t="s">
        <v>2</v>
      </c>
      <c r="E16" t="s">
        <v>9</v>
      </c>
      <c r="AD16" s="270"/>
      <c r="AE16" s="270"/>
      <c r="AF16" s="270"/>
      <c r="AG16" s="270"/>
      <c r="AH16" s="270"/>
      <c r="AI16" s="270"/>
      <c r="AJ16" s="270"/>
      <c r="AK16" s="270"/>
      <c r="AL16" s="270"/>
      <c r="AM16" s="270"/>
      <c r="AN16" s="270"/>
      <c r="AO16" s="270"/>
      <c r="AP16" s="270"/>
    </row>
    <row r="17" spans="1:42" ht="14.25">
      <c r="B17" s="2" t="s">
        <v>7</v>
      </c>
      <c r="C17" s="66">
        <v>17.440000000000001</v>
      </c>
      <c r="D17" t="s">
        <v>2</v>
      </c>
      <c r="E17" t="s">
        <v>17</v>
      </c>
      <c r="X17" s="292" t="s">
        <v>366</v>
      </c>
      <c r="Y17" s="8" t="s">
        <v>368</v>
      </c>
      <c r="AA17" s="226" t="s">
        <v>378</v>
      </c>
      <c r="AB17" s="10">
        <v>9</v>
      </c>
      <c r="AD17" s="271" t="s">
        <v>451</v>
      </c>
      <c r="AE17" s="270"/>
      <c r="AF17" s="270"/>
      <c r="AG17" s="270"/>
      <c r="AH17" s="270" t="s">
        <v>460</v>
      </c>
      <c r="AI17" s="270"/>
      <c r="AJ17" s="270"/>
      <c r="AK17" s="270"/>
      <c r="AL17" s="270"/>
      <c r="AM17" s="270"/>
      <c r="AN17" s="270"/>
      <c r="AO17" s="270"/>
      <c r="AP17" s="270"/>
    </row>
    <row r="18" spans="1:42">
      <c r="B18" s="2" t="s">
        <v>8</v>
      </c>
      <c r="C18" s="93">
        <f>(44.74+83.46)/2</f>
        <v>64.099999999999994</v>
      </c>
      <c r="D18" t="s">
        <v>2</v>
      </c>
      <c r="E18" t="s">
        <v>10</v>
      </c>
      <c r="X18" s="293" t="s">
        <v>373</v>
      </c>
      <c r="Y18" s="8" t="s">
        <v>369</v>
      </c>
      <c r="AA18" s="217" t="s">
        <v>408</v>
      </c>
      <c r="AB18" s="10">
        <v>8.5</v>
      </c>
      <c r="AD18" s="270"/>
      <c r="AE18" s="270"/>
      <c r="AF18" s="270"/>
      <c r="AG18" s="270"/>
      <c r="AH18" s="270" t="s">
        <v>450</v>
      </c>
      <c r="AI18" s="270"/>
      <c r="AJ18" s="270"/>
      <c r="AK18" s="270"/>
      <c r="AL18" s="270"/>
      <c r="AM18" s="270"/>
      <c r="AN18" s="270"/>
      <c r="AO18" s="270"/>
      <c r="AP18" s="270"/>
    </row>
    <row r="19" spans="1:42">
      <c r="A19" s="21" t="str">
        <f>IF(lo&gt;lc/n,"Invalid","")</f>
        <v/>
      </c>
      <c r="B19" s="2" t="s">
        <v>11</v>
      </c>
      <c r="C19" s="66">
        <v>2</v>
      </c>
      <c r="E19" t="s">
        <v>12</v>
      </c>
      <c r="N19" s="39"/>
      <c r="O19" s="40"/>
      <c r="X19" s="293" t="s">
        <v>372</v>
      </c>
      <c r="Y19" s="291">
        <f>IF(C20="Inhibited",0,1)</f>
        <v>0</v>
      </c>
      <c r="AA19" s="217" t="s">
        <v>379</v>
      </c>
      <c r="AB19" s="10">
        <v>8</v>
      </c>
      <c r="AD19" s="272"/>
      <c r="AE19" s="273"/>
      <c r="AF19" s="274"/>
      <c r="AG19" s="274" t="s">
        <v>457</v>
      </c>
      <c r="AH19" s="274"/>
      <c r="AI19" s="274"/>
      <c r="AJ19" s="274"/>
      <c r="AK19" s="274"/>
      <c r="AL19" s="274"/>
      <c r="AM19" s="275"/>
      <c r="AN19" s="270"/>
      <c r="AO19" s="270"/>
      <c r="AP19" s="270"/>
    </row>
    <row r="20" spans="1:42">
      <c r="B20" s="217" t="s">
        <v>21</v>
      </c>
      <c r="C20" s="256" t="s">
        <v>369</v>
      </c>
      <c r="D20" s="259" t="s">
        <v>458</v>
      </c>
      <c r="G20" s="6"/>
      <c r="N20" s="40"/>
      <c r="X20" s="293" t="s">
        <v>367</v>
      </c>
      <c r="Y20" s="291">
        <f>IF(C21="Inhibited",0,1)</f>
        <v>1</v>
      </c>
      <c r="AA20" s="217" t="s">
        <v>409</v>
      </c>
      <c r="AB20" s="10">
        <v>7.5</v>
      </c>
      <c r="AD20" s="272"/>
      <c r="AE20" s="276" t="s">
        <v>448</v>
      </c>
      <c r="AF20" s="276" t="s">
        <v>444</v>
      </c>
      <c r="AG20" s="276" t="s">
        <v>80</v>
      </c>
      <c r="AH20" s="276" t="s">
        <v>442</v>
      </c>
      <c r="AI20" s="276" t="s">
        <v>443</v>
      </c>
      <c r="AJ20" s="276" t="s">
        <v>45</v>
      </c>
      <c r="AK20" s="276" t="s">
        <v>445</v>
      </c>
      <c r="AL20" s="276" t="s">
        <v>446</v>
      </c>
      <c r="AM20" s="276" t="s">
        <v>447</v>
      </c>
      <c r="AN20" s="277" t="s">
        <v>459</v>
      </c>
      <c r="AO20" s="277" t="s">
        <v>463</v>
      </c>
      <c r="AP20" s="270"/>
    </row>
    <row r="21" spans="1:42">
      <c r="A21" s="22"/>
      <c r="B21" s="217" t="s">
        <v>370</v>
      </c>
      <c r="C21" s="257" t="s">
        <v>368</v>
      </c>
      <c r="D21" s="259" t="s">
        <v>458</v>
      </c>
      <c r="X21" s="293" t="s">
        <v>470</v>
      </c>
      <c r="Y21" s="291">
        <f>IF(C22="Inhibited",0,1)</f>
        <v>1</v>
      </c>
      <c r="AA21" s="217" t="s">
        <v>380</v>
      </c>
      <c r="AB21" s="10">
        <v>7</v>
      </c>
      <c r="AD21" s="272" t="s">
        <v>366</v>
      </c>
      <c r="AE21" s="415"/>
      <c r="AF21" s="260">
        <v>3</v>
      </c>
      <c r="AG21" s="261">
        <v>43.5</v>
      </c>
      <c r="AH21" s="262">
        <v>0.24168000000000001</v>
      </c>
      <c r="AI21" s="261">
        <v>50.48413</v>
      </c>
      <c r="AJ21" s="263">
        <v>-9.9114799999999992</v>
      </c>
      <c r="AK21" s="263"/>
      <c r="AL21" s="264"/>
      <c r="AM21" s="264"/>
      <c r="AN21" s="278">
        <f t="shared" ref="AN21:AN30" si="0">AG21+AH21*$AE$32+AI21*$AE$32^2+AJ21*$AE$32^3+AK21*$AE$32^4+AL21*$AE$32^5+AM21*$AE$32^6</f>
        <v>124.00056750000002</v>
      </c>
      <c r="AO21" s="279" t="s">
        <v>454</v>
      </c>
      <c r="AP21" s="270"/>
    </row>
    <row r="22" spans="1:42">
      <c r="A22" s="1" t="str">
        <f>IF(osi&gt;1,"Error","")</f>
        <v/>
      </c>
      <c r="B22" s="217" t="s">
        <v>371</v>
      </c>
      <c r="C22" s="256" t="s">
        <v>368</v>
      </c>
      <c r="D22" s="259" t="s">
        <v>458</v>
      </c>
      <c r="X22" s="293" t="s">
        <v>471</v>
      </c>
      <c r="AA22" s="217" t="s">
        <v>410</v>
      </c>
      <c r="AB22" s="10">
        <v>6.5</v>
      </c>
      <c r="AD22" s="272"/>
      <c r="AE22" s="415"/>
      <c r="AF22" s="260">
        <v>2</v>
      </c>
      <c r="AG22" s="265">
        <v>163.80000000000001</v>
      </c>
      <c r="AH22" s="261">
        <v>22.224139999999998</v>
      </c>
      <c r="AI22" s="263">
        <v>-0.224</v>
      </c>
      <c r="AJ22" s="263"/>
      <c r="AK22" s="262"/>
      <c r="AL22" s="266"/>
      <c r="AM22" s="267"/>
      <c r="AN22" s="278">
        <f t="shared" si="0"/>
        <v>196.63221000000001</v>
      </c>
      <c r="AO22" s="272" t="s">
        <v>456</v>
      </c>
      <c r="AP22" s="270"/>
    </row>
    <row r="23" spans="1:42">
      <c r="A23" s="1" t="str">
        <f>IF(ci&gt;1,"Error","")</f>
        <v/>
      </c>
      <c r="B23" s="2" t="s">
        <v>30</v>
      </c>
      <c r="C23" s="8">
        <f>n*lo</f>
        <v>128.19999999999999</v>
      </c>
      <c r="D23" t="s">
        <v>2</v>
      </c>
      <c r="E23" t="s">
        <v>32</v>
      </c>
      <c r="X23" s="293" t="s">
        <v>520</v>
      </c>
      <c r="AA23" s="217" t="s">
        <v>381</v>
      </c>
      <c r="AB23" s="10">
        <v>6</v>
      </c>
      <c r="AD23" s="272"/>
      <c r="AE23" s="415"/>
      <c r="AF23" s="260">
        <v>4</v>
      </c>
      <c r="AG23" s="268">
        <v>5095</v>
      </c>
      <c r="AH23" s="268">
        <v>-2460.4259999999999</v>
      </c>
      <c r="AI23" s="265">
        <v>453.48050000000001</v>
      </c>
      <c r="AJ23" s="261">
        <v>-35.532389999999999</v>
      </c>
      <c r="AK23" s="263">
        <v>1.01745</v>
      </c>
      <c r="AL23" s="266"/>
      <c r="AM23" s="267"/>
      <c r="AN23" s="278">
        <f t="shared" si="0"/>
        <v>2309.9211493749999</v>
      </c>
      <c r="AO23" s="278" t="s">
        <v>455</v>
      </c>
      <c r="AP23" s="270"/>
    </row>
    <row r="24" spans="1:42" ht="14.25">
      <c r="A24" s="1" t="str">
        <f>IF(ei&gt;1,"Error","")</f>
        <v/>
      </c>
      <c r="B24" s="2" t="s">
        <v>31</v>
      </c>
      <c r="C24" s="9">
        <f>PI()/4*(do^2-dio^2)*lgo</f>
        <v>204658.72072344506</v>
      </c>
      <c r="D24" t="s">
        <v>23</v>
      </c>
      <c r="E24" t="s">
        <v>33</v>
      </c>
      <c r="X24" s="293" t="s">
        <v>536</v>
      </c>
      <c r="Y24" s="40"/>
      <c r="AA24" s="217" t="s">
        <v>411</v>
      </c>
      <c r="AB24" s="10">
        <v>5.5</v>
      </c>
      <c r="AD24" s="272" t="s">
        <v>373</v>
      </c>
      <c r="AE24" s="415"/>
      <c r="AF24" s="260">
        <v>5</v>
      </c>
      <c r="AG24" s="261">
        <v>34.5</v>
      </c>
      <c r="AH24" s="261">
        <v>-10.975</v>
      </c>
      <c r="AI24" s="261">
        <v>69.667000000000002</v>
      </c>
      <c r="AJ24" s="261">
        <v>-19.664000000000001</v>
      </c>
      <c r="AK24" s="263">
        <v>2.1478000000000002</v>
      </c>
      <c r="AL24" s="284">
        <v>-8.1462999999999994E-2</v>
      </c>
      <c r="AM24" s="269"/>
      <c r="AN24" s="278">
        <f t="shared" si="0"/>
        <v>118.67687784375001</v>
      </c>
      <c r="AO24" s="272" t="s">
        <v>462</v>
      </c>
      <c r="AP24" s="270"/>
    </row>
    <row r="25" spans="1:42">
      <c r="B25" s="2" t="s">
        <v>294</v>
      </c>
      <c r="C25" s="10">
        <f>vg/vc</f>
        <v>0.86768407212622112</v>
      </c>
      <c r="E25" t="s">
        <v>293</v>
      </c>
      <c r="X25" s="293"/>
      <c r="AA25" s="217" t="s">
        <v>382</v>
      </c>
      <c r="AB25" s="10">
        <v>5</v>
      </c>
      <c r="AD25" s="272" t="s">
        <v>372</v>
      </c>
      <c r="AE25" s="415"/>
      <c r="AF25" s="260">
        <v>2</v>
      </c>
      <c r="AG25" s="261">
        <v>38</v>
      </c>
      <c r="AH25" s="261">
        <v>92.391000000000005</v>
      </c>
      <c r="AI25" s="263">
        <v>-2.0438000000000001</v>
      </c>
      <c r="AJ25" s="267"/>
      <c r="AK25" s="267"/>
      <c r="AL25" s="267"/>
      <c r="AM25" s="267"/>
      <c r="AN25" s="278">
        <f t="shared" si="0"/>
        <v>171.98795000000001</v>
      </c>
      <c r="AO25" s="272" t="s">
        <v>462</v>
      </c>
      <c r="AP25" s="270"/>
    </row>
    <row r="26" spans="1:42" ht="14.25">
      <c r="B26" s="7" t="s">
        <v>292</v>
      </c>
      <c r="C26" s="10">
        <f>IF(fueltype=1,rhopdex,IF(fueltype=2,rhopsorb,IF(fueltype=3,rhopsorb,IF(fueltype=4,rhopsu,IF(fueltype=5,rhoper,IF(fueltype=6,rhopmn,IF(fueltype=7,rhopot,rhopfr)))))))</f>
        <v>1.889</v>
      </c>
      <c r="D26" t="s">
        <v>27</v>
      </c>
      <c r="E26" t="s">
        <v>132</v>
      </c>
      <c r="X26" s="294"/>
      <c r="AA26" s="217" t="s">
        <v>412</v>
      </c>
      <c r="AB26" s="10">
        <v>4.5</v>
      </c>
      <c r="AD26" s="272" t="s">
        <v>367</v>
      </c>
      <c r="AE26" s="415"/>
      <c r="AF26" s="260">
        <v>2</v>
      </c>
      <c r="AG26" s="261">
        <v>32.953899999999997</v>
      </c>
      <c r="AH26" s="261">
        <v>44.107900000000001</v>
      </c>
      <c r="AI26" s="263">
        <v>-1.1024799999999999</v>
      </c>
      <c r="AJ26" s="267"/>
      <c r="AK26" s="267"/>
      <c r="AL26" s="267"/>
      <c r="AM26" s="267"/>
      <c r="AN26" s="278">
        <f t="shared" si="0"/>
        <v>96.635169999999988</v>
      </c>
      <c r="AO26" s="272" t="s">
        <v>462</v>
      </c>
      <c r="AP26" s="270"/>
    </row>
    <row r="27" spans="1:42">
      <c r="C27" s="87">
        <v>0.95</v>
      </c>
      <c r="E27" t="s">
        <v>133</v>
      </c>
      <c r="X27" s="294"/>
      <c r="AA27" s="217" t="s">
        <v>383</v>
      </c>
      <c r="AB27" s="10">
        <v>4</v>
      </c>
      <c r="AD27" s="272" t="s">
        <v>470</v>
      </c>
      <c r="AE27" s="415"/>
      <c r="AF27" s="260">
        <v>5</v>
      </c>
      <c r="AG27" s="261">
        <v>50.410353000000001</v>
      </c>
      <c r="AH27" s="261">
        <v>211.194019</v>
      </c>
      <c r="AI27" s="263">
        <v>-47.797595999999999</v>
      </c>
      <c r="AJ27" s="267">
        <v>8.7790180000000007</v>
      </c>
      <c r="AK27" s="267">
        <v>-0.83028199999999996</v>
      </c>
      <c r="AL27" s="267">
        <v>3.0519000000000001E-2</v>
      </c>
      <c r="AM27" s="267"/>
      <c r="AN27" s="278">
        <f t="shared" si="0"/>
        <v>285.31442728124995</v>
      </c>
      <c r="AO27" s="272" t="s">
        <v>462</v>
      </c>
      <c r="AP27" s="270"/>
    </row>
    <row r="28" spans="1:42" ht="14.25">
      <c r="B28" s="7" t="s">
        <v>25</v>
      </c>
      <c r="C28" s="10">
        <f>rhorat*rhopgraini</f>
        <v>1.7945499999999999</v>
      </c>
      <c r="D28" t="s">
        <v>27</v>
      </c>
      <c r="E28" t="s">
        <v>134</v>
      </c>
      <c r="X28" s="294"/>
      <c r="AA28" s="217" t="s">
        <v>413</v>
      </c>
      <c r="AB28" s="10">
        <v>3.5</v>
      </c>
      <c r="AD28" s="272" t="s">
        <v>471</v>
      </c>
      <c r="AE28" s="415"/>
      <c r="AF28" s="260">
        <v>2</v>
      </c>
      <c r="AG28" s="261">
        <v>38</v>
      </c>
      <c r="AH28" s="261">
        <v>92.391000000000005</v>
      </c>
      <c r="AI28" s="263">
        <v>-2.0438000000000001</v>
      </c>
      <c r="AJ28" s="272"/>
      <c r="AK28" s="272"/>
      <c r="AL28" s="272"/>
      <c r="AM28" s="272"/>
      <c r="AN28" s="278">
        <f t="shared" si="0"/>
        <v>171.98795000000001</v>
      </c>
      <c r="AO28" s="272" t="s">
        <v>462</v>
      </c>
      <c r="AP28" s="270"/>
    </row>
    <row r="29" spans="1:42">
      <c r="B29" s="2" t="s">
        <v>26</v>
      </c>
      <c r="C29" s="10">
        <f>rhopgrain*vg/1000/1000</f>
        <v>0.3672703072742583</v>
      </c>
      <c r="D29" t="s">
        <v>28</v>
      </c>
      <c r="E29" t="s">
        <v>34</v>
      </c>
      <c r="X29" s="294"/>
      <c r="AA29" s="217" t="s">
        <v>384</v>
      </c>
      <c r="AB29" s="10">
        <v>3</v>
      </c>
      <c r="AD29" s="414" t="s">
        <v>520</v>
      </c>
      <c r="AE29" s="415"/>
      <c r="AF29" s="260">
        <v>3</v>
      </c>
      <c r="AG29" s="261">
        <v>54.53</v>
      </c>
      <c r="AH29" s="263">
        <v>33.652000000000001</v>
      </c>
      <c r="AI29" s="263">
        <v>-3.4184999999999999</v>
      </c>
      <c r="AJ29" s="416">
        <v>0.1545</v>
      </c>
      <c r="AK29" s="272"/>
      <c r="AL29" s="272"/>
      <c r="AM29" s="272"/>
      <c r="AN29" s="278">
        <f t="shared" si="0"/>
        <v>97.837812500000013</v>
      </c>
      <c r="AO29" s="272" t="s">
        <v>462</v>
      </c>
      <c r="AP29" s="270"/>
    </row>
    <row r="30" spans="1:42" ht="14.25">
      <c r="B30" s="2" t="s">
        <v>49</v>
      </c>
      <c r="C30" s="4">
        <f>n*2*ei*PI()/4*(do^2-dio^2)</f>
        <v>6385.6075108719215</v>
      </c>
      <c r="D30" t="s">
        <v>15</v>
      </c>
      <c r="E30" t="s">
        <v>38</v>
      </c>
      <c r="X30" s="294"/>
      <c r="AA30" s="217" t="s">
        <v>414</v>
      </c>
      <c r="AB30" s="10">
        <v>2.5</v>
      </c>
      <c r="AD30" s="414" t="s">
        <v>536</v>
      </c>
      <c r="AE30" s="415"/>
      <c r="AF30" s="260">
        <v>2</v>
      </c>
      <c r="AG30" s="261">
        <v>39.747999999999998</v>
      </c>
      <c r="AH30" s="263">
        <v>51.618000000000002</v>
      </c>
      <c r="AI30" s="263">
        <v>-0.9264</v>
      </c>
      <c r="AJ30" s="416"/>
      <c r="AK30" s="272"/>
      <c r="AL30" s="272"/>
      <c r="AM30" s="272"/>
      <c r="AN30" s="278">
        <f t="shared" si="0"/>
        <v>115.09060000000001</v>
      </c>
      <c r="AO30" s="272" t="s">
        <v>462</v>
      </c>
      <c r="AP30" s="270"/>
    </row>
    <row r="31" spans="1:42" ht="14.25">
      <c r="B31" s="2" t="s">
        <v>50</v>
      </c>
      <c r="C31" s="4">
        <f>n*ci*PI()*dio*lo</f>
        <v>7023.9979876372881</v>
      </c>
      <c r="D31" t="s">
        <v>15</v>
      </c>
      <c r="E31" t="s">
        <v>39</v>
      </c>
      <c r="X31" s="295">
        <f>IF(C14="KNDX",1,IF(C14="KNSB fine",2,IF(C14="KNSB coarse",3,IF(C14="KNSU",4,IF(C14="KNER coarse",5,IF(C14="KNMN coarse",6,IF(C14="KNPSB",7,8)))))))</f>
        <v>4</v>
      </c>
      <c r="AA31" s="217" t="s">
        <v>385</v>
      </c>
      <c r="AB31" s="10">
        <v>2</v>
      </c>
      <c r="AD31" s="280" t="s">
        <v>461</v>
      </c>
      <c r="AE31" s="270"/>
      <c r="AF31" s="270"/>
      <c r="AG31" s="270"/>
      <c r="AH31" s="270"/>
      <c r="AI31" s="270"/>
      <c r="AJ31" s="270"/>
      <c r="AK31" s="270"/>
      <c r="AL31" s="270"/>
      <c r="AM31" s="270"/>
      <c r="AN31" s="267" t="s">
        <v>464</v>
      </c>
      <c r="AO31" s="267" t="s">
        <v>13</v>
      </c>
      <c r="AP31" s="270"/>
    </row>
    <row r="32" spans="1:42" ht="14.25">
      <c r="B32" s="2" t="s">
        <v>51</v>
      </c>
      <c r="C32" s="4">
        <f>n*osi*PI()*do*lo</f>
        <v>0</v>
      </c>
      <c r="D32" t="s">
        <v>15</v>
      </c>
      <c r="E32" t="s">
        <v>40</v>
      </c>
      <c r="K32" s="116"/>
      <c r="AA32" s="217" t="s">
        <v>415</v>
      </c>
      <c r="AB32" s="10">
        <v>1.5</v>
      </c>
      <c r="AD32" s="281" t="str">
        <f>C34</f>
        <v>1.5 MPa</v>
      </c>
      <c r="AE32" s="282">
        <f>VLOOKUP(AD32,AA17:AB57,2,FALSE)</f>
        <v>1.5</v>
      </c>
      <c r="AF32" s="283" t="s">
        <v>127</v>
      </c>
      <c r="AG32" s="298"/>
      <c r="AH32" s="283"/>
      <c r="AI32" s="270"/>
      <c r="AJ32" s="270"/>
      <c r="AK32" s="270"/>
      <c r="AL32" s="270"/>
      <c r="AM32" s="270"/>
      <c r="AN32" s="267">
        <v>1</v>
      </c>
      <c r="AO32" s="285">
        <f>IF(pmselect&lt;3,AN21,IF(pmselect&lt;6,AN22,AN23))</f>
        <v>124.00056750000002</v>
      </c>
      <c r="AP32" s="270"/>
    </row>
    <row r="33" spans="2:42" ht="14.25">
      <c r="B33" s="2" t="s">
        <v>14</v>
      </c>
      <c r="C33" s="4">
        <f>SUM(C30:C32)</f>
        <v>13409.605498509209</v>
      </c>
      <c r="D33" t="s">
        <v>15</v>
      </c>
      <c r="E33" t="s">
        <v>41</v>
      </c>
      <c r="K33" s="117">
        <f>C96</f>
        <v>3.5527136788005009E-14</v>
      </c>
      <c r="AA33" s="217" t="s">
        <v>416</v>
      </c>
      <c r="AB33" s="10">
        <v>1</v>
      </c>
      <c r="AD33" s="270"/>
      <c r="AE33" s="270"/>
      <c r="AF33" s="283"/>
      <c r="AG33" s="299"/>
      <c r="AH33" s="283"/>
      <c r="AI33" s="270"/>
      <c r="AJ33" s="270"/>
      <c r="AK33" s="270"/>
      <c r="AL33" s="270"/>
      <c r="AM33" s="270"/>
      <c r="AN33" s="267">
        <v>2</v>
      </c>
      <c r="AO33" s="285">
        <f t="shared" ref="AO33:AO39" si="1">AN24</f>
        <v>118.67687784375001</v>
      </c>
      <c r="AP33" s="270"/>
    </row>
    <row r="34" spans="2:42">
      <c r="B34" s="5" t="s">
        <v>452</v>
      </c>
      <c r="C34" s="255" t="s">
        <v>415</v>
      </c>
      <c r="D34" s="259" t="s">
        <v>458</v>
      </c>
      <c r="E34" s="8" t="s">
        <v>398</v>
      </c>
      <c r="AA34" s="217" t="s">
        <v>417</v>
      </c>
      <c r="AB34" s="10">
        <f>1300*6895/1000000</f>
        <v>8.9634999999999998</v>
      </c>
      <c r="AD34" s="270"/>
      <c r="AE34" s="270"/>
      <c r="AF34" s="283"/>
      <c r="AG34" s="300"/>
      <c r="AH34" s="283"/>
      <c r="AI34" s="270"/>
      <c r="AJ34" s="270"/>
      <c r="AK34" s="270"/>
      <c r="AL34" s="270"/>
      <c r="AM34" s="270"/>
      <c r="AN34" s="267">
        <v>3</v>
      </c>
      <c r="AO34" s="285">
        <f t="shared" si="1"/>
        <v>171.98795000000001</v>
      </c>
      <c r="AP34" s="270"/>
    </row>
    <row r="35" spans="2:42">
      <c r="B35" s="5" t="s">
        <v>453</v>
      </c>
      <c r="C35" s="258">
        <f>VLOOKUP(fueltype,knselecttab,2,FALSE)</f>
        <v>96.635169999999988</v>
      </c>
      <c r="D35" s="43"/>
      <c r="E35" s="8" t="s">
        <v>449</v>
      </c>
      <c r="I35" s="156" t="s">
        <v>56</v>
      </c>
      <c r="J35" s="157">
        <f>MAX(knrange)</f>
        <v>96.635170000000002</v>
      </c>
      <c r="AA35" s="217" t="s">
        <v>429</v>
      </c>
      <c r="AB35" s="10">
        <f>1250*6895/1000000</f>
        <v>8.6187500000000004</v>
      </c>
      <c r="AD35" s="270"/>
      <c r="AE35" s="270"/>
      <c r="AF35" s="283"/>
      <c r="AG35" s="298"/>
      <c r="AH35" s="283"/>
      <c r="AI35" s="270"/>
      <c r="AJ35" s="270"/>
      <c r="AK35" s="270"/>
      <c r="AL35" s="270"/>
      <c r="AM35" s="270"/>
      <c r="AN35" s="267">
        <v>4</v>
      </c>
      <c r="AO35" s="285">
        <f t="shared" si="1"/>
        <v>96.635169999999988</v>
      </c>
      <c r="AP35" s="270"/>
    </row>
    <row r="36" spans="2:42" ht="14.25">
      <c r="B36" s="11" t="s">
        <v>397</v>
      </c>
      <c r="C36" s="4">
        <f>abmax/kn</f>
        <v>148.0155219248214</v>
      </c>
      <c r="D36" t="s">
        <v>15</v>
      </c>
      <c r="E36" t="s">
        <v>37</v>
      </c>
      <c r="I36" s="158" t="s">
        <v>57</v>
      </c>
      <c r="J36" s="159">
        <f>MIN(knrange)</f>
        <v>68.12669759317896</v>
      </c>
      <c r="AA36" s="217" t="s">
        <v>386</v>
      </c>
      <c r="AB36" s="10">
        <f>1200*6895/1000000</f>
        <v>8.2739999999999991</v>
      </c>
      <c r="AD36" s="270"/>
      <c r="AE36" s="270"/>
      <c r="AF36" s="270"/>
      <c r="AG36" s="298"/>
      <c r="AH36" s="270"/>
      <c r="AI36" s="270"/>
      <c r="AJ36" s="270"/>
      <c r="AK36" s="270"/>
      <c r="AL36" s="270"/>
      <c r="AM36" s="270"/>
      <c r="AN36" s="267">
        <v>5</v>
      </c>
      <c r="AO36" s="285">
        <f t="shared" si="1"/>
        <v>285.31442728124995</v>
      </c>
    </row>
    <row r="37" spans="2:42">
      <c r="B37" s="343" t="s">
        <v>494</v>
      </c>
      <c r="C37" s="344">
        <f>SQRT(4*at/PI())</f>
        <v>13.728044862590489</v>
      </c>
      <c r="D37" s="8" t="s">
        <v>36</v>
      </c>
      <c r="E37" s="345" t="s">
        <v>495</v>
      </c>
      <c r="F37" s="345"/>
      <c r="I37" s="160" t="s">
        <v>58</v>
      </c>
      <c r="J37" s="161">
        <f>AVERAGE(knrange)</f>
        <v>89.291465705692204</v>
      </c>
      <c r="AA37" s="217" t="s">
        <v>418</v>
      </c>
      <c r="AB37" s="10">
        <f>1150*6895/1000000</f>
        <v>7.9292499999999997</v>
      </c>
      <c r="AG37" s="251"/>
      <c r="AH37" s="251"/>
      <c r="AI37" s="251"/>
      <c r="AJ37" s="251"/>
      <c r="AK37" s="252"/>
      <c r="AL37" s="252"/>
      <c r="AM37" s="251"/>
      <c r="AN37" s="267">
        <v>6</v>
      </c>
      <c r="AO37" s="285">
        <f t="shared" si="1"/>
        <v>171.98795000000001</v>
      </c>
    </row>
    <row r="38" spans="2:42">
      <c r="AA38" s="217" t="s">
        <v>387</v>
      </c>
      <c r="AB38" s="10">
        <f>1100*6895/1000000</f>
        <v>7.5845000000000002</v>
      </c>
      <c r="AN38" s="267">
        <v>7</v>
      </c>
      <c r="AO38" s="285">
        <f t="shared" si="1"/>
        <v>97.837812500000013</v>
      </c>
    </row>
    <row r="39" spans="2:42">
      <c r="B39" s="2" t="s">
        <v>16</v>
      </c>
      <c r="C39" s="67">
        <v>0</v>
      </c>
      <c r="D39" t="s">
        <v>2</v>
      </c>
      <c r="E39" t="s">
        <v>275</v>
      </c>
      <c r="AA39" s="217" t="s">
        <v>419</v>
      </c>
      <c r="AB39" s="10">
        <f>1050*6895/1000000</f>
        <v>7.2397499999999999</v>
      </c>
      <c r="AN39" s="267">
        <v>8</v>
      </c>
      <c r="AO39" s="285">
        <f t="shared" si="1"/>
        <v>115.09060000000001</v>
      </c>
    </row>
    <row r="40" spans="2:42">
      <c r="B40" s="2" t="s">
        <v>43</v>
      </c>
      <c r="C40" s="40">
        <f>SQRT(4*at/PI())+erate</f>
        <v>13.728044862590489</v>
      </c>
      <c r="D40" t="s">
        <v>36</v>
      </c>
      <c r="E40" t="s">
        <v>42</v>
      </c>
      <c r="AA40" s="217" t="s">
        <v>388</v>
      </c>
      <c r="AB40" s="10">
        <f>1000*6895/1000000</f>
        <v>6.8949999999999996</v>
      </c>
    </row>
    <row r="41" spans="2:42">
      <c r="AA41" s="217" t="s">
        <v>420</v>
      </c>
      <c r="AB41" s="10">
        <f>950*6895/1000000</f>
        <v>6.5502500000000001</v>
      </c>
    </row>
    <row r="42" spans="2:42">
      <c r="B42" s="57" t="s">
        <v>145</v>
      </c>
      <c r="C42" s="55">
        <v>0.3089999999999995</v>
      </c>
      <c r="D42" s="56" t="s">
        <v>2</v>
      </c>
      <c r="E42" s="94" t="s">
        <v>253</v>
      </c>
      <c r="G42" s="23" t="str">
        <f>IF(twebfinal&gt;0.1,"Error code 01--convergence failure","")</f>
        <v/>
      </c>
      <c r="AA42" s="217" t="s">
        <v>389</v>
      </c>
      <c r="AB42" s="10">
        <f>900*6895/1000000</f>
        <v>6.2054999999999998</v>
      </c>
    </row>
    <row r="43" spans="2:42">
      <c r="B43" s="14" t="s">
        <v>44</v>
      </c>
      <c r="C43" s="13" t="s">
        <v>47</v>
      </c>
      <c r="D43" s="13" t="s">
        <v>45</v>
      </c>
      <c r="E43" s="13" t="s">
        <v>53</v>
      </c>
      <c r="F43" s="13" t="s">
        <v>46</v>
      </c>
      <c r="G43" s="13" t="s">
        <v>48</v>
      </c>
      <c r="H43" s="13" t="s">
        <v>18</v>
      </c>
      <c r="I43" s="13" t="s">
        <v>19</v>
      </c>
      <c r="J43" s="13" t="s">
        <v>20</v>
      </c>
      <c r="K43" s="13" t="s">
        <v>52</v>
      </c>
      <c r="L43" s="13" t="s">
        <v>54</v>
      </c>
      <c r="M43" s="14" t="s">
        <v>13</v>
      </c>
      <c r="N43" s="41"/>
      <c r="O43" s="222"/>
      <c r="AA43" s="217" t="s">
        <v>421</v>
      </c>
      <c r="AB43" s="10">
        <f>850*6895/1000000</f>
        <v>5.8607500000000003</v>
      </c>
    </row>
    <row r="44" spans="2:42" ht="15" thickBot="1">
      <c r="B44" s="15"/>
      <c r="C44" s="16" t="s">
        <v>2</v>
      </c>
      <c r="D44" s="16" t="s">
        <v>2</v>
      </c>
      <c r="E44" s="16" t="s">
        <v>2</v>
      </c>
      <c r="F44" s="16" t="s">
        <v>2</v>
      </c>
      <c r="G44" s="16" t="s">
        <v>2</v>
      </c>
      <c r="H44" s="16" t="s">
        <v>15</v>
      </c>
      <c r="I44" s="16" t="s">
        <v>15</v>
      </c>
      <c r="J44" s="16" t="s">
        <v>15</v>
      </c>
      <c r="K44" s="16" t="s">
        <v>15</v>
      </c>
      <c r="L44" s="16" t="s">
        <v>15</v>
      </c>
      <c r="M44" s="15"/>
      <c r="N44" s="41"/>
      <c r="O44" s="222"/>
      <c r="AA44" s="217" t="s">
        <v>390</v>
      </c>
      <c r="AB44" s="10">
        <f>800*6895/1000000</f>
        <v>5.516</v>
      </c>
    </row>
    <row r="45" spans="2:42">
      <c r="B45" s="12">
        <v>0</v>
      </c>
      <c r="C45" s="83">
        <v>0</v>
      </c>
      <c r="D45" s="83">
        <f>dio+ci*(2*C45)</f>
        <v>17.440000000000001</v>
      </c>
      <c r="E45" s="83">
        <f t="shared" ref="E45:E50" si="2">do-osi*(2*C45)</f>
        <v>48.34</v>
      </c>
      <c r="F45" s="17">
        <f t="shared" ref="F45:F50" si="3">lgo-ei*(2*n*C45)</f>
        <v>128.19999999999999</v>
      </c>
      <c r="G45" s="83">
        <f t="shared" ref="G45:G50" si="4">(E45-D45)/2</f>
        <v>15.450000000000001</v>
      </c>
      <c r="H45" s="18">
        <f t="shared" ref="H45:H50" si="5">ei*2*n*PI()/4*(E45^2-D45^2)</f>
        <v>6385.6075108719215</v>
      </c>
      <c r="I45" s="18">
        <f t="shared" ref="I45:I50" si="6">ci*PI()*D45*F45</f>
        <v>7023.9979876372881</v>
      </c>
      <c r="J45" s="18">
        <f t="shared" ref="J45:J50" si="7">osi*PI()*E45*F45</f>
        <v>0</v>
      </c>
      <c r="K45" s="18">
        <f t="shared" ref="K45:K50" si="8">SUM(H45:J45)</f>
        <v>13409.605498509209</v>
      </c>
      <c r="L45" s="17">
        <f>PI()/4*(dto+erate*(two-G45)/two)^2</f>
        <v>148.0155219248214</v>
      </c>
      <c r="M45" s="17">
        <f t="shared" ref="M45:M50" si="9">K45/L45</f>
        <v>90.595941048129291</v>
      </c>
      <c r="N45" s="42"/>
      <c r="O45" s="223"/>
      <c r="AA45" s="217" t="s">
        <v>422</v>
      </c>
      <c r="AB45" s="10">
        <f>750*6895/1000000</f>
        <v>5.1712499999999997</v>
      </c>
    </row>
    <row r="46" spans="2:42">
      <c r="B46" s="13">
        <f>1+B45</f>
        <v>1</v>
      </c>
      <c r="C46" s="19">
        <f>xinc+C45</f>
        <v>0.3089999999999995</v>
      </c>
      <c r="D46" s="83">
        <f>dio+ci*(2*C46)</f>
        <v>18.058</v>
      </c>
      <c r="E46" s="83">
        <f t="shared" si="2"/>
        <v>48.34</v>
      </c>
      <c r="F46" s="17">
        <f t="shared" si="3"/>
        <v>126.96399999999998</v>
      </c>
      <c r="G46" s="83">
        <f t="shared" si="4"/>
        <v>15.141000000000002</v>
      </c>
      <c r="H46" s="18">
        <f t="shared" si="5"/>
        <v>6316.6879926533356</v>
      </c>
      <c r="I46" s="18">
        <f t="shared" si="6"/>
        <v>7202.7794659076217</v>
      </c>
      <c r="J46" s="18">
        <f t="shared" si="7"/>
        <v>0</v>
      </c>
      <c r="K46" s="18">
        <f t="shared" si="8"/>
        <v>13519.467458560957</v>
      </c>
      <c r="L46" s="17">
        <f t="shared" ref="L46:L95" si="10">PI()/4*(dto+erate*(two-G46)/two)^2</f>
        <v>148.0155219248214</v>
      </c>
      <c r="M46" s="17">
        <f t="shared" si="9"/>
        <v>91.338173745234869</v>
      </c>
      <c r="N46" s="42"/>
      <c r="O46" s="223"/>
      <c r="AA46" s="217" t="s">
        <v>391</v>
      </c>
      <c r="AB46" s="10">
        <f>700*6895/1000000</f>
        <v>4.8265000000000002</v>
      </c>
    </row>
    <row r="47" spans="2:42">
      <c r="B47" s="13">
        <f>1+B46</f>
        <v>2</v>
      </c>
      <c r="C47" s="19">
        <f>xinc+C46</f>
        <v>0.61799999999999899</v>
      </c>
      <c r="D47" s="83">
        <f t="shared" ref="D47:D95" si="11">dio+ci*(2*C47)</f>
        <v>18.675999999999998</v>
      </c>
      <c r="E47" s="83">
        <f t="shared" si="2"/>
        <v>48.34</v>
      </c>
      <c r="F47" s="17">
        <f t="shared" si="3"/>
        <v>125.72799999999999</v>
      </c>
      <c r="G47" s="83">
        <f t="shared" si="4"/>
        <v>14.832000000000003</v>
      </c>
      <c r="H47" s="18">
        <f t="shared" si="5"/>
        <v>6245.3687751694897</v>
      </c>
      <c r="I47" s="18">
        <f t="shared" si="6"/>
        <v>7376.7615456474377</v>
      </c>
      <c r="J47" s="18">
        <f t="shared" si="7"/>
        <v>0</v>
      </c>
      <c r="K47" s="18">
        <f t="shared" si="8"/>
        <v>13622.130320816927</v>
      </c>
      <c r="L47" s="17">
        <f t="shared" si="10"/>
        <v>148.0155219248214</v>
      </c>
      <c r="M47" s="17">
        <f t="shared" si="9"/>
        <v>92.031768990658605</v>
      </c>
      <c r="N47" s="42"/>
      <c r="O47" s="223"/>
      <c r="AA47" s="217" t="s">
        <v>423</v>
      </c>
      <c r="AB47" s="10">
        <f>650*6895/1000000</f>
        <v>4.4817499999999999</v>
      </c>
    </row>
    <row r="48" spans="2:42">
      <c r="B48" s="13">
        <f>1+B47</f>
        <v>3</v>
      </c>
      <c r="C48" s="19">
        <f>xinc+C47</f>
        <v>0.92699999999999849</v>
      </c>
      <c r="D48" s="83">
        <f t="shared" si="11"/>
        <v>19.293999999999997</v>
      </c>
      <c r="E48" s="83">
        <f t="shared" si="2"/>
        <v>48.34</v>
      </c>
      <c r="F48" s="17">
        <f t="shared" si="3"/>
        <v>124.49199999999999</v>
      </c>
      <c r="G48" s="83">
        <f t="shared" si="4"/>
        <v>14.523000000000003</v>
      </c>
      <c r="H48" s="18">
        <f t="shared" si="5"/>
        <v>6171.6498584203846</v>
      </c>
      <c r="I48" s="18">
        <f t="shared" si="6"/>
        <v>7545.9442268567345</v>
      </c>
      <c r="J48" s="18">
        <f t="shared" si="7"/>
        <v>0</v>
      </c>
      <c r="K48" s="18">
        <f t="shared" si="8"/>
        <v>13717.59408527712</v>
      </c>
      <c r="L48" s="17">
        <f t="shared" si="10"/>
        <v>148.0155219248214</v>
      </c>
      <c r="M48" s="17">
        <f t="shared" si="9"/>
        <v>92.676726784400529</v>
      </c>
      <c r="N48" s="42"/>
      <c r="O48" s="223"/>
      <c r="AA48" s="217" t="s">
        <v>392</v>
      </c>
      <c r="AB48" s="10">
        <f>600*6895/1000000</f>
        <v>4.1369999999999996</v>
      </c>
    </row>
    <row r="49" spans="2:28">
      <c r="B49" s="13">
        <f>1+B48</f>
        <v>4</v>
      </c>
      <c r="C49" s="19">
        <f>xinc+C48</f>
        <v>1.235999999999998</v>
      </c>
      <c r="D49" s="83">
        <f t="shared" si="11"/>
        <v>19.911999999999999</v>
      </c>
      <c r="E49" s="83">
        <f t="shared" si="2"/>
        <v>48.34</v>
      </c>
      <c r="F49" s="17">
        <f t="shared" si="3"/>
        <v>123.256</v>
      </c>
      <c r="G49" s="83">
        <f t="shared" si="4"/>
        <v>14.214000000000002</v>
      </c>
      <c r="H49" s="18">
        <f t="shared" si="5"/>
        <v>6095.5312424060194</v>
      </c>
      <c r="I49" s="18">
        <f t="shared" si="6"/>
        <v>7710.3275095355148</v>
      </c>
      <c r="J49" s="18">
        <f t="shared" si="7"/>
        <v>0</v>
      </c>
      <c r="K49" s="18">
        <f t="shared" si="8"/>
        <v>13805.858751941534</v>
      </c>
      <c r="L49" s="17">
        <f t="shared" si="10"/>
        <v>148.0155219248214</v>
      </c>
      <c r="M49" s="17">
        <f t="shared" si="9"/>
        <v>93.273047126460639</v>
      </c>
      <c r="N49" s="42"/>
      <c r="O49" s="223"/>
      <c r="AA49" s="217" t="s">
        <v>424</v>
      </c>
      <c r="AB49" s="10">
        <f>550*6895/1000000</f>
        <v>3.7922500000000001</v>
      </c>
    </row>
    <row r="50" spans="2:28">
      <c r="B50" s="13">
        <f>1+B49</f>
        <v>5</v>
      </c>
      <c r="C50" s="19">
        <f>xinc+C49</f>
        <v>1.5449999999999975</v>
      </c>
      <c r="D50" s="83">
        <f t="shared" si="11"/>
        <v>20.529999999999998</v>
      </c>
      <c r="E50" s="83">
        <f t="shared" si="2"/>
        <v>48.34</v>
      </c>
      <c r="F50" s="17">
        <f t="shared" si="3"/>
        <v>122.02</v>
      </c>
      <c r="G50" s="83">
        <f t="shared" si="4"/>
        <v>13.905000000000003</v>
      </c>
      <c r="H50" s="18">
        <f t="shared" si="5"/>
        <v>6017.0129271263959</v>
      </c>
      <c r="I50" s="18">
        <f t="shared" si="6"/>
        <v>7869.9113936837748</v>
      </c>
      <c r="J50" s="18">
        <f t="shared" si="7"/>
        <v>0</v>
      </c>
      <c r="K50" s="18">
        <f t="shared" si="8"/>
        <v>13886.924320810171</v>
      </c>
      <c r="L50" s="17">
        <f t="shared" si="10"/>
        <v>148.0155219248214</v>
      </c>
      <c r="M50" s="17">
        <f t="shared" si="9"/>
        <v>93.820730016838922</v>
      </c>
      <c r="N50" s="42"/>
      <c r="O50" s="225"/>
      <c r="AA50" s="217" t="s">
        <v>393</v>
      </c>
      <c r="AB50" s="10">
        <f>500*6895/1000000</f>
        <v>3.4474999999999998</v>
      </c>
    </row>
    <row r="51" spans="2:28">
      <c r="B51" s="13">
        <f t="shared" ref="B51:B95" si="12">1+B50</f>
        <v>6</v>
      </c>
      <c r="C51" s="19">
        <f t="shared" ref="C51:C95" si="13">xinc+C50</f>
        <v>1.853999999999997</v>
      </c>
      <c r="D51" s="83">
        <f t="shared" si="11"/>
        <v>21.147999999999996</v>
      </c>
      <c r="E51" s="83">
        <f t="shared" ref="E51:E95" si="14">do-osi*(2*C51)</f>
        <v>48.34</v>
      </c>
      <c r="F51" s="17">
        <f t="shared" ref="F51:F95" si="15">lgo-ei*(2*n*C51)</f>
        <v>120.78400000000001</v>
      </c>
      <c r="G51" s="83">
        <f t="shared" ref="G51:G95" si="16">(E51-D51)/2</f>
        <v>13.596000000000004</v>
      </c>
      <c r="H51" s="18">
        <f t="shared" ref="H51:H95" si="17">ei*2*n*PI()/4*(E51^2-D51^2)</f>
        <v>5936.0949125815141</v>
      </c>
      <c r="I51" s="18">
        <f t="shared" ref="I51:I95" si="18">ci*PI()*D51*F51</f>
        <v>8024.6958793015156</v>
      </c>
      <c r="J51" s="18">
        <f t="shared" ref="J51:J95" si="19">osi*PI()*E51*F51</f>
        <v>0</v>
      </c>
      <c r="K51" s="18">
        <f t="shared" ref="K51:K95" si="20">SUM(H51:J51)</f>
        <v>13960.79079188303</v>
      </c>
      <c r="L51" s="17">
        <f t="shared" si="10"/>
        <v>148.0155219248214</v>
      </c>
      <c r="M51" s="17">
        <f t="shared" ref="M51:M95" si="21">K51/L51</f>
        <v>94.319775455535392</v>
      </c>
      <c r="N51" s="42"/>
      <c r="O51" s="225"/>
      <c r="AA51" s="217" t="s">
        <v>425</v>
      </c>
      <c r="AB51" s="10">
        <f>450*6895/1000000</f>
        <v>3.1027499999999999</v>
      </c>
    </row>
    <row r="52" spans="2:28">
      <c r="B52" s="13">
        <f t="shared" si="12"/>
        <v>7</v>
      </c>
      <c r="C52" s="19">
        <f t="shared" si="13"/>
        <v>2.1629999999999967</v>
      </c>
      <c r="D52" s="83">
        <f t="shared" si="11"/>
        <v>21.765999999999995</v>
      </c>
      <c r="E52" s="83">
        <f t="shared" si="14"/>
        <v>48.34</v>
      </c>
      <c r="F52" s="17">
        <f t="shared" si="15"/>
        <v>119.548</v>
      </c>
      <c r="G52" s="83">
        <f t="shared" si="16"/>
        <v>13.287000000000004</v>
      </c>
      <c r="H52" s="18">
        <f t="shared" si="17"/>
        <v>5852.7771987713722</v>
      </c>
      <c r="I52" s="18">
        <f t="shared" si="18"/>
        <v>8174.6809663887379</v>
      </c>
      <c r="J52" s="18">
        <f t="shared" si="19"/>
        <v>0</v>
      </c>
      <c r="K52" s="18">
        <f t="shared" si="20"/>
        <v>14027.458165160111</v>
      </c>
      <c r="L52" s="17">
        <f t="shared" si="10"/>
        <v>148.0155219248214</v>
      </c>
      <c r="M52" s="17">
        <f t="shared" si="21"/>
        <v>94.770183442550035</v>
      </c>
      <c r="N52" s="42"/>
      <c r="O52" s="223"/>
      <c r="AA52" s="217" t="s">
        <v>394</v>
      </c>
      <c r="AB52" s="10">
        <f>400*6895/1000000</f>
        <v>2.758</v>
      </c>
    </row>
    <row r="53" spans="2:28">
      <c r="B53" s="13">
        <f t="shared" si="12"/>
        <v>8</v>
      </c>
      <c r="C53" s="19">
        <f t="shared" si="13"/>
        <v>2.471999999999996</v>
      </c>
      <c r="D53" s="83">
        <f t="shared" si="11"/>
        <v>22.383999999999993</v>
      </c>
      <c r="E53" s="83">
        <f t="shared" si="14"/>
        <v>48.34</v>
      </c>
      <c r="F53" s="17">
        <f t="shared" si="15"/>
        <v>118.31200000000001</v>
      </c>
      <c r="G53" s="83">
        <f t="shared" si="16"/>
        <v>12.978000000000005</v>
      </c>
      <c r="H53" s="18">
        <f t="shared" si="17"/>
        <v>5767.0597856959712</v>
      </c>
      <c r="I53" s="18">
        <f t="shared" si="18"/>
        <v>8319.8666549454429</v>
      </c>
      <c r="J53" s="18">
        <f t="shared" si="19"/>
        <v>0</v>
      </c>
      <c r="K53" s="18">
        <f t="shared" si="20"/>
        <v>14086.926440641415</v>
      </c>
      <c r="L53" s="17">
        <f t="shared" si="10"/>
        <v>148.0155219248214</v>
      </c>
      <c r="M53" s="17">
        <f t="shared" si="21"/>
        <v>95.171953977882865</v>
      </c>
      <c r="N53" s="42"/>
      <c r="O53" s="223"/>
      <c r="AA53" s="217" t="s">
        <v>426</v>
      </c>
      <c r="AB53" s="10">
        <f>350*6895/1000000</f>
        <v>2.4132500000000001</v>
      </c>
    </row>
    <row r="54" spans="2:28">
      <c r="B54" s="13">
        <f t="shared" si="12"/>
        <v>9</v>
      </c>
      <c r="C54" s="19">
        <f t="shared" si="13"/>
        <v>2.7809999999999953</v>
      </c>
      <c r="D54" s="83">
        <f t="shared" si="11"/>
        <v>23.001999999999992</v>
      </c>
      <c r="E54" s="83">
        <f t="shared" si="14"/>
        <v>48.34</v>
      </c>
      <c r="F54" s="17">
        <f t="shared" si="15"/>
        <v>117.07600000000001</v>
      </c>
      <c r="G54" s="83">
        <f t="shared" si="16"/>
        <v>12.669000000000006</v>
      </c>
      <c r="H54" s="18">
        <f t="shared" si="17"/>
        <v>5678.94267335531</v>
      </c>
      <c r="I54" s="18">
        <f t="shared" si="18"/>
        <v>8460.2529449716294</v>
      </c>
      <c r="J54" s="18">
        <f t="shared" si="19"/>
        <v>0</v>
      </c>
      <c r="K54" s="18">
        <f t="shared" si="20"/>
        <v>14139.195618326939</v>
      </c>
      <c r="L54" s="17">
        <f t="shared" si="10"/>
        <v>148.0155219248214</v>
      </c>
      <c r="M54" s="17">
        <f t="shared" si="21"/>
        <v>95.525087061533867</v>
      </c>
      <c r="N54" s="42"/>
      <c r="O54" s="223"/>
      <c r="AA54" s="217" t="s">
        <v>395</v>
      </c>
      <c r="AB54" s="10">
        <f>300*6895/1000000</f>
        <v>2.0684999999999998</v>
      </c>
    </row>
    <row r="55" spans="2:28">
      <c r="B55" s="13">
        <f t="shared" si="12"/>
        <v>10</v>
      </c>
      <c r="C55" s="19">
        <f t="shared" si="13"/>
        <v>3.0899999999999945</v>
      </c>
      <c r="D55" s="83">
        <f t="shared" si="11"/>
        <v>23.61999999999999</v>
      </c>
      <c r="E55" s="83">
        <f t="shared" si="14"/>
        <v>48.34</v>
      </c>
      <c r="F55" s="17">
        <f t="shared" si="15"/>
        <v>115.84</v>
      </c>
      <c r="G55" s="83">
        <f t="shared" si="16"/>
        <v>12.360000000000007</v>
      </c>
      <c r="H55" s="18">
        <f t="shared" si="17"/>
        <v>5588.4258617493906</v>
      </c>
      <c r="I55" s="18">
        <f t="shared" si="18"/>
        <v>8595.8398364672958</v>
      </c>
      <c r="J55" s="18">
        <f t="shared" si="19"/>
        <v>0</v>
      </c>
      <c r="K55" s="18">
        <f t="shared" si="20"/>
        <v>14184.265698216686</v>
      </c>
      <c r="L55" s="17">
        <f t="shared" si="10"/>
        <v>148.0155219248214</v>
      </c>
      <c r="M55" s="17">
        <f t="shared" si="21"/>
        <v>95.829582693503056</v>
      </c>
      <c r="N55" s="42"/>
      <c r="O55" s="224"/>
      <c r="AA55" s="217" t="s">
        <v>427</v>
      </c>
      <c r="AB55" s="10">
        <f>250*6895/1000000</f>
        <v>1.7237499999999999</v>
      </c>
    </row>
    <row r="56" spans="2:28">
      <c r="B56" s="13">
        <f t="shared" si="12"/>
        <v>11</v>
      </c>
      <c r="C56" s="19">
        <f t="shared" si="13"/>
        <v>3.3989999999999938</v>
      </c>
      <c r="D56" s="83">
        <f t="shared" si="11"/>
        <v>24.237999999999989</v>
      </c>
      <c r="E56" s="83">
        <f t="shared" si="14"/>
        <v>48.34</v>
      </c>
      <c r="F56" s="17">
        <f t="shared" si="15"/>
        <v>114.60400000000001</v>
      </c>
      <c r="G56" s="83">
        <f t="shared" si="16"/>
        <v>12.051000000000007</v>
      </c>
      <c r="H56" s="18">
        <f t="shared" si="17"/>
        <v>5495.509350878212</v>
      </c>
      <c r="I56" s="18">
        <f t="shared" si="18"/>
        <v>8726.6273294324455</v>
      </c>
      <c r="J56" s="18">
        <f t="shared" si="19"/>
        <v>0</v>
      </c>
      <c r="K56" s="18">
        <f t="shared" si="20"/>
        <v>14222.136680310658</v>
      </c>
      <c r="L56" s="17">
        <f t="shared" si="10"/>
        <v>148.0155219248214</v>
      </c>
      <c r="M56" s="17">
        <f t="shared" si="21"/>
        <v>96.085440873790432</v>
      </c>
      <c r="N56" s="42"/>
      <c r="O56" s="224"/>
      <c r="AA56" s="217" t="s">
        <v>396</v>
      </c>
      <c r="AB56" s="10">
        <f>200*6895/1000000</f>
        <v>1.379</v>
      </c>
    </row>
    <row r="57" spans="2:28">
      <c r="B57" s="13">
        <f t="shared" si="12"/>
        <v>12</v>
      </c>
      <c r="C57" s="19">
        <f t="shared" si="13"/>
        <v>3.7079999999999931</v>
      </c>
      <c r="D57" s="83">
        <f t="shared" si="11"/>
        <v>24.855999999999987</v>
      </c>
      <c r="E57" s="83">
        <f t="shared" si="14"/>
        <v>48.34</v>
      </c>
      <c r="F57" s="17">
        <f t="shared" si="15"/>
        <v>113.36800000000002</v>
      </c>
      <c r="G57" s="83">
        <f t="shared" si="16"/>
        <v>11.742000000000008</v>
      </c>
      <c r="H57" s="18">
        <f t="shared" si="17"/>
        <v>5400.1931407417742</v>
      </c>
      <c r="I57" s="18">
        <f t="shared" si="18"/>
        <v>8852.615423867077</v>
      </c>
      <c r="J57" s="18">
        <f t="shared" si="19"/>
        <v>0</v>
      </c>
      <c r="K57" s="18">
        <f t="shared" si="20"/>
        <v>14252.808564608851</v>
      </c>
      <c r="L57" s="17">
        <f t="shared" si="10"/>
        <v>148.0155219248214</v>
      </c>
      <c r="M57" s="17">
        <f t="shared" si="21"/>
        <v>96.292661602395995</v>
      </c>
      <c r="N57" s="42"/>
      <c r="O57" s="224"/>
      <c r="AA57" s="217" t="s">
        <v>428</v>
      </c>
      <c r="AB57" s="10">
        <f>150*6895/1000000</f>
        <v>1.0342499999999999</v>
      </c>
    </row>
    <row r="58" spans="2:28">
      <c r="B58" s="13">
        <f t="shared" si="12"/>
        <v>13</v>
      </c>
      <c r="C58" s="19">
        <f t="shared" si="13"/>
        <v>4.0169999999999924</v>
      </c>
      <c r="D58" s="83">
        <f t="shared" si="11"/>
        <v>25.473999999999986</v>
      </c>
      <c r="E58" s="83">
        <f t="shared" si="14"/>
        <v>48.34</v>
      </c>
      <c r="F58" s="17">
        <f t="shared" si="15"/>
        <v>112.13200000000002</v>
      </c>
      <c r="G58" s="83">
        <f t="shared" si="16"/>
        <v>11.433000000000009</v>
      </c>
      <c r="H58" s="18">
        <f t="shared" si="17"/>
        <v>5302.4772313400763</v>
      </c>
      <c r="I58" s="18">
        <f t="shared" si="18"/>
        <v>8973.8041197711882</v>
      </c>
      <c r="J58" s="18">
        <f t="shared" si="19"/>
        <v>0</v>
      </c>
      <c r="K58" s="18">
        <f t="shared" si="20"/>
        <v>14276.281351111265</v>
      </c>
      <c r="L58" s="17">
        <f t="shared" si="10"/>
        <v>148.0155219248214</v>
      </c>
      <c r="M58" s="17">
        <f t="shared" si="21"/>
        <v>96.451244879319717</v>
      </c>
      <c r="N58" s="42"/>
      <c r="O58" s="42"/>
    </row>
    <row r="59" spans="2:28">
      <c r="B59" s="13">
        <f t="shared" si="12"/>
        <v>14</v>
      </c>
      <c r="C59" s="19">
        <f t="shared" si="13"/>
        <v>4.3259999999999916</v>
      </c>
      <c r="D59" s="83">
        <f t="shared" si="11"/>
        <v>26.091999999999985</v>
      </c>
      <c r="E59" s="83">
        <f t="shared" si="14"/>
        <v>48.34</v>
      </c>
      <c r="F59" s="17">
        <f t="shared" si="15"/>
        <v>110.89600000000002</v>
      </c>
      <c r="G59" s="83">
        <f t="shared" si="16"/>
        <v>11.124000000000009</v>
      </c>
      <c r="H59" s="18">
        <f t="shared" si="17"/>
        <v>5202.3616226731192</v>
      </c>
      <c r="I59" s="18">
        <f t="shared" si="18"/>
        <v>9090.1934171447811</v>
      </c>
      <c r="J59" s="18">
        <f t="shared" si="19"/>
        <v>0</v>
      </c>
      <c r="K59" s="18">
        <f t="shared" si="20"/>
        <v>14292.5550398179</v>
      </c>
      <c r="L59" s="17">
        <f t="shared" si="10"/>
        <v>148.0155219248214</v>
      </c>
      <c r="M59" s="17">
        <f t="shared" si="21"/>
        <v>96.561190704561611</v>
      </c>
      <c r="N59" s="42"/>
      <c r="O59" s="42"/>
    </row>
    <row r="60" spans="2:28">
      <c r="B60" s="13">
        <f t="shared" si="12"/>
        <v>15</v>
      </c>
      <c r="C60" s="19">
        <f t="shared" si="13"/>
        <v>4.6349999999999909</v>
      </c>
      <c r="D60" s="83">
        <f t="shared" si="11"/>
        <v>26.709999999999983</v>
      </c>
      <c r="E60" s="83">
        <f t="shared" si="14"/>
        <v>48.34</v>
      </c>
      <c r="F60" s="17">
        <f t="shared" si="15"/>
        <v>109.66000000000003</v>
      </c>
      <c r="G60" s="83">
        <f t="shared" si="16"/>
        <v>10.81500000000001</v>
      </c>
      <c r="H60" s="18">
        <f t="shared" si="17"/>
        <v>5099.8463147409038</v>
      </c>
      <c r="I60" s="18">
        <f t="shared" si="18"/>
        <v>9201.7833159878573</v>
      </c>
      <c r="J60" s="18">
        <f t="shared" si="19"/>
        <v>0</v>
      </c>
      <c r="K60" s="18">
        <f t="shared" si="20"/>
        <v>14301.629630728761</v>
      </c>
      <c r="L60" s="17">
        <f t="shared" si="10"/>
        <v>148.0155219248214</v>
      </c>
      <c r="M60" s="17">
        <f t="shared" si="21"/>
        <v>96.62249907812172</v>
      </c>
      <c r="N60" s="42"/>
      <c r="O60" s="42"/>
    </row>
    <row r="61" spans="2:28">
      <c r="B61" s="13">
        <f t="shared" si="12"/>
        <v>16</v>
      </c>
      <c r="C61" s="19">
        <f t="shared" si="13"/>
        <v>4.9439999999999902</v>
      </c>
      <c r="D61" s="83">
        <f t="shared" si="11"/>
        <v>27.327999999999982</v>
      </c>
      <c r="E61" s="83">
        <f t="shared" si="14"/>
        <v>48.34</v>
      </c>
      <c r="F61" s="17">
        <f t="shared" si="15"/>
        <v>108.42400000000004</v>
      </c>
      <c r="G61" s="83">
        <f t="shared" si="16"/>
        <v>10.506000000000011</v>
      </c>
      <c r="H61" s="18">
        <f t="shared" si="17"/>
        <v>4994.9313075434284</v>
      </c>
      <c r="I61" s="18">
        <f t="shared" si="18"/>
        <v>9308.5738163004153</v>
      </c>
      <c r="J61" s="18">
        <f t="shared" si="19"/>
        <v>0</v>
      </c>
      <c r="K61" s="18">
        <f t="shared" si="20"/>
        <v>14303.505123843843</v>
      </c>
      <c r="L61" s="17">
        <f t="shared" si="10"/>
        <v>148.0155219248214</v>
      </c>
      <c r="M61" s="17">
        <f t="shared" si="21"/>
        <v>96.635170000000002</v>
      </c>
      <c r="N61" s="42"/>
      <c r="O61" s="42"/>
    </row>
    <row r="62" spans="2:28">
      <c r="B62" s="13">
        <f t="shared" si="12"/>
        <v>17</v>
      </c>
      <c r="C62" s="19">
        <f t="shared" si="13"/>
        <v>5.2529999999999895</v>
      </c>
      <c r="D62" s="83">
        <f t="shared" si="11"/>
        <v>27.94599999999998</v>
      </c>
      <c r="E62" s="83">
        <f t="shared" si="14"/>
        <v>48.34</v>
      </c>
      <c r="F62" s="17">
        <f t="shared" si="15"/>
        <v>107.18800000000003</v>
      </c>
      <c r="G62" s="83">
        <f t="shared" si="16"/>
        <v>10.197000000000012</v>
      </c>
      <c r="H62" s="18">
        <f t="shared" si="17"/>
        <v>4887.6166010806937</v>
      </c>
      <c r="I62" s="18">
        <f t="shared" si="18"/>
        <v>9410.564918082453</v>
      </c>
      <c r="J62" s="18">
        <f t="shared" si="19"/>
        <v>0</v>
      </c>
      <c r="K62" s="18">
        <f t="shared" si="20"/>
        <v>14298.181519163147</v>
      </c>
      <c r="L62" s="17">
        <f t="shared" si="10"/>
        <v>148.0155219248214</v>
      </c>
      <c r="M62" s="17">
        <f t="shared" si="21"/>
        <v>96.599203470196457</v>
      </c>
      <c r="N62" s="42"/>
      <c r="O62" s="42"/>
    </row>
    <row r="63" spans="2:28">
      <c r="B63" s="13">
        <f t="shared" si="12"/>
        <v>18</v>
      </c>
      <c r="C63" s="19">
        <f t="shared" si="13"/>
        <v>5.5619999999999887</v>
      </c>
      <c r="D63" s="83">
        <f t="shared" si="11"/>
        <v>28.563999999999979</v>
      </c>
      <c r="E63" s="83">
        <f t="shared" si="14"/>
        <v>48.34</v>
      </c>
      <c r="F63" s="17">
        <f t="shared" si="15"/>
        <v>105.95200000000003</v>
      </c>
      <c r="G63" s="83">
        <f t="shared" si="16"/>
        <v>9.8880000000000123</v>
      </c>
      <c r="H63" s="18">
        <f t="shared" si="17"/>
        <v>4777.9021953526999</v>
      </c>
      <c r="I63" s="18">
        <f t="shared" si="18"/>
        <v>9507.7566213339724</v>
      </c>
      <c r="J63" s="18">
        <f t="shared" si="19"/>
        <v>0</v>
      </c>
      <c r="K63" s="18">
        <f t="shared" si="20"/>
        <v>14285.658816686671</v>
      </c>
      <c r="L63" s="17">
        <f t="shared" si="10"/>
        <v>148.0155219248214</v>
      </c>
      <c r="M63" s="17">
        <f t="shared" si="21"/>
        <v>96.514599488711085</v>
      </c>
      <c r="N63" s="42"/>
      <c r="O63" s="42"/>
    </row>
    <row r="64" spans="2:28">
      <c r="B64" s="13">
        <f t="shared" si="12"/>
        <v>19</v>
      </c>
      <c r="C64" s="19">
        <f t="shared" si="13"/>
        <v>5.870999999999988</v>
      </c>
      <c r="D64" s="83">
        <f t="shared" si="11"/>
        <v>29.181999999999977</v>
      </c>
      <c r="E64" s="83">
        <f t="shared" si="14"/>
        <v>48.34</v>
      </c>
      <c r="F64" s="17">
        <f t="shared" si="15"/>
        <v>104.71600000000004</v>
      </c>
      <c r="G64" s="83">
        <f t="shared" si="16"/>
        <v>9.5790000000000131</v>
      </c>
      <c r="H64" s="18">
        <f t="shared" si="17"/>
        <v>4665.7880903594469</v>
      </c>
      <c r="I64" s="18">
        <f t="shared" si="18"/>
        <v>9600.1489260549715</v>
      </c>
      <c r="J64" s="18">
        <f t="shared" si="19"/>
        <v>0</v>
      </c>
      <c r="K64" s="18">
        <f t="shared" si="20"/>
        <v>14265.937016414418</v>
      </c>
      <c r="L64" s="17">
        <f t="shared" si="10"/>
        <v>148.0155219248214</v>
      </c>
      <c r="M64" s="17">
        <f t="shared" si="21"/>
        <v>96.381358055543885</v>
      </c>
      <c r="N64" s="42"/>
      <c r="O64" s="42"/>
    </row>
    <row r="65" spans="2:15">
      <c r="B65" s="13">
        <f t="shared" si="12"/>
        <v>20</v>
      </c>
      <c r="C65" s="19">
        <f t="shared" si="13"/>
        <v>6.1799999999999873</v>
      </c>
      <c r="D65" s="83">
        <f t="shared" si="11"/>
        <v>29.799999999999976</v>
      </c>
      <c r="E65" s="83">
        <f t="shared" si="14"/>
        <v>48.34</v>
      </c>
      <c r="F65" s="17">
        <f t="shared" si="15"/>
        <v>103.48000000000005</v>
      </c>
      <c r="G65" s="83">
        <f t="shared" si="16"/>
        <v>9.2700000000000138</v>
      </c>
      <c r="H65" s="18">
        <f t="shared" si="17"/>
        <v>4551.2742861009347</v>
      </c>
      <c r="I65" s="18">
        <f t="shared" si="18"/>
        <v>9687.741832245456</v>
      </c>
      <c r="J65" s="18">
        <f t="shared" si="19"/>
        <v>0</v>
      </c>
      <c r="K65" s="18">
        <f t="shared" si="20"/>
        <v>14239.01611834639</v>
      </c>
      <c r="L65" s="17">
        <f t="shared" si="10"/>
        <v>148.0155219248214</v>
      </c>
      <c r="M65" s="17">
        <f t="shared" si="21"/>
        <v>96.1994791706949</v>
      </c>
      <c r="N65" s="42"/>
      <c r="O65" s="42"/>
    </row>
    <row r="66" spans="2:15">
      <c r="B66" s="13">
        <f t="shared" si="12"/>
        <v>21</v>
      </c>
      <c r="C66" s="19">
        <f t="shared" si="13"/>
        <v>6.4889999999999866</v>
      </c>
      <c r="D66" s="83">
        <f t="shared" si="11"/>
        <v>30.417999999999974</v>
      </c>
      <c r="E66" s="83">
        <f t="shared" si="14"/>
        <v>48.34</v>
      </c>
      <c r="F66" s="17">
        <f t="shared" si="15"/>
        <v>102.24400000000004</v>
      </c>
      <c r="G66" s="83">
        <f t="shared" si="16"/>
        <v>8.9610000000000145</v>
      </c>
      <c r="H66" s="18">
        <f t="shared" si="17"/>
        <v>4434.3607825771633</v>
      </c>
      <c r="I66" s="18">
        <f t="shared" si="18"/>
        <v>9770.5353399054184</v>
      </c>
      <c r="J66" s="18">
        <f t="shared" si="19"/>
        <v>0</v>
      </c>
      <c r="K66" s="18">
        <f t="shared" si="20"/>
        <v>14204.896122482582</v>
      </c>
      <c r="L66" s="17">
        <f t="shared" si="10"/>
        <v>148.0155219248214</v>
      </c>
      <c r="M66" s="17">
        <f t="shared" si="21"/>
        <v>95.968962834164074</v>
      </c>
      <c r="N66" s="42"/>
      <c r="O66" s="42"/>
    </row>
    <row r="67" spans="2:15">
      <c r="B67" s="13">
        <f t="shared" si="12"/>
        <v>22</v>
      </c>
      <c r="C67" s="19">
        <f t="shared" si="13"/>
        <v>6.7979999999999858</v>
      </c>
      <c r="D67" s="83">
        <f t="shared" si="11"/>
        <v>31.035999999999973</v>
      </c>
      <c r="E67" s="83">
        <f t="shared" si="14"/>
        <v>48.34</v>
      </c>
      <c r="F67" s="17">
        <f t="shared" si="15"/>
        <v>101.00800000000004</v>
      </c>
      <c r="G67" s="83">
        <f t="shared" si="16"/>
        <v>8.6520000000000152</v>
      </c>
      <c r="H67" s="18">
        <f t="shared" si="17"/>
        <v>4315.0475797881336</v>
      </c>
      <c r="I67" s="18">
        <f t="shared" si="18"/>
        <v>9848.5294490348642</v>
      </c>
      <c r="J67" s="18">
        <f t="shared" si="19"/>
        <v>0</v>
      </c>
      <c r="K67" s="18">
        <f t="shared" si="20"/>
        <v>14163.577028822998</v>
      </c>
      <c r="L67" s="17">
        <f t="shared" si="10"/>
        <v>148.0155219248214</v>
      </c>
      <c r="M67" s="17">
        <f t="shared" si="21"/>
        <v>95.689809045951435</v>
      </c>
      <c r="N67" s="42"/>
      <c r="O67" s="42"/>
    </row>
    <row r="68" spans="2:15">
      <c r="B68" s="13">
        <f t="shared" si="12"/>
        <v>23</v>
      </c>
      <c r="C68" s="19">
        <f t="shared" si="13"/>
        <v>7.1069999999999851</v>
      </c>
      <c r="D68" s="83">
        <f t="shared" si="11"/>
        <v>31.653999999999971</v>
      </c>
      <c r="E68" s="83">
        <f t="shared" si="14"/>
        <v>48.34</v>
      </c>
      <c r="F68" s="17">
        <f t="shared" si="15"/>
        <v>99.772000000000048</v>
      </c>
      <c r="G68" s="83">
        <f t="shared" si="16"/>
        <v>8.343000000000016</v>
      </c>
      <c r="H68" s="18">
        <f t="shared" si="17"/>
        <v>4193.3346777338438</v>
      </c>
      <c r="I68" s="18">
        <f t="shared" si="18"/>
        <v>9921.7241596337917</v>
      </c>
      <c r="J68" s="18">
        <f t="shared" si="19"/>
        <v>0</v>
      </c>
      <c r="K68" s="18">
        <f t="shared" si="20"/>
        <v>14115.058837367636</v>
      </c>
      <c r="L68" s="17">
        <f t="shared" si="10"/>
        <v>148.0155219248214</v>
      </c>
      <c r="M68" s="17">
        <f t="shared" si="21"/>
        <v>95.362017806056983</v>
      </c>
      <c r="N68" s="42"/>
      <c r="O68" s="42"/>
    </row>
    <row r="69" spans="2:15">
      <c r="B69" s="13">
        <f t="shared" si="12"/>
        <v>24</v>
      </c>
      <c r="C69" s="19">
        <f t="shared" si="13"/>
        <v>7.4159999999999844</v>
      </c>
      <c r="D69" s="83">
        <f t="shared" si="11"/>
        <v>32.27199999999997</v>
      </c>
      <c r="E69" s="83">
        <f t="shared" si="14"/>
        <v>48.34</v>
      </c>
      <c r="F69" s="17">
        <f t="shared" si="15"/>
        <v>98.536000000000058</v>
      </c>
      <c r="G69" s="83">
        <f t="shared" si="16"/>
        <v>8.0340000000000167</v>
      </c>
      <c r="H69" s="18">
        <f t="shared" si="17"/>
        <v>4069.2220764142944</v>
      </c>
      <c r="I69" s="18">
        <f t="shared" si="18"/>
        <v>9990.1194717022008</v>
      </c>
      <c r="J69" s="18">
        <f t="shared" si="19"/>
        <v>0</v>
      </c>
      <c r="K69" s="18">
        <f t="shared" si="20"/>
        <v>14059.341548116496</v>
      </c>
      <c r="L69" s="17">
        <f t="shared" si="10"/>
        <v>148.0155219248214</v>
      </c>
      <c r="M69" s="17">
        <f t="shared" si="21"/>
        <v>94.985589114480703</v>
      </c>
      <c r="N69" s="42"/>
      <c r="O69" s="42"/>
    </row>
    <row r="70" spans="2:15">
      <c r="B70" s="13">
        <f t="shared" si="12"/>
        <v>25</v>
      </c>
      <c r="C70" s="19">
        <f t="shared" si="13"/>
        <v>7.7249999999999837</v>
      </c>
      <c r="D70" s="83">
        <f t="shared" si="11"/>
        <v>32.889999999999972</v>
      </c>
      <c r="E70" s="83">
        <f t="shared" si="14"/>
        <v>48.34</v>
      </c>
      <c r="F70" s="17">
        <f t="shared" si="15"/>
        <v>97.300000000000054</v>
      </c>
      <c r="G70" s="83">
        <f t="shared" si="16"/>
        <v>7.7250000000000156</v>
      </c>
      <c r="H70" s="18">
        <f t="shared" si="17"/>
        <v>3942.7097758294854</v>
      </c>
      <c r="I70" s="18">
        <f t="shared" si="18"/>
        <v>10053.715385240092</v>
      </c>
      <c r="J70" s="18">
        <f t="shared" si="19"/>
        <v>0</v>
      </c>
      <c r="K70" s="18">
        <f t="shared" si="20"/>
        <v>13996.425161069577</v>
      </c>
      <c r="L70" s="17">
        <f t="shared" si="10"/>
        <v>148.0155219248214</v>
      </c>
      <c r="M70" s="17">
        <f t="shared" si="21"/>
        <v>94.560522971222611</v>
      </c>
      <c r="N70" s="42"/>
      <c r="O70" s="42"/>
    </row>
    <row r="71" spans="2:15">
      <c r="B71" s="13">
        <f t="shared" si="12"/>
        <v>26</v>
      </c>
      <c r="C71" s="19">
        <f t="shared" si="13"/>
        <v>8.0339999999999829</v>
      </c>
      <c r="D71" s="83">
        <f t="shared" si="11"/>
        <v>33.507999999999967</v>
      </c>
      <c r="E71" s="83">
        <f t="shared" si="14"/>
        <v>48.34</v>
      </c>
      <c r="F71" s="17">
        <f t="shared" si="15"/>
        <v>96.06400000000005</v>
      </c>
      <c r="G71" s="83">
        <f t="shared" si="16"/>
        <v>7.4160000000000181</v>
      </c>
      <c r="H71" s="18">
        <f t="shared" si="17"/>
        <v>3813.797775979418</v>
      </c>
      <c r="I71" s="18">
        <f t="shared" si="18"/>
        <v>10112.511900247462</v>
      </c>
      <c r="J71" s="18">
        <f t="shared" si="19"/>
        <v>0</v>
      </c>
      <c r="K71" s="18">
        <f t="shared" si="20"/>
        <v>13926.30967622688</v>
      </c>
      <c r="L71" s="17">
        <f t="shared" si="10"/>
        <v>148.0155219248214</v>
      </c>
      <c r="M71" s="17">
        <f t="shared" si="21"/>
        <v>94.086819376282676</v>
      </c>
      <c r="N71" s="42"/>
      <c r="O71" s="42"/>
    </row>
    <row r="72" spans="2:15">
      <c r="B72" s="13">
        <f t="shared" si="12"/>
        <v>27</v>
      </c>
      <c r="C72" s="19">
        <f t="shared" si="13"/>
        <v>8.3429999999999822</v>
      </c>
      <c r="D72" s="83">
        <f t="shared" si="11"/>
        <v>34.125999999999962</v>
      </c>
      <c r="E72" s="83">
        <f t="shared" si="14"/>
        <v>48.34</v>
      </c>
      <c r="F72" s="17">
        <f t="shared" si="15"/>
        <v>94.82800000000006</v>
      </c>
      <c r="G72" s="83">
        <f t="shared" si="16"/>
        <v>7.1070000000000206</v>
      </c>
      <c r="H72" s="18">
        <f t="shared" si="17"/>
        <v>3682.486076864092</v>
      </c>
      <c r="I72" s="18">
        <f t="shared" si="18"/>
        <v>10166.509016724314</v>
      </c>
      <c r="J72" s="18">
        <f t="shared" si="19"/>
        <v>0</v>
      </c>
      <c r="K72" s="18">
        <f t="shared" si="20"/>
        <v>13848.995093588406</v>
      </c>
      <c r="L72" s="17">
        <f t="shared" si="10"/>
        <v>148.0155219248214</v>
      </c>
      <c r="M72" s="17">
        <f t="shared" si="21"/>
        <v>93.564478329660943</v>
      </c>
      <c r="N72" s="42"/>
      <c r="O72" s="42"/>
    </row>
    <row r="73" spans="2:15">
      <c r="B73" s="13">
        <f t="shared" si="12"/>
        <v>28</v>
      </c>
      <c r="C73" s="19">
        <f t="shared" si="13"/>
        <v>8.6519999999999815</v>
      </c>
      <c r="D73" s="83">
        <f t="shared" si="11"/>
        <v>34.743999999999964</v>
      </c>
      <c r="E73" s="83">
        <f t="shared" si="14"/>
        <v>48.34</v>
      </c>
      <c r="F73" s="17">
        <f t="shared" si="15"/>
        <v>93.59200000000007</v>
      </c>
      <c r="G73" s="83">
        <f t="shared" si="16"/>
        <v>6.7980000000000196</v>
      </c>
      <c r="H73" s="18">
        <f t="shared" si="17"/>
        <v>3548.7746784835053</v>
      </c>
      <c r="I73" s="18">
        <f t="shared" si="18"/>
        <v>10215.706734670652</v>
      </c>
      <c r="J73" s="18">
        <f t="shared" si="19"/>
        <v>0</v>
      </c>
      <c r="K73" s="18">
        <f t="shared" si="20"/>
        <v>13764.481413154157</v>
      </c>
      <c r="L73" s="17">
        <f t="shared" si="10"/>
        <v>148.0155219248214</v>
      </c>
      <c r="M73" s="17">
        <f t="shared" si="21"/>
        <v>92.993499831357411</v>
      </c>
      <c r="N73" s="42"/>
      <c r="O73" s="42"/>
    </row>
    <row r="74" spans="2:15">
      <c r="B74" s="13">
        <f t="shared" si="12"/>
        <v>29</v>
      </c>
      <c r="C74" s="19">
        <f t="shared" si="13"/>
        <v>8.9609999999999808</v>
      </c>
      <c r="D74" s="83">
        <f t="shared" si="11"/>
        <v>35.361999999999966</v>
      </c>
      <c r="E74" s="83">
        <f t="shared" si="14"/>
        <v>48.34</v>
      </c>
      <c r="F74" s="17">
        <f t="shared" si="15"/>
        <v>92.356000000000066</v>
      </c>
      <c r="G74" s="83">
        <f t="shared" si="16"/>
        <v>6.4890000000000185</v>
      </c>
      <c r="H74" s="18">
        <f t="shared" si="17"/>
        <v>3412.6635808376591</v>
      </c>
      <c r="I74" s="18">
        <f t="shared" si="18"/>
        <v>10260.105054086469</v>
      </c>
      <c r="J74" s="18">
        <f t="shared" si="19"/>
        <v>0</v>
      </c>
      <c r="K74" s="18">
        <f t="shared" si="20"/>
        <v>13672.768634924128</v>
      </c>
      <c r="L74" s="17">
        <f t="shared" si="10"/>
        <v>148.0155219248214</v>
      </c>
      <c r="M74" s="17">
        <f t="shared" si="21"/>
        <v>92.373883881372038</v>
      </c>
      <c r="N74" s="42"/>
      <c r="O74" s="42"/>
    </row>
    <row r="75" spans="2:15">
      <c r="B75" s="13">
        <f t="shared" si="12"/>
        <v>30</v>
      </c>
      <c r="C75" s="19">
        <f t="shared" si="13"/>
        <v>9.26999999999998</v>
      </c>
      <c r="D75" s="83">
        <f t="shared" si="11"/>
        <v>35.979999999999961</v>
      </c>
      <c r="E75" s="83">
        <f t="shared" si="14"/>
        <v>48.34</v>
      </c>
      <c r="F75" s="17">
        <f t="shared" si="15"/>
        <v>91.120000000000061</v>
      </c>
      <c r="G75" s="83">
        <f t="shared" si="16"/>
        <v>6.180000000000021</v>
      </c>
      <c r="H75" s="18">
        <f t="shared" si="17"/>
        <v>3274.1527839265555</v>
      </c>
      <c r="I75" s="18">
        <f t="shared" si="18"/>
        <v>10299.703974971764</v>
      </c>
      <c r="J75" s="18">
        <f t="shared" si="19"/>
        <v>0</v>
      </c>
      <c r="K75" s="18">
        <f t="shared" si="20"/>
        <v>13573.856758898321</v>
      </c>
      <c r="L75" s="17">
        <f t="shared" si="10"/>
        <v>148.0155219248214</v>
      </c>
      <c r="M75" s="17">
        <f t="shared" si="21"/>
        <v>91.705630479704837</v>
      </c>
      <c r="N75" s="42"/>
      <c r="O75" s="42"/>
    </row>
    <row r="76" spans="2:15">
      <c r="B76" s="13">
        <f t="shared" si="12"/>
        <v>31</v>
      </c>
      <c r="C76" s="19">
        <f t="shared" si="13"/>
        <v>9.5789999999999793</v>
      </c>
      <c r="D76" s="83">
        <f t="shared" si="11"/>
        <v>36.597999999999956</v>
      </c>
      <c r="E76" s="83">
        <f t="shared" si="14"/>
        <v>48.34</v>
      </c>
      <c r="F76" s="17">
        <f t="shared" si="15"/>
        <v>89.884000000000071</v>
      </c>
      <c r="G76" s="83">
        <f t="shared" si="16"/>
        <v>5.8710000000000235</v>
      </c>
      <c r="H76" s="18">
        <f t="shared" si="17"/>
        <v>3133.2422877501917</v>
      </c>
      <c r="I76" s="18">
        <f t="shared" si="18"/>
        <v>10334.503497326543</v>
      </c>
      <c r="J76" s="18">
        <f t="shared" si="19"/>
        <v>0</v>
      </c>
      <c r="K76" s="18">
        <f t="shared" si="20"/>
        <v>13467.745785076735</v>
      </c>
      <c r="L76" s="17">
        <f t="shared" si="10"/>
        <v>148.0155219248214</v>
      </c>
      <c r="M76" s="17">
        <f t="shared" si="21"/>
        <v>90.988739626355823</v>
      </c>
      <c r="N76" s="42"/>
      <c r="O76" s="42"/>
    </row>
    <row r="77" spans="2:15">
      <c r="B77" s="13">
        <f t="shared" si="12"/>
        <v>32</v>
      </c>
      <c r="C77" s="19">
        <f t="shared" si="13"/>
        <v>9.8879999999999786</v>
      </c>
      <c r="D77" s="83">
        <f t="shared" si="11"/>
        <v>37.215999999999958</v>
      </c>
      <c r="E77" s="83">
        <f t="shared" si="14"/>
        <v>48.34</v>
      </c>
      <c r="F77" s="17">
        <f t="shared" si="15"/>
        <v>88.648000000000081</v>
      </c>
      <c r="G77" s="83">
        <f t="shared" si="16"/>
        <v>5.5620000000000225</v>
      </c>
      <c r="H77" s="18">
        <f t="shared" si="17"/>
        <v>2989.9320923085679</v>
      </c>
      <c r="I77" s="18">
        <f t="shared" si="18"/>
        <v>10364.503621150807</v>
      </c>
      <c r="J77" s="18">
        <f t="shared" si="19"/>
        <v>0</v>
      </c>
      <c r="K77" s="18">
        <f t="shared" si="20"/>
        <v>13354.435713459374</v>
      </c>
      <c r="L77" s="17">
        <f t="shared" si="10"/>
        <v>148.0155219248214</v>
      </c>
      <c r="M77" s="17">
        <f t="shared" si="21"/>
        <v>90.223211321324996</v>
      </c>
      <c r="N77" s="42"/>
      <c r="O77" s="42"/>
    </row>
    <row r="78" spans="2:15">
      <c r="B78" s="13">
        <f t="shared" si="12"/>
        <v>33</v>
      </c>
      <c r="C78" s="19">
        <f t="shared" si="13"/>
        <v>10.196999999999978</v>
      </c>
      <c r="D78" s="83">
        <f t="shared" si="11"/>
        <v>37.833999999999961</v>
      </c>
      <c r="E78" s="83">
        <f t="shared" si="14"/>
        <v>48.34</v>
      </c>
      <c r="F78" s="17">
        <f t="shared" si="15"/>
        <v>87.412000000000077</v>
      </c>
      <c r="G78" s="83">
        <f t="shared" si="16"/>
        <v>5.2530000000000214</v>
      </c>
      <c r="H78" s="18">
        <f t="shared" si="17"/>
        <v>2844.2221976016849</v>
      </c>
      <c r="I78" s="18">
        <f t="shared" si="18"/>
        <v>10389.704346444547</v>
      </c>
      <c r="J78" s="18">
        <f t="shared" si="19"/>
        <v>0</v>
      </c>
      <c r="K78" s="18">
        <f t="shared" si="20"/>
        <v>13233.926544046231</v>
      </c>
      <c r="L78" s="17">
        <f t="shared" si="10"/>
        <v>148.0155219248214</v>
      </c>
      <c r="M78" s="17">
        <f t="shared" si="21"/>
        <v>89.409045564612327</v>
      </c>
      <c r="N78" s="42"/>
      <c r="O78" s="42"/>
    </row>
    <row r="79" spans="2:15">
      <c r="B79" s="13">
        <f t="shared" si="12"/>
        <v>34</v>
      </c>
      <c r="C79" s="19">
        <f t="shared" si="13"/>
        <v>10.505999999999977</v>
      </c>
      <c r="D79" s="83">
        <f t="shared" si="11"/>
        <v>38.451999999999956</v>
      </c>
      <c r="E79" s="83">
        <f t="shared" si="14"/>
        <v>48.34</v>
      </c>
      <c r="F79" s="17">
        <f t="shared" si="15"/>
        <v>86.176000000000073</v>
      </c>
      <c r="G79" s="83">
        <f t="shared" si="16"/>
        <v>4.9440000000000239</v>
      </c>
      <c r="H79" s="18">
        <f t="shared" si="17"/>
        <v>2696.1126036295445</v>
      </c>
      <c r="I79" s="18">
        <f t="shared" si="18"/>
        <v>10410.10567320777</v>
      </c>
      <c r="J79" s="18">
        <f t="shared" si="19"/>
        <v>0</v>
      </c>
      <c r="K79" s="18">
        <f t="shared" si="20"/>
        <v>13106.218276837315</v>
      </c>
      <c r="L79" s="17">
        <f t="shared" si="10"/>
        <v>148.0155219248214</v>
      </c>
      <c r="M79" s="17">
        <f t="shared" si="21"/>
        <v>88.546242356217874</v>
      </c>
      <c r="N79" s="42"/>
      <c r="O79" s="42"/>
    </row>
    <row r="80" spans="2:15">
      <c r="B80" s="13">
        <f t="shared" si="12"/>
        <v>35</v>
      </c>
      <c r="C80" s="19">
        <f t="shared" si="13"/>
        <v>10.814999999999976</v>
      </c>
      <c r="D80" s="83">
        <f t="shared" si="11"/>
        <v>39.069999999999951</v>
      </c>
      <c r="E80" s="83">
        <f t="shared" si="14"/>
        <v>48.34</v>
      </c>
      <c r="F80" s="17">
        <f t="shared" si="15"/>
        <v>84.940000000000083</v>
      </c>
      <c r="G80" s="83">
        <f t="shared" si="16"/>
        <v>4.6350000000000264</v>
      </c>
      <c r="H80" s="18">
        <f t="shared" si="17"/>
        <v>2545.6033103921445</v>
      </c>
      <c r="I80" s="18">
        <f t="shared" si="18"/>
        <v>10425.707601440476</v>
      </c>
      <c r="J80" s="18">
        <f t="shared" si="19"/>
        <v>0</v>
      </c>
      <c r="K80" s="18">
        <f t="shared" si="20"/>
        <v>12971.310911832621</v>
      </c>
      <c r="L80" s="17">
        <f t="shared" si="10"/>
        <v>148.0155219248214</v>
      </c>
      <c r="M80" s="17">
        <f t="shared" si="21"/>
        <v>87.634801696141594</v>
      </c>
      <c r="N80" s="42"/>
      <c r="O80" s="42"/>
    </row>
    <row r="81" spans="2:15">
      <c r="B81" s="13">
        <f t="shared" si="12"/>
        <v>36</v>
      </c>
      <c r="C81" s="19">
        <f t="shared" si="13"/>
        <v>11.123999999999976</v>
      </c>
      <c r="D81" s="83">
        <f t="shared" si="11"/>
        <v>39.687999999999953</v>
      </c>
      <c r="E81" s="83">
        <f t="shared" si="14"/>
        <v>48.34</v>
      </c>
      <c r="F81" s="17">
        <f t="shared" si="15"/>
        <v>83.704000000000093</v>
      </c>
      <c r="G81" s="83">
        <f t="shared" si="16"/>
        <v>4.3260000000000254</v>
      </c>
      <c r="H81" s="18">
        <f t="shared" si="17"/>
        <v>2392.694317889483</v>
      </c>
      <c r="I81" s="18">
        <f t="shared" si="18"/>
        <v>10436.510131142664</v>
      </c>
      <c r="J81" s="18">
        <f t="shared" si="19"/>
        <v>0</v>
      </c>
      <c r="K81" s="18">
        <f t="shared" si="20"/>
        <v>12829.204449032148</v>
      </c>
      <c r="L81" s="17">
        <f t="shared" si="10"/>
        <v>148.0155219248214</v>
      </c>
      <c r="M81" s="17">
        <f t="shared" si="21"/>
        <v>86.674723584383486</v>
      </c>
      <c r="N81" s="42"/>
      <c r="O81" s="42"/>
    </row>
    <row r="82" spans="2:15">
      <c r="B82" s="13">
        <f t="shared" si="12"/>
        <v>37</v>
      </c>
      <c r="C82" s="19">
        <f t="shared" si="13"/>
        <v>11.432999999999975</v>
      </c>
      <c r="D82" s="83">
        <f t="shared" si="11"/>
        <v>40.305999999999955</v>
      </c>
      <c r="E82" s="83">
        <f t="shared" si="14"/>
        <v>48.34</v>
      </c>
      <c r="F82" s="17">
        <f t="shared" si="15"/>
        <v>82.468000000000089</v>
      </c>
      <c r="G82" s="83">
        <f t="shared" si="16"/>
        <v>4.0170000000000243</v>
      </c>
      <c r="H82" s="18">
        <f t="shared" si="17"/>
        <v>2237.3856261215628</v>
      </c>
      <c r="I82" s="18">
        <f t="shared" si="18"/>
        <v>10442.513262314333</v>
      </c>
      <c r="J82" s="18">
        <f t="shared" si="19"/>
        <v>0</v>
      </c>
      <c r="K82" s="18">
        <f t="shared" si="20"/>
        <v>12679.898888435895</v>
      </c>
      <c r="L82" s="17">
        <f t="shared" si="10"/>
        <v>148.0155219248214</v>
      </c>
      <c r="M82" s="17">
        <f t="shared" si="21"/>
        <v>85.666008020943551</v>
      </c>
      <c r="N82" s="42"/>
      <c r="O82" s="42"/>
    </row>
    <row r="83" spans="2:15">
      <c r="B83" s="13">
        <f t="shared" si="12"/>
        <v>38</v>
      </c>
      <c r="C83" s="19">
        <f t="shared" si="13"/>
        <v>11.741999999999974</v>
      </c>
      <c r="D83" s="83">
        <f t="shared" si="11"/>
        <v>40.92399999999995</v>
      </c>
      <c r="E83" s="83">
        <f t="shared" si="14"/>
        <v>48.34</v>
      </c>
      <c r="F83" s="17">
        <f t="shared" si="15"/>
        <v>81.232000000000085</v>
      </c>
      <c r="G83" s="83">
        <f t="shared" si="16"/>
        <v>3.7080000000000268</v>
      </c>
      <c r="H83" s="18">
        <f t="shared" si="17"/>
        <v>2079.6772350883857</v>
      </c>
      <c r="I83" s="18">
        <f t="shared" si="18"/>
        <v>10443.716994955481</v>
      </c>
      <c r="J83" s="18">
        <f t="shared" si="19"/>
        <v>0</v>
      </c>
      <c r="K83" s="18">
        <f t="shared" si="20"/>
        <v>12523.394230043867</v>
      </c>
      <c r="L83" s="17">
        <f t="shared" si="10"/>
        <v>148.0155219248214</v>
      </c>
      <c r="M83" s="17">
        <f t="shared" si="21"/>
        <v>84.608655005821802</v>
      </c>
      <c r="N83" s="42"/>
      <c r="O83" s="42"/>
    </row>
    <row r="84" spans="2:15">
      <c r="B84" s="13">
        <f t="shared" si="12"/>
        <v>39</v>
      </c>
      <c r="C84" s="19">
        <f t="shared" si="13"/>
        <v>12.050999999999974</v>
      </c>
      <c r="D84" s="83">
        <f t="shared" si="11"/>
        <v>41.541999999999945</v>
      </c>
      <c r="E84" s="83">
        <f t="shared" si="14"/>
        <v>48.34</v>
      </c>
      <c r="F84" s="17">
        <f t="shared" si="15"/>
        <v>79.996000000000095</v>
      </c>
      <c r="G84" s="83">
        <f t="shared" si="16"/>
        <v>3.3990000000000293</v>
      </c>
      <c r="H84" s="18">
        <f t="shared" si="17"/>
        <v>1919.5691447899487</v>
      </c>
      <c r="I84" s="18">
        <f t="shared" si="18"/>
        <v>10440.121329066111</v>
      </c>
      <c r="J84" s="18">
        <f t="shared" si="19"/>
        <v>0</v>
      </c>
      <c r="K84" s="18">
        <f t="shared" si="20"/>
        <v>12359.690473856059</v>
      </c>
      <c r="L84" s="17">
        <f t="shared" si="10"/>
        <v>148.0155219248214</v>
      </c>
      <c r="M84" s="17">
        <f t="shared" si="21"/>
        <v>83.502664539018227</v>
      </c>
      <c r="N84" s="42"/>
      <c r="O84" s="42"/>
    </row>
    <row r="85" spans="2:15">
      <c r="B85" s="13">
        <f t="shared" si="12"/>
        <v>40</v>
      </c>
      <c r="C85" s="19">
        <f t="shared" si="13"/>
        <v>12.359999999999973</v>
      </c>
      <c r="D85" s="83">
        <f t="shared" si="11"/>
        <v>42.159999999999947</v>
      </c>
      <c r="E85" s="83">
        <f t="shared" si="14"/>
        <v>48.34</v>
      </c>
      <c r="F85" s="17">
        <f t="shared" si="15"/>
        <v>78.760000000000105</v>
      </c>
      <c r="G85" s="83">
        <f t="shared" si="16"/>
        <v>3.0900000000000283</v>
      </c>
      <c r="H85" s="18">
        <f t="shared" si="17"/>
        <v>1757.061355226251</v>
      </c>
      <c r="I85" s="18">
        <f t="shared" si="18"/>
        <v>10431.726264646226</v>
      </c>
      <c r="J85" s="18">
        <f t="shared" si="19"/>
        <v>0</v>
      </c>
      <c r="K85" s="18">
        <f t="shared" si="20"/>
        <v>12188.787619872477</v>
      </c>
      <c r="L85" s="17">
        <f t="shared" si="10"/>
        <v>148.0155219248214</v>
      </c>
      <c r="M85" s="17">
        <f t="shared" si="21"/>
        <v>82.348036620532866</v>
      </c>
      <c r="N85" s="42"/>
      <c r="O85" s="42"/>
    </row>
    <row r="86" spans="2:15">
      <c r="B86" s="13">
        <f t="shared" si="12"/>
        <v>41</v>
      </c>
      <c r="C86" s="19">
        <f t="shared" si="13"/>
        <v>12.668999999999972</v>
      </c>
      <c r="D86" s="83">
        <f t="shared" si="11"/>
        <v>42.777999999999949</v>
      </c>
      <c r="E86" s="83">
        <f t="shared" si="14"/>
        <v>48.34</v>
      </c>
      <c r="F86" s="17">
        <f t="shared" si="15"/>
        <v>77.5240000000001</v>
      </c>
      <c r="G86" s="83">
        <f t="shared" si="16"/>
        <v>2.7810000000000272</v>
      </c>
      <c r="H86" s="18">
        <f t="shared" si="17"/>
        <v>1592.1538663972938</v>
      </c>
      <c r="I86" s="18">
        <f t="shared" si="18"/>
        <v>10418.531801695821</v>
      </c>
      <c r="J86" s="18">
        <f t="shared" si="19"/>
        <v>0</v>
      </c>
      <c r="K86" s="18">
        <f t="shared" si="20"/>
        <v>12010.685668093114</v>
      </c>
      <c r="L86" s="17">
        <f t="shared" si="10"/>
        <v>148.0155219248214</v>
      </c>
      <c r="M86" s="17">
        <f t="shared" si="21"/>
        <v>81.14477125036565</v>
      </c>
      <c r="N86" s="42"/>
      <c r="O86" s="42"/>
    </row>
    <row r="87" spans="2:15">
      <c r="B87" s="13">
        <f t="shared" si="12"/>
        <v>42</v>
      </c>
      <c r="C87" s="19">
        <f t="shared" si="13"/>
        <v>12.977999999999971</v>
      </c>
      <c r="D87" s="83">
        <f t="shared" si="11"/>
        <v>43.395999999999944</v>
      </c>
      <c r="E87" s="83">
        <f t="shared" si="14"/>
        <v>48.34</v>
      </c>
      <c r="F87" s="17">
        <f t="shared" si="15"/>
        <v>76.288000000000096</v>
      </c>
      <c r="G87" s="83">
        <f t="shared" si="16"/>
        <v>2.4720000000000297</v>
      </c>
      <c r="H87" s="18">
        <f t="shared" si="17"/>
        <v>1424.8466783030788</v>
      </c>
      <c r="I87" s="18">
        <f t="shared" si="18"/>
        <v>10400.537940214896</v>
      </c>
      <c r="J87" s="18">
        <f t="shared" si="19"/>
        <v>0</v>
      </c>
      <c r="K87" s="18">
        <f t="shared" si="20"/>
        <v>11825.384618517974</v>
      </c>
      <c r="L87" s="17">
        <f t="shared" si="10"/>
        <v>148.0155219248214</v>
      </c>
      <c r="M87" s="17">
        <f t="shared" si="21"/>
        <v>79.892868428516621</v>
      </c>
      <c r="N87" s="42"/>
      <c r="O87" s="42"/>
    </row>
    <row r="88" spans="2:15">
      <c r="B88" s="13">
        <f t="shared" si="12"/>
        <v>43</v>
      </c>
      <c r="C88" s="19">
        <f t="shared" si="13"/>
        <v>13.286999999999971</v>
      </c>
      <c r="D88" s="83">
        <f t="shared" si="11"/>
        <v>44.013999999999939</v>
      </c>
      <c r="E88" s="83">
        <f t="shared" si="14"/>
        <v>48.34</v>
      </c>
      <c r="F88" s="17">
        <f t="shared" si="15"/>
        <v>75.052000000000106</v>
      </c>
      <c r="G88" s="83">
        <f t="shared" si="16"/>
        <v>2.1630000000000322</v>
      </c>
      <c r="H88" s="18">
        <f t="shared" si="17"/>
        <v>1255.139790943605</v>
      </c>
      <c r="I88" s="18">
        <f t="shared" si="18"/>
        <v>10377.744680203452</v>
      </c>
      <c r="J88" s="18">
        <f t="shared" si="19"/>
        <v>0</v>
      </c>
      <c r="K88" s="18">
        <f t="shared" si="20"/>
        <v>11632.884471147057</v>
      </c>
      <c r="L88" s="17">
        <f t="shared" si="10"/>
        <v>148.0155219248214</v>
      </c>
      <c r="M88" s="17">
        <f t="shared" si="21"/>
        <v>78.592328154985793</v>
      </c>
      <c r="N88" s="42"/>
      <c r="O88" s="42"/>
    </row>
    <row r="89" spans="2:15">
      <c r="B89" s="13">
        <f t="shared" si="12"/>
        <v>44</v>
      </c>
      <c r="C89" s="19">
        <f t="shared" si="13"/>
        <v>13.59599999999997</v>
      </c>
      <c r="D89" s="83">
        <f t="shared" si="11"/>
        <v>44.631999999999941</v>
      </c>
      <c r="E89" s="83">
        <f t="shared" si="14"/>
        <v>48.34</v>
      </c>
      <c r="F89" s="17">
        <f t="shared" si="15"/>
        <v>73.816000000000116</v>
      </c>
      <c r="G89" s="83">
        <f t="shared" si="16"/>
        <v>1.8540000000000312</v>
      </c>
      <c r="H89" s="18">
        <f t="shared" si="17"/>
        <v>1083.0332043188703</v>
      </c>
      <c r="I89" s="18">
        <f t="shared" si="18"/>
        <v>10350.152021661494</v>
      </c>
      <c r="J89" s="18">
        <f t="shared" si="19"/>
        <v>0</v>
      </c>
      <c r="K89" s="18">
        <f t="shared" si="20"/>
        <v>11433.185225980364</v>
      </c>
      <c r="L89" s="17">
        <f t="shared" si="10"/>
        <v>148.0155219248214</v>
      </c>
      <c r="M89" s="17">
        <f t="shared" si="21"/>
        <v>77.243150429773138</v>
      </c>
      <c r="N89" s="42"/>
      <c r="O89" s="42"/>
    </row>
    <row r="90" spans="2:15">
      <c r="B90" s="13">
        <f t="shared" si="12"/>
        <v>45</v>
      </c>
      <c r="C90" s="19">
        <f t="shared" si="13"/>
        <v>13.904999999999969</v>
      </c>
      <c r="D90" s="83">
        <f t="shared" si="11"/>
        <v>45.249999999999943</v>
      </c>
      <c r="E90" s="83">
        <f t="shared" si="14"/>
        <v>48.34</v>
      </c>
      <c r="F90" s="17">
        <f t="shared" si="15"/>
        <v>72.580000000000112</v>
      </c>
      <c r="G90" s="83">
        <f t="shared" si="16"/>
        <v>1.5450000000000301</v>
      </c>
      <c r="H90" s="18">
        <f t="shared" si="17"/>
        <v>908.52691842887612</v>
      </c>
      <c r="I90" s="18">
        <f t="shared" si="18"/>
        <v>10317.759964589013</v>
      </c>
      <c r="J90" s="18">
        <f t="shared" si="19"/>
        <v>0</v>
      </c>
      <c r="K90" s="18">
        <f t="shared" si="20"/>
        <v>11226.286883017889</v>
      </c>
      <c r="L90" s="17">
        <f t="shared" si="10"/>
        <v>148.0155219248214</v>
      </c>
      <c r="M90" s="17">
        <f t="shared" si="21"/>
        <v>75.845335252878641</v>
      </c>
      <c r="N90" s="42"/>
      <c r="O90" s="42"/>
    </row>
    <row r="91" spans="2:15">
      <c r="B91" s="13">
        <f t="shared" si="12"/>
        <v>46</v>
      </c>
      <c r="C91" s="19">
        <f t="shared" si="13"/>
        <v>14.213999999999968</v>
      </c>
      <c r="D91" s="83">
        <f t="shared" si="11"/>
        <v>45.867999999999938</v>
      </c>
      <c r="E91" s="83">
        <f t="shared" si="14"/>
        <v>48.34</v>
      </c>
      <c r="F91" s="17">
        <f t="shared" si="15"/>
        <v>71.344000000000108</v>
      </c>
      <c r="G91" s="83">
        <f t="shared" si="16"/>
        <v>1.2360000000000326</v>
      </c>
      <c r="H91" s="18">
        <f t="shared" si="17"/>
        <v>731.62093327362402</v>
      </c>
      <c r="I91" s="18">
        <f t="shared" si="18"/>
        <v>10280.568508986014</v>
      </c>
      <c r="J91" s="18">
        <f t="shared" si="19"/>
        <v>0</v>
      </c>
      <c r="K91" s="18">
        <f t="shared" si="20"/>
        <v>11012.189442259638</v>
      </c>
      <c r="L91" s="17">
        <f t="shared" si="10"/>
        <v>148.0155219248214</v>
      </c>
      <c r="M91" s="17">
        <f t="shared" si="21"/>
        <v>74.398882624302345</v>
      </c>
      <c r="N91" s="42"/>
      <c r="O91" s="42"/>
    </row>
    <row r="92" spans="2:15">
      <c r="B92" s="13">
        <f t="shared" si="12"/>
        <v>47</v>
      </c>
      <c r="C92" s="19">
        <f t="shared" si="13"/>
        <v>14.522999999999968</v>
      </c>
      <c r="D92" s="83">
        <f t="shared" si="11"/>
        <v>46.485999999999933</v>
      </c>
      <c r="E92" s="83">
        <f t="shared" si="14"/>
        <v>48.34</v>
      </c>
      <c r="F92" s="17">
        <f t="shared" si="15"/>
        <v>70.108000000000118</v>
      </c>
      <c r="G92" s="83">
        <f t="shared" si="16"/>
        <v>0.92700000000003513</v>
      </c>
      <c r="H92" s="18">
        <f t="shared" si="17"/>
        <v>552.31524885311319</v>
      </c>
      <c r="I92" s="18">
        <f t="shared" si="18"/>
        <v>10238.577654852497</v>
      </c>
      <c r="J92" s="18">
        <f t="shared" si="19"/>
        <v>0</v>
      </c>
      <c r="K92" s="18">
        <f t="shared" si="20"/>
        <v>10790.892903705611</v>
      </c>
      <c r="L92" s="17">
        <f t="shared" si="10"/>
        <v>148.0155219248214</v>
      </c>
      <c r="M92" s="17">
        <f t="shared" si="21"/>
        <v>72.903792544044236</v>
      </c>
      <c r="N92" s="42"/>
      <c r="O92" s="42"/>
    </row>
    <row r="93" spans="2:15">
      <c r="B93" s="13">
        <f t="shared" si="12"/>
        <v>48</v>
      </c>
      <c r="C93" s="19">
        <f t="shared" si="13"/>
        <v>14.831999999999967</v>
      </c>
      <c r="D93" s="83">
        <f t="shared" si="11"/>
        <v>47.103999999999935</v>
      </c>
      <c r="E93" s="83">
        <f t="shared" si="14"/>
        <v>48.34</v>
      </c>
      <c r="F93" s="17">
        <f t="shared" si="15"/>
        <v>68.872000000000128</v>
      </c>
      <c r="G93" s="83">
        <f t="shared" si="16"/>
        <v>0.61800000000003408</v>
      </c>
      <c r="H93" s="18">
        <f t="shared" si="17"/>
        <v>370.60986516734158</v>
      </c>
      <c r="I93" s="18">
        <f t="shared" si="18"/>
        <v>10191.787402188464</v>
      </c>
      <c r="J93" s="18">
        <f t="shared" si="19"/>
        <v>0</v>
      </c>
      <c r="K93" s="18">
        <f t="shared" si="20"/>
        <v>10562.397267355806</v>
      </c>
      <c r="L93" s="17">
        <f t="shared" si="10"/>
        <v>148.0155219248214</v>
      </c>
      <c r="M93" s="17">
        <f t="shared" si="21"/>
        <v>71.3600650121043</v>
      </c>
      <c r="N93" s="42"/>
      <c r="O93" s="42"/>
    </row>
    <row r="94" spans="2:15">
      <c r="B94" s="13">
        <f t="shared" si="12"/>
        <v>49</v>
      </c>
      <c r="C94" s="19">
        <f t="shared" si="13"/>
        <v>15.140999999999966</v>
      </c>
      <c r="D94" s="83">
        <f t="shared" si="11"/>
        <v>47.721999999999937</v>
      </c>
      <c r="E94" s="83">
        <f t="shared" si="14"/>
        <v>48.34</v>
      </c>
      <c r="F94" s="17">
        <f t="shared" si="15"/>
        <v>67.636000000000124</v>
      </c>
      <c r="G94" s="83">
        <f t="shared" si="16"/>
        <v>0.30900000000003303</v>
      </c>
      <c r="H94" s="18">
        <f t="shared" si="17"/>
        <v>186.5047822163105</v>
      </c>
      <c r="I94" s="18">
        <f t="shared" si="18"/>
        <v>10140.19775099391</v>
      </c>
      <c r="J94" s="18">
        <f t="shared" si="19"/>
        <v>0</v>
      </c>
      <c r="K94" s="18">
        <f t="shared" si="20"/>
        <v>10326.70253321022</v>
      </c>
      <c r="L94" s="17">
        <f t="shared" si="10"/>
        <v>148.0155219248214</v>
      </c>
      <c r="M94" s="17">
        <f t="shared" si="21"/>
        <v>69.767700028482537</v>
      </c>
      <c r="N94" s="42"/>
      <c r="O94" s="42"/>
    </row>
    <row r="95" spans="2:15" ht="13.5" thickBot="1">
      <c r="B95" s="13">
        <f t="shared" si="12"/>
        <v>50</v>
      </c>
      <c r="C95" s="19">
        <f t="shared" si="13"/>
        <v>15.449999999999966</v>
      </c>
      <c r="D95" s="83">
        <f t="shared" si="11"/>
        <v>48.339999999999932</v>
      </c>
      <c r="E95" s="83">
        <f t="shared" si="14"/>
        <v>48.34</v>
      </c>
      <c r="F95" s="17">
        <f t="shared" si="15"/>
        <v>66.400000000000119</v>
      </c>
      <c r="G95" s="83">
        <f t="shared" si="16"/>
        <v>3.5527136788005009E-14</v>
      </c>
      <c r="H95" s="18">
        <f t="shared" si="17"/>
        <v>2.1429464051765032E-11</v>
      </c>
      <c r="I95" s="18">
        <f t="shared" si="18"/>
        <v>10083.808701268836</v>
      </c>
      <c r="J95" s="18">
        <f t="shared" si="19"/>
        <v>0</v>
      </c>
      <c r="K95" s="220">
        <f t="shared" si="20"/>
        <v>10083.808701268857</v>
      </c>
      <c r="L95" s="17">
        <f t="shared" si="10"/>
        <v>148.0155219248214</v>
      </c>
      <c r="M95" s="253">
        <f t="shared" si="21"/>
        <v>68.12669759317896</v>
      </c>
      <c r="N95" s="42"/>
      <c r="O95" s="42"/>
    </row>
    <row r="96" spans="2:15" ht="13.5" thickBot="1">
      <c r="C96" s="19">
        <f>two-xfinal*(ci+osi)</f>
        <v>3.5527136788005009E-14</v>
      </c>
      <c r="J96" s="217" t="s">
        <v>377</v>
      </c>
      <c r="K96" s="221">
        <f>MAX(K45:K95)</f>
        <v>14303.505123843843</v>
      </c>
      <c r="L96" s="217" t="s">
        <v>377</v>
      </c>
      <c r="M96" s="254">
        <f>MAX(knrange)</f>
        <v>96.635170000000002</v>
      </c>
      <c r="N96" s="43"/>
      <c r="O96" s="43"/>
    </row>
    <row r="97" spans="2:15">
      <c r="N97" s="43"/>
      <c r="O97" s="43"/>
    </row>
    <row r="98" spans="2:15">
      <c r="B98" s="8" t="s">
        <v>375</v>
      </c>
      <c r="C98" s="8" t="s">
        <v>376</v>
      </c>
      <c r="N98" s="43"/>
      <c r="O98" s="43"/>
    </row>
    <row r="99" spans="2:15">
      <c r="C99" s="8" t="s">
        <v>482</v>
      </c>
      <c r="N99" s="43"/>
      <c r="O99" s="43"/>
    </row>
    <row r="100" spans="2:15">
      <c r="C100" s="8" t="s">
        <v>479</v>
      </c>
      <c r="N100" s="43"/>
      <c r="O100" s="43"/>
    </row>
    <row r="101" spans="2:15">
      <c r="C101" s="8" t="s">
        <v>480</v>
      </c>
      <c r="N101" s="43"/>
      <c r="O101" s="43"/>
    </row>
    <row r="102" spans="2:15">
      <c r="C102" s="8" t="s">
        <v>478</v>
      </c>
      <c r="N102" s="43"/>
      <c r="O102" s="43"/>
    </row>
    <row r="103" spans="2:15">
      <c r="C103" s="8" t="s">
        <v>481</v>
      </c>
      <c r="N103" s="43"/>
      <c r="O103" s="43"/>
    </row>
    <row r="104" spans="2:15">
      <c r="C104" s="8" t="s">
        <v>544</v>
      </c>
      <c r="N104" s="43"/>
      <c r="O104" s="43"/>
    </row>
    <row r="105" spans="2:15">
      <c r="C105" s="8" t="s">
        <v>533</v>
      </c>
      <c r="N105" s="43"/>
      <c r="O105" s="43"/>
    </row>
    <row r="106" spans="2:15">
      <c r="N106" s="43"/>
      <c r="O106" s="43"/>
    </row>
  </sheetData>
  <sheetProtection password="C7BC" sheet="1"/>
  <customSheetViews>
    <customSheetView guid="{136183A0-5E83-4B15-A2A6-F3C23DCC406A}" showGridLines="0" printArea="1" topLeftCell="A7">
      <selection activeCell="G53" sqref="G53"/>
      <pageMargins left="0.75" right="0.95" top="0.85" bottom="1" header="0.5" footer="0.5"/>
      <pageSetup orientation="landscape" r:id="rId1"/>
      <headerFooter alignWithMargins="0"/>
    </customSheetView>
  </customSheetViews>
  <phoneticPr fontId="0" type="noConversion"/>
  <dataValidations count="3">
    <dataValidation type="list" allowBlank="1" showInputMessage="1" showErrorMessage="1" prompt="Exposed to burning or inhibited?" sqref="C20:C22">
      <formula1>surfacecondition</formula1>
    </dataValidation>
    <dataValidation type="list" allowBlank="1" showInputMessage="1" showErrorMessage="1" sqref="C14">
      <formula1>propellants</formula1>
    </dataValidation>
    <dataValidation type="list" allowBlank="1" showInputMessage="1" showErrorMessage="1" prompt="Selecct max design pressure" sqref="C34">
      <formula1>pressures</formula1>
    </dataValidation>
  </dataValidations>
  <hyperlinks>
    <hyperlink ref="E14" location="note1" display="See Note [1] below"/>
  </hyperlinks>
  <pageMargins left="0.75" right="0.95" top="0.85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Macro1">
                <anchor moveWithCells="1" sizeWithCells="1">
                  <from>
                    <xdr:col>8</xdr:col>
                    <xdr:colOff>247650</xdr:colOff>
                    <xdr:row>31</xdr:row>
                    <xdr:rowOff>57150</xdr:rowOff>
                  </from>
                  <to>
                    <xdr:col>9</xdr:col>
                    <xdr:colOff>571500</xdr:colOff>
                    <xdr:row>33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FFF00"/>
    <pageSetUpPr autoPageBreaks="0"/>
  </sheetPr>
  <dimension ref="B3:AI910"/>
  <sheetViews>
    <sheetView showGridLines="0" workbookViewId="0">
      <selection activeCell="B1" sqref="B1"/>
    </sheetView>
  </sheetViews>
  <sheetFormatPr defaultRowHeight="12.75"/>
  <cols>
    <col min="1" max="1" width="3.140625" customWidth="1"/>
    <col min="3" max="3" width="8.85546875" customWidth="1"/>
    <col min="4" max="4" width="10.5703125" customWidth="1"/>
    <col min="8" max="8" width="10" bestFit="1" customWidth="1"/>
    <col min="9" max="9" width="9.42578125" customWidth="1"/>
    <col min="30" max="30" width="8.7109375" customWidth="1"/>
  </cols>
  <sheetData>
    <row r="3" spans="2:27" ht="15.75">
      <c r="G3" s="242"/>
    </row>
    <row r="5" spans="2:27">
      <c r="B5" s="82" t="s">
        <v>146</v>
      </c>
    </row>
    <row r="8" spans="2:27">
      <c r="D8" s="58"/>
    </row>
    <row r="9" spans="2:27">
      <c r="B9" s="2" t="s">
        <v>113</v>
      </c>
      <c r="C9">
        <v>8314</v>
      </c>
      <c r="D9" s="58" t="s">
        <v>114</v>
      </c>
      <c r="E9" t="s">
        <v>122</v>
      </c>
    </row>
    <row r="10" spans="2:27">
      <c r="B10" s="2" t="s">
        <v>74</v>
      </c>
      <c r="C10">
        <f>IF(fueltype=1,m_dx,IF(fueltype=2,m_so,IF(fueltype=3,m_so,IF(fueltype=4,m_su,IF(fueltype=5,m_er,IF(fueltype=6,m_mn,IF(fueltype=7,m_ot,m_fr)))))))</f>
        <v>42.02</v>
      </c>
      <c r="D10" s="58" t="s">
        <v>115</v>
      </c>
      <c r="E10" t="s">
        <v>197</v>
      </c>
    </row>
    <row r="11" spans="2:27">
      <c r="B11" s="2" t="s">
        <v>112</v>
      </c>
      <c r="C11" s="3">
        <f>runiv/m</f>
        <v>197.85816277962874</v>
      </c>
      <c r="D11" s="58" t="s">
        <v>116</v>
      </c>
      <c r="E11" t="s">
        <v>129</v>
      </c>
    </row>
    <row r="12" spans="2:27">
      <c r="B12" s="2" t="s">
        <v>110</v>
      </c>
      <c r="C12">
        <f>IF(fueltype=1,ks_dx,IF(fueltype=2,ks_so,IF(fueltype=3,ks_so,IF(fueltype=4,ks_su,IF(fueltype=5,ks_er,IF(fueltype=6,ks_mn,IF(fueltype=7,ks_ot,ks_fr)))))))</f>
        <v>1.133</v>
      </c>
      <c r="D12" s="58"/>
      <c r="E12" t="s">
        <v>314</v>
      </c>
    </row>
    <row r="13" spans="2:27">
      <c r="B13" s="7" t="s">
        <v>118</v>
      </c>
      <c r="C13" s="88">
        <v>0.95</v>
      </c>
      <c r="D13" s="58"/>
      <c r="E13" t="s">
        <v>119</v>
      </c>
    </row>
    <row r="14" spans="2:27">
      <c r="B14" s="2" t="s">
        <v>117</v>
      </c>
      <c r="C14" s="70">
        <f>IF(fueltype=1,to_dx,IF(fueltype=2,to_so,IF(fueltype=3,to_so,IF(fueltype=4,to_su,IF(fueltype=5,to_er,IF(fueltype=6,to_mn,IF(fueltype=7,to_ot,to_fr)))))))</f>
        <v>1720</v>
      </c>
      <c r="D14" s="58" t="s">
        <v>73</v>
      </c>
      <c r="E14" t="s">
        <v>124</v>
      </c>
    </row>
    <row r="15" spans="2:27">
      <c r="B15" s="2" t="s">
        <v>123</v>
      </c>
      <c r="C15" s="4">
        <f>etac*tothe</f>
        <v>1634</v>
      </c>
      <c r="D15" s="58" t="s">
        <v>73</v>
      </c>
      <c r="E15" t="s">
        <v>125</v>
      </c>
    </row>
    <row r="16" spans="2:27">
      <c r="B16" s="2" t="s">
        <v>126</v>
      </c>
      <c r="C16" s="88">
        <v>0.10100000000000001</v>
      </c>
      <c r="D16" s="58" t="s">
        <v>127</v>
      </c>
      <c r="E16" t="s">
        <v>128</v>
      </c>
    </row>
    <row r="17" spans="2:35">
      <c r="B17" s="2" t="s">
        <v>148</v>
      </c>
      <c r="C17" s="4">
        <f>SQRT(rat*to/k*((k+1)/2)^((k+1)/(k-1)))</f>
        <v>895.15968661269528</v>
      </c>
      <c r="D17" t="s">
        <v>150</v>
      </c>
      <c r="E17" t="s">
        <v>149</v>
      </c>
    </row>
    <row r="18" spans="2:35">
      <c r="B18" s="2" t="s">
        <v>94</v>
      </c>
      <c r="C18" s="88">
        <v>6</v>
      </c>
      <c r="E18" t="s">
        <v>144</v>
      </c>
      <c r="J18" s="142" t="s">
        <v>156</v>
      </c>
      <c r="K18" s="151">
        <f>pmax</f>
        <v>7.2347167750751247</v>
      </c>
      <c r="L18" s="144" t="s">
        <v>127</v>
      </c>
      <c r="O18" s="142" t="s">
        <v>156</v>
      </c>
      <c r="P18" s="143">
        <f>pmax/0.006895</f>
        <v>1049.2700181399746</v>
      </c>
      <c r="Q18" s="144" t="s">
        <v>189</v>
      </c>
    </row>
    <row r="19" spans="2:35">
      <c r="B19" s="2" t="s">
        <v>93</v>
      </c>
      <c r="C19" s="88">
        <v>0</v>
      </c>
      <c r="E19" t="s">
        <v>143</v>
      </c>
      <c r="J19" s="145" t="s">
        <v>157</v>
      </c>
      <c r="K19" s="152">
        <f>tbout</f>
        <v>3.255375591472903</v>
      </c>
      <c r="L19" s="147" t="s">
        <v>91</v>
      </c>
      <c r="O19" s="145" t="s">
        <v>157</v>
      </c>
      <c r="P19" s="152">
        <f>tbout</f>
        <v>3.255375591472903</v>
      </c>
      <c r="Q19" s="147" t="s">
        <v>91</v>
      </c>
    </row>
    <row r="20" spans="2:35">
      <c r="B20" s="2"/>
      <c r="C20" s="52"/>
      <c r="J20" s="148" t="s">
        <v>158</v>
      </c>
      <c r="K20" s="149">
        <f>tthr</f>
        <v>3.3384028249685698</v>
      </c>
      <c r="L20" s="150" t="s">
        <v>91</v>
      </c>
      <c r="O20" s="148" t="s">
        <v>158</v>
      </c>
      <c r="P20" s="149">
        <f>tthr</f>
        <v>3.3384028249685698</v>
      </c>
      <c r="Q20" s="150" t="s">
        <v>91</v>
      </c>
    </row>
    <row r="21" spans="2:35">
      <c r="B21" s="2"/>
      <c r="C21" s="52"/>
    </row>
    <row r="22" spans="2:35">
      <c r="W22" s="417" t="s">
        <v>205</v>
      </c>
      <c r="X22" s="417">
        <v>0</v>
      </c>
      <c r="Y22" s="417" t="s">
        <v>206</v>
      </c>
      <c r="Z22" s="417"/>
      <c r="AA22" s="418" t="s">
        <v>153</v>
      </c>
      <c r="AB22" s="419">
        <f>MAX(AC28:AC910)</f>
        <v>7.2347167750751247</v>
      </c>
      <c r="AC22" s="417" t="s">
        <v>127</v>
      </c>
    </row>
    <row r="23" spans="2:35">
      <c r="E23" s="53"/>
      <c r="G23" s="117">
        <f>D862</f>
        <v>-9.0499999999981853</v>
      </c>
      <c r="J23" s="118">
        <v>1.7665368828865783E-3</v>
      </c>
      <c r="K23" s="101" t="s">
        <v>254</v>
      </c>
      <c r="R23" s="43"/>
      <c r="S23" s="43"/>
    </row>
    <row r="24" spans="2:35">
      <c r="B24" s="54" t="s">
        <v>145</v>
      </c>
      <c r="C24" s="90">
        <v>2.9376498800957818E-2</v>
      </c>
      <c r="D24" s="53" t="s">
        <v>2</v>
      </c>
      <c r="R24" s="43"/>
      <c r="S24" s="43"/>
      <c r="V24" s="39"/>
      <c r="W24" s="39"/>
      <c r="X24" s="39"/>
      <c r="Y24" s="39"/>
      <c r="Z24" s="39"/>
      <c r="AA24" s="39"/>
      <c r="AB24" s="39"/>
    </row>
    <row r="25" spans="2:35" ht="14.25">
      <c r="B25" s="14" t="s">
        <v>44</v>
      </c>
      <c r="C25" s="13" t="s">
        <v>78</v>
      </c>
      <c r="D25" s="13" t="s">
        <v>79</v>
      </c>
      <c r="E25" s="13" t="s">
        <v>45</v>
      </c>
      <c r="F25" s="13" t="s">
        <v>53</v>
      </c>
      <c r="G25" s="13" t="s">
        <v>46</v>
      </c>
      <c r="H25" s="13" t="s">
        <v>98</v>
      </c>
      <c r="I25" s="13" t="s">
        <v>96</v>
      </c>
      <c r="J25" s="13" t="s">
        <v>92</v>
      </c>
      <c r="K25" s="13" t="s">
        <v>99</v>
      </c>
      <c r="L25" s="13" t="s">
        <v>69</v>
      </c>
      <c r="M25" s="13" t="s">
        <v>201</v>
      </c>
      <c r="N25" s="13" t="s">
        <v>80</v>
      </c>
      <c r="O25" s="13" t="s">
        <v>81</v>
      </c>
      <c r="P25" s="13" t="s">
        <v>88</v>
      </c>
      <c r="Q25" s="13" t="s">
        <v>90</v>
      </c>
      <c r="R25" s="13" t="s">
        <v>100</v>
      </c>
      <c r="S25" s="13" t="s">
        <v>100</v>
      </c>
      <c r="T25" s="13" t="s">
        <v>101</v>
      </c>
      <c r="U25" s="13" t="s">
        <v>95</v>
      </c>
      <c r="V25" s="13" t="s">
        <v>105</v>
      </c>
      <c r="W25" s="13" t="s">
        <v>106</v>
      </c>
      <c r="X25" s="13" t="s">
        <v>107</v>
      </c>
      <c r="Y25" s="13" t="s">
        <v>108</v>
      </c>
      <c r="Z25" s="71" t="s">
        <v>130</v>
      </c>
      <c r="AA25" s="13" t="s">
        <v>201</v>
      </c>
      <c r="AB25" s="13" t="s">
        <v>201</v>
      </c>
      <c r="AC25" s="13" t="s">
        <v>201</v>
      </c>
      <c r="AD25" s="13" t="s">
        <v>201</v>
      </c>
    </row>
    <row r="26" spans="2:35" ht="15" thickBot="1">
      <c r="B26" s="15"/>
      <c r="C26" s="15" t="s">
        <v>2</v>
      </c>
      <c r="D26" s="15" t="s">
        <v>2</v>
      </c>
      <c r="E26" s="15" t="s">
        <v>2</v>
      </c>
      <c r="F26" s="15" t="s">
        <v>2</v>
      </c>
      <c r="G26" s="15" t="s">
        <v>2</v>
      </c>
      <c r="H26" s="15" t="s">
        <v>15</v>
      </c>
      <c r="I26" s="15" t="s">
        <v>97</v>
      </c>
      <c r="J26" s="15" t="s">
        <v>15</v>
      </c>
      <c r="K26" s="15"/>
      <c r="L26" s="15"/>
      <c r="M26" s="15" t="s">
        <v>160</v>
      </c>
      <c r="N26" s="15" t="s">
        <v>89</v>
      </c>
      <c r="O26" s="15"/>
      <c r="P26" s="15" t="s">
        <v>89</v>
      </c>
      <c r="Q26" s="15" t="s">
        <v>169</v>
      </c>
      <c r="R26" s="15" t="s">
        <v>23</v>
      </c>
      <c r="S26" s="15" t="s">
        <v>102</v>
      </c>
      <c r="T26" s="15" t="s">
        <v>102</v>
      </c>
      <c r="U26" s="15" t="s">
        <v>28</v>
      </c>
      <c r="V26" s="15" t="s">
        <v>103</v>
      </c>
      <c r="W26" s="15" t="s">
        <v>103</v>
      </c>
      <c r="X26" s="15" t="s">
        <v>103</v>
      </c>
      <c r="Y26" s="15" t="s">
        <v>104</v>
      </c>
      <c r="Z26" s="15" t="s">
        <v>131</v>
      </c>
      <c r="AA26" s="15" t="s">
        <v>159</v>
      </c>
      <c r="AB26" s="15" t="s">
        <v>109</v>
      </c>
      <c r="AC26" s="15" t="s">
        <v>161</v>
      </c>
      <c r="AD26" s="15" t="s">
        <v>162</v>
      </c>
    </row>
    <row r="27" spans="2:35">
      <c r="V27" s="39"/>
      <c r="W27" s="39"/>
      <c r="X27" s="39"/>
      <c r="Y27" s="39"/>
      <c r="Z27" s="39"/>
      <c r="AA27" s="39"/>
      <c r="AB27" s="39"/>
    </row>
    <row r="28" spans="2:35">
      <c r="B28" s="39">
        <v>0</v>
      </c>
      <c r="C28">
        <v>0</v>
      </c>
      <c r="D28" s="10">
        <f>two</f>
        <v>15.450000000000001</v>
      </c>
      <c r="E28" s="40">
        <f>dio</f>
        <v>17.440000000000001</v>
      </c>
      <c r="F28" s="40">
        <f>do</f>
        <v>48.34</v>
      </c>
      <c r="G28" s="3">
        <f>lgo</f>
        <v>128.19999999999999</v>
      </c>
      <c r="H28" s="3">
        <f t="shared" ref="H28:H39" si="0">PI()/4*(dto+erate*(two-D28)/two)^2</f>
        <v>148.0155219248214</v>
      </c>
      <c r="I28">
        <f t="shared" ref="I28:I91" si="1">H28/1000^2</f>
        <v>1.4801552192482141E-4</v>
      </c>
      <c r="J28" s="4">
        <f t="shared" ref="J28:J39" si="2">PI()/4*dc^2-PI()/4*(F28^2-E28^2)</f>
        <v>243.44044393034596</v>
      </c>
      <c r="K28" s="40">
        <f t="shared" ref="K28:K39" si="3">J28/H28</f>
        <v>1.6446953722461071</v>
      </c>
      <c r="L28" s="40">
        <f t="shared" ref="L28:L91" si="4">IF((gstar-K28)&lt;0,0,gstar-K28)</f>
        <v>4.3553046277538927</v>
      </c>
      <c r="M28" s="10">
        <v>0.10100000000000001</v>
      </c>
      <c r="N28" s="10">
        <f t="shared" ref="N28:N91" si="5">IF(fueltype=1,VLOOKUP($M28,kndxbn_,4),IF(fueltype=2,VLOOKUP($M28,knsobn_,4),IF(fueltype=3,VLOOKUP($M28,knsbcobn_,4),IF(fueltype=4,VLOOKUP($M28,knsubn_,4),IF(fueltype=5,am_1,IF(fueltype=6,am_0,IF(fueltype=7,am_3,am_4)))))))</f>
        <v>8.26</v>
      </c>
      <c r="O28" s="10">
        <f t="shared" ref="O28:O91" si="6">IF(fueltype=1,VLOOKUP($M28,kndxbn_,5),IF(fueltype=2,VLOOKUP($M28,knsobn_,5),IF(fueltype=3,VLOOKUP($M28,knsbcobn_,5),IF(fueltype=4,VLOOKUP($M28,knsubn_,5),IF(fueltype=5,nm_1,IF(fueltype=6,an_0,IF(fueltype=7,nm_3,nm_4)))))))</f>
        <v>0.31900000000000001</v>
      </c>
      <c r="P28" s="10">
        <f t="shared" ref="P28:P39" si="7">(1+kv*L28)*N28*M28^O28</f>
        <v>3.9751961722975562</v>
      </c>
      <c r="Q28">
        <v>0</v>
      </c>
      <c r="R28" s="4">
        <f t="shared" ref="R28:R39" si="8">PI()/4*(F28^2-E28^2)*G28</f>
        <v>204658.72072344506</v>
      </c>
      <c r="S28">
        <f t="shared" ref="S28:S91" si="9">R28/1000^3</f>
        <v>2.0465872072344507E-4</v>
      </c>
      <c r="T28" s="44">
        <f t="shared" ref="T28:T91" si="10">(vc/1000^3-S28)</f>
        <v>3.1209064911870345E-5</v>
      </c>
      <c r="U28" s="45">
        <f t="shared" ref="U28:U39" si="11">rhopgrain*R28/1000^2</f>
        <v>0.3672703072742583</v>
      </c>
      <c r="V28">
        <v>0</v>
      </c>
      <c r="W28">
        <v>0</v>
      </c>
      <c r="X28">
        <f t="shared" ref="X28:X39" si="12">V28-W28</f>
        <v>0</v>
      </c>
      <c r="Y28">
        <v>0</v>
      </c>
      <c r="Z28">
        <f t="shared" ref="Z28:Z39" si="13">Y28/T28</f>
        <v>0</v>
      </c>
      <c r="AA28">
        <f t="shared" ref="AA28:AA91" si="14">Z28*rat*to+patm*1000000</f>
        <v>101000</v>
      </c>
      <c r="AB28" s="10">
        <f t="shared" ref="AB28:AB91" si="15">AA28/1000000</f>
        <v>0.10100000000000001</v>
      </c>
      <c r="AC28" s="10">
        <f t="shared" ref="AC28:AC91" si="16">AB28-patm</f>
        <v>0</v>
      </c>
      <c r="AD28" s="3">
        <f t="shared" ref="AD28:AD91" si="17">AC28*1000000/6895</f>
        <v>0</v>
      </c>
    </row>
    <row r="29" spans="2:35">
      <c r="B29" s="39">
        <f t="shared" ref="B29:B39" si="18">1+B28</f>
        <v>1</v>
      </c>
      <c r="C29" s="45">
        <f t="shared" ref="C29:C39" si="19">xincp+C28</f>
        <v>2.9376498800957818E-2</v>
      </c>
      <c r="D29" s="10">
        <f t="shared" ref="D29:D39" si="20">(F29-E29)/2</f>
        <v>15.420623501199044</v>
      </c>
      <c r="E29" s="40">
        <f t="shared" ref="E29:E39" si="21">E28+ci*2*xincp</f>
        <v>17.498752997601915</v>
      </c>
      <c r="F29" s="40">
        <f t="shared" ref="F29:F39" si="22">F28-osi*2*xincp</f>
        <v>48.34</v>
      </c>
      <c r="G29" s="3">
        <f t="shared" ref="G29:G39" si="23">G28-ei*n*2*xincp</f>
        <v>128.08249400479616</v>
      </c>
      <c r="H29" s="3">
        <f t="shared" si="0"/>
        <v>148.0155219248214</v>
      </c>
      <c r="I29">
        <f t="shared" si="1"/>
        <v>1.4801552192482141E-4</v>
      </c>
      <c r="J29" s="4">
        <f t="shared" si="2"/>
        <v>245.05267509263581</v>
      </c>
      <c r="K29" s="40">
        <f t="shared" si="3"/>
        <v>1.6555876836829355</v>
      </c>
      <c r="L29" s="40">
        <f t="shared" si="4"/>
        <v>4.3444123163170643</v>
      </c>
      <c r="M29" s="10">
        <f t="shared" ref="M29:M39" si="24">AB28</f>
        <v>0.10100000000000001</v>
      </c>
      <c r="N29" s="10">
        <f t="shared" si="5"/>
        <v>8.26</v>
      </c>
      <c r="O29" s="10">
        <f t="shared" si="6"/>
        <v>0.31900000000000001</v>
      </c>
      <c r="P29" s="10">
        <f t="shared" si="7"/>
        <v>3.9751961722975562</v>
      </c>
      <c r="Q29" s="45">
        <f t="shared" ref="Q29:Q39" si="25">xincp/P29+Q28</f>
        <v>7.3899494585141431E-3</v>
      </c>
      <c r="R29" s="4">
        <f t="shared" si="8"/>
        <v>204264.63534388022</v>
      </c>
      <c r="S29">
        <f t="shared" si="9"/>
        <v>2.0426463534388022E-4</v>
      </c>
      <c r="T29" s="44">
        <f t="shared" si="10"/>
        <v>3.1603150291435196E-5</v>
      </c>
      <c r="U29" s="45">
        <f t="shared" si="11"/>
        <v>0.36656310135636022</v>
      </c>
      <c r="V29" s="45">
        <f t="shared" ref="V29:V39" si="26">(U28-U29)/(Q29-Q28)</f>
        <v>9.5698342981668169E-2</v>
      </c>
      <c r="W29" s="45">
        <f t="shared" ref="W29:W39" si="27">IF(V29&lt;AI29,IF(AB28&gt;pbd,AI29,0),AI29)</f>
        <v>0</v>
      </c>
      <c r="X29" s="45">
        <f t="shared" si="12"/>
        <v>9.5698342981668169E-2</v>
      </c>
      <c r="Y29" s="45">
        <f>IF((X29*(Q29-Q28)+Y28)&lt;0,0,X29*(Q29-Q28)+Y28)</f>
        <v>7.0720591789807941E-4</v>
      </c>
      <c r="Z29" s="10">
        <f t="shared" si="13"/>
        <v>22.37770321554747</v>
      </c>
      <c r="AA29">
        <f t="shared" si="14"/>
        <v>7335716.7750751246</v>
      </c>
      <c r="AB29" s="10">
        <f t="shared" si="15"/>
        <v>7.3357167750751247</v>
      </c>
      <c r="AC29" s="10">
        <f t="shared" si="16"/>
        <v>7.2347167750751247</v>
      </c>
      <c r="AD29" s="3">
        <f t="shared" si="17"/>
        <v>1049.2700181399746</v>
      </c>
      <c r="AI29" s="100">
        <f t="shared" ref="AI29:AI92" si="28">($M29-patm)*1000000*$I29/SQRT(rat*to)*SQRT(k)*(2/(k+1))^((k+1)/2/(k-1))</f>
        <v>0</v>
      </c>
    </row>
    <row r="30" spans="2:35">
      <c r="B30" s="39">
        <f t="shared" si="18"/>
        <v>2</v>
      </c>
      <c r="C30" s="45">
        <f t="shared" si="19"/>
        <v>5.8752997601915637E-2</v>
      </c>
      <c r="D30" s="10">
        <f t="shared" si="20"/>
        <v>15.391247002398087</v>
      </c>
      <c r="E30" s="40">
        <f t="shared" si="21"/>
        <v>17.557505995203829</v>
      </c>
      <c r="F30" s="40">
        <f t="shared" si="22"/>
        <v>48.34</v>
      </c>
      <c r="G30" s="3">
        <f t="shared" si="23"/>
        <v>127.96498800959233</v>
      </c>
      <c r="H30" s="3">
        <f t="shared" si="0"/>
        <v>148.0155219248214</v>
      </c>
      <c r="I30">
        <f t="shared" si="1"/>
        <v>1.4801552192482141E-4</v>
      </c>
      <c r="J30" s="4">
        <f t="shared" si="2"/>
        <v>246.67032850989995</v>
      </c>
      <c r="K30" s="40">
        <f t="shared" si="3"/>
        <v>1.6665166281357056</v>
      </c>
      <c r="L30" s="40">
        <f t="shared" si="4"/>
        <v>4.3334833718642942</v>
      </c>
      <c r="M30" s="10">
        <f t="shared" si="24"/>
        <v>7.3357167750751247</v>
      </c>
      <c r="N30" s="10">
        <f t="shared" si="5"/>
        <v>8.26</v>
      </c>
      <c r="O30" s="10">
        <f t="shared" si="6"/>
        <v>0.31900000000000001</v>
      </c>
      <c r="P30" s="10">
        <f t="shared" si="7"/>
        <v>15.597544108809034</v>
      </c>
      <c r="Q30" s="45">
        <f t="shared" si="25"/>
        <v>9.2733548584941847E-3</v>
      </c>
      <c r="R30" s="4">
        <f t="shared" si="8"/>
        <v>203870.23499917705</v>
      </c>
      <c r="S30">
        <f t="shared" si="9"/>
        <v>2.0387023499917706E-4</v>
      </c>
      <c r="T30" s="44">
        <f t="shared" si="10"/>
        <v>3.1997550636138355E-5</v>
      </c>
      <c r="U30" s="45">
        <f t="shared" si="11"/>
        <v>0.36585533021777317</v>
      </c>
      <c r="V30" s="45">
        <f t="shared" si="26"/>
        <v>0.37579330429580093</v>
      </c>
      <c r="W30" s="45">
        <f t="shared" si="27"/>
        <v>1.1962674318960096</v>
      </c>
      <c r="X30" s="45">
        <f t="shared" si="12"/>
        <v>-0.82047412760020866</v>
      </c>
      <c r="Y30" s="45">
        <f t="shared" ref="Y30:Y93" si="29">IF((X30*(Q30-Q29)+Y29)&lt;0,0,X30*(Q30-Q29)+Y29)</f>
        <v>0</v>
      </c>
      <c r="Z30" s="10">
        <f t="shared" si="13"/>
        <v>0</v>
      </c>
      <c r="AA30">
        <f t="shared" si="14"/>
        <v>101000</v>
      </c>
      <c r="AB30" s="10">
        <f t="shared" si="15"/>
        <v>0.10100000000000001</v>
      </c>
      <c r="AC30" s="10">
        <f t="shared" si="16"/>
        <v>0</v>
      </c>
      <c r="AD30" s="3">
        <f t="shared" si="17"/>
        <v>0</v>
      </c>
      <c r="AI30" s="100">
        <f t="shared" si="28"/>
        <v>1.1962674318960096</v>
      </c>
    </row>
    <row r="31" spans="2:35">
      <c r="B31" s="39">
        <f t="shared" si="18"/>
        <v>3</v>
      </c>
      <c r="C31" s="45">
        <f t="shared" si="19"/>
        <v>8.8129496402873458E-2</v>
      </c>
      <c r="D31" s="10">
        <f t="shared" si="20"/>
        <v>15.36187050359713</v>
      </c>
      <c r="E31" s="40">
        <f t="shared" si="21"/>
        <v>17.616258992805744</v>
      </c>
      <c r="F31" s="40">
        <f t="shared" si="22"/>
        <v>48.34</v>
      </c>
      <c r="G31" s="3">
        <f t="shared" si="23"/>
        <v>127.8474820143885</v>
      </c>
      <c r="H31" s="3">
        <f t="shared" si="0"/>
        <v>148.0155219248214</v>
      </c>
      <c r="I31">
        <f t="shared" si="1"/>
        <v>1.4801552192482141E-4</v>
      </c>
      <c r="J31" s="4">
        <f t="shared" si="2"/>
        <v>248.29340418213769</v>
      </c>
      <c r="K31" s="40">
        <f t="shared" si="3"/>
        <v>1.6774822056044125</v>
      </c>
      <c r="L31" s="40">
        <f t="shared" si="4"/>
        <v>4.322517794395587</v>
      </c>
      <c r="M31" s="10">
        <f t="shared" si="24"/>
        <v>0.10100000000000001</v>
      </c>
      <c r="N31" s="10">
        <f t="shared" si="5"/>
        <v>8.26</v>
      </c>
      <c r="O31" s="10">
        <f t="shared" si="6"/>
        <v>0.31900000000000001</v>
      </c>
      <c r="P31" s="10">
        <f t="shared" si="7"/>
        <v>3.9751961722975562</v>
      </c>
      <c r="Q31" s="45">
        <f t="shared" si="25"/>
        <v>1.6663304317008326E-2</v>
      </c>
      <c r="R31" s="4">
        <f t="shared" si="8"/>
        <v>203475.52160077804</v>
      </c>
      <c r="S31">
        <f t="shared" si="9"/>
        <v>2.0347552160077803E-4</v>
      </c>
      <c r="T31" s="44">
        <f t="shared" si="10"/>
        <v>3.2392264034537382E-5</v>
      </c>
      <c r="U31" s="45">
        <f t="shared" si="11"/>
        <v>0.36514699728867622</v>
      </c>
      <c r="V31" s="45">
        <f t="shared" si="26"/>
        <v>9.5850848923040549E-2</v>
      </c>
      <c r="W31" s="45">
        <f t="shared" si="27"/>
        <v>0</v>
      </c>
      <c r="X31" s="45">
        <f t="shared" si="12"/>
        <v>9.5850848923040549E-2</v>
      </c>
      <c r="Y31" s="45">
        <f t="shared" si="29"/>
        <v>7.0833292909694423E-4</v>
      </c>
      <c r="Z31" s="10">
        <f t="shared" si="13"/>
        <v>21.86734858488753</v>
      </c>
      <c r="AA31">
        <f t="shared" si="14"/>
        <v>7170719.0015275944</v>
      </c>
      <c r="AB31" s="10">
        <f t="shared" si="15"/>
        <v>7.1707190015275941</v>
      </c>
      <c r="AC31" s="10">
        <f t="shared" si="16"/>
        <v>7.0697190015275941</v>
      </c>
      <c r="AD31" s="3">
        <f t="shared" si="17"/>
        <v>1025.3399567117613</v>
      </c>
      <c r="AI31" s="100">
        <f t="shared" si="28"/>
        <v>0</v>
      </c>
    </row>
    <row r="32" spans="2:35">
      <c r="B32" s="39">
        <f t="shared" si="18"/>
        <v>4</v>
      </c>
      <c r="C32" s="45">
        <f t="shared" si="19"/>
        <v>0.11750599520383127</v>
      </c>
      <c r="D32" s="10">
        <f t="shared" si="20"/>
        <v>15.332494004796173</v>
      </c>
      <c r="E32" s="40">
        <f t="shared" si="21"/>
        <v>17.675011990407658</v>
      </c>
      <c r="F32" s="40">
        <f t="shared" si="22"/>
        <v>48.34</v>
      </c>
      <c r="G32" s="3">
        <f t="shared" si="23"/>
        <v>127.72997601918468</v>
      </c>
      <c r="H32" s="3">
        <f t="shared" si="0"/>
        <v>148.0155219248214</v>
      </c>
      <c r="I32">
        <f t="shared" si="1"/>
        <v>1.4801552192482141E-4</v>
      </c>
      <c r="J32" s="4">
        <f t="shared" si="2"/>
        <v>249.92190210934928</v>
      </c>
      <c r="K32" s="40">
        <f t="shared" si="3"/>
        <v>1.6884844160890584</v>
      </c>
      <c r="L32" s="40">
        <f t="shared" si="4"/>
        <v>4.3115155839109418</v>
      </c>
      <c r="M32" s="10">
        <f t="shared" si="24"/>
        <v>7.1707190015275941</v>
      </c>
      <c r="N32" s="10">
        <f t="shared" si="5"/>
        <v>8.26</v>
      </c>
      <c r="O32" s="10">
        <f t="shared" si="6"/>
        <v>0.31900000000000001</v>
      </c>
      <c r="P32" s="10">
        <f t="shared" si="7"/>
        <v>15.484762545149751</v>
      </c>
      <c r="Q32" s="45">
        <f t="shared" si="25"/>
        <v>1.8560427292921143E-2</v>
      </c>
      <c r="R32" s="4">
        <f t="shared" si="8"/>
        <v>203080.49706012558</v>
      </c>
      <c r="S32">
        <f t="shared" si="9"/>
        <v>2.0308049706012558E-4</v>
      </c>
      <c r="T32" s="44">
        <f t="shared" si="10"/>
        <v>3.2787288575189836E-5</v>
      </c>
      <c r="U32" s="45">
        <f t="shared" si="11"/>
        <v>0.36443810599924831</v>
      </c>
      <c r="V32" s="45">
        <f t="shared" si="26"/>
        <v>0.37366649312062983</v>
      </c>
      <c r="W32" s="45">
        <f t="shared" si="27"/>
        <v>1.168984890095579</v>
      </c>
      <c r="X32" s="45">
        <f t="shared" si="12"/>
        <v>-0.79531839697494922</v>
      </c>
      <c r="Y32" s="45">
        <f t="shared" si="29"/>
        <v>0</v>
      </c>
      <c r="Z32" s="10">
        <f t="shared" si="13"/>
        <v>0</v>
      </c>
      <c r="AA32">
        <f t="shared" si="14"/>
        <v>101000</v>
      </c>
      <c r="AB32" s="10">
        <f t="shared" si="15"/>
        <v>0.10100000000000001</v>
      </c>
      <c r="AC32" s="10">
        <f t="shared" si="16"/>
        <v>0</v>
      </c>
      <c r="AD32" s="3">
        <f t="shared" si="17"/>
        <v>0</v>
      </c>
      <c r="AI32" s="100">
        <f t="shared" si="28"/>
        <v>1.168984890095579</v>
      </c>
    </row>
    <row r="33" spans="2:35">
      <c r="B33" s="39">
        <f t="shared" si="18"/>
        <v>5</v>
      </c>
      <c r="C33" s="45">
        <f t="shared" si="19"/>
        <v>0.14688249400478909</v>
      </c>
      <c r="D33" s="10">
        <f t="shared" si="20"/>
        <v>15.303117505995216</v>
      </c>
      <c r="E33" s="40">
        <f t="shared" si="21"/>
        <v>17.733764988009572</v>
      </c>
      <c r="F33" s="40">
        <f t="shared" si="22"/>
        <v>48.34</v>
      </c>
      <c r="G33" s="3">
        <f t="shared" si="23"/>
        <v>127.61247002398085</v>
      </c>
      <c r="H33" s="3">
        <f t="shared" si="0"/>
        <v>148.0155219248214</v>
      </c>
      <c r="I33">
        <f t="shared" si="1"/>
        <v>1.4801552192482141E-4</v>
      </c>
      <c r="J33" s="4">
        <f t="shared" si="2"/>
        <v>251.55582229153515</v>
      </c>
      <c r="K33" s="40">
        <f t="shared" si="3"/>
        <v>1.6995232595896459</v>
      </c>
      <c r="L33" s="40">
        <f t="shared" si="4"/>
        <v>4.3004767404103541</v>
      </c>
      <c r="M33" s="10">
        <f t="shared" si="24"/>
        <v>0.10100000000000001</v>
      </c>
      <c r="N33" s="10">
        <f t="shared" si="5"/>
        <v>8.26</v>
      </c>
      <c r="O33" s="10">
        <f t="shared" si="6"/>
        <v>0.31900000000000001</v>
      </c>
      <c r="P33" s="10">
        <f t="shared" si="7"/>
        <v>3.9751961722975562</v>
      </c>
      <c r="Q33" s="45">
        <f t="shared" si="25"/>
        <v>2.5950376751435286E-2</v>
      </c>
      <c r="R33" s="4">
        <f t="shared" si="8"/>
        <v>202685.16328866198</v>
      </c>
      <c r="S33">
        <f t="shared" si="9"/>
        <v>2.0268516328866197E-4</v>
      </c>
      <c r="T33" s="44">
        <f t="shared" si="10"/>
        <v>3.3182622346653441E-5</v>
      </c>
      <c r="U33" s="45">
        <f t="shared" si="11"/>
        <v>0.36372865977966834</v>
      </c>
      <c r="V33" s="45">
        <f t="shared" si="26"/>
        <v>9.6001498191925702E-2</v>
      </c>
      <c r="W33" s="45">
        <f t="shared" si="27"/>
        <v>0</v>
      </c>
      <c r="X33" s="45">
        <f t="shared" si="12"/>
        <v>9.6001498191925702E-2</v>
      </c>
      <c r="Y33" s="45">
        <f t="shared" si="29"/>
        <v>7.0944621957996779E-4</v>
      </c>
      <c r="Z33" s="10">
        <f t="shared" si="13"/>
        <v>21.380052853222356</v>
      </c>
      <c r="AA33">
        <f t="shared" si="14"/>
        <v>7013176.1755126733</v>
      </c>
      <c r="AB33" s="10">
        <f t="shared" si="15"/>
        <v>7.0131761755126734</v>
      </c>
      <c r="AC33" s="10">
        <f t="shared" si="16"/>
        <v>6.9121761755126734</v>
      </c>
      <c r="AD33" s="3">
        <f t="shared" si="17"/>
        <v>1002.491105948176</v>
      </c>
      <c r="AI33" s="100">
        <f t="shared" si="28"/>
        <v>0</v>
      </c>
    </row>
    <row r="34" spans="2:35">
      <c r="B34" s="39">
        <f t="shared" si="18"/>
        <v>6</v>
      </c>
      <c r="C34" s="45">
        <f t="shared" si="19"/>
        <v>0.17625899280574692</v>
      </c>
      <c r="D34" s="10">
        <f t="shared" si="20"/>
        <v>15.273741007194259</v>
      </c>
      <c r="E34" s="40">
        <f t="shared" si="21"/>
        <v>17.792517985611486</v>
      </c>
      <c r="F34" s="40">
        <f t="shared" si="22"/>
        <v>48.34</v>
      </c>
      <c r="G34" s="3">
        <f t="shared" si="23"/>
        <v>127.49496402877702</v>
      </c>
      <c r="H34" s="3">
        <f t="shared" si="0"/>
        <v>148.0155219248214</v>
      </c>
      <c r="I34">
        <f t="shared" si="1"/>
        <v>1.4801552192482141E-4</v>
      </c>
      <c r="J34" s="4">
        <f t="shared" si="2"/>
        <v>253.19516472869464</v>
      </c>
      <c r="K34" s="40">
        <f t="shared" si="3"/>
        <v>1.7105987361061703</v>
      </c>
      <c r="L34" s="40">
        <f t="shared" si="4"/>
        <v>4.2894012638938293</v>
      </c>
      <c r="M34" s="10">
        <f t="shared" si="24"/>
        <v>7.0131761755126734</v>
      </c>
      <c r="N34" s="10">
        <f t="shared" si="5"/>
        <v>8.26</v>
      </c>
      <c r="O34" s="10">
        <f t="shared" si="6"/>
        <v>0.31900000000000001</v>
      </c>
      <c r="P34" s="10">
        <f t="shared" si="7"/>
        <v>15.375415193871801</v>
      </c>
      <c r="Q34" s="44">
        <f t="shared" si="25"/>
        <v>2.7860991744952109E-2</v>
      </c>
      <c r="R34" s="4">
        <f t="shared" si="8"/>
        <v>202289.52219782976</v>
      </c>
      <c r="S34">
        <f t="shared" si="9"/>
        <v>2.0228952219782976E-4</v>
      </c>
      <c r="T34" s="44">
        <f t="shared" si="10"/>
        <v>3.3578263437485648E-5</v>
      </c>
      <c r="U34" s="45">
        <f t="shared" si="11"/>
        <v>0.36301866206011535</v>
      </c>
      <c r="V34" s="45">
        <f t="shared" si="26"/>
        <v>0.37160690246972</v>
      </c>
      <c r="W34" s="45">
        <f t="shared" si="27"/>
        <v>1.1429350310962885</v>
      </c>
      <c r="X34" s="45">
        <f t="shared" si="12"/>
        <v>-0.77132812862656852</v>
      </c>
      <c r="Y34" s="45">
        <f t="shared" si="29"/>
        <v>0</v>
      </c>
      <c r="Z34" s="10">
        <f t="shared" si="13"/>
        <v>0</v>
      </c>
      <c r="AA34">
        <f t="shared" si="14"/>
        <v>101000</v>
      </c>
      <c r="AB34" s="10">
        <f t="shared" si="15"/>
        <v>0.10100000000000001</v>
      </c>
      <c r="AC34" s="10">
        <f t="shared" si="16"/>
        <v>0</v>
      </c>
      <c r="AD34" s="3">
        <f t="shared" si="17"/>
        <v>0</v>
      </c>
      <c r="AI34" s="100">
        <f t="shared" si="28"/>
        <v>1.1429350310962885</v>
      </c>
    </row>
    <row r="35" spans="2:35">
      <c r="B35" s="39">
        <f t="shared" si="18"/>
        <v>7</v>
      </c>
      <c r="C35" s="45">
        <f t="shared" si="19"/>
        <v>0.20563549160670475</v>
      </c>
      <c r="D35" s="10">
        <f t="shared" si="20"/>
        <v>15.244364508393302</v>
      </c>
      <c r="E35" s="40">
        <f t="shared" si="21"/>
        <v>17.8512709832134</v>
      </c>
      <c r="F35" s="40">
        <f t="shared" si="22"/>
        <v>48.34</v>
      </c>
      <c r="G35" s="3">
        <f t="shared" si="23"/>
        <v>127.37745803357319</v>
      </c>
      <c r="H35" s="3">
        <f t="shared" si="0"/>
        <v>148.0155219248214</v>
      </c>
      <c r="I35">
        <f t="shared" si="1"/>
        <v>1.4801552192482141E-4</v>
      </c>
      <c r="J35" s="4">
        <f t="shared" si="2"/>
        <v>254.83992942082796</v>
      </c>
      <c r="K35" s="40">
        <f t="shared" si="3"/>
        <v>1.7217108456386336</v>
      </c>
      <c r="L35" s="40">
        <f t="shared" si="4"/>
        <v>4.2782891543613664</v>
      </c>
      <c r="M35" s="10">
        <f t="shared" si="24"/>
        <v>0.10100000000000001</v>
      </c>
      <c r="N35" s="10">
        <f t="shared" si="5"/>
        <v>8.26</v>
      </c>
      <c r="O35" s="10">
        <f t="shared" si="6"/>
        <v>0.31900000000000001</v>
      </c>
      <c r="P35" s="10">
        <f t="shared" si="7"/>
        <v>3.9751961722975562</v>
      </c>
      <c r="Q35" s="44">
        <f t="shared" si="25"/>
        <v>3.5250941203466252E-2</v>
      </c>
      <c r="R35" s="4">
        <f t="shared" si="8"/>
        <v>201893.57569907128</v>
      </c>
      <c r="S35">
        <f t="shared" si="9"/>
        <v>2.0189357569907129E-4</v>
      </c>
      <c r="T35" s="44">
        <f t="shared" si="10"/>
        <v>3.3974209936244126E-5</v>
      </c>
      <c r="U35" s="45">
        <f t="shared" si="11"/>
        <v>0.36230811627076837</v>
      </c>
      <c r="V35" s="45">
        <f t="shared" si="26"/>
        <v>9.615029078830116E-2</v>
      </c>
      <c r="W35" s="45">
        <f t="shared" si="27"/>
        <v>0</v>
      </c>
      <c r="X35" s="45">
        <f t="shared" si="12"/>
        <v>9.615029078830116E-2</v>
      </c>
      <c r="Y35" s="45">
        <f t="shared" si="29"/>
        <v>7.1054578934698354E-4</v>
      </c>
      <c r="Z35" s="10">
        <f t="shared" si="13"/>
        <v>20.914269696937502</v>
      </c>
      <c r="AA35">
        <f t="shared" si="14"/>
        <v>6862588.3702378133</v>
      </c>
      <c r="AB35" s="10">
        <f t="shared" si="15"/>
        <v>6.8625883702378134</v>
      </c>
      <c r="AC35" s="10">
        <f t="shared" si="16"/>
        <v>6.7615883702378135</v>
      </c>
      <c r="AD35" s="3">
        <f t="shared" si="17"/>
        <v>980.65096015051677</v>
      </c>
      <c r="AI35" s="100">
        <f t="shared" si="28"/>
        <v>0</v>
      </c>
    </row>
    <row r="36" spans="2:35">
      <c r="B36" s="39">
        <f t="shared" si="18"/>
        <v>8</v>
      </c>
      <c r="C36" s="45">
        <f t="shared" si="19"/>
        <v>0.23501199040766257</v>
      </c>
      <c r="D36" s="10">
        <f t="shared" si="20"/>
        <v>15.214988009592345</v>
      </c>
      <c r="E36" s="40">
        <f t="shared" si="21"/>
        <v>17.910023980815314</v>
      </c>
      <c r="F36" s="40">
        <f t="shared" si="22"/>
        <v>48.34</v>
      </c>
      <c r="G36" s="3">
        <f t="shared" si="23"/>
        <v>127.25995203836936</v>
      </c>
      <c r="H36" s="3">
        <f t="shared" si="0"/>
        <v>148.0155219248214</v>
      </c>
      <c r="I36">
        <f t="shared" si="1"/>
        <v>1.4801552192482141E-4</v>
      </c>
      <c r="J36" s="4">
        <f t="shared" si="2"/>
        <v>256.49011636793534</v>
      </c>
      <c r="K36" s="40">
        <f t="shared" si="3"/>
        <v>1.732859588187037</v>
      </c>
      <c r="L36" s="40">
        <f t="shared" si="4"/>
        <v>4.2671404118129628</v>
      </c>
      <c r="M36" s="10">
        <f t="shared" si="24"/>
        <v>6.8625883702378134</v>
      </c>
      <c r="N36" s="10">
        <f t="shared" si="5"/>
        <v>8.26</v>
      </c>
      <c r="O36" s="10">
        <f t="shared" si="6"/>
        <v>0.31900000000000001</v>
      </c>
      <c r="P36" s="10">
        <f t="shared" si="7"/>
        <v>15.269320232971808</v>
      </c>
      <c r="Q36" s="45">
        <f t="shared" si="25"/>
        <v>3.7174831615923755E-2</v>
      </c>
      <c r="R36" s="4">
        <f t="shared" si="8"/>
        <v>201497.32570382892</v>
      </c>
      <c r="S36">
        <f t="shared" si="9"/>
        <v>2.0149732570382892E-4</v>
      </c>
      <c r="T36" s="44">
        <f t="shared" si="10"/>
        <v>3.4370459931486489E-5</v>
      </c>
      <c r="U36" s="45">
        <f t="shared" si="11"/>
        <v>0.36159702584180614</v>
      </c>
      <c r="V36" s="45">
        <f t="shared" si="26"/>
        <v>0.36961067239474676</v>
      </c>
      <c r="W36" s="45">
        <f t="shared" si="27"/>
        <v>1.1180351915183746</v>
      </c>
      <c r="X36" s="45">
        <f t="shared" si="12"/>
        <v>-0.74842451912362784</v>
      </c>
      <c r="Y36" s="45">
        <f t="shared" si="29"/>
        <v>0</v>
      </c>
      <c r="Z36" s="10">
        <f t="shared" si="13"/>
        <v>0</v>
      </c>
      <c r="AA36">
        <f t="shared" si="14"/>
        <v>101000</v>
      </c>
      <c r="AB36" s="10">
        <f t="shared" si="15"/>
        <v>0.10100000000000001</v>
      </c>
      <c r="AC36" s="10">
        <f t="shared" si="16"/>
        <v>0</v>
      </c>
      <c r="AD36" s="3">
        <f t="shared" si="17"/>
        <v>0</v>
      </c>
      <c r="AI36" s="100">
        <f t="shared" si="28"/>
        <v>1.1180351915183746</v>
      </c>
    </row>
    <row r="37" spans="2:35">
      <c r="B37" s="39">
        <f t="shared" si="18"/>
        <v>9</v>
      </c>
      <c r="C37" s="45">
        <f t="shared" si="19"/>
        <v>0.2643884892086204</v>
      </c>
      <c r="D37" s="10">
        <f t="shared" si="20"/>
        <v>15.185611510791388</v>
      </c>
      <c r="E37" s="40">
        <f t="shared" si="21"/>
        <v>17.968776978417228</v>
      </c>
      <c r="F37" s="40">
        <f t="shared" si="22"/>
        <v>48.34</v>
      </c>
      <c r="G37" s="3">
        <f t="shared" si="23"/>
        <v>127.14244604316553</v>
      </c>
      <c r="H37" s="3">
        <f t="shared" si="0"/>
        <v>148.0155219248214</v>
      </c>
      <c r="I37">
        <f t="shared" si="1"/>
        <v>1.4801552192482141E-4</v>
      </c>
      <c r="J37" s="4">
        <f t="shared" si="2"/>
        <v>258.14572557001679</v>
      </c>
      <c r="K37" s="40">
        <f t="shared" si="3"/>
        <v>1.7440449637513804</v>
      </c>
      <c r="L37" s="40">
        <f t="shared" si="4"/>
        <v>4.2559550362486194</v>
      </c>
      <c r="M37" s="10">
        <f t="shared" si="24"/>
        <v>0.10100000000000001</v>
      </c>
      <c r="N37" s="10">
        <f t="shared" si="5"/>
        <v>8.26</v>
      </c>
      <c r="O37" s="10">
        <f t="shared" si="6"/>
        <v>0.31900000000000001</v>
      </c>
      <c r="P37" s="10">
        <f t="shared" si="7"/>
        <v>3.9751961722975562</v>
      </c>
      <c r="Q37" s="45">
        <f t="shared" si="25"/>
        <v>4.4564781074437898E-2</v>
      </c>
      <c r="R37" s="4">
        <f t="shared" si="8"/>
        <v>201100.77412354507</v>
      </c>
      <c r="S37">
        <f t="shared" si="9"/>
        <v>2.0110077412354506E-4</v>
      </c>
      <c r="T37" s="44">
        <f t="shared" si="10"/>
        <v>3.4767011511770352E-5</v>
      </c>
      <c r="U37" s="45">
        <f t="shared" si="11"/>
        <v>0.36088539420340776</v>
      </c>
      <c r="V37" s="45">
        <f t="shared" si="26"/>
        <v>9.6297226712219491E-2</v>
      </c>
      <c r="W37" s="45">
        <f t="shared" si="27"/>
        <v>0</v>
      </c>
      <c r="X37" s="45">
        <f t="shared" si="12"/>
        <v>9.6297226712219491E-2</v>
      </c>
      <c r="Y37" s="45">
        <f t="shared" si="29"/>
        <v>7.1163163839838006E-4</v>
      </c>
      <c r="Z37" s="10">
        <f t="shared" si="13"/>
        <v>20.468588108513657</v>
      </c>
      <c r="AA37">
        <f t="shared" si="14"/>
        <v>6718499.4066362269</v>
      </c>
      <c r="AB37" s="10">
        <f t="shared" si="15"/>
        <v>6.7184994066362274</v>
      </c>
      <c r="AC37" s="10">
        <f t="shared" si="16"/>
        <v>6.6174994066362274</v>
      </c>
      <c r="AD37" s="3">
        <f t="shared" si="17"/>
        <v>959.75335846790813</v>
      </c>
      <c r="AI37" s="100">
        <f t="shared" si="28"/>
        <v>0</v>
      </c>
    </row>
    <row r="38" spans="2:35">
      <c r="B38" s="39">
        <f t="shared" si="18"/>
        <v>10</v>
      </c>
      <c r="C38" s="45">
        <f t="shared" si="19"/>
        <v>0.29376498800957823</v>
      </c>
      <c r="D38" s="10">
        <f t="shared" si="20"/>
        <v>15.156235011990431</v>
      </c>
      <c r="E38" s="40">
        <f t="shared" si="21"/>
        <v>18.027529976019142</v>
      </c>
      <c r="F38" s="40">
        <f t="shared" si="22"/>
        <v>48.34</v>
      </c>
      <c r="G38" s="3">
        <f t="shared" si="23"/>
        <v>127.02494004796171</v>
      </c>
      <c r="H38" s="3">
        <f t="shared" si="0"/>
        <v>148.0155219248214</v>
      </c>
      <c r="I38">
        <f t="shared" si="1"/>
        <v>1.4801552192482141E-4</v>
      </c>
      <c r="J38" s="4">
        <f t="shared" si="2"/>
        <v>259.80675702707208</v>
      </c>
      <c r="K38" s="40">
        <f t="shared" si="3"/>
        <v>1.7552669723316625</v>
      </c>
      <c r="L38" s="40">
        <f t="shared" si="4"/>
        <v>4.244733027668337</v>
      </c>
      <c r="M38" s="10">
        <f t="shared" si="24"/>
        <v>6.7184994066362274</v>
      </c>
      <c r="N38" s="10">
        <f t="shared" si="5"/>
        <v>8.26</v>
      </c>
      <c r="O38" s="10">
        <f t="shared" si="6"/>
        <v>0.31900000000000001</v>
      </c>
      <c r="P38" s="10">
        <f t="shared" si="7"/>
        <v>15.166309193486699</v>
      </c>
      <c r="Q38" s="45">
        <f t="shared" si="25"/>
        <v>4.6501738736726216E-2</v>
      </c>
      <c r="R38" s="4">
        <f t="shared" si="8"/>
        <v>200703.92286966214</v>
      </c>
      <c r="S38">
        <f t="shared" si="9"/>
        <v>2.0070392286966214E-4</v>
      </c>
      <c r="T38" s="44">
        <f t="shared" si="10"/>
        <v>3.5163862765653274E-5</v>
      </c>
      <c r="U38" s="45">
        <f t="shared" si="11"/>
        <v>0.3601732247857522</v>
      </c>
      <c r="V38" s="45">
        <f t="shared" si="26"/>
        <v>0.36767423032582247</v>
      </c>
      <c r="W38" s="45">
        <f t="shared" si="27"/>
        <v>1.0942099417109363</v>
      </c>
      <c r="X38" s="45">
        <f t="shared" si="12"/>
        <v>-0.72653571138511386</v>
      </c>
      <c r="Y38" s="45">
        <f t="shared" si="29"/>
        <v>0</v>
      </c>
      <c r="Z38" s="10">
        <f t="shared" si="13"/>
        <v>0</v>
      </c>
      <c r="AA38">
        <f t="shared" si="14"/>
        <v>101000</v>
      </c>
      <c r="AB38" s="10">
        <f t="shared" si="15"/>
        <v>0.10100000000000001</v>
      </c>
      <c r="AC38" s="10">
        <f t="shared" si="16"/>
        <v>0</v>
      </c>
      <c r="AD38" s="3">
        <f t="shared" si="17"/>
        <v>0</v>
      </c>
      <c r="AI38" s="100">
        <f t="shared" si="28"/>
        <v>1.0942099417109363</v>
      </c>
    </row>
    <row r="39" spans="2:35">
      <c r="B39" s="39">
        <f t="shared" si="18"/>
        <v>11</v>
      </c>
      <c r="C39" s="45">
        <f t="shared" si="19"/>
        <v>0.32314148681053606</v>
      </c>
      <c r="D39" s="10">
        <f t="shared" si="20"/>
        <v>15.126858513189473</v>
      </c>
      <c r="E39" s="40">
        <f t="shared" si="21"/>
        <v>18.086282973621056</v>
      </c>
      <c r="F39" s="40">
        <f t="shared" si="22"/>
        <v>48.34</v>
      </c>
      <c r="G39" s="3">
        <f t="shared" si="23"/>
        <v>126.90743405275788</v>
      </c>
      <c r="H39" s="3">
        <f t="shared" si="0"/>
        <v>148.0155219248214</v>
      </c>
      <c r="I39">
        <f t="shared" si="1"/>
        <v>1.4801552192482141E-4</v>
      </c>
      <c r="J39" s="4">
        <f t="shared" si="2"/>
        <v>261.47321073910098</v>
      </c>
      <c r="K39" s="40">
        <f t="shared" si="3"/>
        <v>1.7665256139278818</v>
      </c>
      <c r="L39" s="40">
        <f t="shared" si="4"/>
        <v>4.2334743860721185</v>
      </c>
      <c r="M39" s="10">
        <f t="shared" si="24"/>
        <v>0.10100000000000001</v>
      </c>
      <c r="N39" s="10">
        <f t="shared" si="5"/>
        <v>8.26</v>
      </c>
      <c r="O39" s="10">
        <f t="shared" si="6"/>
        <v>0.31900000000000001</v>
      </c>
      <c r="P39" s="10">
        <f t="shared" si="7"/>
        <v>3.9751961722975562</v>
      </c>
      <c r="Q39" s="45">
        <f t="shared" si="25"/>
        <v>5.3891688195240359E-2</v>
      </c>
      <c r="R39" s="4">
        <f t="shared" si="8"/>
        <v>200306.77385362261</v>
      </c>
      <c r="S39">
        <f t="shared" si="9"/>
        <v>2.003067738536226E-4</v>
      </c>
      <c r="T39" s="44">
        <f t="shared" si="10"/>
        <v>3.5561011781692816E-5</v>
      </c>
      <c r="U39" s="45">
        <f t="shared" si="11"/>
        <v>0.35946052101901843</v>
      </c>
      <c r="V39" s="45">
        <f t="shared" si="26"/>
        <v>9.64423059636281E-2</v>
      </c>
      <c r="W39" s="45">
        <f t="shared" si="27"/>
        <v>0</v>
      </c>
      <c r="X39" s="45">
        <f t="shared" si="12"/>
        <v>9.64423059636281E-2</v>
      </c>
      <c r="Y39" s="45">
        <f t="shared" si="29"/>
        <v>7.1270376673376878E-4</v>
      </c>
      <c r="Z39" s="10">
        <f t="shared" si="13"/>
        <v>20.041717910306371</v>
      </c>
      <c r="AA39">
        <f t="shared" si="14"/>
        <v>6580492.1699684253</v>
      </c>
      <c r="AB39" s="10">
        <f t="shared" si="15"/>
        <v>6.5804921699684256</v>
      </c>
      <c r="AC39" s="10">
        <f t="shared" si="16"/>
        <v>6.4794921699684256</v>
      </c>
      <c r="AD39" s="3">
        <f t="shared" si="17"/>
        <v>939.73780565169329</v>
      </c>
      <c r="AI39" s="100">
        <f t="shared" si="28"/>
        <v>0</v>
      </c>
    </row>
    <row r="40" spans="2:35">
      <c r="B40" s="39">
        <f t="shared" ref="B40:B103" si="30">1+B39</f>
        <v>12</v>
      </c>
      <c r="C40" s="45">
        <f t="shared" ref="C40:C103" si="31">xincp+C39</f>
        <v>0.35251798561149389</v>
      </c>
      <c r="D40" s="10">
        <f t="shared" ref="D40:D103" si="32">(F40-E40)/2</f>
        <v>15.097482014388516</v>
      </c>
      <c r="E40" s="40">
        <f t="shared" ref="E40:E103" si="33">E39+ci*2*xincp</f>
        <v>18.145035971222971</v>
      </c>
      <c r="F40" s="40">
        <f t="shared" ref="F40:F103" si="34">F39-osi*2*xincp</f>
        <v>48.34</v>
      </c>
      <c r="G40" s="3">
        <f t="shared" ref="G40:G103" si="35">G39-ei*n*2*xincp</f>
        <v>126.78992805755405</v>
      </c>
      <c r="H40" s="3">
        <f t="shared" ref="H40:H103" si="36">PI()/4*(dto+erate*(two-D40)/two)^2</f>
        <v>148.0155219248214</v>
      </c>
      <c r="I40">
        <f t="shared" si="1"/>
        <v>1.4801552192482141E-4</v>
      </c>
      <c r="J40" s="4">
        <f t="shared" ref="J40:J103" si="37">PI()/4*dc^2-PI()/4*(F40^2-E40^2)</f>
        <v>263.14508670610417</v>
      </c>
      <c r="K40" s="40">
        <f t="shared" ref="K40:K103" si="38">J40/H40</f>
        <v>1.7778208885400428</v>
      </c>
      <c r="L40" s="40">
        <f t="shared" si="4"/>
        <v>4.2221791114599574</v>
      </c>
      <c r="M40" s="10">
        <f t="shared" ref="M40:M103" si="39">AB39</f>
        <v>6.5804921699684256</v>
      </c>
      <c r="N40" s="10">
        <f t="shared" si="5"/>
        <v>8.26</v>
      </c>
      <c r="O40" s="10">
        <f t="shared" si="6"/>
        <v>0.31900000000000001</v>
      </c>
      <c r="P40" s="10">
        <f t="shared" ref="P40:P103" si="40">(1+kv*L40)*N40*M40^O40</f>
        <v>15.066225713261908</v>
      </c>
      <c r="Q40" s="45">
        <f t="shared" ref="Q40:Q103" si="41">xincp/P40+Q39</f>
        <v>5.5841512879938889E-2</v>
      </c>
      <c r="R40" s="4">
        <f t="shared" ref="R40:R103" si="42">PI()/4*(F40^2-E40^2)*G40</f>
        <v>199909.32898686876</v>
      </c>
      <c r="S40">
        <f t="shared" si="9"/>
        <v>1.9990932898686877E-4</v>
      </c>
      <c r="T40" s="44">
        <f t="shared" si="10"/>
        <v>3.5958456648446646E-5</v>
      </c>
      <c r="U40" s="45">
        <f t="shared" ref="U40:U103" si="43">rhopgrain*R40/1000^2</f>
        <v>0.35874728633338526</v>
      </c>
      <c r="V40" s="45">
        <f t="shared" ref="V40:V103" si="44">(U39-U40)/(Q40-Q39)</f>
        <v>0.36579426408453969</v>
      </c>
      <c r="W40" s="45">
        <f t="shared" ref="W40:W103" si="45">IF(V40&lt;AI40,IF(AB39&gt;pbd,AI40,0),AI40)</f>
        <v>1.0713903113474601</v>
      </c>
      <c r="X40" s="45">
        <f t="shared" ref="X40:X103" si="46">V40-W40</f>
        <v>-0.70559604726292036</v>
      </c>
      <c r="Y40" s="45">
        <f t="shared" si="29"/>
        <v>0</v>
      </c>
      <c r="Z40" s="10">
        <f t="shared" ref="Z40:Z103" si="47">Y40/T40</f>
        <v>0</v>
      </c>
      <c r="AA40">
        <f t="shared" si="14"/>
        <v>101000</v>
      </c>
      <c r="AB40" s="10">
        <f t="shared" si="15"/>
        <v>0.10100000000000001</v>
      </c>
      <c r="AC40" s="10">
        <f t="shared" si="16"/>
        <v>0</v>
      </c>
      <c r="AD40" s="3">
        <f t="shared" si="17"/>
        <v>0</v>
      </c>
      <c r="AI40" s="100">
        <f t="shared" si="28"/>
        <v>1.0713903113474601</v>
      </c>
    </row>
    <row r="41" spans="2:35">
      <c r="B41" s="39">
        <f t="shared" si="30"/>
        <v>13</v>
      </c>
      <c r="C41" s="45">
        <f t="shared" si="31"/>
        <v>0.38189448441245172</v>
      </c>
      <c r="D41" s="10">
        <f t="shared" si="32"/>
        <v>15.068105515587559</v>
      </c>
      <c r="E41" s="40">
        <f t="shared" si="33"/>
        <v>18.203788968824885</v>
      </c>
      <c r="F41" s="40">
        <f t="shared" si="34"/>
        <v>48.34</v>
      </c>
      <c r="G41" s="3">
        <f t="shared" si="35"/>
        <v>126.67242206235022</v>
      </c>
      <c r="H41" s="3">
        <f t="shared" si="36"/>
        <v>148.0155219248214</v>
      </c>
      <c r="I41">
        <f t="shared" si="1"/>
        <v>1.4801552192482141E-4</v>
      </c>
      <c r="J41" s="4">
        <f t="shared" si="37"/>
        <v>264.82238492808096</v>
      </c>
      <c r="K41" s="40">
        <f t="shared" si="38"/>
        <v>1.7891527961681408</v>
      </c>
      <c r="L41" s="40">
        <f t="shared" si="4"/>
        <v>4.2108472038318592</v>
      </c>
      <c r="M41" s="10">
        <f t="shared" si="39"/>
        <v>0.10100000000000001</v>
      </c>
      <c r="N41" s="10">
        <f t="shared" si="5"/>
        <v>8.26</v>
      </c>
      <c r="O41" s="10">
        <f t="shared" si="6"/>
        <v>0.31900000000000001</v>
      </c>
      <c r="P41" s="10">
        <f t="shared" si="40"/>
        <v>3.9751961722975562</v>
      </c>
      <c r="Q41" s="45">
        <f t="shared" si="41"/>
        <v>6.3231462338453032E-2</v>
      </c>
      <c r="R41" s="4">
        <f t="shared" si="42"/>
        <v>199511.59018084305</v>
      </c>
      <c r="S41">
        <f t="shared" si="9"/>
        <v>1.9951159018084306E-4</v>
      </c>
      <c r="T41" s="44">
        <f t="shared" si="10"/>
        <v>3.6356195454472352E-5</v>
      </c>
      <c r="U41" s="45">
        <f t="shared" si="43"/>
        <v>0.35803352415903184</v>
      </c>
      <c r="V41" s="45">
        <f t="shared" si="44"/>
        <v>9.6585528542564553E-2</v>
      </c>
      <c r="W41" s="45">
        <f t="shared" si="45"/>
        <v>0</v>
      </c>
      <c r="X41" s="45">
        <f t="shared" si="46"/>
        <v>9.6585528542564553E-2</v>
      </c>
      <c r="Y41" s="45">
        <f t="shared" si="29"/>
        <v>7.1376217435342726E-4</v>
      </c>
      <c r="Z41" s="10">
        <f t="shared" si="47"/>
        <v>19.632477090383336</v>
      </c>
      <c r="AA41">
        <f t="shared" si="14"/>
        <v>6448184.5154953944</v>
      </c>
      <c r="AB41" s="10">
        <f t="shared" si="15"/>
        <v>6.4481845154953943</v>
      </c>
      <c r="AC41" s="10">
        <f t="shared" si="16"/>
        <v>6.3471845154953943</v>
      </c>
      <c r="AD41" s="3">
        <f t="shared" si="17"/>
        <v>920.54887824443722</v>
      </c>
      <c r="AI41" s="100">
        <f t="shared" si="28"/>
        <v>0</v>
      </c>
    </row>
    <row r="42" spans="2:35">
      <c r="B42" s="39">
        <f t="shared" si="30"/>
        <v>14</v>
      </c>
      <c r="C42" s="45">
        <f t="shared" si="31"/>
        <v>0.41127098321340955</v>
      </c>
      <c r="D42" s="10">
        <f t="shared" si="32"/>
        <v>15.038729016786602</v>
      </c>
      <c r="E42" s="40">
        <f t="shared" si="33"/>
        <v>18.262541966426799</v>
      </c>
      <c r="F42" s="40">
        <f t="shared" si="34"/>
        <v>48.34</v>
      </c>
      <c r="G42" s="3">
        <f t="shared" si="35"/>
        <v>126.55491606714639</v>
      </c>
      <c r="H42" s="3">
        <f t="shared" si="36"/>
        <v>148.0155219248214</v>
      </c>
      <c r="I42">
        <f t="shared" si="1"/>
        <v>1.4801552192482141E-4</v>
      </c>
      <c r="J42" s="4">
        <f t="shared" si="37"/>
        <v>266.50510540503205</v>
      </c>
      <c r="K42" s="40">
        <f t="shared" si="38"/>
        <v>1.8005213368121806</v>
      </c>
      <c r="L42" s="40">
        <f t="shared" si="4"/>
        <v>4.1994786631878194</v>
      </c>
      <c r="M42" s="10">
        <f t="shared" si="39"/>
        <v>6.4481845154953943</v>
      </c>
      <c r="N42" s="10">
        <f t="shared" si="5"/>
        <v>8.26</v>
      </c>
      <c r="O42" s="10">
        <f t="shared" si="6"/>
        <v>0.31900000000000001</v>
      </c>
      <c r="P42" s="10">
        <f t="shared" si="40"/>
        <v>14.968924430840538</v>
      </c>
      <c r="Q42" s="45">
        <f t="shared" si="41"/>
        <v>6.5193961310017964E-2</v>
      </c>
      <c r="R42" s="4">
        <f t="shared" si="42"/>
        <v>199113.55934698787</v>
      </c>
      <c r="S42">
        <f t="shared" si="9"/>
        <v>1.9911355934698787E-4</v>
      </c>
      <c r="T42" s="44">
        <f t="shared" si="10"/>
        <v>3.6754226288327548E-5</v>
      </c>
      <c r="U42" s="45">
        <f t="shared" si="43"/>
        <v>0.35731923792613707</v>
      </c>
      <c r="V42" s="45">
        <f t="shared" si="44"/>
        <v>0.36396769794237521</v>
      </c>
      <c r="W42" s="45">
        <f t="shared" si="45"/>
        <v>1.0495131124249089</v>
      </c>
      <c r="X42" s="45">
        <f t="shared" si="46"/>
        <v>-0.6855454144825337</v>
      </c>
      <c r="Y42" s="45">
        <f t="shared" si="29"/>
        <v>0</v>
      </c>
      <c r="Z42" s="10">
        <f t="shared" si="47"/>
        <v>0</v>
      </c>
      <c r="AA42">
        <f t="shared" si="14"/>
        <v>101000</v>
      </c>
      <c r="AB42" s="10">
        <f t="shared" si="15"/>
        <v>0.10100000000000001</v>
      </c>
      <c r="AC42" s="10">
        <f t="shared" si="16"/>
        <v>0</v>
      </c>
      <c r="AD42" s="3">
        <f t="shared" si="17"/>
        <v>0</v>
      </c>
      <c r="AI42" s="100">
        <f t="shared" si="28"/>
        <v>1.0495131124249089</v>
      </c>
    </row>
    <row r="43" spans="2:35">
      <c r="B43" s="39">
        <f t="shared" si="30"/>
        <v>15</v>
      </c>
      <c r="C43" s="45">
        <f t="shared" si="31"/>
        <v>0.44064748201436738</v>
      </c>
      <c r="D43" s="10">
        <f t="shared" si="32"/>
        <v>15.009352517985645</v>
      </c>
      <c r="E43" s="40">
        <f t="shared" si="33"/>
        <v>18.321294964028713</v>
      </c>
      <c r="F43" s="40">
        <f t="shared" si="34"/>
        <v>48.34</v>
      </c>
      <c r="G43" s="3">
        <f t="shared" si="35"/>
        <v>126.43741007194257</v>
      </c>
      <c r="H43" s="3">
        <f t="shared" si="36"/>
        <v>148.0155219248214</v>
      </c>
      <c r="I43">
        <f t="shared" si="1"/>
        <v>1.4801552192482141E-4</v>
      </c>
      <c r="J43" s="4">
        <f t="shared" si="37"/>
        <v>268.19324813695675</v>
      </c>
      <c r="K43" s="40">
        <f t="shared" si="38"/>
        <v>1.8119265104721574</v>
      </c>
      <c r="L43" s="40">
        <f t="shared" si="4"/>
        <v>4.1880734895278424</v>
      </c>
      <c r="M43" s="10">
        <f t="shared" si="39"/>
        <v>0.10100000000000001</v>
      </c>
      <c r="N43" s="10">
        <f t="shared" si="5"/>
        <v>8.26</v>
      </c>
      <c r="O43" s="10">
        <f t="shared" si="6"/>
        <v>0.31900000000000001</v>
      </c>
      <c r="P43" s="10">
        <f t="shared" si="40"/>
        <v>3.9751961722975562</v>
      </c>
      <c r="Q43" s="45">
        <f t="shared" si="41"/>
        <v>7.2583910768532101E-2</v>
      </c>
      <c r="R43" s="4">
        <f t="shared" si="42"/>
        <v>198715.23839674564</v>
      </c>
      <c r="S43">
        <f t="shared" si="9"/>
        <v>1.9871523839674565E-4</v>
      </c>
      <c r="T43" s="44">
        <f t="shared" si="10"/>
        <v>3.7152547238569766E-5</v>
      </c>
      <c r="U43" s="45">
        <f t="shared" si="43"/>
        <v>0.35660443106487988</v>
      </c>
      <c r="V43" s="45">
        <f t="shared" si="44"/>
        <v>9.6726894449006409E-2</v>
      </c>
      <c r="W43" s="45">
        <f t="shared" si="45"/>
        <v>0</v>
      </c>
      <c r="X43" s="45">
        <f t="shared" si="46"/>
        <v>9.6726894449006409E-2</v>
      </c>
      <c r="Y43" s="45">
        <f t="shared" si="29"/>
        <v>7.1480686125718895E-4</v>
      </c>
      <c r="Z43" s="10">
        <f t="shared" si="47"/>
        <v>19.23978069840431</v>
      </c>
      <c r="AA43">
        <f t="shared" si="14"/>
        <v>6321225.6785139367</v>
      </c>
      <c r="AB43" s="10">
        <f t="shared" si="15"/>
        <v>6.3212256785139367</v>
      </c>
      <c r="AC43" s="10">
        <f t="shared" si="16"/>
        <v>6.2202256785139367</v>
      </c>
      <c r="AD43" s="3">
        <f t="shared" si="17"/>
        <v>902.13570391790233</v>
      </c>
      <c r="AI43" s="100">
        <f t="shared" si="28"/>
        <v>0</v>
      </c>
    </row>
    <row r="44" spans="2:35">
      <c r="B44" s="39">
        <f t="shared" si="30"/>
        <v>16</v>
      </c>
      <c r="C44" s="45">
        <f t="shared" si="31"/>
        <v>0.4700239808153252</v>
      </c>
      <c r="D44" s="10">
        <f t="shared" si="32"/>
        <v>14.979976019184688</v>
      </c>
      <c r="E44" s="40">
        <f t="shared" si="33"/>
        <v>18.380047961630627</v>
      </c>
      <c r="F44" s="40">
        <f t="shared" si="34"/>
        <v>48.34</v>
      </c>
      <c r="G44" s="3">
        <f t="shared" si="35"/>
        <v>126.31990407673874</v>
      </c>
      <c r="H44" s="3">
        <f t="shared" si="36"/>
        <v>148.0155219248214</v>
      </c>
      <c r="I44">
        <f t="shared" si="1"/>
        <v>1.4801552192482141E-4</v>
      </c>
      <c r="J44" s="4">
        <f t="shared" si="37"/>
        <v>269.88681312385529</v>
      </c>
      <c r="K44" s="40">
        <f t="shared" si="38"/>
        <v>1.823368317148073</v>
      </c>
      <c r="L44" s="40">
        <f t="shared" si="4"/>
        <v>4.1766316828519265</v>
      </c>
      <c r="M44" s="10">
        <f t="shared" si="39"/>
        <v>6.3212256785139367</v>
      </c>
      <c r="N44" s="10">
        <f t="shared" si="5"/>
        <v>8.26</v>
      </c>
      <c r="O44" s="10">
        <f t="shared" si="6"/>
        <v>0.31900000000000001</v>
      </c>
      <c r="P44" s="10">
        <f t="shared" si="40"/>
        <v>14.874270001118873</v>
      </c>
      <c r="Q44" s="45">
        <f t="shared" si="41"/>
        <v>7.4558898367839369E-2</v>
      </c>
      <c r="R44" s="4">
        <f t="shared" si="42"/>
        <v>198316.62924155878</v>
      </c>
      <c r="S44">
        <f t="shared" si="9"/>
        <v>1.9831662924155879E-4</v>
      </c>
      <c r="T44" s="44">
        <f t="shared" si="10"/>
        <v>3.7551156393756622E-5</v>
      </c>
      <c r="U44" s="45">
        <f t="shared" si="43"/>
        <v>0.3558891070054393</v>
      </c>
      <c r="V44" s="45">
        <f t="shared" si="44"/>
        <v>0.36219167132567442</v>
      </c>
      <c r="W44" s="45">
        <f t="shared" si="45"/>
        <v>1.0285203456595871</v>
      </c>
      <c r="X44" s="45">
        <f t="shared" si="46"/>
        <v>-0.66632867433391263</v>
      </c>
      <c r="Y44" s="45">
        <f t="shared" si="29"/>
        <v>0</v>
      </c>
      <c r="Z44" s="10">
        <f t="shared" si="47"/>
        <v>0</v>
      </c>
      <c r="AA44">
        <f t="shared" si="14"/>
        <v>101000</v>
      </c>
      <c r="AB44" s="10">
        <f t="shared" si="15"/>
        <v>0.10100000000000001</v>
      </c>
      <c r="AC44" s="10">
        <f t="shared" si="16"/>
        <v>0</v>
      </c>
      <c r="AD44" s="3">
        <f t="shared" si="17"/>
        <v>0</v>
      </c>
      <c r="AI44" s="100">
        <f t="shared" si="28"/>
        <v>1.0285203456595871</v>
      </c>
    </row>
    <row r="45" spans="2:35">
      <c r="B45" s="39">
        <f t="shared" si="30"/>
        <v>17</v>
      </c>
      <c r="C45" s="45">
        <f t="shared" si="31"/>
        <v>0.49940047961628303</v>
      </c>
      <c r="D45" s="10">
        <f t="shared" si="32"/>
        <v>14.950599520383731</v>
      </c>
      <c r="E45" s="40">
        <f t="shared" si="33"/>
        <v>18.438800959232541</v>
      </c>
      <c r="F45" s="40">
        <f t="shared" si="34"/>
        <v>48.34</v>
      </c>
      <c r="G45" s="3">
        <f t="shared" si="35"/>
        <v>126.20239808153491</v>
      </c>
      <c r="H45" s="3">
        <f t="shared" si="36"/>
        <v>148.0155219248214</v>
      </c>
      <c r="I45">
        <f t="shared" si="1"/>
        <v>1.4801552192482141E-4</v>
      </c>
      <c r="J45" s="4">
        <f t="shared" si="37"/>
        <v>271.58580036572812</v>
      </c>
      <c r="K45" s="40">
        <f t="shared" si="38"/>
        <v>1.83484675683993</v>
      </c>
      <c r="L45" s="40">
        <f t="shared" si="4"/>
        <v>4.16515324316007</v>
      </c>
      <c r="M45" s="10">
        <f t="shared" si="39"/>
        <v>0.10100000000000001</v>
      </c>
      <c r="N45" s="10">
        <f t="shared" si="5"/>
        <v>8.26</v>
      </c>
      <c r="O45" s="10">
        <f t="shared" si="6"/>
        <v>0.31900000000000001</v>
      </c>
      <c r="P45" s="10">
        <f t="shared" si="40"/>
        <v>3.9751961722975562</v>
      </c>
      <c r="Q45" s="45">
        <f t="shared" si="41"/>
        <v>8.1948847826353505E-2</v>
      </c>
      <c r="R45" s="4">
        <f t="shared" si="42"/>
        <v>197917.73379286958</v>
      </c>
      <c r="S45">
        <f t="shared" si="9"/>
        <v>1.9791773379286958E-4</v>
      </c>
      <c r="T45" s="44">
        <f t="shared" si="10"/>
        <v>3.7950051842445837E-5</v>
      </c>
      <c r="U45" s="45">
        <f t="shared" si="43"/>
        <v>0.35517326917799408</v>
      </c>
      <c r="V45" s="45">
        <f t="shared" si="44"/>
        <v>9.6866403682976027E-2</v>
      </c>
      <c r="W45" s="45">
        <f t="shared" si="45"/>
        <v>0</v>
      </c>
      <c r="X45" s="45">
        <f t="shared" si="46"/>
        <v>9.6866403682976027E-2</v>
      </c>
      <c r="Y45" s="45">
        <f t="shared" si="29"/>
        <v>7.158378274452204E-4</v>
      </c>
      <c r="Z45" s="10">
        <f t="shared" si="47"/>
        <v>18.862631081957581</v>
      </c>
      <c r="AA45">
        <f t="shared" si="14"/>
        <v>6199293.1177619221</v>
      </c>
      <c r="AB45" s="10">
        <f t="shared" si="15"/>
        <v>6.1992931177619219</v>
      </c>
      <c r="AC45" s="10">
        <f t="shared" si="16"/>
        <v>6.098293117761922</v>
      </c>
      <c r="AD45" s="3">
        <f t="shared" si="17"/>
        <v>884.45150366380301</v>
      </c>
      <c r="AI45" s="100">
        <f t="shared" si="28"/>
        <v>0</v>
      </c>
    </row>
    <row r="46" spans="2:35">
      <c r="B46" s="39">
        <f t="shared" si="30"/>
        <v>18</v>
      </c>
      <c r="C46" s="45">
        <f t="shared" si="31"/>
        <v>0.52877697841724081</v>
      </c>
      <c r="D46" s="10">
        <f t="shared" si="32"/>
        <v>14.921223021582774</v>
      </c>
      <c r="E46" s="40">
        <f t="shared" si="33"/>
        <v>18.497553956834455</v>
      </c>
      <c r="F46" s="40">
        <f t="shared" si="34"/>
        <v>48.34</v>
      </c>
      <c r="G46" s="3">
        <f t="shared" si="35"/>
        <v>126.08489208633108</v>
      </c>
      <c r="H46" s="3">
        <f t="shared" si="36"/>
        <v>148.0155219248214</v>
      </c>
      <c r="I46">
        <f t="shared" si="1"/>
        <v>1.4801552192482141E-4</v>
      </c>
      <c r="J46" s="4">
        <f t="shared" si="37"/>
        <v>273.29020986257456</v>
      </c>
      <c r="K46" s="40">
        <f t="shared" si="38"/>
        <v>1.8463618295477244</v>
      </c>
      <c r="L46" s="40">
        <f t="shared" si="4"/>
        <v>4.1536381704522753</v>
      </c>
      <c r="M46" s="10">
        <f t="shared" si="39"/>
        <v>6.1992931177619219</v>
      </c>
      <c r="N46" s="10">
        <f t="shared" si="5"/>
        <v>8.26</v>
      </c>
      <c r="O46" s="10">
        <f t="shared" si="6"/>
        <v>0.31900000000000001</v>
      </c>
      <c r="P46" s="10">
        <f t="shared" si="40"/>
        <v>14.782136217196523</v>
      </c>
      <c r="Q46" s="45">
        <f t="shared" si="41"/>
        <v>8.3936145086324854E-2</v>
      </c>
      <c r="R46" s="4">
        <f t="shared" si="42"/>
        <v>197518.55396212058</v>
      </c>
      <c r="S46">
        <f t="shared" si="9"/>
        <v>1.9751855396212058E-4</v>
      </c>
      <c r="T46" s="44">
        <f t="shared" si="10"/>
        <v>3.8349231673194837E-5</v>
      </c>
      <c r="U46" s="45">
        <f t="shared" si="43"/>
        <v>0.35445692101272347</v>
      </c>
      <c r="V46" s="45">
        <f t="shared" si="44"/>
        <v>0.36046351982638769</v>
      </c>
      <c r="W46" s="45">
        <f t="shared" si="45"/>
        <v>1.0083586785411389</v>
      </c>
      <c r="X46" s="45">
        <f t="shared" si="46"/>
        <v>-0.64789515871475123</v>
      </c>
      <c r="Y46" s="45">
        <f t="shared" si="29"/>
        <v>0</v>
      </c>
      <c r="Z46" s="10">
        <f t="shared" si="47"/>
        <v>0</v>
      </c>
      <c r="AA46">
        <f t="shared" si="14"/>
        <v>101000</v>
      </c>
      <c r="AB46" s="10">
        <f t="shared" si="15"/>
        <v>0.10100000000000001</v>
      </c>
      <c r="AC46" s="10">
        <f t="shared" si="16"/>
        <v>0</v>
      </c>
      <c r="AD46" s="3">
        <f t="shared" si="17"/>
        <v>0</v>
      </c>
      <c r="AI46" s="100">
        <f t="shared" si="28"/>
        <v>1.0083586785411389</v>
      </c>
    </row>
    <row r="47" spans="2:35">
      <c r="B47" s="39">
        <f t="shared" si="30"/>
        <v>19</v>
      </c>
      <c r="C47" s="45">
        <f t="shared" si="31"/>
        <v>0.55815347721819863</v>
      </c>
      <c r="D47" s="10">
        <f t="shared" si="32"/>
        <v>14.891846522781817</v>
      </c>
      <c r="E47" s="40">
        <f t="shared" si="33"/>
        <v>18.556306954436369</v>
      </c>
      <c r="F47" s="40">
        <f t="shared" si="34"/>
        <v>48.34</v>
      </c>
      <c r="G47" s="3">
        <f t="shared" si="35"/>
        <v>125.96738609112725</v>
      </c>
      <c r="H47" s="3">
        <f t="shared" si="36"/>
        <v>148.0155219248214</v>
      </c>
      <c r="I47">
        <f t="shared" si="1"/>
        <v>1.4801552192482141E-4</v>
      </c>
      <c r="J47" s="4">
        <f t="shared" si="37"/>
        <v>275.00004161439483</v>
      </c>
      <c r="K47" s="40">
        <f t="shared" si="38"/>
        <v>1.8579135352714573</v>
      </c>
      <c r="L47" s="40">
        <f t="shared" si="4"/>
        <v>4.1420864647285427</v>
      </c>
      <c r="M47" s="10">
        <f t="shared" si="39"/>
        <v>0.10100000000000001</v>
      </c>
      <c r="N47" s="10">
        <f t="shared" si="5"/>
        <v>8.26</v>
      </c>
      <c r="O47" s="10">
        <f t="shared" si="6"/>
        <v>0.31900000000000001</v>
      </c>
      <c r="P47" s="10">
        <f t="shared" si="40"/>
        <v>3.9751961722975562</v>
      </c>
      <c r="Q47" s="45">
        <f t="shared" si="41"/>
        <v>9.1326094544839004E-2</v>
      </c>
      <c r="R47" s="4">
        <f t="shared" si="42"/>
        <v>197119.09166075411</v>
      </c>
      <c r="S47">
        <f t="shared" si="9"/>
        <v>1.9711909166075412E-4</v>
      </c>
      <c r="T47" s="44">
        <f t="shared" si="10"/>
        <v>3.8748693974561291E-5</v>
      </c>
      <c r="U47" s="45">
        <f t="shared" si="43"/>
        <v>0.35374006593980628</v>
      </c>
      <c r="V47" s="45">
        <f t="shared" si="44"/>
        <v>9.7004056244428233E-2</v>
      </c>
      <c r="W47" s="45">
        <f t="shared" si="45"/>
        <v>0</v>
      </c>
      <c r="X47" s="45">
        <f t="shared" si="46"/>
        <v>9.7004056244428233E-2</v>
      </c>
      <c r="Y47" s="45">
        <f t="shared" si="29"/>
        <v>7.1685507291718853E-4</v>
      </c>
      <c r="Z47" s="10">
        <f t="shared" si="47"/>
        <v>18.500109278207091</v>
      </c>
      <c r="AA47">
        <f t="shared" si="14"/>
        <v>6082089.7323357565</v>
      </c>
      <c r="AB47" s="10">
        <f t="shared" si="15"/>
        <v>6.0820897323357563</v>
      </c>
      <c r="AC47" s="10">
        <f t="shared" si="16"/>
        <v>5.9810897323357564</v>
      </c>
      <c r="AD47" s="3">
        <f t="shared" si="17"/>
        <v>867.45318815601979</v>
      </c>
      <c r="AI47" s="100">
        <f t="shared" si="28"/>
        <v>0</v>
      </c>
    </row>
    <row r="48" spans="2:35">
      <c r="B48" s="39">
        <f t="shared" si="30"/>
        <v>20</v>
      </c>
      <c r="C48" s="45">
        <f t="shared" si="31"/>
        <v>0.58752997601915646</v>
      </c>
      <c r="D48" s="10">
        <f t="shared" si="32"/>
        <v>14.86247002398086</v>
      </c>
      <c r="E48" s="40">
        <f t="shared" si="33"/>
        <v>18.615059952038283</v>
      </c>
      <c r="F48" s="40">
        <f t="shared" si="34"/>
        <v>48.34</v>
      </c>
      <c r="G48" s="3">
        <f t="shared" si="35"/>
        <v>125.84988009592342</v>
      </c>
      <c r="H48" s="3">
        <f t="shared" si="36"/>
        <v>148.0155219248214</v>
      </c>
      <c r="I48">
        <f t="shared" si="1"/>
        <v>1.4801552192482141E-4</v>
      </c>
      <c r="J48" s="4">
        <f t="shared" si="37"/>
        <v>276.71529562118917</v>
      </c>
      <c r="K48" s="40">
        <f t="shared" si="38"/>
        <v>1.8695018740111304</v>
      </c>
      <c r="L48" s="40">
        <f t="shared" si="4"/>
        <v>4.1304981259888693</v>
      </c>
      <c r="M48" s="10">
        <f t="shared" si="39"/>
        <v>6.0820897323357563</v>
      </c>
      <c r="N48" s="10">
        <f t="shared" si="5"/>
        <v>8.26</v>
      </c>
      <c r="O48" s="10">
        <f t="shared" si="6"/>
        <v>0.31900000000000001</v>
      </c>
      <c r="P48" s="10">
        <f t="shared" si="40"/>
        <v>14.692405225065466</v>
      </c>
      <c r="Q48" s="45">
        <f t="shared" si="41"/>
        <v>9.3325528834252769E-2</v>
      </c>
      <c r="R48" s="4">
        <f t="shared" si="42"/>
        <v>196719.34880021258</v>
      </c>
      <c r="S48">
        <f t="shared" si="9"/>
        <v>1.9671934880021257E-4</v>
      </c>
      <c r="T48" s="44">
        <f t="shared" si="10"/>
        <v>3.9148436835102838E-5</v>
      </c>
      <c r="U48" s="45">
        <f t="shared" si="43"/>
        <v>0.35302270738942149</v>
      </c>
      <c r="V48" s="45">
        <f t="shared" si="44"/>
        <v>0.35878075822893102</v>
      </c>
      <c r="W48" s="45">
        <f t="shared" si="45"/>
        <v>0.98897898514715388</v>
      </c>
      <c r="X48" s="45">
        <f t="shared" si="46"/>
        <v>-0.63019822691822291</v>
      </c>
      <c r="Y48" s="45">
        <f t="shared" si="29"/>
        <v>0</v>
      </c>
      <c r="Z48" s="10">
        <f t="shared" si="47"/>
        <v>0</v>
      </c>
      <c r="AA48">
        <f t="shared" si="14"/>
        <v>101000</v>
      </c>
      <c r="AB48" s="10">
        <f t="shared" si="15"/>
        <v>0.10100000000000001</v>
      </c>
      <c r="AC48" s="10">
        <f t="shared" si="16"/>
        <v>0</v>
      </c>
      <c r="AD48" s="3">
        <f t="shared" si="17"/>
        <v>0</v>
      </c>
      <c r="AI48" s="100">
        <f t="shared" si="28"/>
        <v>0.98897898514715388</v>
      </c>
    </row>
    <row r="49" spans="2:35">
      <c r="B49" s="39">
        <f t="shared" si="30"/>
        <v>21</v>
      </c>
      <c r="C49" s="45">
        <f t="shared" si="31"/>
        <v>0.61690647482011429</v>
      </c>
      <c r="D49" s="10">
        <f t="shared" si="32"/>
        <v>14.833093525179903</v>
      </c>
      <c r="E49" s="40">
        <f t="shared" si="33"/>
        <v>18.673812949640197</v>
      </c>
      <c r="F49" s="40">
        <f t="shared" si="34"/>
        <v>48.34</v>
      </c>
      <c r="G49" s="3">
        <f t="shared" si="35"/>
        <v>125.7323741007196</v>
      </c>
      <c r="H49" s="3">
        <f t="shared" si="36"/>
        <v>148.0155219248214</v>
      </c>
      <c r="I49">
        <f t="shared" si="1"/>
        <v>1.4801552192482141E-4</v>
      </c>
      <c r="J49" s="4">
        <f t="shared" si="37"/>
        <v>278.43597188295757</v>
      </c>
      <c r="K49" s="40">
        <f t="shared" si="38"/>
        <v>1.8811268457667436</v>
      </c>
      <c r="L49" s="40">
        <f t="shared" si="4"/>
        <v>4.1188731542332562</v>
      </c>
      <c r="M49" s="10">
        <f t="shared" si="39"/>
        <v>0.10100000000000001</v>
      </c>
      <c r="N49" s="10">
        <f t="shared" si="5"/>
        <v>8.26</v>
      </c>
      <c r="O49" s="10">
        <f t="shared" si="6"/>
        <v>0.31900000000000001</v>
      </c>
      <c r="P49" s="10">
        <f t="shared" si="40"/>
        <v>3.9751961722975562</v>
      </c>
      <c r="Q49" s="45">
        <f t="shared" si="41"/>
        <v>0.10071547829276692</v>
      </c>
      <c r="R49" s="4">
        <f t="shared" si="42"/>
        <v>196319.32729193836</v>
      </c>
      <c r="S49">
        <f t="shared" si="9"/>
        <v>1.9631932729193837E-4</v>
      </c>
      <c r="T49" s="44">
        <f t="shared" si="10"/>
        <v>3.9548458343377041E-5</v>
      </c>
      <c r="U49" s="45">
        <f t="shared" si="43"/>
        <v>0.35230484879174795</v>
      </c>
      <c r="V49" s="45">
        <f t="shared" si="44"/>
        <v>9.7139852133423479E-2</v>
      </c>
      <c r="W49" s="45">
        <f t="shared" si="45"/>
        <v>0</v>
      </c>
      <c r="X49" s="45">
        <f t="shared" si="46"/>
        <v>9.7139852133423479E-2</v>
      </c>
      <c r="Y49" s="45">
        <f t="shared" si="29"/>
        <v>7.1785859767353744E-4</v>
      </c>
      <c r="Z49" s="10">
        <f t="shared" si="47"/>
        <v>18.151367404533815</v>
      </c>
      <c r="AA49">
        <f t="shared" si="14"/>
        <v>5969341.4015829274</v>
      </c>
      <c r="AB49" s="10">
        <f t="shared" si="15"/>
        <v>5.9693414015829278</v>
      </c>
      <c r="AC49" s="10">
        <f t="shared" si="16"/>
        <v>5.8683414015829278</v>
      </c>
      <c r="AD49" s="3">
        <f t="shared" si="17"/>
        <v>851.10100095473933</v>
      </c>
      <c r="AI49" s="100">
        <f t="shared" si="28"/>
        <v>0</v>
      </c>
    </row>
    <row r="50" spans="2:35">
      <c r="B50" s="39">
        <f t="shared" si="30"/>
        <v>22</v>
      </c>
      <c r="C50" s="45">
        <f t="shared" si="31"/>
        <v>0.64628297362107212</v>
      </c>
      <c r="D50" s="10">
        <f t="shared" si="32"/>
        <v>14.803717026378946</v>
      </c>
      <c r="E50" s="40">
        <f t="shared" si="33"/>
        <v>18.732565947242112</v>
      </c>
      <c r="F50" s="40">
        <f t="shared" si="34"/>
        <v>48.34</v>
      </c>
      <c r="G50" s="3">
        <f t="shared" si="35"/>
        <v>125.61486810551577</v>
      </c>
      <c r="H50" s="3">
        <f t="shared" si="36"/>
        <v>148.0155219248214</v>
      </c>
      <c r="I50">
        <f t="shared" si="1"/>
        <v>1.4801552192482141E-4</v>
      </c>
      <c r="J50" s="4">
        <f t="shared" si="37"/>
        <v>280.16207039969959</v>
      </c>
      <c r="K50" s="40">
        <f t="shared" si="38"/>
        <v>1.8927884505382941</v>
      </c>
      <c r="L50" s="40">
        <f t="shared" si="4"/>
        <v>4.1072115494617059</v>
      </c>
      <c r="M50" s="10">
        <f t="shared" si="39"/>
        <v>5.9693414015829278</v>
      </c>
      <c r="N50" s="10">
        <f t="shared" si="5"/>
        <v>8.26</v>
      </c>
      <c r="O50" s="10">
        <f t="shared" si="6"/>
        <v>0.31900000000000001</v>
      </c>
      <c r="P50" s="10">
        <f t="shared" si="40"/>
        <v>14.60496681973048</v>
      </c>
      <c r="Q50" s="45">
        <f t="shared" si="41"/>
        <v>0.10272688298567398</v>
      </c>
      <c r="R50" s="4">
        <f t="shared" si="42"/>
        <v>195919.02904737394</v>
      </c>
      <c r="S50">
        <f t="shared" si="9"/>
        <v>1.9591902904737395E-4</v>
      </c>
      <c r="T50" s="44">
        <f t="shared" si="10"/>
        <v>3.9948756587941458E-5</v>
      </c>
      <c r="U50" s="45">
        <f t="shared" si="43"/>
        <v>0.35158649357696486</v>
      </c>
      <c r="V50" s="45">
        <f t="shared" si="44"/>
        <v>0.35714106530439371</v>
      </c>
      <c r="W50" s="45">
        <f t="shared" si="45"/>
        <v>0.97033593936201346</v>
      </c>
      <c r="X50" s="45">
        <f t="shared" si="46"/>
        <v>-0.61319487405761974</v>
      </c>
      <c r="Y50" s="45">
        <f t="shared" si="29"/>
        <v>0</v>
      </c>
      <c r="Z50" s="10">
        <f t="shared" si="47"/>
        <v>0</v>
      </c>
      <c r="AA50">
        <f t="shared" si="14"/>
        <v>101000</v>
      </c>
      <c r="AB50" s="10">
        <f t="shared" si="15"/>
        <v>0.10100000000000001</v>
      </c>
      <c r="AC50" s="10">
        <f t="shared" si="16"/>
        <v>0</v>
      </c>
      <c r="AD50" s="3">
        <f t="shared" si="17"/>
        <v>0</v>
      </c>
      <c r="AI50" s="100">
        <f t="shared" si="28"/>
        <v>0.97033593936201346</v>
      </c>
    </row>
    <row r="51" spans="2:35">
      <c r="B51" s="39">
        <f t="shared" si="30"/>
        <v>23</v>
      </c>
      <c r="C51" s="45">
        <f t="shared" si="31"/>
        <v>0.67565947242202995</v>
      </c>
      <c r="D51" s="10">
        <f t="shared" si="32"/>
        <v>14.774340527577989</v>
      </c>
      <c r="E51" s="40">
        <f t="shared" si="33"/>
        <v>18.791318944844026</v>
      </c>
      <c r="F51" s="40">
        <f t="shared" si="34"/>
        <v>48.34</v>
      </c>
      <c r="G51" s="3">
        <f t="shared" si="35"/>
        <v>125.49736211031194</v>
      </c>
      <c r="H51" s="3">
        <f t="shared" si="36"/>
        <v>148.0155219248214</v>
      </c>
      <c r="I51">
        <f t="shared" si="1"/>
        <v>1.4801552192482141E-4</v>
      </c>
      <c r="J51" s="4">
        <f t="shared" si="37"/>
        <v>281.89359117141589</v>
      </c>
      <c r="K51" s="40">
        <f t="shared" si="38"/>
        <v>1.904486688325786</v>
      </c>
      <c r="L51" s="40">
        <f t="shared" si="4"/>
        <v>4.095513311674214</v>
      </c>
      <c r="M51" s="10">
        <f t="shared" si="39"/>
        <v>0.10100000000000001</v>
      </c>
      <c r="N51" s="10">
        <f t="shared" si="5"/>
        <v>8.26</v>
      </c>
      <c r="O51" s="10">
        <f t="shared" si="6"/>
        <v>0.31900000000000001</v>
      </c>
      <c r="P51" s="10">
        <f t="shared" si="40"/>
        <v>3.9751961722975562</v>
      </c>
      <c r="Q51" s="45">
        <f t="shared" si="41"/>
        <v>0.11011683244418813</v>
      </c>
      <c r="R51" s="4">
        <f t="shared" si="42"/>
        <v>195518.4559779616</v>
      </c>
      <c r="S51">
        <f t="shared" si="9"/>
        <v>1.955184559779616E-4</v>
      </c>
      <c r="T51" s="44">
        <f t="shared" si="10"/>
        <v>4.0349329657353813E-5</v>
      </c>
      <c r="U51" s="45">
        <f t="shared" si="43"/>
        <v>0.35086764517525093</v>
      </c>
      <c r="V51" s="45">
        <f t="shared" si="44"/>
        <v>9.7273791349916525E-2</v>
      </c>
      <c r="W51" s="45">
        <f t="shared" si="45"/>
        <v>0</v>
      </c>
      <c r="X51" s="45">
        <f t="shared" si="46"/>
        <v>9.7273791349916525E-2</v>
      </c>
      <c r="Y51" s="45">
        <f t="shared" si="29"/>
        <v>7.1884840171393405E-4</v>
      </c>
      <c r="Z51" s="10">
        <f t="shared" si="47"/>
        <v>17.815621915367341</v>
      </c>
      <c r="AA51">
        <f t="shared" si="14"/>
        <v>5860794.8050340526</v>
      </c>
      <c r="AB51" s="10">
        <f t="shared" si="15"/>
        <v>5.8607948050340521</v>
      </c>
      <c r="AC51" s="10">
        <f t="shared" si="16"/>
        <v>5.7597948050340522</v>
      </c>
      <c r="AD51" s="3">
        <f t="shared" si="17"/>
        <v>835.35820232546087</v>
      </c>
      <c r="AI51" s="100">
        <f t="shared" si="28"/>
        <v>0</v>
      </c>
    </row>
    <row r="52" spans="2:35">
      <c r="B52" s="39">
        <f t="shared" si="30"/>
        <v>24</v>
      </c>
      <c r="C52" s="45">
        <f t="shared" si="31"/>
        <v>0.70503597122298778</v>
      </c>
      <c r="D52" s="10">
        <f t="shared" si="32"/>
        <v>14.744964028777032</v>
      </c>
      <c r="E52" s="40">
        <f t="shared" si="33"/>
        <v>18.85007194244594</v>
      </c>
      <c r="F52" s="40">
        <f t="shared" si="34"/>
        <v>48.34</v>
      </c>
      <c r="G52" s="3">
        <f t="shared" si="35"/>
        <v>125.37985611510811</v>
      </c>
      <c r="H52" s="3">
        <f t="shared" si="36"/>
        <v>148.0155219248214</v>
      </c>
      <c r="I52">
        <f t="shared" si="1"/>
        <v>1.4801552192482141E-4</v>
      </c>
      <c r="J52" s="4">
        <f t="shared" si="37"/>
        <v>283.63053419810581</v>
      </c>
      <c r="K52" s="40">
        <f t="shared" si="38"/>
        <v>1.9162215591292153</v>
      </c>
      <c r="L52" s="40">
        <f t="shared" si="4"/>
        <v>4.0837784408707849</v>
      </c>
      <c r="M52" s="10">
        <f t="shared" si="39"/>
        <v>5.8607948050340521</v>
      </c>
      <c r="N52" s="10">
        <f t="shared" si="5"/>
        <v>8.26</v>
      </c>
      <c r="O52" s="10">
        <f t="shared" si="6"/>
        <v>0.31900000000000001</v>
      </c>
      <c r="P52" s="10">
        <f t="shared" si="40"/>
        <v>14.519717812896177</v>
      </c>
      <c r="Q52" s="45">
        <f t="shared" si="41"/>
        <v>0.11214004661263885</v>
      </c>
      <c r="R52" s="4">
        <f t="shared" si="42"/>
        <v>195117.60999514387</v>
      </c>
      <c r="S52">
        <f t="shared" si="9"/>
        <v>1.9511760999514386E-4</v>
      </c>
      <c r="T52" s="44">
        <f t="shared" si="10"/>
        <v>4.0750175640171557E-5</v>
      </c>
      <c r="U52" s="45">
        <f t="shared" si="43"/>
        <v>0.3501483070167854</v>
      </c>
      <c r="V52" s="45">
        <f t="shared" si="44"/>
        <v>0.35554227015737361</v>
      </c>
      <c r="W52" s="45">
        <f t="shared" si="45"/>
        <v>0.95238765440054363</v>
      </c>
      <c r="X52" s="45">
        <f t="shared" si="46"/>
        <v>-0.59684538424317002</v>
      </c>
      <c r="Y52" s="45">
        <f t="shared" si="29"/>
        <v>0</v>
      </c>
      <c r="Z52" s="10">
        <f t="shared" si="47"/>
        <v>0</v>
      </c>
      <c r="AA52">
        <f t="shared" si="14"/>
        <v>101000</v>
      </c>
      <c r="AB52" s="10">
        <f t="shared" si="15"/>
        <v>0.10100000000000001</v>
      </c>
      <c r="AC52" s="10">
        <f t="shared" si="16"/>
        <v>0</v>
      </c>
      <c r="AD52" s="3">
        <f t="shared" si="17"/>
        <v>0</v>
      </c>
      <c r="AI52" s="100">
        <f t="shared" si="28"/>
        <v>0.95238765440054363</v>
      </c>
    </row>
    <row r="53" spans="2:35">
      <c r="B53" s="39">
        <f t="shared" si="30"/>
        <v>25</v>
      </c>
      <c r="C53" s="45">
        <f t="shared" si="31"/>
        <v>0.73441247002394561</v>
      </c>
      <c r="D53" s="10">
        <f t="shared" si="32"/>
        <v>14.715587529976075</v>
      </c>
      <c r="E53" s="40">
        <f t="shared" si="33"/>
        <v>18.908824940047854</v>
      </c>
      <c r="F53" s="40">
        <f t="shared" si="34"/>
        <v>48.34</v>
      </c>
      <c r="G53" s="3">
        <f t="shared" si="35"/>
        <v>125.26235011990428</v>
      </c>
      <c r="H53" s="3">
        <f t="shared" si="36"/>
        <v>148.0155219248214</v>
      </c>
      <c r="I53">
        <f t="shared" si="1"/>
        <v>1.4801552192482141E-4</v>
      </c>
      <c r="J53" s="4">
        <f t="shared" si="37"/>
        <v>285.37289947976956</v>
      </c>
      <c r="K53" s="40">
        <f t="shared" si="38"/>
        <v>1.9279930629485831</v>
      </c>
      <c r="L53" s="40">
        <f t="shared" si="4"/>
        <v>4.0720069370514169</v>
      </c>
      <c r="M53" s="10">
        <f t="shared" si="39"/>
        <v>0.10100000000000001</v>
      </c>
      <c r="N53" s="10">
        <f t="shared" si="5"/>
        <v>8.26</v>
      </c>
      <c r="O53" s="10">
        <f t="shared" si="6"/>
        <v>0.31900000000000001</v>
      </c>
      <c r="P53" s="10">
        <f t="shared" si="40"/>
        <v>3.9751961722975562</v>
      </c>
      <c r="Q53" s="45">
        <f t="shared" si="41"/>
        <v>0.119529996071153</v>
      </c>
      <c r="R53" s="4">
        <f t="shared" si="42"/>
        <v>194716.49301036305</v>
      </c>
      <c r="S53">
        <f t="shared" si="9"/>
        <v>1.9471649301036305E-4</v>
      </c>
      <c r="T53" s="44">
        <f t="shared" si="10"/>
        <v>4.1151292624952359E-5</v>
      </c>
      <c r="U53" s="45">
        <f t="shared" si="43"/>
        <v>0.34942848253174696</v>
      </c>
      <c r="V53" s="45">
        <f t="shared" si="44"/>
        <v>9.7405873893914877E-2</v>
      </c>
      <c r="W53" s="45">
        <f t="shared" si="45"/>
        <v>0</v>
      </c>
      <c r="X53" s="45">
        <f t="shared" si="46"/>
        <v>9.7405873893914877E-2</v>
      </c>
      <c r="Y53" s="45">
        <f t="shared" si="29"/>
        <v>7.1982448503843388E-4</v>
      </c>
      <c r="Z53" s="10">
        <f t="shared" si="47"/>
        <v>17.492147612441304</v>
      </c>
      <c r="AA53">
        <f t="shared" si="14"/>
        <v>5756215.4859170308</v>
      </c>
      <c r="AB53" s="10">
        <f t="shared" si="15"/>
        <v>5.7562154859170311</v>
      </c>
      <c r="AC53" s="10">
        <f t="shared" si="16"/>
        <v>5.6552154859170312</v>
      </c>
      <c r="AD53" s="3">
        <f t="shared" si="17"/>
        <v>820.1907883853562</v>
      </c>
      <c r="AI53" s="100">
        <f t="shared" si="28"/>
        <v>0</v>
      </c>
    </row>
    <row r="54" spans="2:35">
      <c r="B54" s="39">
        <f t="shared" si="30"/>
        <v>26</v>
      </c>
      <c r="C54" s="45">
        <f t="shared" si="31"/>
        <v>0.76378896882490344</v>
      </c>
      <c r="D54" s="10">
        <f t="shared" si="32"/>
        <v>14.686211031175118</v>
      </c>
      <c r="E54" s="40">
        <f t="shared" si="33"/>
        <v>18.967577937649768</v>
      </c>
      <c r="F54" s="40">
        <f t="shared" si="34"/>
        <v>48.34</v>
      </c>
      <c r="G54" s="3">
        <f t="shared" si="35"/>
        <v>125.14484412470046</v>
      </c>
      <c r="H54" s="3">
        <f t="shared" si="36"/>
        <v>148.0155219248214</v>
      </c>
      <c r="I54">
        <f t="shared" si="1"/>
        <v>1.4801552192482141E-4</v>
      </c>
      <c r="J54" s="4">
        <f t="shared" si="37"/>
        <v>287.12068701640737</v>
      </c>
      <c r="K54" s="40">
        <f t="shared" si="38"/>
        <v>1.9398011997838911</v>
      </c>
      <c r="L54" s="40">
        <f t="shared" si="4"/>
        <v>4.0601988002161091</v>
      </c>
      <c r="M54" s="10">
        <f t="shared" si="39"/>
        <v>5.7562154859170311</v>
      </c>
      <c r="N54" s="10">
        <f t="shared" si="5"/>
        <v>8.26</v>
      </c>
      <c r="O54" s="10">
        <f t="shared" si="6"/>
        <v>0.31900000000000001</v>
      </c>
      <c r="P54" s="10">
        <f t="shared" si="40"/>
        <v>14.436561463772824</v>
      </c>
      <c r="Q54" s="45">
        <f t="shared" si="41"/>
        <v>0.12156486419918164</v>
      </c>
      <c r="R54" s="4">
        <f t="shared" si="42"/>
        <v>194315.1069350616</v>
      </c>
      <c r="S54">
        <f t="shared" si="9"/>
        <v>1.9431510693506161E-4</v>
      </c>
      <c r="T54" s="44">
        <f t="shared" si="10"/>
        <v>4.1552678700253805E-5</v>
      </c>
      <c r="U54" s="45">
        <f t="shared" si="43"/>
        <v>0.34870817515031477</v>
      </c>
      <c r="V54" s="45">
        <f t="shared" si="44"/>
        <v>0.35398233994161671</v>
      </c>
      <c r="W54" s="45">
        <f t="shared" si="45"/>
        <v>0.93509536260820136</v>
      </c>
      <c r="X54" s="45">
        <f t="shared" si="46"/>
        <v>-0.5811130226665846</v>
      </c>
      <c r="Y54" s="45">
        <f t="shared" si="29"/>
        <v>0</v>
      </c>
      <c r="Z54" s="10">
        <f t="shared" si="47"/>
        <v>0</v>
      </c>
      <c r="AA54">
        <f t="shared" si="14"/>
        <v>101000</v>
      </c>
      <c r="AB54" s="10">
        <f t="shared" si="15"/>
        <v>0.10100000000000001</v>
      </c>
      <c r="AC54" s="10">
        <f t="shared" si="16"/>
        <v>0</v>
      </c>
      <c r="AD54" s="3">
        <f t="shared" si="17"/>
        <v>0</v>
      </c>
      <c r="AI54" s="100">
        <f t="shared" si="28"/>
        <v>0.93509536260820136</v>
      </c>
    </row>
    <row r="55" spans="2:35">
      <c r="B55" s="39">
        <f t="shared" si="30"/>
        <v>27</v>
      </c>
      <c r="C55" s="45">
        <f t="shared" si="31"/>
        <v>0.79316546762586126</v>
      </c>
      <c r="D55" s="10">
        <f t="shared" si="32"/>
        <v>14.656834532374161</v>
      </c>
      <c r="E55" s="40">
        <f t="shared" si="33"/>
        <v>19.026330935251682</v>
      </c>
      <c r="F55" s="40">
        <f t="shared" si="34"/>
        <v>48.34</v>
      </c>
      <c r="G55" s="3">
        <f t="shared" si="35"/>
        <v>125.02733812949663</v>
      </c>
      <c r="H55" s="3">
        <f t="shared" si="36"/>
        <v>148.0155219248214</v>
      </c>
      <c r="I55">
        <f t="shared" si="1"/>
        <v>1.4801552192482141E-4</v>
      </c>
      <c r="J55" s="4">
        <f t="shared" si="37"/>
        <v>288.87389680801903</v>
      </c>
      <c r="K55" s="40">
        <f t="shared" si="38"/>
        <v>1.9516459696351376</v>
      </c>
      <c r="L55" s="40">
        <f t="shared" si="4"/>
        <v>4.0483540303648624</v>
      </c>
      <c r="M55" s="10">
        <f t="shared" si="39"/>
        <v>0.10100000000000001</v>
      </c>
      <c r="N55" s="10">
        <f t="shared" si="5"/>
        <v>8.26</v>
      </c>
      <c r="O55" s="10">
        <f t="shared" si="6"/>
        <v>0.31900000000000001</v>
      </c>
      <c r="P55" s="10">
        <f t="shared" si="40"/>
        <v>3.9751961722975562</v>
      </c>
      <c r="Q55" s="45">
        <f t="shared" si="41"/>
        <v>0.12895481365769579</v>
      </c>
      <c r="R55" s="4">
        <f t="shared" si="42"/>
        <v>193913.45368068188</v>
      </c>
      <c r="S55">
        <f t="shared" si="9"/>
        <v>1.9391345368068187E-4</v>
      </c>
      <c r="T55" s="44">
        <f t="shared" si="10"/>
        <v>4.1954331954633539E-5</v>
      </c>
      <c r="U55" s="45">
        <f t="shared" si="43"/>
        <v>0.34798738830266762</v>
      </c>
      <c r="V55" s="45">
        <f t="shared" si="44"/>
        <v>9.7536099765433579E-2</v>
      </c>
      <c r="W55" s="45">
        <f t="shared" si="45"/>
        <v>0</v>
      </c>
      <c r="X55" s="45">
        <f t="shared" si="46"/>
        <v>9.7536099765433579E-2</v>
      </c>
      <c r="Y55" s="45">
        <f t="shared" si="29"/>
        <v>7.2078684764714795E-4</v>
      </c>
      <c r="Z55" s="10">
        <f t="shared" si="47"/>
        <v>17.180272311964259</v>
      </c>
      <c r="AA55">
        <f t="shared" si="14"/>
        <v>5655386.1270521218</v>
      </c>
      <c r="AB55" s="10">
        <f t="shared" si="15"/>
        <v>5.6553861270521217</v>
      </c>
      <c r="AC55" s="10">
        <f t="shared" si="16"/>
        <v>5.5543861270521218</v>
      </c>
      <c r="AD55" s="3">
        <f t="shared" si="17"/>
        <v>805.56724105179433</v>
      </c>
      <c r="AI55" s="100">
        <f t="shared" si="28"/>
        <v>0</v>
      </c>
    </row>
    <row r="56" spans="2:35">
      <c r="B56" s="39">
        <f t="shared" si="30"/>
        <v>28</v>
      </c>
      <c r="C56" s="45">
        <f t="shared" si="31"/>
        <v>0.82254196642681909</v>
      </c>
      <c r="D56" s="10">
        <f t="shared" si="32"/>
        <v>14.627458033573204</v>
      </c>
      <c r="E56" s="40">
        <f t="shared" si="33"/>
        <v>19.085083932853596</v>
      </c>
      <c r="F56" s="40">
        <f t="shared" si="34"/>
        <v>48.34</v>
      </c>
      <c r="G56" s="3">
        <f t="shared" si="35"/>
        <v>124.9098321342928</v>
      </c>
      <c r="H56" s="3">
        <f t="shared" si="36"/>
        <v>148.0155219248214</v>
      </c>
      <c r="I56">
        <f t="shared" si="1"/>
        <v>1.4801552192482141E-4</v>
      </c>
      <c r="J56" s="4">
        <f t="shared" si="37"/>
        <v>290.63252885460474</v>
      </c>
      <c r="K56" s="40">
        <f t="shared" si="38"/>
        <v>1.9635273725023243</v>
      </c>
      <c r="L56" s="40">
        <f t="shared" si="4"/>
        <v>4.0364726274976759</v>
      </c>
      <c r="M56" s="10">
        <f t="shared" si="39"/>
        <v>5.6553861270521217</v>
      </c>
      <c r="N56" s="10">
        <f t="shared" si="5"/>
        <v>8.26</v>
      </c>
      <c r="O56" s="10">
        <f t="shared" si="6"/>
        <v>0.31900000000000001</v>
      </c>
      <c r="P56" s="10">
        <f t="shared" si="40"/>
        <v>14.355406965633208</v>
      </c>
      <c r="Q56" s="45">
        <f t="shared" si="41"/>
        <v>0.13100118537472791</v>
      </c>
      <c r="R56" s="4">
        <f t="shared" si="42"/>
        <v>193511.53515866629</v>
      </c>
      <c r="S56">
        <f t="shared" si="9"/>
        <v>1.9351153515866629E-4</v>
      </c>
      <c r="T56" s="44">
        <f t="shared" si="10"/>
        <v>4.2356250476649119E-5</v>
      </c>
      <c r="U56" s="45">
        <f t="shared" si="43"/>
        <v>0.34726612541898455</v>
      </c>
      <c r="V56" s="45">
        <f t="shared" si="44"/>
        <v>0.3524593687842445</v>
      </c>
      <c r="W56" s="45">
        <f t="shared" si="45"/>
        <v>0.91842313037865519</v>
      </c>
      <c r="X56" s="45">
        <f t="shared" si="46"/>
        <v>-0.56596376159441064</v>
      </c>
      <c r="Y56" s="45">
        <f t="shared" si="29"/>
        <v>0</v>
      </c>
      <c r="Z56" s="10">
        <f t="shared" si="47"/>
        <v>0</v>
      </c>
      <c r="AA56">
        <f t="shared" si="14"/>
        <v>101000</v>
      </c>
      <c r="AB56" s="10">
        <f t="shared" si="15"/>
        <v>0.10100000000000001</v>
      </c>
      <c r="AC56" s="10">
        <f t="shared" si="16"/>
        <v>0</v>
      </c>
      <c r="AD56" s="3">
        <f t="shared" si="17"/>
        <v>0</v>
      </c>
      <c r="AI56" s="100">
        <f t="shared" si="28"/>
        <v>0.91842313037865519</v>
      </c>
    </row>
    <row r="57" spans="2:35">
      <c r="B57" s="39">
        <f t="shared" si="30"/>
        <v>29</v>
      </c>
      <c r="C57" s="45">
        <f t="shared" si="31"/>
        <v>0.85191846522777692</v>
      </c>
      <c r="D57" s="10">
        <f t="shared" si="32"/>
        <v>14.598081534772247</v>
      </c>
      <c r="E57" s="40">
        <f t="shared" si="33"/>
        <v>19.14383693045551</v>
      </c>
      <c r="F57" s="40">
        <f t="shared" si="34"/>
        <v>48.34</v>
      </c>
      <c r="G57" s="3">
        <f t="shared" si="35"/>
        <v>124.79232613908897</v>
      </c>
      <c r="H57" s="3">
        <f t="shared" si="36"/>
        <v>148.0155219248214</v>
      </c>
      <c r="I57">
        <f t="shared" si="1"/>
        <v>1.4801552192482141E-4</v>
      </c>
      <c r="J57" s="4">
        <f t="shared" si="37"/>
        <v>292.3965831561643</v>
      </c>
      <c r="K57" s="40">
        <f t="shared" si="38"/>
        <v>1.9754454083854498</v>
      </c>
      <c r="L57" s="40">
        <f t="shared" si="4"/>
        <v>4.0245545916145504</v>
      </c>
      <c r="M57" s="10">
        <f t="shared" si="39"/>
        <v>0.10100000000000001</v>
      </c>
      <c r="N57" s="10">
        <f t="shared" si="5"/>
        <v>8.26</v>
      </c>
      <c r="O57" s="10">
        <f t="shared" si="6"/>
        <v>0.31900000000000001</v>
      </c>
      <c r="P57" s="10">
        <f t="shared" si="40"/>
        <v>3.9751961722975562</v>
      </c>
      <c r="Q57" s="45">
        <f t="shared" si="41"/>
        <v>0.13839113483324206</v>
      </c>
      <c r="R57" s="4">
        <f t="shared" si="42"/>
        <v>193109.35328045726</v>
      </c>
      <c r="S57">
        <f t="shared" si="9"/>
        <v>1.9310935328045725E-4</v>
      </c>
      <c r="T57" s="44">
        <f t="shared" si="10"/>
        <v>4.2758432354858159E-5</v>
      </c>
      <c r="U57" s="45">
        <f t="shared" si="43"/>
        <v>0.34654438992944453</v>
      </c>
      <c r="V57" s="45">
        <f t="shared" si="44"/>
        <v>9.7664468964465082E-2</v>
      </c>
      <c r="W57" s="45">
        <f t="shared" si="45"/>
        <v>0</v>
      </c>
      <c r="X57" s="45">
        <f t="shared" si="46"/>
        <v>9.7664468964465082E-2</v>
      </c>
      <c r="Y57" s="45">
        <f t="shared" si="29"/>
        <v>7.2173548954002076E-4</v>
      </c>
      <c r="Z57" s="10">
        <f t="shared" si="47"/>
        <v>16.879372086194316</v>
      </c>
      <c r="AA57">
        <f t="shared" si="14"/>
        <v>5558105.0124518881</v>
      </c>
      <c r="AB57" s="10">
        <f t="shared" si="15"/>
        <v>5.5581050124518878</v>
      </c>
      <c r="AC57" s="10">
        <f t="shared" si="16"/>
        <v>5.4571050124518878</v>
      </c>
      <c r="AD57" s="3">
        <f t="shared" si="17"/>
        <v>791.45830492413165</v>
      </c>
      <c r="AI57" s="100">
        <f t="shared" si="28"/>
        <v>0</v>
      </c>
    </row>
    <row r="58" spans="2:35">
      <c r="B58" s="39">
        <f t="shared" si="30"/>
        <v>30</v>
      </c>
      <c r="C58" s="45">
        <f t="shared" si="31"/>
        <v>0.88129496402873475</v>
      </c>
      <c r="D58" s="10">
        <f t="shared" si="32"/>
        <v>14.56870503597129</v>
      </c>
      <c r="E58" s="40">
        <f t="shared" si="33"/>
        <v>19.202589928057424</v>
      </c>
      <c r="F58" s="40">
        <f t="shared" si="34"/>
        <v>48.34</v>
      </c>
      <c r="G58" s="3">
        <f t="shared" si="35"/>
        <v>124.67482014388514</v>
      </c>
      <c r="H58" s="3">
        <f t="shared" si="36"/>
        <v>148.0155219248214</v>
      </c>
      <c r="I58">
        <f t="shared" si="1"/>
        <v>1.4801552192482141E-4</v>
      </c>
      <c r="J58" s="4">
        <f t="shared" si="37"/>
        <v>294.16605971269769</v>
      </c>
      <c r="K58" s="40">
        <f t="shared" si="38"/>
        <v>1.9874000772845137</v>
      </c>
      <c r="L58" s="40">
        <f t="shared" si="4"/>
        <v>4.012599922715486</v>
      </c>
      <c r="M58" s="10">
        <f t="shared" si="39"/>
        <v>5.5581050124518878</v>
      </c>
      <c r="N58" s="10">
        <f t="shared" si="5"/>
        <v>8.26</v>
      </c>
      <c r="O58" s="10">
        <f t="shared" si="6"/>
        <v>0.31900000000000001</v>
      </c>
      <c r="P58" s="10">
        <f t="shared" si="40"/>
        <v>14.276168981761417</v>
      </c>
      <c r="Q58" s="45">
        <f t="shared" si="41"/>
        <v>0.14044886466527809</v>
      </c>
      <c r="R58" s="4">
        <f t="shared" si="42"/>
        <v>192706.90995749721</v>
      </c>
      <c r="S58">
        <f t="shared" si="9"/>
        <v>1.9270690995749722E-4</v>
      </c>
      <c r="T58" s="44">
        <f t="shared" si="10"/>
        <v>4.3160875677818194E-5</v>
      </c>
      <c r="U58" s="45">
        <f t="shared" si="43"/>
        <v>0.34582218526422659</v>
      </c>
      <c r="V58" s="45">
        <f t="shared" si="44"/>
        <v>0.35097156778028105</v>
      </c>
      <c r="W58" s="45">
        <f t="shared" si="45"/>
        <v>0.90233760377784411</v>
      </c>
      <c r="X58" s="45">
        <f t="shared" si="46"/>
        <v>-0.55136603599756306</v>
      </c>
      <c r="Y58" s="45">
        <f t="shared" si="29"/>
        <v>0</v>
      </c>
      <c r="Z58" s="10">
        <f t="shared" si="47"/>
        <v>0</v>
      </c>
      <c r="AA58">
        <f t="shared" si="14"/>
        <v>101000</v>
      </c>
      <c r="AB58" s="10">
        <f t="shared" si="15"/>
        <v>0.10100000000000001</v>
      </c>
      <c r="AC58" s="10">
        <f t="shared" si="16"/>
        <v>0</v>
      </c>
      <c r="AD58" s="3">
        <f t="shared" si="17"/>
        <v>0</v>
      </c>
      <c r="AI58" s="100">
        <f t="shared" si="28"/>
        <v>0.90233760377784411</v>
      </c>
    </row>
    <row r="59" spans="2:35">
      <c r="B59" s="39">
        <f t="shared" si="30"/>
        <v>31</v>
      </c>
      <c r="C59" s="45">
        <f t="shared" si="31"/>
        <v>0.91067146282969258</v>
      </c>
      <c r="D59" s="10">
        <f t="shared" si="32"/>
        <v>14.539328537170332</v>
      </c>
      <c r="E59" s="40">
        <f t="shared" si="33"/>
        <v>19.261342925659338</v>
      </c>
      <c r="F59" s="40">
        <f t="shared" si="34"/>
        <v>48.34</v>
      </c>
      <c r="G59" s="3">
        <f t="shared" si="35"/>
        <v>124.55731414868131</v>
      </c>
      <c r="H59" s="3">
        <f t="shared" si="36"/>
        <v>148.0155219248214</v>
      </c>
      <c r="I59">
        <f t="shared" si="1"/>
        <v>1.4801552192482141E-4</v>
      </c>
      <c r="J59" s="4">
        <f t="shared" si="37"/>
        <v>295.94095852420492</v>
      </c>
      <c r="K59" s="40">
        <f t="shared" si="38"/>
        <v>1.9993913791995164</v>
      </c>
      <c r="L59" s="40">
        <f t="shared" si="4"/>
        <v>4.0006086208004836</v>
      </c>
      <c r="M59" s="10">
        <f t="shared" si="39"/>
        <v>0.10100000000000001</v>
      </c>
      <c r="N59" s="10">
        <f t="shared" si="5"/>
        <v>8.26</v>
      </c>
      <c r="O59" s="10">
        <f t="shared" si="6"/>
        <v>0.31900000000000001</v>
      </c>
      <c r="P59" s="10">
        <f t="shared" si="40"/>
        <v>3.9751961722975562</v>
      </c>
      <c r="Q59" s="45">
        <f t="shared" si="41"/>
        <v>0.14783881412379224</v>
      </c>
      <c r="R59" s="4">
        <f t="shared" si="42"/>
        <v>192304.2071012285</v>
      </c>
      <c r="S59">
        <f t="shared" si="9"/>
        <v>1.9230420710122849E-4</v>
      </c>
      <c r="T59" s="44">
        <f t="shared" si="10"/>
        <v>4.3563578534086919E-5</v>
      </c>
      <c r="U59" s="45">
        <f t="shared" si="43"/>
        <v>0.34509951485350959</v>
      </c>
      <c r="V59" s="45">
        <f t="shared" si="44"/>
        <v>9.7790981491001905E-2</v>
      </c>
      <c r="W59" s="45">
        <f t="shared" si="45"/>
        <v>0</v>
      </c>
      <c r="X59" s="45">
        <f t="shared" si="46"/>
        <v>9.7790981491001905E-2</v>
      </c>
      <c r="Y59" s="45">
        <f t="shared" si="29"/>
        <v>7.2267041071699678E-4</v>
      </c>
      <c r="Z59" s="10">
        <f t="shared" si="47"/>
        <v>16.588867008515688</v>
      </c>
      <c r="AA59">
        <f t="shared" si="14"/>
        <v>5464184.6517034331</v>
      </c>
      <c r="AB59" s="10">
        <f t="shared" si="15"/>
        <v>5.4641846517034329</v>
      </c>
      <c r="AC59" s="10">
        <f t="shared" si="16"/>
        <v>5.3631846517034329</v>
      </c>
      <c r="AD59" s="3">
        <f t="shared" si="17"/>
        <v>777.836787774247</v>
      </c>
      <c r="AI59" s="100">
        <f t="shared" si="28"/>
        <v>0</v>
      </c>
    </row>
    <row r="60" spans="2:35">
      <c r="B60" s="39">
        <f t="shared" si="30"/>
        <v>32</v>
      </c>
      <c r="C60" s="45">
        <f t="shared" si="31"/>
        <v>0.94004796163065041</v>
      </c>
      <c r="D60" s="10">
        <f t="shared" si="32"/>
        <v>14.509952038369375</v>
      </c>
      <c r="E60" s="40">
        <f t="shared" si="33"/>
        <v>19.320095923261253</v>
      </c>
      <c r="F60" s="40">
        <f t="shared" si="34"/>
        <v>48.34</v>
      </c>
      <c r="G60" s="3">
        <f t="shared" si="35"/>
        <v>124.43980815347749</v>
      </c>
      <c r="H60" s="3">
        <f t="shared" si="36"/>
        <v>148.0155219248214</v>
      </c>
      <c r="I60">
        <f t="shared" si="1"/>
        <v>1.4801552192482141E-4</v>
      </c>
      <c r="J60" s="4">
        <f t="shared" si="37"/>
        <v>297.72127959068621</v>
      </c>
      <c r="K60" s="40">
        <f t="shared" si="38"/>
        <v>2.011419314130459</v>
      </c>
      <c r="L60" s="40">
        <f t="shared" si="4"/>
        <v>3.988580685869541</v>
      </c>
      <c r="M60" s="10">
        <f t="shared" si="39"/>
        <v>5.4641846517034329</v>
      </c>
      <c r="N60" s="10">
        <f t="shared" si="5"/>
        <v>8.26</v>
      </c>
      <c r="O60" s="10">
        <f t="shared" si="6"/>
        <v>0.31900000000000001</v>
      </c>
      <c r="P60" s="10">
        <f t="shared" si="40"/>
        <v>14.198767225253125</v>
      </c>
      <c r="Q60" s="45">
        <f t="shared" si="41"/>
        <v>0.14990776126088667</v>
      </c>
      <c r="R60" s="4">
        <f t="shared" si="42"/>
        <v>191901.24662309352</v>
      </c>
      <c r="S60">
        <f t="shared" si="9"/>
        <v>1.9190124662309352E-4</v>
      </c>
      <c r="T60" s="44">
        <f t="shared" si="10"/>
        <v>4.3966539012221893E-5</v>
      </c>
      <c r="U60" s="45">
        <f t="shared" si="43"/>
        <v>0.34437638212747246</v>
      </c>
      <c r="V60" s="45">
        <f t="shared" si="44"/>
        <v>0.34951725593756822</v>
      </c>
      <c r="W60" s="45">
        <f t="shared" si="45"/>
        <v>0.8868077810842484</v>
      </c>
      <c r="X60" s="45">
        <f t="shared" si="46"/>
        <v>-0.53729052514668019</v>
      </c>
      <c r="Y60" s="45">
        <f t="shared" si="29"/>
        <v>0</v>
      </c>
      <c r="Z60" s="10">
        <f t="shared" si="47"/>
        <v>0</v>
      </c>
      <c r="AA60">
        <f t="shared" si="14"/>
        <v>101000</v>
      </c>
      <c r="AB60" s="10">
        <f t="shared" si="15"/>
        <v>0.10100000000000001</v>
      </c>
      <c r="AC60" s="10">
        <f t="shared" si="16"/>
        <v>0</v>
      </c>
      <c r="AD60" s="3">
        <f t="shared" si="17"/>
        <v>0</v>
      </c>
      <c r="AI60" s="100">
        <f t="shared" si="28"/>
        <v>0.8868077810842484</v>
      </c>
    </row>
    <row r="61" spans="2:35">
      <c r="B61" s="39">
        <f t="shared" si="30"/>
        <v>33</v>
      </c>
      <c r="C61" s="45">
        <f t="shared" si="31"/>
        <v>0.96942446043160824</v>
      </c>
      <c r="D61" s="10">
        <f t="shared" si="32"/>
        <v>14.480575539568418</v>
      </c>
      <c r="E61" s="40">
        <f t="shared" si="33"/>
        <v>19.378848920863167</v>
      </c>
      <c r="F61" s="40">
        <f t="shared" si="34"/>
        <v>48.34</v>
      </c>
      <c r="G61" s="3">
        <f t="shared" si="35"/>
        <v>124.32230215827366</v>
      </c>
      <c r="H61" s="3">
        <f t="shared" si="36"/>
        <v>148.0155219248214</v>
      </c>
      <c r="I61">
        <f t="shared" si="1"/>
        <v>1.4801552192482141E-4</v>
      </c>
      <c r="J61" s="4">
        <f t="shared" si="37"/>
        <v>299.50702291214157</v>
      </c>
      <c r="K61" s="40">
        <f t="shared" si="38"/>
        <v>2.0234838820773424</v>
      </c>
      <c r="L61" s="40">
        <f t="shared" si="4"/>
        <v>3.9765161179226576</v>
      </c>
      <c r="M61" s="10">
        <f t="shared" si="39"/>
        <v>0.10100000000000001</v>
      </c>
      <c r="N61" s="10">
        <f t="shared" si="5"/>
        <v>8.26</v>
      </c>
      <c r="O61" s="10">
        <f t="shared" si="6"/>
        <v>0.31900000000000001</v>
      </c>
      <c r="P61" s="10">
        <f t="shared" si="40"/>
        <v>3.9751961722975562</v>
      </c>
      <c r="Q61" s="45">
        <f t="shared" si="41"/>
        <v>0.15729771071940082</v>
      </c>
      <c r="R61" s="4">
        <f t="shared" si="42"/>
        <v>191498.03043453468</v>
      </c>
      <c r="S61">
        <f t="shared" si="9"/>
        <v>1.9149803043453468E-4</v>
      </c>
      <c r="T61" s="44">
        <f t="shared" si="10"/>
        <v>4.4369755200780731E-5</v>
      </c>
      <c r="U61" s="45">
        <f t="shared" si="43"/>
        <v>0.34365279051629422</v>
      </c>
      <c r="V61" s="45">
        <f t="shared" si="44"/>
        <v>9.7915637345066558E-2</v>
      </c>
      <c r="W61" s="45">
        <f t="shared" si="45"/>
        <v>0</v>
      </c>
      <c r="X61" s="45">
        <f t="shared" si="46"/>
        <v>9.7915637345066558E-2</v>
      </c>
      <c r="Y61" s="45">
        <f t="shared" si="29"/>
        <v>7.2359161117824256E-4</v>
      </c>
      <c r="Z61" s="10">
        <f t="shared" si="47"/>
        <v>16.308217340931154</v>
      </c>
      <c r="AA61">
        <f t="shared" si="14"/>
        <v>5373450.5473838085</v>
      </c>
      <c r="AB61" s="10">
        <f t="shared" si="15"/>
        <v>5.3734505473838086</v>
      </c>
      <c r="AC61" s="10">
        <f t="shared" si="16"/>
        <v>5.2724505473838086</v>
      </c>
      <c r="AD61" s="3">
        <f t="shared" si="17"/>
        <v>764.67738178155309</v>
      </c>
      <c r="AI61" s="100">
        <f t="shared" si="28"/>
        <v>0</v>
      </c>
    </row>
    <row r="62" spans="2:35">
      <c r="B62" s="39">
        <f t="shared" si="30"/>
        <v>34</v>
      </c>
      <c r="C62" s="45">
        <f t="shared" si="31"/>
        <v>0.99880095923256607</v>
      </c>
      <c r="D62" s="10">
        <f t="shared" si="32"/>
        <v>14.451199040767461</v>
      </c>
      <c r="E62" s="40">
        <f t="shared" si="33"/>
        <v>19.437601918465081</v>
      </c>
      <c r="F62" s="40">
        <f t="shared" si="34"/>
        <v>48.34</v>
      </c>
      <c r="G62" s="3">
        <f t="shared" si="35"/>
        <v>124.20479616306983</v>
      </c>
      <c r="H62" s="3">
        <f t="shared" si="36"/>
        <v>148.0155219248214</v>
      </c>
      <c r="I62">
        <f t="shared" si="1"/>
        <v>1.4801552192482141E-4</v>
      </c>
      <c r="J62" s="4">
        <f t="shared" si="37"/>
        <v>301.29818848857053</v>
      </c>
      <c r="K62" s="40">
        <f t="shared" si="38"/>
        <v>2.0355850830401625</v>
      </c>
      <c r="L62" s="40">
        <f t="shared" si="4"/>
        <v>3.9644149169598375</v>
      </c>
      <c r="M62" s="10">
        <f t="shared" si="39"/>
        <v>5.3734505473838086</v>
      </c>
      <c r="N62" s="10">
        <f t="shared" si="5"/>
        <v>8.26</v>
      </c>
      <c r="O62" s="10">
        <f t="shared" si="6"/>
        <v>0.31900000000000001</v>
      </c>
      <c r="P62" s="10">
        <f t="shared" si="40"/>
        <v>14.123126077830822</v>
      </c>
      <c r="Q62" s="45">
        <f t="shared" si="41"/>
        <v>0.15937773879810432</v>
      </c>
      <c r="R62" s="4">
        <f t="shared" si="42"/>
        <v>191094.56044699444</v>
      </c>
      <c r="S62">
        <f t="shared" si="9"/>
        <v>1.9109456044699445E-4</v>
      </c>
      <c r="T62" s="44">
        <f t="shared" si="10"/>
        <v>4.4773225188320966E-5</v>
      </c>
      <c r="U62" s="45">
        <f t="shared" si="43"/>
        <v>0.34292874345015384</v>
      </c>
      <c r="V62" s="45">
        <f t="shared" si="44"/>
        <v>0.34809485196549916</v>
      </c>
      <c r="W62" s="45">
        <f t="shared" si="45"/>
        <v>0.8718048089798297</v>
      </c>
      <c r="X62" s="45">
        <f t="shared" si="46"/>
        <v>-0.52370995701433054</v>
      </c>
      <c r="Y62" s="45">
        <f t="shared" si="29"/>
        <v>0</v>
      </c>
      <c r="Z62" s="10">
        <f t="shared" si="47"/>
        <v>0</v>
      </c>
      <c r="AA62">
        <f t="shared" si="14"/>
        <v>101000</v>
      </c>
      <c r="AB62" s="10">
        <f t="shared" si="15"/>
        <v>0.10100000000000001</v>
      </c>
      <c r="AC62" s="10">
        <f t="shared" si="16"/>
        <v>0</v>
      </c>
      <c r="AD62" s="3">
        <f t="shared" si="17"/>
        <v>0</v>
      </c>
      <c r="AI62" s="100">
        <f t="shared" si="28"/>
        <v>0.8718048089798297</v>
      </c>
    </row>
    <row r="63" spans="2:35">
      <c r="B63" s="39">
        <f t="shared" si="30"/>
        <v>35</v>
      </c>
      <c r="C63" s="45">
        <f t="shared" si="31"/>
        <v>1.0281774580335239</v>
      </c>
      <c r="D63" s="10">
        <f t="shared" si="32"/>
        <v>14.421822541966504</v>
      </c>
      <c r="E63" s="40">
        <f t="shared" si="33"/>
        <v>19.496354916066995</v>
      </c>
      <c r="F63" s="40">
        <f t="shared" si="34"/>
        <v>48.34</v>
      </c>
      <c r="G63" s="3">
        <f t="shared" si="35"/>
        <v>124.087290167866</v>
      </c>
      <c r="H63" s="3">
        <f t="shared" si="36"/>
        <v>148.0155219248214</v>
      </c>
      <c r="I63">
        <f t="shared" si="1"/>
        <v>1.4801552192482141E-4</v>
      </c>
      <c r="J63" s="4">
        <f t="shared" si="37"/>
        <v>303.09477631997356</v>
      </c>
      <c r="K63" s="40">
        <f t="shared" si="38"/>
        <v>2.0477229170189224</v>
      </c>
      <c r="L63" s="40">
        <f t="shared" si="4"/>
        <v>3.9522770829810776</v>
      </c>
      <c r="M63" s="10">
        <f t="shared" si="39"/>
        <v>0.10100000000000001</v>
      </c>
      <c r="N63" s="10">
        <f t="shared" si="5"/>
        <v>8.26</v>
      </c>
      <c r="O63" s="10">
        <f t="shared" si="6"/>
        <v>0.31900000000000001</v>
      </c>
      <c r="P63" s="10">
        <f t="shared" si="40"/>
        <v>3.9751961722975562</v>
      </c>
      <c r="Q63" s="45">
        <f t="shared" si="41"/>
        <v>0.16676768825661847</v>
      </c>
      <c r="R63" s="4">
        <f t="shared" si="42"/>
        <v>190690.83857191511</v>
      </c>
      <c r="S63">
        <f t="shared" si="9"/>
        <v>1.9069083857191512E-4</v>
      </c>
      <c r="T63" s="44">
        <f t="shared" si="10"/>
        <v>4.5176947063400294E-5</v>
      </c>
      <c r="U63" s="45">
        <f t="shared" si="43"/>
        <v>0.34220424435923019</v>
      </c>
      <c r="V63" s="45">
        <f t="shared" si="44"/>
        <v>9.8038436526644054E-2</v>
      </c>
      <c r="W63" s="45">
        <f t="shared" si="45"/>
        <v>0</v>
      </c>
      <c r="X63" s="45">
        <f t="shared" si="46"/>
        <v>9.8038436526644054E-2</v>
      </c>
      <c r="Y63" s="45">
        <f t="shared" si="29"/>
        <v>7.2449909092364706E-4</v>
      </c>
      <c r="Z63" s="10">
        <f t="shared" si="47"/>
        <v>16.03692011119967</v>
      </c>
      <c r="AA63">
        <f t="shared" si="14"/>
        <v>5285740.0884477859</v>
      </c>
      <c r="AB63" s="10">
        <f t="shared" si="15"/>
        <v>5.2857400884477856</v>
      </c>
      <c r="AC63" s="10">
        <f t="shared" si="16"/>
        <v>5.1847400884477857</v>
      </c>
      <c r="AD63" s="3">
        <f t="shared" si="17"/>
        <v>751.95650303811249</v>
      </c>
      <c r="AI63" s="100">
        <f t="shared" si="28"/>
        <v>0</v>
      </c>
    </row>
    <row r="64" spans="2:35">
      <c r="B64" s="39">
        <f t="shared" si="30"/>
        <v>36</v>
      </c>
      <c r="C64" s="45">
        <f t="shared" si="31"/>
        <v>1.0575539568344816</v>
      </c>
      <c r="D64" s="10">
        <f t="shared" si="32"/>
        <v>14.392446043165547</v>
      </c>
      <c r="E64" s="40">
        <f t="shared" si="33"/>
        <v>19.555107913668909</v>
      </c>
      <c r="F64" s="40">
        <f t="shared" si="34"/>
        <v>48.34</v>
      </c>
      <c r="G64" s="3">
        <f t="shared" si="35"/>
        <v>123.96978417266217</v>
      </c>
      <c r="H64" s="3">
        <f t="shared" si="36"/>
        <v>148.0155219248214</v>
      </c>
      <c r="I64">
        <f t="shared" si="1"/>
        <v>1.4801552192482141E-4</v>
      </c>
      <c r="J64" s="4">
        <f t="shared" si="37"/>
        <v>304.89678640635066</v>
      </c>
      <c r="K64" s="40">
        <f t="shared" si="38"/>
        <v>2.059897384013623</v>
      </c>
      <c r="L64" s="40">
        <f t="shared" si="4"/>
        <v>3.940102615986377</v>
      </c>
      <c r="M64" s="10">
        <f t="shared" si="39"/>
        <v>5.2857400884477856</v>
      </c>
      <c r="N64" s="10">
        <f t="shared" si="5"/>
        <v>8.26</v>
      </c>
      <c r="O64" s="10">
        <f t="shared" si="6"/>
        <v>0.31900000000000001</v>
      </c>
      <c r="P64" s="10">
        <f t="shared" si="40"/>
        <v>14.049174243441534</v>
      </c>
      <c r="Q64" s="45">
        <f t="shared" si="41"/>
        <v>0.16885866515618048</v>
      </c>
      <c r="R64" s="4">
        <f t="shared" si="42"/>
        <v>190286.86672073914</v>
      </c>
      <c r="S64">
        <f t="shared" si="9"/>
        <v>1.9028686672073914E-4</v>
      </c>
      <c r="T64" s="44">
        <f t="shared" si="10"/>
        <v>4.5580918914576275E-5</v>
      </c>
      <c r="U64" s="45">
        <f t="shared" si="43"/>
        <v>0.34147929667370241</v>
      </c>
      <c r="V64" s="45">
        <f t="shared" si="44"/>
        <v>0.34670286681772139</v>
      </c>
      <c r="W64" s="45">
        <f t="shared" si="45"/>
        <v>0.85730179957062913</v>
      </c>
      <c r="X64" s="45">
        <f t="shared" si="46"/>
        <v>-0.51059893275290769</v>
      </c>
      <c r="Y64" s="45">
        <f t="shared" si="29"/>
        <v>0</v>
      </c>
      <c r="Z64" s="10">
        <f t="shared" si="47"/>
        <v>0</v>
      </c>
      <c r="AA64">
        <f t="shared" si="14"/>
        <v>101000</v>
      </c>
      <c r="AB64" s="10">
        <f t="shared" si="15"/>
        <v>0.10100000000000001</v>
      </c>
      <c r="AC64" s="10">
        <f t="shared" si="16"/>
        <v>0</v>
      </c>
      <c r="AD64" s="3">
        <f t="shared" si="17"/>
        <v>0</v>
      </c>
      <c r="AI64" s="100">
        <f t="shared" si="28"/>
        <v>0.85730179957062913</v>
      </c>
    </row>
    <row r="65" spans="2:35">
      <c r="B65" s="39">
        <f t="shared" si="30"/>
        <v>37</v>
      </c>
      <c r="C65" s="45">
        <f t="shared" si="31"/>
        <v>1.0869304556354393</v>
      </c>
      <c r="D65" s="10">
        <f t="shared" si="32"/>
        <v>14.36306954436459</v>
      </c>
      <c r="E65" s="40">
        <f t="shared" si="33"/>
        <v>19.613860911270823</v>
      </c>
      <c r="F65" s="40">
        <f t="shared" si="34"/>
        <v>48.34</v>
      </c>
      <c r="G65" s="3">
        <f t="shared" si="35"/>
        <v>123.85227817745834</v>
      </c>
      <c r="H65" s="3">
        <f t="shared" si="36"/>
        <v>148.0155219248214</v>
      </c>
      <c r="I65">
        <f t="shared" si="1"/>
        <v>1.4801552192482141E-4</v>
      </c>
      <c r="J65" s="4">
        <f t="shared" si="37"/>
        <v>306.70421874770136</v>
      </c>
      <c r="K65" s="40">
        <f t="shared" si="38"/>
        <v>2.0721084840242603</v>
      </c>
      <c r="L65" s="40">
        <f t="shared" si="4"/>
        <v>3.9278915159757397</v>
      </c>
      <c r="M65" s="10">
        <f t="shared" si="39"/>
        <v>0.10100000000000001</v>
      </c>
      <c r="N65" s="10">
        <f t="shared" si="5"/>
        <v>8.26</v>
      </c>
      <c r="O65" s="10">
        <f t="shared" si="6"/>
        <v>0.31900000000000001</v>
      </c>
      <c r="P65" s="10">
        <f t="shared" si="40"/>
        <v>3.9751961722975562</v>
      </c>
      <c r="Q65" s="45">
        <f t="shared" si="41"/>
        <v>0.17624861461469463</v>
      </c>
      <c r="R65" s="4">
        <f t="shared" si="42"/>
        <v>189882.64680490896</v>
      </c>
      <c r="S65">
        <f t="shared" si="9"/>
        <v>1.8988264680490897E-4</v>
      </c>
      <c r="T65" s="44">
        <f t="shared" si="10"/>
        <v>4.5985138830406441E-5</v>
      </c>
      <c r="U65" s="45">
        <f t="shared" si="43"/>
        <v>0.34075390382374932</v>
      </c>
      <c r="V65" s="45">
        <f t="shared" si="44"/>
        <v>9.8159379035719335E-2</v>
      </c>
      <c r="W65" s="45">
        <f t="shared" si="45"/>
        <v>0</v>
      </c>
      <c r="X65" s="45">
        <f t="shared" si="46"/>
        <v>9.8159379035719335E-2</v>
      </c>
      <c r="Y65" s="45">
        <f t="shared" si="29"/>
        <v>7.2539284995309927E-4</v>
      </c>
      <c r="Z65" s="10">
        <f t="shared" si="47"/>
        <v>15.774506033967928</v>
      </c>
      <c r="AA65">
        <f t="shared" si="14"/>
        <v>5200901.5548289595</v>
      </c>
      <c r="AB65" s="10">
        <f t="shared" si="15"/>
        <v>5.2009015548289597</v>
      </c>
      <c r="AC65" s="10">
        <f t="shared" si="16"/>
        <v>5.0999015548289597</v>
      </c>
      <c r="AD65" s="3">
        <f t="shared" si="17"/>
        <v>739.65214718331538</v>
      </c>
      <c r="AI65" s="100">
        <f t="shared" si="28"/>
        <v>0</v>
      </c>
    </row>
    <row r="66" spans="2:35">
      <c r="B66" s="39">
        <f t="shared" si="30"/>
        <v>38</v>
      </c>
      <c r="C66" s="45">
        <f t="shared" si="31"/>
        <v>1.116306954436397</v>
      </c>
      <c r="D66" s="10">
        <f t="shared" si="32"/>
        <v>14.333693045563633</v>
      </c>
      <c r="E66" s="40">
        <f t="shared" si="33"/>
        <v>19.672613908872737</v>
      </c>
      <c r="F66" s="40">
        <f t="shared" si="34"/>
        <v>48.34</v>
      </c>
      <c r="G66" s="3">
        <f t="shared" si="35"/>
        <v>123.73477218225452</v>
      </c>
      <c r="H66" s="3">
        <f t="shared" si="36"/>
        <v>148.0155219248214</v>
      </c>
      <c r="I66">
        <f t="shared" si="1"/>
        <v>1.4801552192482141E-4</v>
      </c>
      <c r="J66" s="4">
        <f t="shared" si="37"/>
        <v>308.51707334402613</v>
      </c>
      <c r="K66" s="40">
        <f t="shared" si="38"/>
        <v>2.0843562170508383</v>
      </c>
      <c r="L66" s="40">
        <f t="shared" si="4"/>
        <v>3.9156437829491617</v>
      </c>
      <c r="M66" s="10">
        <f t="shared" si="39"/>
        <v>5.2009015548289597</v>
      </c>
      <c r="N66" s="10">
        <f t="shared" si="5"/>
        <v>8.26</v>
      </c>
      <c r="O66" s="10">
        <f t="shared" si="6"/>
        <v>0.31900000000000001</v>
      </c>
      <c r="P66" s="10">
        <f t="shared" si="40"/>
        <v>13.976844432939956</v>
      </c>
      <c r="Q66" s="45">
        <f t="shared" si="41"/>
        <v>0.17835041226593876</v>
      </c>
      <c r="R66" s="4">
        <f t="shared" si="42"/>
        <v>189478.18073586692</v>
      </c>
      <c r="S66">
        <f t="shared" si="9"/>
        <v>1.8947818073586692E-4</v>
      </c>
      <c r="T66" s="44">
        <f t="shared" si="10"/>
        <v>4.6389604899448489E-5</v>
      </c>
      <c r="U66" s="45">
        <f t="shared" si="43"/>
        <v>0.34002806923954998</v>
      </c>
      <c r="V66" s="45">
        <f t="shared" si="44"/>
        <v>0.34533989690667338</v>
      </c>
      <c r="W66" s="45">
        <f t="shared" si="45"/>
        <v>0.84327366579659302</v>
      </c>
      <c r="X66" s="45">
        <f t="shared" si="46"/>
        <v>-0.49793376888991964</v>
      </c>
      <c r="Y66" s="45">
        <f t="shared" si="29"/>
        <v>0</v>
      </c>
      <c r="Z66" s="10">
        <f t="shared" si="47"/>
        <v>0</v>
      </c>
      <c r="AA66">
        <f t="shared" si="14"/>
        <v>101000</v>
      </c>
      <c r="AB66" s="10">
        <f t="shared" si="15"/>
        <v>0.10100000000000001</v>
      </c>
      <c r="AC66" s="10">
        <f t="shared" si="16"/>
        <v>0</v>
      </c>
      <c r="AD66" s="3">
        <f t="shared" si="17"/>
        <v>0</v>
      </c>
      <c r="AI66" s="100">
        <f t="shared" si="28"/>
        <v>0.84327366579659302</v>
      </c>
    </row>
    <row r="67" spans="2:35">
      <c r="B67" s="39">
        <f t="shared" si="30"/>
        <v>39</v>
      </c>
      <c r="C67" s="45">
        <f t="shared" si="31"/>
        <v>1.1456834532373548</v>
      </c>
      <c r="D67" s="10">
        <f t="shared" si="32"/>
        <v>14.304316546762676</v>
      </c>
      <c r="E67" s="40">
        <f t="shared" si="33"/>
        <v>19.731366906474651</v>
      </c>
      <c r="F67" s="40">
        <f t="shared" si="34"/>
        <v>48.34</v>
      </c>
      <c r="G67" s="3">
        <f t="shared" si="35"/>
        <v>123.61726618705069</v>
      </c>
      <c r="H67" s="3">
        <f t="shared" si="36"/>
        <v>148.0155219248214</v>
      </c>
      <c r="I67">
        <f t="shared" si="1"/>
        <v>1.4801552192482141E-4</v>
      </c>
      <c r="J67" s="4">
        <f t="shared" si="37"/>
        <v>310.33535019532474</v>
      </c>
      <c r="K67" s="40">
        <f t="shared" si="38"/>
        <v>2.0966405830933543</v>
      </c>
      <c r="L67" s="40">
        <f t="shared" si="4"/>
        <v>3.9033594169066457</v>
      </c>
      <c r="M67" s="10">
        <f t="shared" si="39"/>
        <v>0.10100000000000001</v>
      </c>
      <c r="N67" s="10">
        <f t="shared" si="5"/>
        <v>8.26</v>
      </c>
      <c r="O67" s="10">
        <f t="shared" si="6"/>
        <v>0.31900000000000001</v>
      </c>
      <c r="P67" s="10">
        <f t="shared" si="40"/>
        <v>3.9751961722975562</v>
      </c>
      <c r="Q67" s="45">
        <f t="shared" si="41"/>
        <v>0.18574036172445291</v>
      </c>
      <c r="R67" s="4">
        <f t="shared" si="42"/>
        <v>189073.47042505545</v>
      </c>
      <c r="S67">
        <f t="shared" si="9"/>
        <v>1.8907347042505546E-4</v>
      </c>
      <c r="T67" s="44">
        <f t="shared" si="10"/>
        <v>4.6794315210259952E-5</v>
      </c>
      <c r="U67" s="45">
        <f t="shared" si="43"/>
        <v>0.33930179635128321</v>
      </c>
      <c r="V67" s="45">
        <f t="shared" si="44"/>
        <v>9.8278464872314938E-2</v>
      </c>
      <c r="W67" s="45">
        <f t="shared" si="45"/>
        <v>0</v>
      </c>
      <c r="X67" s="45">
        <f t="shared" si="46"/>
        <v>9.8278464872314938E-2</v>
      </c>
      <c r="Y67" s="45">
        <f t="shared" si="29"/>
        <v>7.2627288826676573E-4</v>
      </c>
      <c r="Z67" s="10">
        <f t="shared" si="47"/>
        <v>15.520536736212902</v>
      </c>
      <c r="AA67">
        <f t="shared" si="14"/>
        <v>5118793.2204246605</v>
      </c>
      <c r="AB67" s="10">
        <f t="shared" si="15"/>
        <v>5.1187932204246609</v>
      </c>
      <c r="AC67" s="10">
        <f t="shared" si="16"/>
        <v>5.0177932204246609</v>
      </c>
      <c r="AD67" s="3">
        <f t="shared" si="17"/>
        <v>727.74375930741996</v>
      </c>
      <c r="AI67" s="100">
        <f t="shared" si="28"/>
        <v>0</v>
      </c>
    </row>
    <row r="68" spans="2:35">
      <c r="B68" s="39">
        <f t="shared" si="30"/>
        <v>40</v>
      </c>
      <c r="C68" s="45">
        <f t="shared" si="31"/>
        <v>1.1750599520383125</v>
      </c>
      <c r="D68" s="10">
        <f t="shared" si="32"/>
        <v>14.274940047961719</v>
      </c>
      <c r="E68" s="40">
        <f t="shared" si="33"/>
        <v>19.790119904076565</v>
      </c>
      <c r="F68" s="40">
        <f t="shared" si="34"/>
        <v>48.34</v>
      </c>
      <c r="G68" s="3">
        <f t="shared" si="35"/>
        <v>123.49976019184686</v>
      </c>
      <c r="H68" s="3">
        <f t="shared" si="36"/>
        <v>148.0155219248214</v>
      </c>
      <c r="I68">
        <f t="shared" si="1"/>
        <v>1.4801552192482141E-4</v>
      </c>
      <c r="J68" s="4">
        <f t="shared" si="37"/>
        <v>312.15904930159718</v>
      </c>
      <c r="K68" s="40">
        <f t="shared" si="38"/>
        <v>2.1089615821518093</v>
      </c>
      <c r="L68" s="40">
        <f t="shared" si="4"/>
        <v>3.8910384178481907</v>
      </c>
      <c r="M68" s="10">
        <f t="shared" si="39"/>
        <v>5.1187932204246609</v>
      </c>
      <c r="N68" s="10">
        <f t="shared" si="5"/>
        <v>8.26</v>
      </c>
      <c r="O68" s="10">
        <f t="shared" si="6"/>
        <v>0.31900000000000001</v>
      </c>
      <c r="P68" s="10">
        <f t="shared" si="40"/>
        <v>13.906073076595675</v>
      </c>
      <c r="Q68" s="45">
        <f t="shared" si="41"/>
        <v>0.18785285593034051</v>
      </c>
      <c r="R68" s="4">
        <f t="shared" si="42"/>
        <v>188668.51778391693</v>
      </c>
      <c r="S68">
        <f t="shared" si="9"/>
        <v>1.8866851778391694E-4</v>
      </c>
      <c r="T68" s="44">
        <f t="shared" si="10"/>
        <v>4.7199267851398471E-5</v>
      </c>
      <c r="U68" s="45">
        <f t="shared" si="43"/>
        <v>0.3385750885891281</v>
      </c>
      <c r="V68" s="45">
        <f t="shared" si="44"/>
        <v>0.34400461792025111</v>
      </c>
      <c r="W68" s="45">
        <f t="shared" si="45"/>
        <v>0.82969697310925961</v>
      </c>
      <c r="X68" s="45">
        <f t="shared" si="46"/>
        <v>-0.4856923551890085</v>
      </c>
      <c r="Y68" s="45">
        <f t="shared" si="29"/>
        <v>0</v>
      </c>
      <c r="Z68" s="10">
        <f t="shared" si="47"/>
        <v>0</v>
      </c>
      <c r="AA68">
        <f t="shared" si="14"/>
        <v>101000</v>
      </c>
      <c r="AB68" s="10">
        <f t="shared" si="15"/>
        <v>0.10100000000000001</v>
      </c>
      <c r="AC68" s="10">
        <f t="shared" si="16"/>
        <v>0</v>
      </c>
      <c r="AD68" s="3">
        <f t="shared" si="17"/>
        <v>0</v>
      </c>
      <c r="AI68" s="100">
        <f t="shared" si="28"/>
        <v>0.82969697310925961</v>
      </c>
    </row>
    <row r="69" spans="2:35">
      <c r="B69" s="39">
        <f t="shared" si="30"/>
        <v>41</v>
      </c>
      <c r="C69" s="45">
        <f t="shared" si="31"/>
        <v>1.2044364508392702</v>
      </c>
      <c r="D69" s="10">
        <f t="shared" si="32"/>
        <v>14.245563549160762</v>
      </c>
      <c r="E69" s="40">
        <f t="shared" si="33"/>
        <v>19.84887290167848</v>
      </c>
      <c r="F69" s="40">
        <f t="shared" si="34"/>
        <v>48.34</v>
      </c>
      <c r="G69" s="3">
        <f t="shared" si="35"/>
        <v>123.38225419664303</v>
      </c>
      <c r="H69" s="3">
        <f t="shared" si="36"/>
        <v>148.0155219248214</v>
      </c>
      <c r="I69">
        <f t="shared" si="1"/>
        <v>1.4801552192482141E-4</v>
      </c>
      <c r="J69" s="4">
        <f t="shared" si="37"/>
        <v>313.98817066284369</v>
      </c>
      <c r="K69" s="40">
        <f t="shared" si="38"/>
        <v>2.1213192142262045</v>
      </c>
      <c r="L69" s="40">
        <f t="shared" si="4"/>
        <v>3.8786807857737955</v>
      </c>
      <c r="M69" s="10">
        <f t="shared" si="39"/>
        <v>0.10100000000000001</v>
      </c>
      <c r="N69" s="10">
        <f t="shared" si="5"/>
        <v>8.26</v>
      </c>
      <c r="O69" s="10">
        <f t="shared" si="6"/>
        <v>0.31900000000000001</v>
      </c>
      <c r="P69" s="10">
        <f t="shared" si="40"/>
        <v>3.9751961722975562</v>
      </c>
      <c r="Q69" s="45">
        <f t="shared" si="41"/>
        <v>0.19524280538885466</v>
      </c>
      <c r="R69" s="4">
        <f t="shared" si="42"/>
        <v>188263.32472389375</v>
      </c>
      <c r="S69">
        <f t="shared" si="9"/>
        <v>1.8826332472389375E-4</v>
      </c>
      <c r="T69" s="44">
        <f t="shared" si="10"/>
        <v>4.760446091142166E-5</v>
      </c>
      <c r="U69" s="45">
        <f t="shared" si="43"/>
        <v>0.33784794938326346</v>
      </c>
      <c r="V69" s="45">
        <f t="shared" si="44"/>
        <v>9.8395694036430892E-2</v>
      </c>
      <c r="W69" s="45">
        <f t="shared" si="45"/>
        <v>0</v>
      </c>
      <c r="X69" s="45">
        <f t="shared" si="46"/>
        <v>9.8395694036430892E-2</v>
      </c>
      <c r="Y69" s="45">
        <f t="shared" si="29"/>
        <v>7.2713920586464642E-4</v>
      </c>
      <c r="Z69" s="10">
        <f t="shared" si="47"/>
        <v>15.274602252457923</v>
      </c>
      <c r="AA69">
        <f t="shared" si="14"/>
        <v>5039282.5432987167</v>
      </c>
      <c r="AB69" s="10">
        <f t="shared" si="15"/>
        <v>5.0392825432987163</v>
      </c>
      <c r="AC69" s="10">
        <f t="shared" si="16"/>
        <v>4.9382825432987163</v>
      </c>
      <c r="AD69" s="3">
        <f t="shared" si="17"/>
        <v>716.21211650452744</v>
      </c>
      <c r="AI69" s="100">
        <f t="shared" si="28"/>
        <v>0</v>
      </c>
    </row>
    <row r="70" spans="2:35">
      <c r="B70" s="39">
        <f t="shared" si="30"/>
        <v>42</v>
      </c>
      <c r="C70" s="45">
        <f t="shared" si="31"/>
        <v>1.2338129496402279</v>
      </c>
      <c r="D70" s="10">
        <f t="shared" si="32"/>
        <v>14.216187050359805</v>
      </c>
      <c r="E70" s="40">
        <f t="shared" si="33"/>
        <v>19.907625899280394</v>
      </c>
      <c r="F70" s="40">
        <f t="shared" si="34"/>
        <v>48.34</v>
      </c>
      <c r="G70" s="3">
        <f t="shared" si="35"/>
        <v>123.2647482014392</v>
      </c>
      <c r="H70" s="3">
        <f t="shared" si="36"/>
        <v>148.0155219248214</v>
      </c>
      <c r="I70">
        <f t="shared" si="1"/>
        <v>1.4801552192482141E-4</v>
      </c>
      <c r="J70" s="4">
        <f t="shared" si="37"/>
        <v>315.82271427906403</v>
      </c>
      <c r="K70" s="40">
        <f t="shared" si="38"/>
        <v>2.1337134793165382</v>
      </c>
      <c r="L70" s="40">
        <f t="shared" si="4"/>
        <v>3.8662865206834618</v>
      </c>
      <c r="M70" s="10">
        <f t="shared" si="39"/>
        <v>5.0392825432987163</v>
      </c>
      <c r="N70" s="10">
        <f t="shared" si="5"/>
        <v>8.26</v>
      </c>
      <c r="O70" s="10">
        <f t="shared" si="6"/>
        <v>0.31900000000000001</v>
      </c>
      <c r="P70" s="10">
        <f t="shared" si="40"/>
        <v>13.836800061552255</v>
      </c>
      <c r="Q70" s="45">
        <f t="shared" si="41"/>
        <v>0.19736587565584399</v>
      </c>
      <c r="R70" s="4">
        <f t="shared" si="42"/>
        <v>187857.89315642836</v>
      </c>
      <c r="S70">
        <f t="shared" si="9"/>
        <v>1.8785789315642836E-4</v>
      </c>
      <c r="T70" s="44">
        <f t="shared" si="10"/>
        <v>4.8009892478887052E-5</v>
      </c>
      <c r="U70" s="45">
        <f t="shared" si="43"/>
        <v>0.33712038216386847</v>
      </c>
      <c r="V70" s="45">
        <f t="shared" si="44"/>
        <v>0.34269577917773425</v>
      </c>
      <c r="W70" s="45">
        <f t="shared" si="45"/>
        <v>0.81654980557100076</v>
      </c>
      <c r="X70" s="45">
        <f t="shared" si="46"/>
        <v>-0.47385402639326651</v>
      </c>
      <c r="Y70" s="45">
        <f t="shared" si="29"/>
        <v>0</v>
      </c>
      <c r="Z70" s="10">
        <f t="shared" si="47"/>
        <v>0</v>
      </c>
      <c r="AA70">
        <f t="shared" si="14"/>
        <v>101000</v>
      </c>
      <c r="AB70" s="10">
        <f t="shared" si="15"/>
        <v>0.10100000000000001</v>
      </c>
      <c r="AC70" s="10">
        <f t="shared" si="16"/>
        <v>0</v>
      </c>
      <c r="AD70" s="3">
        <f t="shared" si="17"/>
        <v>0</v>
      </c>
      <c r="AI70" s="100">
        <f t="shared" si="28"/>
        <v>0.81654980557100076</v>
      </c>
    </row>
    <row r="71" spans="2:35">
      <c r="B71" s="39">
        <f t="shared" si="30"/>
        <v>43</v>
      </c>
      <c r="C71" s="45">
        <f t="shared" si="31"/>
        <v>1.2631894484411856</v>
      </c>
      <c r="D71" s="10">
        <f t="shared" si="32"/>
        <v>14.186810551558848</v>
      </c>
      <c r="E71" s="40">
        <f t="shared" si="33"/>
        <v>19.966378896882308</v>
      </c>
      <c r="F71" s="40">
        <f t="shared" si="34"/>
        <v>48.34</v>
      </c>
      <c r="G71" s="3">
        <f t="shared" si="35"/>
        <v>123.14724220623538</v>
      </c>
      <c r="H71" s="3">
        <f t="shared" si="36"/>
        <v>148.0155219248214</v>
      </c>
      <c r="I71">
        <f t="shared" si="1"/>
        <v>1.4801552192482141E-4</v>
      </c>
      <c r="J71" s="4">
        <f t="shared" si="37"/>
        <v>317.66268015025844</v>
      </c>
      <c r="K71" s="40">
        <f t="shared" si="38"/>
        <v>2.1461443774228122</v>
      </c>
      <c r="L71" s="40">
        <f t="shared" si="4"/>
        <v>3.8538556225771878</v>
      </c>
      <c r="M71" s="10">
        <f t="shared" si="39"/>
        <v>0.10100000000000001</v>
      </c>
      <c r="N71" s="10">
        <f t="shared" si="5"/>
        <v>8.26</v>
      </c>
      <c r="O71" s="10">
        <f t="shared" si="6"/>
        <v>0.31900000000000001</v>
      </c>
      <c r="P71" s="10">
        <f t="shared" si="40"/>
        <v>3.9751961722975562</v>
      </c>
      <c r="Q71" s="45">
        <f t="shared" si="41"/>
        <v>0.20475582511435814</v>
      </c>
      <c r="R71" s="4">
        <f t="shared" si="42"/>
        <v>187452.22499296311</v>
      </c>
      <c r="S71">
        <f t="shared" si="9"/>
        <v>1.874522249929631E-4</v>
      </c>
      <c r="T71" s="44">
        <f t="shared" si="10"/>
        <v>4.8415560642352316E-5</v>
      </c>
      <c r="U71" s="45">
        <f t="shared" si="43"/>
        <v>0.3363923903611219</v>
      </c>
      <c r="V71" s="45">
        <f t="shared" si="44"/>
        <v>9.851106652804463E-2</v>
      </c>
      <c r="W71" s="45">
        <f t="shared" si="45"/>
        <v>0</v>
      </c>
      <c r="X71" s="45">
        <f t="shared" si="46"/>
        <v>9.851106652804463E-2</v>
      </c>
      <c r="Y71" s="45">
        <f t="shared" si="29"/>
        <v>7.2799180274657482E-4</v>
      </c>
      <c r="Z71" s="10">
        <f t="shared" si="47"/>
        <v>15.036318759670664</v>
      </c>
      <c r="AA71">
        <f t="shared" si="14"/>
        <v>4962245.4333734335</v>
      </c>
      <c r="AB71" s="10">
        <f t="shared" si="15"/>
        <v>4.9622454333734334</v>
      </c>
      <c r="AC71" s="10">
        <f t="shared" si="16"/>
        <v>4.8612454333734334</v>
      </c>
      <c r="AD71" s="3">
        <f t="shared" si="17"/>
        <v>705.03922166402231</v>
      </c>
      <c r="AI71" s="100">
        <f t="shared" si="28"/>
        <v>0</v>
      </c>
    </row>
    <row r="72" spans="2:35">
      <c r="B72" s="39">
        <f t="shared" si="30"/>
        <v>44</v>
      </c>
      <c r="C72" s="45">
        <f t="shared" si="31"/>
        <v>1.2925659472421434</v>
      </c>
      <c r="D72" s="10">
        <f t="shared" si="32"/>
        <v>14.157434052757891</v>
      </c>
      <c r="E72" s="40">
        <f t="shared" si="33"/>
        <v>20.025131894484222</v>
      </c>
      <c r="F72" s="40">
        <f t="shared" si="34"/>
        <v>48.34</v>
      </c>
      <c r="G72" s="3">
        <f t="shared" si="35"/>
        <v>123.02973621103155</v>
      </c>
      <c r="H72" s="3">
        <f t="shared" si="36"/>
        <v>148.0155219248214</v>
      </c>
      <c r="I72">
        <f t="shared" si="1"/>
        <v>1.4801552192482141E-4</v>
      </c>
      <c r="J72" s="4">
        <f t="shared" si="37"/>
        <v>319.50806827642668</v>
      </c>
      <c r="K72" s="40">
        <f t="shared" si="38"/>
        <v>2.1586119085450246</v>
      </c>
      <c r="L72" s="40">
        <f t="shared" si="4"/>
        <v>3.8413880914549754</v>
      </c>
      <c r="M72" s="10">
        <f t="shared" si="39"/>
        <v>4.9622454333734334</v>
      </c>
      <c r="N72" s="10">
        <f t="shared" si="5"/>
        <v>8.26</v>
      </c>
      <c r="O72" s="10">
        <f t="shared" si="6"/>
        <v>0.31900000000000001</v>
      </c>
      <c r="P72" s="10">
        <f t="shared" si="40"/>
        <v>13.768968491714256</v>
      </c>
      <c r="Q72" s="45">
        <f t="shared" si="41"/>
        <v>0.20688935449374743</v>
      </c>
      <c r="R72" s="4">
        <f t="shared" si="42"/>
        <v>187046.32214494041</v>
      </c>
      <c r="S72">
        <f t="shared" si="9"/>
        <v>1.870463221449404E-4</v>
      </c>
      <c r="T72" s="44">
        <f t="shared" si="10"/>
        <v>4.8821463490375012E-5</v>
      </c>
      <c r="U72" s="45">
        <f t="shared" si="43"/>
        <v>0.33566397740520282</v>
      </c>
      <c r="V72" s="45">
        <f t="shared" si="44"/>
        <v>0.34141219847067705</v>
      </c>
      <c r="W72" s="45">
        <f t="shared" si="45"/>
        <v>0.80381164476717959</v>
      </c>
      <c r="X72" s="45">
        <f t="shared" si="46"/>
        <v>-0.46239944629650254</v>
      </c>
      <c r="Y72" s="45">
        <f t="shared" si="29"/>
        <v>0</v>
      </c>
      <c r="Z72" s="10">
        <f t="shared" si="47"/>
        <v>0</v>
      </c>
      <c r="AA72">
        <f t="shared" si="14"/>
        <v>101000</v>
      </c>
      <c r="AB72" s="10">
        <f t="shared" si="15"/>
        <v>0.10100000000000001</v>
      </c>
      <c r="AC72" s="10">
        <f t="shared" si="16"/>
        <v>0</v>
      </c>
      <c r="AD72" s="3">
        <f t="shared" si="17"/>
        <v>0</v>
      </c>
      <c r="AI72" s="100">
        <f t="shared" si="28"/>
        <v>0.80381164476717959</v>
      </c>
    </row>
    <row r="73" spans="2:35">
      <c r="B73" s="39">
        <f t="shared" si="30"/>
        <v>45</v>
      </c>
      <c r="C73" s="45">
        <f t="shared" si="31"/>
        <v>1.3219424460431011</v>
      </c>
      <c r="D73" s="10">
        <f t="shared" si="32"/>
        <v>14.128057553956934</v>
      </c>
      <c r="E73" s="40">
        <f t="shared" si="33"/>
        <v>20.083884892086136</v>
      </c>
      <c r="F73" s="40">
        <f t="shared" si="34"/>
        <v>48.34</v>
      </c>
      <c r="G73" s="3">
        <f t="shared" si="35"/>
        <v>122.91223021582772</v>
      </c>
      <c r="H73" s="3">
        <f t="shared" si="36"/>
        <v>148.0155219248214</v>
      </c>
      <c r="I73">
        <f t="shared" si="1"/>
        <v>1.4801552192482141E-4</v>
      </c>
      <c r="J73" s="4">
        <f t="shared" si="37"/>
        <v>321.35887865756877</v>
      </c>
      <c r="K73" s="40">
        <f t="shared" si="38"/>
        <v>2.171116072683176</v>
      </c>
      <c r="L73" s="40">
        <f t="shared" si="4"/>
        <v>3.828883927316824</v>
      </c>
      <c r="M73" s="10">
        <f t="shared" si="39"/>
        <v>0.10100000000000001</v>
      </c>
      <c r="N73" s="10">
        <f t="shared" si="5"/>
        <v>8.26</v>
      </c>
      <c r="O73" s="10">
        <f t="shared" si="6"/>
        <v>0.31900000000000001</v>
      </c>
      <c r="P73" s="10">
        <f t="shared" si="40"/>
        <v>3.9751961722975562</v>
      </c>
      <c r="Q73" s="45">
        <f t="shared" si="41"/>
        <v>0.21427930395226158</v>
      </c>
      <c r="R73" s="4">
        <f t="shared" si="42"/>
        <v>186640.18652380269</v>
      </c>
      <c r="S73">
        <f t="shared" si="9"/>
        <v>1.8664018652380269E-4</v>
      </c>
      <c r="T73" s="44">
        <f t="shared" si="10"/>
        <v>4.9227599111512728E-5</v>
      </c>
      <c r="U73" s="45">
        <f t="shared" si="43"/>
        <v>0.3349351467262901</v>
      </c>
      <c r="V73" s="45">
        <f t="shared" si="44"/>
        <v>9.8624582347178705E-2</v>
      </c>
      <c r="W73" s="45">
        <f t="shared" si="45"/>
        <v>0</v>
      </c>
      <c r="X73" s="45">
        <f t="shared" si="46"/>
        <v>9.8624582347178705E-2</v>
      </c>
      <c r="Y73" s="45">
        <f t="shared" si="29"/>
        <v>7.2883067891271747E-4</v>
      </c>
      <c r="Z73" s="10">
        <f t="shared" si="47"/>
        <v>14.805326525507269</v>
      </c>
      <c r="AA73">
        <f t="shared" si="14"/>
        <v>4887565.5890964344</v>
      </c>
      <c r="AB73" s="10">
        <f t="shared" si="15"/>
        <v>4.8875655890964342</v>
      </c>
      <c r="AC73" s="10">
        <f t="shared" si="16"/>
        <v>4.7865655890964343</v>
      </c>
      <c r="AD73" s="3">
        <f t="shared" si="17"/>
        <v>694.20820726561772</v>
      </c>
      <c r="AI73" s="100">
        <f t="shared" si="28"/>
        <v>0</v>
      </c>
    </row>
    <row r="74" spans="2:35">
      <c r="B74" s="39">
        <f t="shared" si="30"/>
        <v>46</v>
      </c>
      <c r="C74" s="45">
        <f t="shared" si="31"/>
        <v>1.3513189448440588</v>
      </c>
      <c r="D74" s="10">
        <f t="shared" si="32"/>
        <v>14.098681055155977</v>
      </c>
      <c r="E74" s="40">
        <f t="shared" si="33"/>
        <v>20.14263788968805</v>
      </c>
      <c r="F74" s="40">
        <f t="shared" si="34"/>
        <v>48.34</v>
      </c>
      <c r="G74" s="3">
        <f t="shared" si="35"/>
        <v>122.79472422062389</v>
      </c>
      <c r="H74" s="3">
        <f t="shared" si="36"/>
        <v>148.0155219248214</v>
      </c>
      <c r="I74">
        <f t="shared" si="1"/>
        <v>1.4801552192482141E-4</v>
      </c>
      <c r="J74" s="4">
        <f t="shared" si="37"/>
        <v>323.21511129368469</v>
      </c>
      <c r="K74" s="40">
        <f t="shared" si="38"/>
        <v>2.1836568698372658</v>
      </c>
      <c r="L74" s="40">
        <f t="shared" si="4"/>
        <v>3.8163431301627342</v>
      </c>
      <c r="M74" s="10">
        <f t="shared" si="39"/>
        <v>4.8875655890964342</v>
      </c>
      <c r="N74" s="10">
        <f t="shared" si="5"/>
        <v>8.26</v>
      </c>
      <c r="O74" s="10">
        <f t="shared" si="6"/>
        <v>0.31900000000000001</v>
      </c>
      <c r="P74" s="10">
        <f t="shared" si="40"/>
        <v>13.70252446782383</v>
      </c>
      <c r="Q74" s="45">
        <f t="shared" si="41"/>
        <v>0.2164231788907767</v>
      </c>
      <c r="R74" s="4">
        <f t="shared" si="42"/>
        <v>186233.82004099237</v>
      </c>
      <c r="S74">
        <f t="shared" si="9"/>
        <v>1.8623382004099236E-4</v>
      </c>
      <c r="T74" s="44">
        <f t="shared" si="10"/>
        <v>4.963396559432305E-5</v>
      </c>
      <c r="U74" s="45">
        <f t="shared" si="43"/>
        <v>0.33420590175456288</v>
      </c>
      <c r="V74" s="45">
        <f t="shared" si="44"/>
        <v>0.34015275733961592</v>
      </c>
      <c r="W74" s="45">
        <f t="shared" si="45"/>
        <v>0.79146326012337143</v>
      </c>
      <c r="X74" s="45">
        <f t="shared" si="46"/>
        <v>-0.45131050278375551</v>
      </c>
      <c r="Y74" s="45">
        <f t="shared" si="29"/>
        <v>0</v>
      </c>
      <c r="Z74" s="10">
        <f t="shared" si="47"/>
        <v>0</v>
      </c>
      <c r="AA74">
        <f t="shared" si="14"/>
        <v>101000</v>
      </c>
      <c r="AB74" s="10">
        <f t="shared" si="15"/>
        <v>0.10100000000000001</v>
      </c>
      <c r="AC74" s="10">
        <f t="shared" si="16"/>
        <v>0</v>
      </c>
      <c r="AD74" s="3">
        <f t="shared" si="17"/>
        <v>0</v>
      </c>
      <c r="AI74" s="100">
        <f t="shared" si="28"/>
        <v>0.79146326012337143</v>
      </c>
    </row>
    <row r="75" spans="2:35">
      <c r="B75" s="39">
        <f t="shared" si="30"/>
        <v>47</v>
      </c>
      <c r="C75" s="45">
        <f t="shared" si="31"/>
        <v>1.3806954436450165</v>
      </c>
      <c r="D75" s="10">
        <f t="shared" si="32"/>
        <v>14.06930455635502</v>
      </c>
      <c r="E75" s="40">
        <f t="shared" si="33"/>
        <v>20.201390887289964</v>
      </c>
      <c r="F75" s="40">
        <f t="shared" si="34"/>
        <v>48.34</v>
      </c>
      <c r="G75" s="3">
        <f t="shared" si="35"/>
        <v>122.67721822542006</v>
      </c>
      <c r="H75" s="3">
        <f t="shared" si="36"/>
        <v>148.0155219248214</v>
      </c>
      <c r="I75">
        <f t="shared" si="1"/>
        <v>1.4801552192482141E-4</v>
      </c>
      <c r="J75" s="4">
        <f t="shared" si="37"/>
        <v>325.07676618477467</v>
      </c>
      <c r="K75" s="40">
        <f t="shared" si="38"/>
        <v>2.1962343000072959</v>
      </c>
      <c r="L75" s="40">
        <f t="shared" si="4"/>
        <v>3.8037656999927041</v>
      </c>
      <c r="M75" s="10">
        <f t="shared" si="39"/>
        <v>0.10100000000000001</v>
      </c>
      <c r="N75" s="10">
        <f t="shared" si="5"/>
        <v>8.26</v>
      </c>
      <c r="O75" s="10">
        <f t="shared" si="6"/>
        <v>0.31900000000000001</v>
      </c>
      <c r="P75" s="10">
        <f t="shared" si="40"/>
        <v>3.9751961722975562</v>
      </c>
      <c r="Q75" s="45">
        <f t="shared" si="41"/>
        <v>0.22381312834929085</v>
      </c>
      <c r="R75" s="4">
        <f t="shared" si="42"/>
        <v>185827.22460795176</v>
      </c>
      <c r="S75">
        <f t="shared" si="9"/>
        <v>1.8582722460795177E-4</v>
      </c>
      <c r="T75" s="44">
        <f t="shared" si="10"/>
        <v>5.0040561027363647E-5</v>
      </c>
      <c r="U75" s="45">
        <f t="shared" si="43"/>
        <v>0.33347624592019987</v>
      </c>
      <c r="V75" s="45">
        <f t="shared" si="44"/>
        <v>9.8736241493825594E-2</v>
      </c>
      <c r="W75" s="45">
        <f t="shared" si="45"/>
        <v>0</v>
      </c>
      <c r="X75" s="45">
        <f t="shared" si="46"/>
        <v>9.8736241493825594E-2</v>
      </c>
      <c r="Y75" s="45">
        <f t="shared" si="29"/>
        <v>7.2965583436301884E-4</v>
      </c>
      <c r="Z75" s="10">
        <f t="shared" si="47"/>
        <v>14.581288046791114</v>
      </c>
      <c r="AA75">
        <f t="shared" si="14"/>
        <v>4815133.8956103958</v>
      </c>
      <c r="AB75" s="10">
        <f t="shared" si="15"/>
        <v>4.815133895610396</v>
      </c>
      <c r="AC75" s="10">
        <f t="shared" si="16"/>
        <v>4.714133895610396</v>
      </c>
      <c r="AD75" s="3">
        <f t="shared" si="17"/>
        <v>683.70324809432861</v>
      </c>
      <c r="AI75" s="100">
        <f t="shared" si="28"/>
        <v>0</v>
      </c>
    </row>
    <row r="76" spans="2:35">
      <c r="B76" s="39">
        <f t="shared" si="30"/>
        <v>48</v>
      </c>
      <c r="C76" s="45">
        <f t="shared" si="31"/>
        <v>1.4100719424459742</v>
      </c>
      <c r="D76" s="10">
        <f t="shared" si="32"/>
        <v>14.039928057554063</v>
      </c>
      <c r="E76" s="40">
        <f t="shared" si="33"/>
        <v>20.260143884891878</v>
      </c>
      <c r="F76" s="40">
        <f t="shared" si="34"/>
        <v>48.34</v>
      </c>
      <c r="G76" s="3">
        <f t="shared" si="35"/>
        <v>122.55971223021623</v>
      </c>
      <c r="H76" s="3">
        <f t="shared" si="36"/>
        <v>148.0155219248214</v>
      </c>
      <c r="I76">
        <f t="shared" si="1"/>
        <v>1.4801552192482141E-4</v>
      </c>
      <c r="J76" s="4">
        <f t="shared" si="37"/>
        <v>326.94384333083849</v>
      </c>
      <c r="K76" s="40">
        <f t="shared" si="38"/>
        <v>2.2088483631932645</v>
      </c>
      <c r="L76" s="40">
        <f t="shared" si="4"/>
        <v>3.7911516368067355</v>
      </c>
      <c r="M76" s="10">
        <f t="shared" si="39"/>
        <v>4.815133895610396</v>
      </c>
      <c r="N76" s="10">
        <f t="shared" si="5"/>
        <v>8.26</v>
      </c>
      <c r="O76" s="10">
        <f t="shared" si="6"/>
        <v>0.31900000000000001</v>
      </c>
      <c r="P76" s="10">
        <f t="shared" si="40"/>
        <v>13.637416885733929</v>
      </c>
      <c r="Q76" s="45">
        <f t="shared" si="41"/>
        <v>0.22596723854824563</v>
      </c>
      <c r="R76" s="4">
        <f t="shared" si="42"/>
        <v>185420.40213612333</v>
      </c>
      <c r="S76">
        <f t="shared" si="9"/>
        <v>1.8542040213612333E-4</v>
      </c>
      <c r="T76" s="44">
        <f t="shared" si="10"/>
        <v>5.0447383499192079E-5</v>
      </c>
      <c r="U76" s="45">
        <f t="shared" si="43"/>
        <v>0.33274618265338007</v>
      </c>
      <c r="V76" s="45">
        <f t="shared" si="44"/>
        <v>0.33891639674424845</v>
      </c>
      <c r="W76" s="45">
        <f t="shared" si="45"/>
        <v>0.77948660939214454</v>
      </c>
      <c r="X76" s="45">
        <f t="shared" si="46"/>
        <v>-0.44057021264789609</v>
      </c>
      <c r="Y76" s="45">
        <f t="shared" si="29"/>
        <v>0</v>
      </c>
      <c r="Z76" s="10">
        <f t="shared" si="47"/>
        <v>0</v>
      </c>
      <c r="AA76">
        <f t="shared" si="14"/>
        <v>101000</v>
      </c>
      <c r="AB76" s="10">
        <f t="shared" si="15"/>
        <v>0.10100000000000001</v>
      </c>
      <c r="AC76" s="10">
        <f t="shared" si="16"/>
        <v>0</v>
      </c>
      <c r="AD76" s="3">
        <f t="shared" si="17"/>
        <v>0</v>
      </c>
      <c r="AI76" s="100">
        <f t="shared" si="28"/>
        <v>0.77948660939214454</v>
      </c>
    </row>
    <row r="77" spans="2:35">
      <c r="B77" s="39">
        <f t="shared" si="30"/>
        <v>49</v>
      </c>
      <c r="C77" s="45">
        <f t="shared" si="31"/>
        <v>1.4394484412469319</v>
      </c>
      <c r="D77" s="10">
        <f t="shared" si="32"/>
        <v>14.010551558753106</v>
      </c>
      <c r="E77" s="40">
        <f t="shared" si="33"/>
        <v>20.318896882493792</v>
      </c>
      <c r="F77" s="40">
        <f t="shared" si="34"/>
        <v>48.34</v>
      </c>
      <c r="G77" s="3">
        <f t="shared" si="35"/>
        <v>122.44220623501241</v>
      </c>
      <c r="H77" s="3">
        <f t="shared" si="36"/>
        <v>148.0155219248214</v>
      </c>
      <c r="I77">
        <f t="shared" si="1"/>
        <v>1.4801552192482141E-4</v>
      </c>
      <c r="J77" s="4">
        <f t="shared" si="37"/>
        <v>328.81634273187638</v>
      </c>
      <c r="K77" s="40">
        <f t="shared" si="38"/>
        <v>2.2214990593951733</v>
      </c>
      <c r="L77" s="40">
        <f t="shared" si="4"/>
        <v>3.7785009406048267</v>
      </c>
      <c r="M77" s="10">
        <f t="shared" si="39"/>
        <v>0.10100000000000001</v>
      </c>
      <c r="N77" s="10">
        <f t="shared" si="5"/>
        <v>8.26</v>
      </c>
      <c r="O77" s="10">
        <f t="shared" si="6"/>
        <v>0.31900000000000001</v>
      </c>
      <c r="P77" s="10">
        <f t="shared" si="40"/>
        <v>3.9751961722975562</v>
      </c>
      <c r="Q77" s="45">
        <f t="shared" si="41"/>
        <v>0.23335718800675978</v>
      </c>
      <c r="R77" s="4">
        <f t="shared" si="42"/>
        <v>185013.35453694948</v>
      </c>
      <c r="S77">
        <f t="shared" si="9"/>
        <v>1.8501335453694948E-4</v>
      </c>
      <c r="T77" s="44">
        <f t="shared" si="10"/>
        <v>5.0854431098365933E-5</v>
      </c>
      <c r="U77" s="45">
        <f t="shared" si="43"/>
        <v>0.33201571538428271</v>
      </c>
      <c r="V77" s="45">
        <f t="shared" si="44"/>
        <v>9.8846043967970296E-2</v>
      </c>
      <c r="W77" s="45">
        <f t="shared" si="45"/>
        <v>0</v>
      </c>
      <c r="X77" s="45">
        <f t="shared" si="46"/>
        <v>9.8846043967970296E-2</v>
      </c>
      <c r="Y77" s="45">
        <f t="shared" si="29"/>
        <v>7.3046726909736792E-4</v>
      </c>
      <c r="Z77" s="10">
        <f t="shared" si="47"/>
        <v>14.363886357994073</v>
      </c>
      <c r="AA77">
        <f t="shared" si="14"/>
        <v>4744847.8778846422</v>
      </c>
      <c r="AB77" s="10">
        <f t="shared" si="15"/>
        <v>4.7448478778846424</v>
      </c>
      <c r="AC77" s="10">
        <f t="shared" si="16"/>
        <v>4.6438478778846424</v>
      </c>
      <c r="AD77" s="3">
        <f t="shared" si="17"/>
        <v>673.5094819267066</v>
      </c>
      <c r="AI77" s="100">
        <f t="shared" si="28"/>
        <v>0</v>
      </c>
    </row>
    <row r="78" spans="2:35">
      <c r="B78" s="39">
        <f t="shared" si="30"/>
        <v>50</v>
      </c>
      <c r="C78" s="45">
        <f t="shared" si="31"/>
        <v>1.4688249400478897</v>
      </c>
      <c r="D78" s="10">
        <f t="shared" si="32"/>
        <v>13.981175059952148</v>
      </c>
      <c r="E78" s="40">
        <f t="shared" si="33"/>
        <v>20.377649880095706</v>
      </c>
      <c r="F78" s="40">
        <f t="shared" si="34"/>
        <v>48.34</v>
      </c>
      <c r="G78" s="3">
        <f t="shared" si="35"/>
        <v>122.32470023980858</v>
      </c>
      <c r="H78" s="3">
        <f t="shared" si="36"/>
        <v>148.0155219248214</v>
      </c>
      <c r="I78">
        <f t="shared" si="1"/>
        <v>1.4801552192482141E-4</v>
      </c>
      <c r="J78" s="4">
        <f t="shared" si="37"/>
        <v>330.6942643878881</v>
      </c>
      <c r="K78" s="40">
        <f t="shared" si="38"/>
        <v>2.2341863886130207</v>
      </c>
      <c r="L78" s="40">
        <f t="shared" si="4"/>
        <v>3.7658136113869793</v>
      </c>
      <c r="M78" s="10">
        <f t="shared" si="39"/>
        <v>4.7448478778846424</v>
      </c>
      <c r="N78" s="10">
        <f t="shared" si="5"/>
        <v>8.26</v>
      </c>
      <c r="O78" s="10">
        <f t="shared" si="6"/>
        <v>0.31900000000000001</v>
      </c>
      <c r="P78" s="10">
        <f t="shared" si="40"/>
        <v>13.573597251127206</v>
      </c>
      <c r="Q78" s="45">
        <f t="shared" si="41"/>
        <v>0.23552142628917369</v>
      </c>
      <c r="R78" s="4">
        <f t="shared" si="42"/>
        <v>184606.08372187256</v>
      </c>
      <c r="S78">
        <f t="shared" si="9"/>
        <v>1.8460608372187256E-4</v>
      </c>
      <c r="T78" s="44">
        <f t="shared" si="10"/>
        <v>5.1261701913442851E-5</v>
      </c>
      <c r="U78" s="45">
        <f t="shared" si="43"/>
        <v>0.3312848475430864</v>
      </c>
      <c r="V78" s="45">
        <f t="shared" si="44"/>
        <v>0.33770211308762199</v>
      </c>
      <c r="W78" s="45">
        <f t="shared" si="45"/>
        <v>0.76786474822784045</v>
      </c>
      <c r="X78" s="45">
        <f t="shared" si="46"/>
        <v>-0.43016263514021846</v>
      </c>
      <c r="Y78" s="45">
        <f t="shared" si="29"/>
        <v>0</v>
      </c>
      <c r="Z78" s="10">
        <f t="shared" si="47"/>
        <v>0</v>
      </c>
      <c r="AA78">
        <f t="shared" si="14"/>
        <v>101000</v>
      </c>
      <c r="AB78" s="10">
        <f t="shared" si="15"/>
        <v>0.10100000000000001</v>
      </c>
      <c r="AC78" s="10">
        <f t="shared" si="16"/>
        <v>0</v>
      </c>
      <c r="AD78" s="3">
        <f t="shared" si="17"/>
        <v>0</v>
      </c>
      <c r="AI78" s="100">
        <f t="shared" si="28"/>
        <v>0.76786474822784045</v>
      </c>
    </row>
    <row r="79" spans="2:35">
      <c r="B79" s="39">
        <f t="shared" si="30"/>
        <v>51</v>
      </c>
      <c r="C79" s="45">
        <f t="shared" si="31"/>
        <v>1.4982014388488474</v>
      </c>
      <c r="D79" s="10">
        <f t="shared" si="32"/>
        <v>13.951798561151191</v>
      </c>
      <c r="E79" s="40">
        <f t="shared" si="33"/>
        <v>20.436402877697621</v>
      </c>
      <c r="F79" s="40">
        <f t="shared" si="34"/>
        <v>48.34</v>
      </c>
      <c r="G79" s="3">
        <f t="shared" si="35"/>
        <v>122.20719424460475</v>
      </c>
      <c r="H79" s="3">
        <f t="shared" si="36"/>
        <v>148.0155219248214</v>
      </c>
      <c r="I79">
        <f t="shared" si="1"/>
        <v>1.4801552192482141E-4</v>
      </c>
      <c r="J79" s="4">
        <f t="shared" si="37"/>
        <v>332.57760829887366</v>
      </c>
      <c r="K79" s="40">
        <f t="shared" si="38"/>
        <v>2.2469103508468065</v>
      </c>
      <c r="L79" s="40">
        <f t="shared" si="4"/>
        <v>3.7530896491531935</v>
      </c>
      <c r="M79" s="10">
        <f t="shared" si="39"/>
        <v>0.10100000000000001</v>
      </c>
      <c r="N79" s="10">
        <f t="shared" si="5"/>
        <v>8.26</v>
      </c>
      <c r="O79" s="10">
        <f t="shared" si="6"/>
        <v>0.31900000000000001</v>
      </c>
      <c r="P79" s="10">
        <f t="shared" si="40"/>
        <v>3.9751961722975562</v>
      </c>
      <c r="Q79" s="45">
        <f t="shared" si="41"/>
        <v>0.24291137574768784</v>
      </c>
      <c r="R79" s="4">
        <f t="shared" si="42"/>
        <v>184198.59160233507</v>
      </c>
      <c r="S79">
        <f t="shared" si="9"/>
        <v>1.8419859160233507E-4</v>
      </c>
      <c r="T79" s="44">
        <f t="shared" si="10"/>
        <v>5.1669194032980339E-5</v>
      </c>
      <c r="U79" s="45">
        <f t="shared" si="43"/>
        <v>0.33055358255997036</v>
      </c>
      <c r="V79" s="45">
        <f t="shared" si="44"/>
        <v>9.8953989769650336E-2</v>
      </c>
      <c r="W79" s="45">
        <f t="shared" si="45"/>
        <v>0</v>
      </c>
      <c r="X79" s="45">
        <f t="shared" si="46"/>
        <v>9.8953989769650336E-2</v>
      </c>
      <c r="Y79" s="45">
        <f t="shared" si="29"/>
        <v>7.3126498311604227E-4</v>
      </c>
      <c r="Z79" s="10">
        <f t="shared" si="47"/>
        <v>14.15282349187172</v>
      </c>
      <c r="AA79">
        <f t="shared" si="14"/>
        <v>4676611.2030381411</v>
      </c>
      <c r="AB79" s="10">
        <f t="shared" si="15"/>
        <v>4.6766112030381413</v>
      </c>
      <c r="AC79" s="10">
        <f t="shared" si="16"/>
        <v>4.5756112030381413</v>
      </c>
      <c r="AD79" s="3">
        <f t="shared" si="17"/>
        <v>663.61293735143454</v>
      </c>
      <c r="AI79" s="100">
        <f t="shared" si="28"/>
        <v>0</v>
      </c>
    </row>
    <row r="80" spans="2:35">
      <c r="B80" s="39">
        <f t="shared" si="30"/>
        <v>52</v>
      </c>
      <c r="C80" s="45">
        <f t="shared" si="31"/>
        <v>1.5275779376498051</v>
      </c>
      <c r="D80" s="10">
        <f t="shared" si="32"/>
        <v>13.922422062350234</v>
      </c>
      <c r="E80" s="40">
        <f t="shared" si="33"/>
        <v>20.495155875299535</v>
      </c>
      <c r="F80" s="40">
        <f t="shared" si="34"/>
        <v>48.34</v>
      </c>
      <c r="G80" s="3">
        <f t="shared" si="35"/>
        <v>122.08968824940092</v>
      </c>
      <c r="H80" s="3">
        <f t="shared" si="36"/>
        <v>148.0155219248214</v>
      </c>
      <c r="I80">
        <f t="shared" si="1"/>
        <v>1.4801552192482141E-4</v>
      </c>
      <c r="J80" s="4">
        <f t="shared" si="37"/>
        <v>334.46637446483305</v>
      </c>
      <c r="K80" s="40">
        <f t="shared" si="38"/>
        <v>2.2596709460965312</v>
      </c>
      <c r="L80" s="40">
        <f t="shared" si="4"/>
        <v>3.7403290539034688</v>
      </c>
      <c r="M80" s="10">
        <f t="shared" si="39"/>
        <v>4.6766112030381413</v>
      </c>
      <c r="N80" s="10">
        <f t="shared" si="5"/>
        <v>8.26</v>
      </c>
      <c r="O80" s="10">
        <f t="shared" si="6"/>
        <v>0.31900000000000001</v>
      </c>
      <c r="P80" s="10">
        <f t="shared" si="40"/>
        <v>13.511019509110756</v>
      </c>
      <c r="Q80" s="45">
        <f t="shared" si="41"/>
        <v>0.24508563793279894</v>
      </c>
      <c r="R80" s="4">
        <f t="shared" si="42"/>
        <v>183790.88008977933</v>
      </c>
      <c r="S80">
        <f t="shared" si="9"/>
        <v>1.8379088008977932E-4</v>
      </c>
      <c r="T80" s="44">
        <f t="shared" si="10"/>
        <v>5.2076905545536093E-5</v>
      </c>
      <c r="U80" s="45">
        <f t="shared" si="43"/>
        <v>0.32982192386511344</v>
      </c>
      <c r="V80" s="45">
        <f t="shared" si="44"/>
        <v>0.33650895456268576</v>
      </c>
      <c r="W80" s="45">
        <f t="shared" si="45"/>
        <v>0.75658174789519805</v>
      </c>
      <c r="X80" s="45">
        <f t="shared" si="46"/>
        <v>-0.4200727933325123</v>
      </c>
      <c r="Y80" s="45">
        <f t="shared" si="29"/>
        <v>0</v>
      </c>
      <c r="Z80" s="10">
        <f t="shared" si="47"/>
        <v>0</v>
      </c>
      <c r="AA80">
        <f t="shared" si="14"/>
        <v>101000</v>
      </c>
      <c r="AB80" s="10">
        <f t="shared" si="15"/>
        <v>0.10100000000000001</v>
      </c>
      <c r="AC80" s="10">
        <f t="shared" si="16"/>
        <v>0</v>
      </c>
      <c r="AD80" s="3">
        <f t="shared" si="17"/>
        <v>0</v>
      </c>
      <c r="AI80" s="100">
        <f t="shared" si="28"/>
        <v>0.75658174789519805</v>
      </c>
    </row>
    <row r="81" spans="2:35">
      <c r="B81" s="39">
        <f t="shared" si="30"/>
        <v>53</v>
      </c>
      <c r="C81" s="45">
        <f t="shared" si="31"/>
        <v>1.5569544364507628</v>
      </c>
      <c r="D81" s="10">
        <f t="shared" si="32"/>
        <v>13.893045563549277</v>
      </c>
      <c r="E81" s="40">
        <f t="shared" si="33"/>
        <v>20.553908872901449</v>
      </c>
      <c r="F81" s="40">
        <f t="shared" si="34"/>
        <v>48.34</v>
      </c>
      <c r="G81" s="3">
        <f t="shared" si="35"/>
        <v>121.97218225419709</v>
      </c>
      <c r="H81" s="3">
        <f t="shared" si="36"/>
        <v>148.0155219248214</v>
      </c>
      <c r="I81">
        <f t="shared" si="1"/>
        <v>1.4801552192482141E-4</v>
      </c>
      <c r="J81" s="4">
        <f t="shared" si="37"/>
        <v>336.36056288576651</v>
      </c>
      <c r="K81" s="40">
        <f t="shared" si="38"/>
        <v>2.2724681743621962</v>
      </c>
      <c r="L81" s="40">
        <f t="shared" si="4"/>
        <v>3.7275318256378038</v>
      </c>
      <c r="M81" s="10">
        <f t="shared" si="39"/>
        <v>0.10100000000000001</v>
      </c>
      <c r="N81" s="10">
        <f t="shared" si="5"/>
        <v>8.26</v>
      </c>
      <c r="O81" s="10">
        <f t="shared" si="6"/>
        <v>0.31900000000000001</v>
      </c>
      <c r="P81" s="10">
        <f t="shared" si="40"/>
        <v>3.9751961722975562</v>
      </c>
      <c r="Q81" s="45">
        <f t="shared" si="41"/>
        <v>0.25247558739131309</v>
      </c>
      <c r="R81" s="4">
        <f t="shared" si="42"/>
        <v>183382.95109564773</v>
      </c>
      <c r="S81">
        <f t="shared" si="9"/>
        <v>1.8338295109564774E-4</v>
      </c>
      <c r="T81" s="44">
        <f t="shared" si="10"/>
        <v>5.2484834539667671E-5</v>
      </c>
      <c r="U81" s="45">
        <f t="shared" si="43"/>
        <v>0.32908987488869462</v>
      </c>
      <c r="V81" s="45">
        <f t="shared" si="44"/>
        <v>9.9060078898835696E-2</v>
      </c>
      <c r="W81" s="45">
        <f t="shared" si="45"/>
        <v>0</v>
      </c>
      <c r="X81" s="45">
        <f t="shared" si="46"/>
        <v>9.9060078898835696E-2</v>
      </c>
      <c r="Y81" s="45">
        <f t="shared" si="29"/>
        <v>7.3204897641881983E-4</v>
      </c>
      <c r="Z81" s="10">
        <f t="shared" si="47"/>
        <v>13.947819076490417</v>
      </c>
      <c r="AA81">
        <f t="shared" si="14"/>
        <v>4610333.2267580228</v>
      </c>
      <c r="AB81" s="10">
        <f t="shared" si="15"/>
        <v>4.6103332267580228</v>
      </c>
      <c r="AC81" s="10">
        <f t="shared" si="16"/>
        <v>4.5093332267580228</v>
      </c>
      <c r="AD81" s="3">
        <f t="shared" si="17"/>
        <v>654.00046798520998</v>
      </c>
      <c r="AI81" s="100">
        <f t="shared" si="28"/>
        <v>0</v>
      </c>
    </row>
    <row r="82" spans="2:35">
      <c r="B82" s="39">
        <f t="shared" si="30"/>
        <v>54</v>
      </c>
      <c r="C82" s="45">
        <f t="shared" si="31"/>
        <v>1.5863309352517205</v>
      </c>
      <c r="D82" s="10">
        <f t="shared" si="32"/>
        <v>13.86366906474832</v>
      </c>
      <c r="E82" s="40">
        <f t="shared" si="33"/>
        <v>20.612661870503363</v>
      </c>
      <c r="F82" s="40">
        <f t="shared" si="34"/>
        <v>48.34</v>
      </c>
      <c r="G82" s="3">
        <f t="shared" si="35"/>
        <v>121.85467625899327</v>
      </c>
      <c r="H82" s="3">
        <f t="shared" si="36"/>
        <v>148.0155219248214</v>
      </c>
      <c r="I82">
        <f t="shared" si="1"/>
        <v>1.4801552192482141E-4</v>
      </c>
      <c r="J82" s="4">
        <f t="shared" si="37"/>
        <v>338.26017356167381</v>
      </c>
      <c r="K82" s="40">
        <f t="shared" si="38"/>
        <v>2.2853020356437996</v>
      </c>
      <c r="L82" s="40">
        <f t="shared" si="4"/>
        <v>3.7146979643562004</v>
      </c>
      <c r="M82" s="10">
        <f t="shared" si="39"/>
        <v>4.6103332267580228</v>
      </c>
      <c r="N82" s="10">
        <f t="shared" si="5"/>
        <v>8.26</v>
      </c>
      <c r="O82" s="10">
        <f t="shared" si="6"/>
        <v>0.31900000000000001</v>
      </c>
      <c r="P82" s="10">
        <f t="shared" si="40"/>
        <v>13.449639887280687</v>
      </c>
      <c r="Q82" s="45">
        <f t="shared" si="41"/>
        <v>0.2546597721759733</v>
      </c>
      <c r="R82" s="4">
        <f t="shared" si="42"/>
        <v>182974.80653138272</v>
      </c>
      <c r="S82">
        <f t="shared" si="9"/>
        <v>1.8297480653138272E-4</v>
      </c>
      <c r="T82" s="44">
        <f t="shared" si="10"/>
        <v>5.289297910393269E-5</v>
      </c>
      <c r="U82" s="45">
        <f t="shared" si="43"/>
        <v>0.32835743906089288</v>
      </c>
      <c r="V82" s="45">
        <f t="shared" si="44"/>
        <v>0.33533601778829958</v>
      </c>
      <c r="W82" s="45">
        <f t="shared" si="45"/>
        <v>0.74562262026921589</v>
      </c>
      <c r="X82" s="45">
        <f t="shared" si="46"/>
        <v>-0.41028660248091631</v>
      </c>
      <c r="Y82" s="45">
        <f t="shared" si="29"/>
        <v>0</v>
      </c>
      <c r="Z82" s="10">
        <f t="shared" si="47"/>
        <v>0</v>
      </c>
      <c r="AA82">
        <f t="shared" si="14"/>
        <v>101000</v>
      </c>
      <c r="AB82" s="10">
        <f t="shared" si="15"/>
        <v>0.10100000000000001</v>
      </c>
      <c r="AC82" s="10">
        <f t="shared" si="16"/>
        <v>0</v>
      </c>
      <c r="AD82" s="3">
        <f t="shared" si="17"/>
        <v>0</v>
      </c>
      <c r="AI82" s="100">
        <f t="shared" si="28"/>
        <v>0.74562262026921589</v>
      </c>
    </row>
    <row r="83" spans="2:35">
      <c r="B83" s="39">
        <f t="shared" si="30"/>
        <v>55</v>
      </c>
      <c r="C83" s="45">
        <f t="shared" si="31"/>
        <v>1.6157074340526782</v>
      </c>
      <c r="D83" s="10">
        <f t="shared" si="32"/>
        <v>13.834292565947363</v>
      </c>
      <c r="E83" s="40">
        <f t="shared" si="33"/>
        <v>20.671414868105277</v>
      </c>
      <c r="F83" s="40">
        <f t="shared" si="34"/>
        <v>48.34</v>
      </c>
      <c r="G83" s="3">
        <f t="shared" si="35"/>
        <v>121.73717026378944</v>
      </c>
      <c r="H83" s="3">
        <f t="shared" si="36"/>
        <v>148.0155219248214</v>
      </c>
      <c r="I83">
        <f t="shared" si="1"/>
        <v>1.4801552192482141E-4</v>
      </c>
      <c r="J83" s="4">
        <f t="shared" si="37"/>
        <v>340.16520649255494</v>
      </c>
      <c r="K83" s="40">
        <f t="shared" si="38"/>
        <v>2.298172529941342</v>
      </c>
      <c r="L83" s="40">
        <f t="shared" si="4"/>
        <v>3.701827470058658</v>
      </c>
      <c r="M83" s="10">
        <f t="shared" si="39"/>
        <v>0.10100000000000001</v>
      </c>
      <c r="N83" s="10">
        <f t="shared" si="5"/>
        <v>8.26</v>
      </c>
      <c r="O83" s="10">
        <f t="shared" si="6"/>
        <v>0.31900000000000001</v>
      </c>
      <c r="P83" s="10">
        <f t="shared" si="40"/>
        <v>3.9751961722975562</v>
      </c>
      <c r="Q83" s="45">
        <f t="shared" si="41"/>
        <v>0.26204972163448742</v>
      </c>
      <c r="R83" s="4">
        <f t="shared" si="42"/>
        <v>182566.44830842671</v>
      </c>
      <c r="S83">
        <f t="shared" si="9"/>
        <v>1.825664483084267E-4</v>
      </c>
      <c r="T83" s="44">
        <f t="shared" si="10"/>
        <v>5.3301337326888709E-5</v>
      </c>
      <c r="U83" s="45">
        <f t="shared" si="43"/>
        <v>0.32762461981188717</v>
      </c>
      <c r="V83" s="45">
        <f t="shared" si="44"/>
        <v>9.9164311355526738E-2</v>
      </c>
      <c r="W83" s="45">
        <f t="shared" si="45"/>
        <v>0</v>
      </c>
      <c r="X83" s="45">
        <f t="shared" si="46"/>
        <v>9.9164311355526738E-2</v>
      </c>
      <c r="Y83" s="45">
        <f t="shared" si="29"/>
        <v>7.3281924900570061E-4</v>
      </c>
      <c r="Z83" s="10">
        <f t="shared" si="47"/>
        <v>13.748609054805428</v>
      </c>
      <c r="AA83">
        <f t="shared" si="14"/>
        <v>4545928.579338883</v>
      </c>
      <c r="AB83" s="10">
        <f t="shared" si="15"/>
        <v>4.5459285793388826</v>
      </c>
      <c r="AC83" s="10">
        <f t="shared" si="16"/>
        <v>4.4449285793388826</v>
      </c>
      <c r="AD83" s="3">
        <f t="shared" si="17"/>
        <v>644.65969243493589</v>
      </c>
      <c r="AI83" s="100">
        <f t="shared" si="28"/>
        <v>0</v>
      </c>
    </row>
    <row r="84" spans="2:35">
      <c r="B84" s="39">
        <f t="shared" si="30"/>
        <v>56</v>
      </c>
      <c r="C84" s="45">
        <f t="shared" si="31"/>
        <v>1.645083932853636</v>
      </c>
      <c r="D84" s="10">
        <f t="shared" si="32"/>
        <v>13.804916067146406</v>
      </c>
      <c r="E84" s="40">
        <f t="shared" si="33"/>
        <v>20.730167865707191</v>
      </c>
      <c r="F84" s="40">
        <f t="shared" si="34"/>
        <v>48.34</v>
      </c>
      <c r="G84" s="3">
        <f t="shared" si="35"/>
        <v>121.61966426858561</v>
      </c>
      <c r="H84" s="3">
        <f t="shared" si="36"/>
        <v>148.0155219248214</v>
      </c>
      <c r="I84">
        <f t="shared" si="1"/>
        <v>1.4801552192482141E-4</v>
      </c>
      <c r="J84" s="4">
        <f t="shared" si="37"/>
        <v>342.07566167841014</v>
      </c>
      <c r="K84" s="40">
        <f t="shared" si="38"/>
        <v>2.3110796572548242</v>
      </c>
      <c r="L84" s="40">
        <f t="shared" si="4"/>
        <v>3.6889203427451758</v>
      </c>
      <c r="M84" s="10">
        <f t="shared" si="39"/>
        <v>4.5459285793388826</v>
      </c>
      <c r="N84" s="10">
        <f t="shared" si="5"/>
        <v>8.26</v>
      </c>
      <c r="O84" s="10">
        <f t="shared" si="6"/>
        <v>0.31900000000000001</v>
      </c>
      <c r="P84" s="10">
        <f t="shared" si="40"/>
        <v>13.389416751026568</v>
      </c>
      <c r="Q84" s="45">
        <f t="shared" si="41"/>
        <v>0.26424373048096728</v>
      </c>
      <c r="R84" s="4">
        <f t="shared" si="42"/>
        <v>182157.87833822201</v>
      </c>
      <c r="S84">
        <f t="shared" si="9"/>
        <v>1.8215787833822202E-4</v>
      </c>
      <c r="T84" s="44">
        <f t="shared" si="10"/>
        <v>5.3709907297093396E-5</v>
      </c>
      <c r="U84" s="45">
        <f t="shared" si="43"/>
        <v>0.32689142057185633</v>
      </c>
      <c r="V84" s="45">
        <f t="shared" si="44"/>
        <v>0.33418244470947173</v>
      </c>
      <c r="W84" s="45">
        <f t="shared" si="45"/>
        <v>0.73497324938635067</v>
      </c>
      <c r="X84" s="45">
        <f t="shared" si="46"/>
        <v>-0.40079080467687894</v>
      </c>
      <c r="Y84" s="45">
        <f t="shared" si="29"/>
        <v>0</v>
      </c>
      <c r="Z84" s="10">
        <f t="shared" si="47"/>
        <v>0</v>
      </c>
      <c r="AA84">
        <f t="shared" si="14"/>
        <v>101000</v>
      </c>
      <c r="AB84" s="10">
        <f t="shared" si="15"/>
        <v>0.10100000000000001</v>
      </c>
      <c r="AC84" s="10">
        <f t="shared" si="16"/>
        <v>0</v>
      </c>
      <c r="AD84" s="3">
        <f t="shared" si="17"/>
        <v>0</v>
      </c>
      <c r="AI84" s="100">
        <f t="shared" si="28"/>
        <v>0.73497324938635067</v>
      </c>
    </row>
    <row r="85" spans="2:35">
      <c r="B85" s="39">
        <f t="shared" si="30"/>
        <v>57</v>
      </c>
      <c r="C85" s="45">
        <f t="shared" si="31"/>
        <v>1.6744604316545937</v>
      </c>
      <c r="D85" s="10">
        <f t="shared" si="32"/>
        <v>13.775539568345449</v>
      </c>
      <c r="E85" s="40">
        <f t="shared" si="33"/>
        <v>20.788920863309105</v>
      </c>
      <c r="F85" s="40">
        <f t="shared" si="34"/>
        <v>48.34</v>
      </c>
      <c r="G85" s="3">
        <f t="shared" si="35"/>
        <v>121.50215827338178</v>
      </c>
      <c r="H85" s="3">
        <f t="shared" si="36"/>
        <v>148.0155219248214</v>
      </c>
      <c r="I85">
        <f t="shared" si="1"/>
        <v>1.4801552192482141E-4</v>
      </c>
      <c r="J85" s="4">
        <f t="shared" si="37"/>
        <v>343.99153911923918</v>
      </c>
      <c r="K85" s="40">
        <f t="shared" si="38"/>
        <v>2.3240234175842449</v>
      </c>
      <c r="L85" s="40">
        <f t="shared" si="4"/>
        <v>3.6759765824157551</v>
      </c>
      <c r="M85" s="10">
        <f t="shared" si="39"/>
        <v>0.10100000000000001</v>
      </c>
      <c r="N85" s="10">
        <f t="shared" si="5"/>
        <v>8.26</v>
      </c>
      <c r="O85" s="10">
        <f t="shared" si="6"/>
        <v>0.31900000000000001</v>
      </c>
      <c r="P85" s="10">
        <f t="shared" si="40"/>
        <v>3.9751961722975562</v>
      </c>
      <c r="Q85" s="45">
        <f t="shared" si="41"/>
        <v>0.2716336799394814</v>
      </c>
      <c r="R85" s="4">
        <f t="shared" si="42"/>
        <v>181749.09853221115</v>
      </c>
      <c r="S85">
        <f t="shared" si="9"/>
        <v>1.8174909853221116E-4</v>
      </c>
      <c r="T85" s="44">
        <f t="shared" si="10"/>
        <v>5.4118687103104257E-5</v>
      </c>
      <c r="U85" s="45">
        <f t="shared" si="43"/>
        <v>0.32615784477097948</v>
      </c>
      <c r="V85" s="45">
        <f t="shared" si="44"/>
        <v>9.9266687139745249E-2</v>
      </c>
      <c r="W85" s="45">
        <f t="shared" si="45"/>
        <v>0</v>
      </c>
      <c r="X85" s="45">
        <f t="shared" si="46"/>
        <v>9.9266687139745249E-2</v>
      </c>
      <c r="Y85" s="45">
        <f t="shared" si="29"/>
        <v>7.3357580087685115E-4</v>
      </c>
      <c r="Z85" s="10">
        <f t="shared" si="47"/>
        <v>13.554944514438768</v>
      </c>
      <c r="AA85">
        <f t="shared" si="14"/>
        <v>4483316.7873496851</v>
      </c>
      <c r="AB85" s="10">
        <f t="shared" si="15"/>
        <v>4.4833167873496853</v>
      </c>
      <c r="AC85" s="10">
        <f t="shared" si="16"/>
        <v>4.3823167873496853</v>
      </c>
      <c r="AD85" s="3">
        <f t="shared" si="17"/>
        <v>635.5789394270754</v>
      </c>
      <c r="AI85" s="100">
        <f t="shared" si="28"/>
        <v>0</v>
      </c>
    </row>
    <row r="86" spans="2:35">
      <c r="B86" s="39">
        <f t="shared" si="30"/>
        <v>58</v>
      </c>
      <c r="C86" s="45">
        <f t="shared" si="31"/>
        <v>1.7038369304555514</v>
      </c>
      <c r="D86" s="10">
        <f t="shared" si="32"/>
        <v>13.746163069544492</v>
      </c>
      <c r="E86" s="40">
        <f t="shared" si="33"/>
        <v>20.847673860911019</v>
      </c>
      <c r="F86" s="40">
        <f t="shared" si="34"/>
        <v>48.34</v>
      </c>
      <c r="G86" s="3">
        <f t="shared" si="35"/>
        <v>121.38465227817795</v>
      </c>
      <c r="H86" s="3">
        <f t="shared" si="36"/>
        <v>148.0155219248214</v>
      </c>
      <c r="I86">
        <f t="shared" si="1"/>
        <v>1.4801552192482141E-4</v>
      </c>
      <c r="J86" s="4">
        <f t="shared" si="37"/>
        <v>345.91283881504228</v>
      </c>
      <c r="K86" s="40">
        <f t="shared" si="38"/>
        <v>2.3370038109296063</v>
      </c>
      <c r="L86" s="40">
        <f t="shared" si="4"/>
        <v>3.6629961890703937</v>
      </c>
      <c r="M86" s="10">
        <f t="shared" si="39"/>
        <v>4.4833167873496853</v>
      </c>
      <c r="N86" s="10">
        <f t="shared" si="5"/>
        <v>8.26</v>
      </c>
      <c r="O86" s="10">
        <f t="shared" si="6"/>
        <v>0.31900000000000001</v>
      </c>
      <c r="P86" s="10">
        <f t="shared" si="40"/>
        <v>13.33031046994642</v>
      </c>
      <c r="Q86" s="45">
        <f t="shared" si="41"/>
        <v>0.27383741696925185</v>
      </c>
      <c r="R86" s="4">
        <f t="shared" si="42"/>
        <v>181340.11080183642</v>
      </c>
      <c r="S86">
        <f t="shared" si="9"/>
        <v>1.8134011080183642E-4</v>
      </c>
      <c r="T86" s="44">
        <f t="shared" si="10"/>
        <v>5.4527674833478989E-5</v>
      </c>
      <c r="U86" s="45">
        <f t="shared" si="43"/>
        <v>0.32542389583943554</v>
      </c>
      <c r="V86" s="45">
        <f t="shared" si="44"/>
        <v>0.33304741973700436</v>
      </c>
      <c r="W86" s="45">
        <f t="shared" si="45"/>
        <v>0.72462032888677153</v>
      </c>
      <c r="X86" s="45">
        <f t="shared" si="46"/>
        <v>-0.39157290914976717</v>
      </c>
      <c r="Y86" s="45">
        <f t="shared" si="29"/>
        <v>0</v>
      </c>
      <c r="Z86" s="10">
        <f t="shared" si="47"/>
        <v>0</v>
      </c>
      <c r="AA86">
        <f t="shared" si="14"/>
        <v>101000</v>
      </c>
      <c r="AB86" s="10">
        <f t="shared" si="15"/>
        <v>0.10100000000000001</v>
      </c>
      <c r="AC86" s="10">
        <f t="shared" si="16"/>
        <v>0</v>
      </c>
      <c r="AD86" s="3">
        <f t="shared" si="17"/>
        <v>0</v>
      </c>
      <c r="AI86" s="100">
        <f t="shared" si="28"/>
        <v>0.72462032888677153</v>
      </c>
    </row>
    <row r="87" spans="2:35">
      <c r="B87" s="39">
        <f t="shared" si="30"/>
        <v>59</v>
      </c>
      <c r="C87" s="45">
        <f t="shared" si="31"/>
        <v>1.7332134292565091</v>
      </c>
      <c r="D87" s="10">
        <f t="shared" si="32"/>
        <v>13.716786570743535</v>
      </c>
      <c r="E87" s="40">
        <f t="shared" si="33"/>
        <v>20.906426858512933</v>
      </c>
      <c r="F87" s="40">
        <f t="shared" si="34"/>
        <v>48.34</v>
      </c>
      <c r="G87" s="3">
        <f t="shared" si="35"/>
        <v>121.26714628297412</v>
      </c>
      <c r="H87" s="3">
        <f t="shared" si="36"/>
        <v>148.0155219248214</v>
      </c>
      <c r="I87">
        <f t="shared" si="1"/>
        <v>1.4801552192482141E-4</v>
      </c>
      <c r="J87" s="4">
        <f t="shared" si="37"/>
        <v>347.83956076581899</v>
      </c>
      <c r="K87" s="40">
        <f t="shared" si="38"/>
        <v>2.3500208372909044</v>
      </c>
      <c r="L87" s="40">
        <f t="shared" si="4"/>
        <v>3.6499791627090956</v>
      </c>
      <c r="M87" s="10">
        <f t="shared" si="39"/>
        <v>0.10100000000000001</v>
      </c>
      <c r="N87" s="10">
        <f t="shared" si="5"/>
        <v>8.26</v>
      </c>
      <c r="O87" s="10">
        <f t="shared" si="6"/>
        <v>0.31900000000000001</v>
      </c>
      <c r="P87" s="10">
        <f t="shared" si="40"/>
        <v>3.9751961722975562</v>
      </c>
      <c r="Q87" s="45">
        <f t="shared" si="41"/>
        <v>0.28122736642776597</v>
      </c>
      <c r="R87" s="4">
        <f t="shared" si="42"/>
        <v>180930.91705854028</v>
      </c>
      <c r="S87">
        <f t="shared" si="9"/>
        <v>1.8093091705854026E-4</v>
      </c>
      <c r="T87" s="44">
        <f t="shared" si="10"/>
        <v>5.4936868576775151E-5</v>
      </c>
      <c r="U87" s="45">
        <f t="shared" si="43"/>
        <v>0.32468957720740343</v>
      </c>
      <c r="V87" s="45">
        <f t="shared" si="44"/>
        <v>9.9367206251469067E-2</v>
      </c>
      <c r="W87" s="45">
        <f t="shared" si="45"/>
        <v>0</v>
      </c>
      <c r="X87" s="45">
        <f t="shared" si="46"/>
        <v>9.9367206251469067E-2</v>
      </c>
      <c r="Y87" s="45">
        <f t="shared" si="29"/>
        <v>7.343186320321049E-4</v>
      </c>
      <c r="Z87" s="10">
        <f t="shared" si="47"/>
        <v>13.366590616752807</v>
      </c>
      <c r="AA87">
        <f t="shared" si="14"/>
        <v>4422421.9274029927</v>
      </c>
      <c r="AB87" s="10">
        <f t="shared" si="15"/>
        <v>4.4224219274029926</v>
      </c>
      <c r="AC87" s="10">
        <f t="shared" si="16"/>
        <v>4.3214219274029926</v>
      </c>
      <c r="AD87" s="3">
        <f t="shared" si="17"/>
        <v>626.74719759289235</v>
      </c>
      <c r="AI87" s="100">
        <f t="shared" si="28"/>
        <v>0</v>
      </c>
    </row>
    <row r="88" spans="2:35">
      <c r="B88" s="39">
        <f t="shared" si="30"/>
        <v>60</v>
      </c>
      <c r="C88" s="45">
        <f t="shared" si="31"/>
        <v>1.7625899280574668</v>
      </c>
      <c r="D88" s="10">
        <f t="shared" si="32"/>
        <v>13.687410071942578</v>
      </c>
      <c r="E88" s="40">
        <f t="shared" si="33"/>
        <v>20.965179856114847</v>
      </c>
      <c r="F88" s="40">
        <f t="shared" si="34"/>
        <v>48.34</v>
      </c>
      <c r="G88" s="3">
        <f t="shared" si="35"/>
        <v>121.1496402877703</v>
      </c>
      <c r="H88" s="3">
        <f t="shared" si="36"/>
        <v>148.0155219248214</v>
      </c>
      <c r="I88">
        <f t="shared" si="1"/>
        <v>1.4801552192482141E-4</v>
      </c>
      <c r="J88" s="4">
        <f t="shared" si="37"/>
        <v>349.77170497156976</v>
      </c>
      <c r="K88" s="40">
        <f t="shared" si="38"/>
        <v>2.3630744966681427</v>
      </c>
      <c r="L88" s="40">
        <f t="shared" si="4"/>
        <v>3.6369255033318573</v>
      </c>
      <c r="M88" s="10">
        <f t="shared" si="39"/>
        <v>4.4224219274029926</v>
      </c>
      <c r="N88" s="10">
        <f t="shared" si="5"/>
        <v>8.26</v>
      </c>
      <c r="O88" s="10">
        <f t="shared" si="6"/>
        <v>0.31900000000000001</v>
      </c>
      <c r="P88" s="10">
        <f t="shared" si="40"/>
        <v>13.272283294375047</v>
      </c>
      <c r="Q88" s="45">
        <f t="shared" si="41"/>
        <v>0.28344073832086047</v>
      </c>
      <c r="R88" s="4">
        <f t="shared" si="42"/>
        <v>180521.51921376513</v>
      </c>
      <c r="S88">
        <f t="shared" si="9"/>
        <v>1.8052151921376514E-4</v>
      </c>
      <c r="T88" s="44">
        <f t="shared" si="10"/>
        <v>5.5346266421550276E-5</v>
      </c>
      <c r="U88" s="45">
        <f t="shared" si="43"/>
        <v>0.32395489230506219</v>
      </c>
      <c r="V88" s="45">
        <f t="shared" si="44"/>
        <v>0.33193016710539436</v>
      </c>
      <c r="W88" s="45">
        <f t="shared" si="45"/>
        <v>0.71455130476476758</v>
      </c>
      <c r="X88" s="45">
        <f t="shared" si="46"/>
        <v>-0.38262113765937322</v>
      </c>
      <c r="Y88" s="45">
        <f t="shared" si="29"/>
        <v>0</v>
      </c>
      <c r="Z88" s="10">
        <f t="shared" si="47"/>
        <v>0</v>
      </c>
      <c r="AA88">
        <f t="shared" si="14"/>
        <v>101000</v>
      </c>
      <c r="AB88" s="10">
        <f t="shared" si="15"/>
        <v>0.10100000000000001</v>
      </c>
      <c r="AC88" s="10">
        <f t="shared" si="16"/>
        <v>0</v>
      </c>
      <c r="AD88" s="3">
        <f t="shared" si="17"/>
        <v>0</v>
      </c>
      <c r="AI88" s="100">
        <f t="shared" si="28"/>
        <v>0.71455130476476758</v>
      </c>
    </row>
    <row r="89" spans="2:35">
      <c r="B89" s="39">
        <f t="shared" si="30"/>
        <v>61</v>
      </c>
      <c r="C89" s="45">
        <f t="shared" si="31"/>
        <v>1.7919664268584246</v>
      </c>
      <c r="D89" s="10">
        <f t="shared" si="32"/>
        <v>13.658033573141621</v>
      </c>
      <c r="E89" s="40">
        <f t="shared" si="33"/>
        <v>21.023932853716762</v>
      </c>
      <c r="F89" s="40">
        <f t="shared" si="34"/>
        <v>48.34</v>
      </c>
      <c r="G89" s="3">
        <f t="shared" si="35"/>
        <v>121.03213429256647</v>
      </c>
      <c r="H89" s="3">
        <f t="shared" si="36"/>
        <v>148.0155219248214</v>
      </c>
      <c r="I89">
        <f t="shared" si="1"/>
        <v>1.4801552192482141E-4</v>
      </c>
      <c r="J89" s="4">
        <f t="shared" si="37"/>
        <v>351.7092714322946</v>
      </c>
      <c r="K89" s="40">
        <f t="shared" si="38"/>
        <v>2.3761647890613213</v>
      </c>
      <c r="L89" s="40">
        <f t="shared" si="4"/>
        <v>3.6238352109386787</v>
      </c>
      <c r="M89" s="10">
        <f t="shared" si="39"/>
        <v>0.10100000000000001</v>
      </c>
      <c r="N89" s="10">
        <f t="shared" si="5"/>
        <v>8.26</v>
      </c>
      <c r="O89" s="10">
        <f t="shared" si="6"/>
        <v>0.31900000000000001</v>
      </c>
      <c r="P89" s="10">
        <f t="shared" si="40"/>
        <v>3.9751961722975562</v>
      </c>
      <c r="Q89" s="45">
        <f t="shared" si="41"/>
        <v>0.2908306877793746</v>
      </c>
      <c r="R89" s="4">
        <f t="shared" si="42"/>
        <v>180111.91917895331</v>
      </c>
      <c r="S89">
        <f t="shared" si="9"/>
        <v>1.801119191789533E-4</v>
      </c>
      <c r="T89" s="44">
        <f t="shared" si="10"/>
        <v>5.5755866456362114E-5</v>
      </c>
      <c r="U89" s="45">
        <f t="shared" si="43"/>
        <v>0.32321984456259062</v>
      </c>
      <c r="V89" s="45">
        <f t="shared" si="44"/>
        <v>9.9465868690713208E-2</v>
      </c>
      <c r="W89" s="45">
        <f t="shared" si="45"/>
        <v>0</v>
      </c>
      <c r="X89" s="45">
        <f t="shared" si="46"/>
        <v>9.9465868690713208E-2</v>
      </c>
      <c r="Y89" s="45">
        <f t="shared" si="29"/>
        <v>7.350477424715729E-4</v>
      </c>
      <c r="Z89" s="10">
        <f t="shared" si="47"/>
        <v>13.183325615554111</v>
      </c>
      <c r="AA89">
        <f t="shared" si="14"/>
        <v>4363172.3089016983</v>
      </c>
      <c r="AB89" s="10">
        <f t="shared" si="15"/>
        <v>4.3631723089016985</v>
      </c>
      <c r="AC89" s="10">
        <f t="shared" si="16"/>
        <v>4.2621723089016985</v>
      </c>
      <c r="AD89" s="3">
        <f t="shared" si="17"/>
        <v>618.15406945637392</v>
      </c>
      <c r="AI89" s="100">
        <f t="shared" si="28"/>
        <v>0</v>
      </c>
    </row>
    <row r="90" spans="2:35">
      <c r="B90" s="39">
        <f t="shared" si="30"/>
        <v>62</v>
      </c>
      <c r="C90" s="45">
        <f t="shared" si="31"/>
        <v>1.8213429256593823</v>
      </c>
      <c r="D90" s="10">
        <f t="shared" si="32"/>
        <v>13.628657074340664</v>
      </c>
      <c r="E90" s="40">
        <f t="shared" si="33"/>
        <v>21.082685851318676</v>
      </c>
      <c r="F90" s="40">
        <f t="shared" si="34"/>
        <v>48.34</v>
      </c>
      <c r="G90" s="3">
        <f t="shared" si="35"/>
        <v>120.91462829736264</v>
      </c>
      <c r="H90" s="3">
        <f t="shared" si="36"/>
        <v>148.0155219248214</v>
      </c>
      <c r="I90">
        <f t="shared" si="1"/>
        <v>1.4801552192482141E-4</v>
      </c>
      <c r="J90" s="4">
        <f t="shared" si="37"/>
        <v>353.65226014799327</v>
      </c>
      <c r="K90" s="40">
        <f t="shared" si="38"/>
        <v>2.3892917144704384</v>
      </c>
      <c r="L90" s="40">
        <f t="shared" si="4"/>
        <v>3.6107082855295616</v>
      </c>
      <c r="M90" s="10">
        <f t="shared" si="39"/>
        <v>4.3631723089016985</v>
      </c>
      <c r="N90" s="10">
        <f t="shared" si="5"/>
        <v>8.26</v>
      </c>
      <c r="O90" s="10">
        <f t="shared" si="6"/>
        <v>0.31900000000000001</v>
      </c>
      <c r="P90" s="10">
        <f t="shared" si="40"/>
        <v>13.215299241137849</v>
      </c>
      <c r="Q90" s="45">
        <f t="shared" si="41"/>
        <v>0.29305360367896405</v>
      </c>
      <c r="R90" s="4">
        <f t="shared" si="42"/>
        <v>179702.11886554729</v>
      </c>
      <c r="S90">
        <f t="shared" si="9"/>
        <v>1.797021188655473E-4</v>
      </c>
      <c r="T90" s="44">
        <f t="shared" si="10"/>
        <v>5.6165666769768117E-5</v>
      </c>
      <c r="U90" s="45">
        <f t="shared" si="43"/>
        <v>0.32248443741016786</v>
      </c>
      <c r="V90" s="45">
        <f t="shared" si="44"/>
        <v>0.33082994842881119</v>
      </c>
      <c r="W90" s="45">
        <f t="shared" si="45"/>
        <v>0.70475432291061257</v>
      </c>
      <c r="X90" s="45">
        <f t="shared" si="46"/>
        <v>-0.37392437448180138</v>
      </c>
      <c r="Y90" s="45">
        <f t="shared" si="29"/>
        <v>0</v>
      </c>
      <c r="Z90" s="10">
        <f t="shared" si="47"/>
        <v>0</v>
      </c>
      <c r="AA90">
        <f t="shared" si="14"/>
        <v>101000</v>
      </c>
      <c r="AB90" s="10">
        <f t="shared" si="15"/>
        <v>0.10100000000000001</v>
      </c>
      <c r="AC90" s="10">
        <f t="shared" si="16"/>
        <v>0</v>
      </c>
      <c r="AD90" s="3">
        <f t="shared" si="17"/>
        <v>0</v>
      </c>
      <c r="AI90" s="100">
        <f t="shared" si="28"/>
        <v>0.70475432291061257</v>
      </c>
    </row>
    <row r="91" spans="2:35">
      <c r="B91" s="39">
        <f t="shared" si="30"/>
        <v>63</v>
      </c>
      <c r="C91" s="45">
        <f t="shared" si="31"/>
        <v>1.85071942446034</v>
      </c>
      <c r="D91" s="10">
        <f t="shared" si="32"/>
        <v>13.599280575539707</v>
      </c>
      <c r="E91" s="40">
        <f t="shared" si="33"/>
        <v>21.14143884892059</v>
      </c>
      <c r="F91" s="40">
        <f t="shared" si="34"/>
        <v>48.34</v>
      </c>
      <c r="G91" s="3">
        <f t="shared" si="35"/>
        <v>120.79712230215881</v>
      </c>
      <c r="H91" s="3">
        <f t="shared" si="36"/>
        <v>148.0155219248214</v>
      </c>
      <c r="I91">
        <f t="shared" si="1"/>
        <v>1.4801552192482141E-4</v>
      </c>
      <c r="J91" s="4">
        <f t="shared" si="37"/>
        <v>355.60067111866579</v>
      </c>
      <c r="K91" s="40">
        <f t="shared" si="38"/>
        <v>2.402455272895494</v>
      </c>
      <c r="L91" s="40">
        <f t="shared" si="4"/>
        <v>3.597544727104506</v>
      </c>
      <c r="M91" s="10">
        <f t="shared" si="39"/>
        <v>0.10100000000000001</v>
      </c>
      <c r="N91" s="10">
        <f t="shared" si="5"/>
        <v>8.26</v>
      </c>
      <c r="O91" s="10">
        <f t="shared" si="6"/>
        <v>0.31900000000000001</v>
      </c>
      <c r="P91" s="10">
        <f t="shared" si="40"/>
        <v>3.9751961722975562</v>
      </c>
      <c r="Q91" s="45">
        <f t="shared" si="41"/>
        <v>0.30044355313747817</v>
      </c>
      <c r="R91" s="4">
        <f t="shared" si="42"/>
        <v>179292.12018498947</v>
      </c>
      <c r="S91">
        <f t="shared" si="9"/>
        <v>1.7929212018498946E-4</v>
      </c>
      <c r="T91" s="44">
        <f t="shared" si="10"/>
        <v>5.6575665450325953E-5</v>
      </c>
      <c r="U91" s="45">
        <f t="shared" si="43"/>
        <v>0.32174867427797282</v>
      </c>
      <c r="V91" s="45">
        <f t="shared" si="44"/>
        <v>9.9562674457447653E-2</v>
      </c>
      <c r="W91" s="45">
        <f t="shared" si="45"/>
        <v>0</v>
      </c>
      <c r="X91" s="45">
        <f t="shared" si="46"/>
        <v>9.9562674457447653E-2</v>
      </c>
      <c r="Y91" s="45">
        <f t="shared" si="29"/>
        <v>7.3576313219503309E-4</v>
      </c>
      <c r="Z91" s="10">
        <f t="shared" si="47"/>
        <v>13.004939956756516</v>
      </c>
      <c r="AA91">
        <f t="shared" si="14"/>
        <v>4305500.182959876</v>
      </c>
      <c r="AB91" s="10">
        <f t="shared" si="15"/>
        <v>4.305500182959876</v>
      </c>
      <c r="AC91" s="10">
        <f t="shared" si="16"/>
        <v>4.204500182959876</v>
      </c>
      <c r="AD91" s="3">
        <f t="shared" si="17"/>
        <v>609.78972921825618</v>
      </c>
      <c r="AI91" s="100">
        <f t="shared" si="28"/>
        <v>0</v>
      </c>
    </row>
    <row r="92" spans="2:35">
      <c r="B92" s="39">
        <f t="shared" si="30"/>
        <v>64</v>
      </c>
      <c r="C92" s="45">
        <f t="shared" si="31"/>
        <v>1.8800959232612977</v>
      </c>
      <c r="D92" s="10">
        <f t="shared" si="32"/>
        <v>13.56990407673875</v>
      </c>
      <c r="E92" s="40">
        <f t="shared" si="33"/>
        <v>21.200191846522504</v>
      </c>
      <c r="F92" s="40">
        <f t="shared" si="34"/>
        <v>48.34</v>
      </c>
      <c r="G92" s="3">
        <f t="shared" si="35"/>
        <v>120.67961630695498</v>
      </c>
      <c r="H92" s="3">
        <f t="shared" si="36"/>
        <v>148.0155219248214</v>
      </c>
      <c r="I92">
        <f t="shared" ref="I92:I155" si="48">H92/1000^2</f>
        <v>1.4801552192482141E-4</v>
      </c>
      <c r="J92" s="4">
        <f t="shared" si="37"/>
        <v>357.55450434431214</v>
      </c>
      <c r="K92" s="40">
        <f t="shared" si="38"/>
        <v>2.4156554643364885</v>
      </c>
      <c r="L92" s="40">
        <f t="shared" ref="L92:L155" si="49">IF((gstar-K92)&lt;0,0,gstar-K92)</f>
        <v>3.5843445356635115</v>
      </c>
      <c r="M92" s="10">
        <f t="shared" si="39"/>
        <v>4.305500182959876</v>
      </c>
      <c r="N92" s="10">
        <f t="shared" ref="N92:N155" si="50">IF(fueltype=1,VLOOKUP($M92,kndxbn_,4),IF(fueltype=2,VLOOKUP($M92,knsobn_,4),IF(fueltype=3,VLOOKUP($M92,knsbcobn_,4),IF(fueltype=4,VLOOKUP($M92,knsubn_,4),IF(fueltype=5,am_1,IF(fueltype=6,am_0,IF(fueltype=7,am_3,am_4)))))))</f>
        <v>8.26</v>
      </c>
      <c r="O92" s="10">
        <f t="shared" ref="O92:O155" si="51">IF(fueltype=1,VLOOKUP($M92,kndxbn_,5),IF(fueltype=2,VLOOKUP($M92,knsobn_,5),IF(fueltype=3,VLOOKUP($M92,knsbcobn_,5),IF(fueltype=4,VLOOKUP($M92,knsubn_,5),IF(fueltype=5,nm_1,IF(fueltype=6,an_0,IF(fueltype=7,nm_3,nm_4)))))))</f>
        <v>0.31900000000000001</v>
      </c>
      <c r="P92" s="10">
        <f t="shared" si="40"/>
        <v>13.159323987710817</v>
      </c>
      <c r="Q92" s="45">
        <f t="shared" si="41"/>
        <v>0.30267592455932263</v>
      </c>
      <c r="R92" s="4">
        <f t="shared" si="42"/>
        <v>178881.92504872222</v>
      </c>
      <c r="S92">
        <f t="shared" ref="S92:S155" si="52">R92/1000^3</f>
        <v>1.788819250487222E-4</v>
      </c>
      <c r="T92" s="44">
        <f t="shared" ref="T92:T155" si="53">(vc/1000^3-S92)</f>
        <v>5.6985860586593209E-5</v>
      </c>
      <c r="U92" s="45">
        <f t="shared" si="43"/>
        <v>0.32101255859618444</v>
      </c>
      <c r="V92" s="45">
        <f t="shared" si="44"/>
        <v>0.32974606043835752</v>
      </c>
      <c r="W92" s="45">
        <f t="shared" si="45"/>
        <v>0.69521818098034471</v>
      </c>
      <c r="X92" s="45">
        <f t="shared" si="46"/>
        <v>-0.36547212054198719</v>
      </c>
      <c r="Y92" s="45">
        <f t="shared" si="29"/>
        <v>0</v>
      </c>
      <c r="Z92" s="10">
        <f t="shared" si="47"/>
        <v>0</v>
      </c>
      <c r="AA92">
        <f t="shared" ref="AA92:AA155" si="54">Z92*rat*to+patm*1000000</f>
        <v>101000</v>
      </c>
      <c r="AB92" s="10">
        <f t="shared" ref="AB92:AB155" si="55">AA92/1000000</f>
        <v>0.10100000000000001</v>
      </c>
      <c r="AC92" s="10">
        <f t="shared" ref="AC92:AC155" si="56">AB92-patm</f>
        <v>0</v>
      </c>
      <c r="AD92" s="3">
        <f t="shared" ref="AD92:AD155" si="57">AC92*1000000/6895</f>
        <v>0</v>
      </c>
      <c r="AI92" s="100">
        <f t="shared" si="28"/>
        <v>0.69521818098034471</v>
      </c>
    </row>
    <row r="93" spans="2:35">
      <c r="B93" s="39">
        <f t="shared" si="30"/>
        <v>65</v>
      </c>
      <c r="C93" s="45">
        <f t="shared" si="31"/>
        <v>1.9094724220622554</v>
      </c>
      <c r="D93" s="10">
        <f t="shared" si="32"/>
        <v>13.540527577937793</v>
      </c>
      <c r="E93" s="40">
        <f t="shared" si="33"/>
        <v>21.258944844124418</v>
      </c>
      <c r="F93" s="40">
        <f t="shared" si="34"/>
        <v>48.34</v>
      </c>
      <c r="G93" s="3">
        <f t="shared" si="35"/>
        <v>120.56211031175116</v>
      </c>
      <c r="H93" s="3">
        <f t="shared" si="36"/>
        <v>148.0155219248214</v>
      </c>
      <c r="I93">
        <f t="shared" si="48"/>
        <v>1.4801552192482141E-4</v>
      </c>
      <c r="J93" s="4">
        <f t="shared" si="37"/>
        <v>359.51375982493232</v>
      </c>
      <c r="K93" s="40">
        <f t="shared" si="38"/>
        <v>2.4288922887934215</v>
      </c>
      <c r="L93" s="40">
        <f t="shared" si="49"/>
        <v>3.5711077112065785</v>
      </c>
      <c r="M93" s="10">
        <f t="shared" si="39"/>
        <v>0.10100000000000001</v>
      </c>
      <c r="N93" s="10">
        <f t="shared" si="50"/>
        <v>8.26</v>
      </c>
      <c r="O93" s="10">
        <f t="shared" si="51"/>
        <v>0.31900000000000001</v>
      </c>
      <c r="P93" s="10">
        <f t="shared" si="40"/>
        <v>3.9751961722975562</v>
      </c>
      <c r="Q93" s="45">
        <f t="shared" si="41"/>
        <v>0.31006587401783675</v>
      </c>
      <c r="R93" s="4">
        <f t="shared" si="42"/>
        <v>178471.53536818796</v>
      </c>
      <c r="S93">
        <f t="shared" si="52"/>
        <v>1.7847153536818797E-4</v>
      </c>
      <c r="T93" s="44">
        <f t="shared" si="53"/>
        <v>5.7396250267127447E-5</v>
      </c>
      <c r="U93" s="45">
        <f t="shared" si="43"/>
        <v>0.32027609379498173</v>
      </c>
      <c r="V93" s="45">
        <f t="shared" si="44"/>
        <v>9.9657623551702421E-2</v>
      </c>
      <c r="W93" s="45">
        <f t="shared" si="45"/>
        <v>0</v>
      </c>
      <c r="X93" s="45">
        <f t="shared" si="46"/>
        <v>9.9657623551702421E-2</v>
      </c>
      <c r="Y93" s="45">
        <f t="shared" si="29"/>
        <v>7.3646480120270752E-4</v>
      </c>
      <c r="Z93" s="10">
        <f t="shared" si="47"/>
        <v>12.831235451360191</v>
      </c>
      <c r="AA93">
        <f t="shared" si="54"/>
        <v>4249341.4750267137</v>
      </c>
      <c r="AB93" s="10">
        <f t="shared" si="55"/>
        <v>4.2493414750267133</v>
      </c>
      <c r="AC93" s="10">
        <f t="shared" si="56"/>
        <v>4.1483414750267134</v>
      </c>
      <c r="AD93" s="3">
        <f t="shared" si="57"/>
        <v>601.64488397776836</v>
      </c>
      <c r="AI93" s="100">
        <f t="shared" ref="AI93:AI156" si="58">($M93-patm)*1000000*$I93/SQRT(rat*to)*SQRT(k)*(2/(k+1))^((k+1)/2/(k-1))</f>
        <v>0</v>
      </c>
    </row>
    <row r="94" spans="2:35">
      <c r="B94" s="39">
        <f t="shared" si="30"/>
        <v>66</v>
      </c>
      <c r="C94" s="45">
        <f t="shared" si="31"/>
        <v>1.9388489208632131</v>
      </c>
      <c r="D94" s="10">
        <f t="shared" si="32"/>
        <v>13.511151079136836</v>
      </c>
      <c r="E94" s="40">
        <f t="shared" si="33"/>
        <v>21.317697841726332</v>
      </c>
      <c r="F94" s="40">
        <f t="shared" si="34"/>
        <v>48.34</v>
      </c>
      <c r="G94" s="3">
        <f t="shared" si="35"/>
        <v>120.44460431654733</v>
      </c>
      <c r="H94" s="3">
        <f t="shared" si="36"/>
        <v>148.0155219248214</v>
      </c>
      <c r="I94">
        <f t="shared" si="48"/>
        <v>1.4801552192482141E-4</v>
      </c>
      <c r="J94" s="4">
        <f t="shared" si="37"/>
        <v>361.47843756052657</v>
      </c>
      <c r="K94" s="40">
        <f t="shared" si="38"/>
        <v>2.4421657462662947</v>
      </c>
      <c r="L94" s="40">
        <f t="shared" si="49"/>
        <v>3.5578342537337053</v>
      </c>
      <c r="M94" s="10">
        <f t="shared" si="39"/>
        <v>4.2493414750267133</v>
      </c>
      <c r="N94" s="10">
        <f t="shared" si="50"/>
        <v>8.26</v>
      </c>
      <c r="O94" s="10">
        <f t="shared" si="51"/>
        <v>0.31900000000000001</v>
      </c>
      <c r="P94" s="10">
        <f t="shared" si="40"/>
        <v>13.104324774076044</v>
      </c>
      <c r="Q94" s="45">
        <f t="shared" si="41"/>
        <v>0.3123076147643018</v>
      </c>
      <c r="R94" s="4">
        <f t="shared" si="42"/>
        <v>178060.95305482909</v>
      </c>
      <c r="S94">
        <f t="shared" si="52"/>
        <v>1.7806095305482911E-4</v>
      </c>
      <c r="T94" s="44">
        <f t="shared" si="53"/>
        <v>5.7806832580486306E-5</v>
      </c>
      <c r="U94" s="45">
        <f t="shared" si="43"/>
        <v>0.31953928330454351</v>
      </c>
      <c r="V94" s="45">
        <f t="shared" si="44"/>
        <v>0.32867783288503921</v>
      </c>
      <c r="W94" s="45">
        <f t="shared" si="45"/>
        <v>0.68593228418487473</v>
      </c>
      <c r="X94" s="45">
        <f t="shared" si="46"/>
        <v>-0.35725445129983552</v>
      </c>
      <c r="Y94" s="45">
        <f t="shared" ref="Y94:Y157" si="59">IF((X94*(Q94-Q93)+Y93)&lt;0,0,X94*(Q94-Q93)+Y93)</f>
        <v>0</v>
      </c>
      <c r="Z94" s="10">
        <f t="shared" si="47"/>
        <v>0</v>
      </c>
      <c r="AA94">
        <f t="shared" si="54"/>
        <v>101000</v>
      </c>
      <c r="AB94" s="10">
        <f t="shared" si="55"/>
        <v>0.10100000000000001</v>
      </c>
      <c r="AC94" s="10">
        <f t="shared" si="56"/>
        <v>0</v>
      </c>
      <c r="AD94" s="3">
        <f t="shared" si="57"/>
        <v>0</v>
      </c>
      <c r="AI94" s="100">
        <f t="shared" si="58"/>
        <v>0.68593228418487473</v>
      </c>
    </row>
    <row r="95" spans="2:35">
      <c r="B95" s="39">
        <f t="shared" si="30"/>
        <v>67</v>
      </c>
      <c r="C95" s="45">
        <f t="shared" si="31"/>
        <v>1.9682254196641709</v>
      </c>
      <c r="D95" s="10">
        <f t="shared" si="32"/>
        <v>13.481774580335879</v>
      </c>
      <c r="E95" s="40">
        <f t="shared" si="33"/>
        <v>21.376450839328246</v>
      </c>
      <c r="F95" s="40">
        <f t="shared" si="34"/>
        <v>48.34</v>
      </c>
      <c r="G95" s="3">
        <f t="shared" si="35"/>
        <v>120.3270983213435</v>
      </c>
      <c r="H95" s="3">
        <f t="shared" si="36"/>
        <v>148.0155219248214</v>
      </c>
      <c r="I95">
        <f t="shared" si="48"/>
        <v>1.4801552192482141E-4</v>
      </c>
      <c r="J95" s="4">
        <f t="shared" si="37"/>
        <v>363.44853755109489</v>
      </c>
      <c r="K95" s="40">
        <f t="shared" si="38"/>
        <v>2.4554758367551082</v>
      </c>
      <c r="L95" s="40">
        <f t="shared" si="49"/>
        <v>3.5445241632448918</v>
      </c>
      <c r="M95" s="10">
        <f t="shared" si="39"/>
        <v>0.10100000000000001</v>
      </c>
      <c r="N95" s="10">
        <f t="shared" si="50"/>
        <v>8.26</v>
      </c>
      <c r="O95" s="10">
        <f t="shared" si="51"/>
        <v>0.31900000000000001</v>
      </c>
      <c r="P95" s="10">
        <f t="shared" si="40"/>
        <v>3.9751961722975562</v>
      </c>
      <c r="Q95" s="45">
        <f t="shared" si="41"/>
        <v>0.31969756422281592</v>
      </c>
      <c r="R95" s="4">
        <f t="shared" si="42"/>
        <v>177650.18002008795</v>
      </c>
      <c r="S95">
        <f t="shared" si="52"/>
        <v>1.7765018002008796E-4</v>
      </c>
      <c r="T95" s="44">
        <f t="shared" si="53"/>
        <v>5.8217605615227457E-5</v>
      </c>
      <c r="U95" s="45">
        <f t="shared" si="43"/>
        <v>0.3188021305550488</v>
      </c>
      <c r="V95" s="45">
        <f t="shared" si="44"/>
        <v>9.975071597349254E-2</v>
      </c>
      <c r="W95" s="45">
        <f t="shared" si="45"/>
        <v>0</v>
      </c>
      <c r="X95" s="45">
        <f t="shared" si="46"/>
        <v>9.975071597349254E-2</v>
      </c>
      <c r="Y95" s="45">
        <f t="shared" si="59"/>
        <v>7.3715274949470722E-4</v>
      </c>
      <c r="Z95" s="10">
        <f t="shared" si="47"/>
        <v>12.662024514829872</v>
      </c>
      <c r="AA95">
        <f t="shared" si="54"/>
        <v>4194635.5389773194</v>
      </c>
      <c r="AB95" s="10">
        <f t="shared" si="55"/>
        <v>4.1946355389773196</v>
      </c>
      <c r="AC95" s="10">
        <f t="shared" si="56"/>
        <v>4.0936355389773196</v>
      </c>
      <c r="AD95" s="3">
        <f t="shared" si="57"/>
        <v>593.71073806777656</v>
      </c>
      <c r="AI95" s="100">
        <f t="shared" si="58"/>
        <v>0</v>
      </c>
    </row>
    <row r="96" spans="2:35">
      <c r="B96" s="39">
        <f t="shared" si="30"/>
        <v>68</v>
      </c>
      <c r="C96" s="45">
        <f t="shared" si="31"/>
        <v>1.9976019184651286</v>
      </c>
      <c r="D96" s="10">
        <f t="shared" si="32"/>
        <v>13.452398081534922</v>
      </c>
      <c r="E96" s="40">
        <f t="shared" si="33"/>
        <v>21.43520383693016</v>
      </c>
      <c r="F96" s="40">
        <f t="shared" si="34"/>
        <v>48.34</v>
      </c>
      <c r="G96" s="3">
        <f t="shared" si="35"/>
        <v>120.20959232613967</v>
      </c>
      <c r="H96" s="3">
        <f t="shared" si="36"/>
        <v>148.0155219248214</v>
      </c>
      <c r="I96">
        <f t="shared" si="48"/>
        <v>1.4801552192482141E-4</v>
      </c>
      <c r="J96" s="4">
        <f t="shared" si="37"/>
        <v>365.42405979663704</v>
      </c>
      <c r="K96" s="40">
        <f t="shared" si="38"/>
        <v>2.4688225602598601</v>
      </c>
      <c r="L96" s="40">
        <f t="shared" si="49"/>
        <v>3.5311774397401399</v>
      </c>
      <c r="M96" s="10">
        <f t="shared" si="39"/>
        <v>4.1946355389773196</v>
      </c>
      <c r="N96" s="10">
        <f t="shared" si="50"/>
        <v>8.26</v>
      </c>
      <c r="O96" s="10">
        <f t="shared" si="51"/>
        <v>0.31900000000000001</v>
      </c>
      <c r="P96" s="10">
        <f t="shared" si="40"/>
        <v>13.050270311603422</v>
      </c>
      <c r="Q96" s="45">
        <f t="shared" si="41"/>
        <v>0.32194859030116757</v>
      </c>
      <c r="R96" s="4">
        <f t="shared" si="42"/>
        <v>177239.21817540703</v>
      </c>
      <c r="S96">
        <f t="shared" si="52"/>
        <v>1.7723921817540704E-4</v>
      </c>
      <c r="T96" s="44">
        <f t="shared" si="53"/>
        <v>5.8628567459908376E-5</v>
      </c>
      <c r="U96" s="45">
        <f t="shared" si="43"/>
        <v>0.31806463897667669</v>
      </c>
      <c r="V96" s="45">
        <f t="shared" si="44"/>
        <v>0.32762462659346342</v>
      </c>
      <c r="W96" s="45">
        <f t="shared" si="45"/>
        <v>0.67688660462866357</v>
      </c>
      <c r="X96" s="45">
        <f t="shared" si="46"/>
        <v>-0.34926197803520015</v>
      </c>
      <c r="Y96" s="45">
        <f t="shared" si="59"/>
        <v>0</v>
      </c>
      <c r="Z96" s="10">
        <f t="shared" si="47"/>
        <v>0</v>
      </c>
      <c r="AA96">
        <f t="shared" si="54"/>
        <v>101000</v>
      </c>
      <c r="AB96" s="10">
        <f t="shared" si="55"/>
        <v>0.10100000000000001</v>
      </c>
      <c r="AC96" s="10">
        <f t="shared" si="56"/>
        <v>0</v>
      </c>
      <c r="AD96" s="3">
        <f t="shared" si="57"/>
        <v>0</v>
      </c>
      <c r="AI96" s="100">
        <f t="shared" si="58"/>
        <v>0.67688660462866357</v>
      </c>
    </row>
    <row r="97" spans="2:35">
      <c r="B97" s="39">
        <f t="shared" si="30"/>
        <v>69</v>
      </c>
      <c r="C97" s="45">
        <f t="shared" si="31"/>
        <v>2.0269784172660863</v>
      </c>
      <c r="D97" s="10">
        <f t="shared" si="32"/>
        <v>13.423021582733965</v>
      </c>
      <c r="E97" s="40">
        <f t="shared" si="33"/>
        <v>21.493956834532074</v>
      </c>
      <c r="F97" s="40">
        <f t="shared" si="34"/>
        <v>48.34</v>
      </c>
      <c r="G97" s="3">
        <f t="shared" si="35"/>
        <v>120.09208633093584</v>
      </c>
      <c r="H97" s="3">
        <f t="shared" si="36"/>
        <v>148.0155219248214</v>
      </c>
      <c r="I97">
        <f t="shared" si="48"/>
        <v>1.4801552192482141E-4</v>
      </c>
      <c r="J97" s="4">
        <f t="shared" si="37"/>
        <v>367.40500429715303</v>
      </c>
      <c r="K97" s="40">
        <f t="shared" si="38"/>
        <v>2.482205916780551</v>
      </c>
      <c r="L97" s="40">
        <f t="shared" si="49"/>
        <v>3.517794083219449</v>
      </c>
      <c r="M97" s="10">
        <f t="shared" si="39"/>
        <v>0.10100000000000001</v>
      </c>
      <c r="N97" s="10">
        <f t="shared" si="50"/>
        <v>8.26</v>
      </c>
      <c r="O97" s="10">
        <f t="shared" si="51"/>
        <v>0.31900000000000001</v>
      </c>
      <c r="P97" s="10">
        <f t="shared" si="40"/>
        <v>3.9751961722975562</v>
      </c>
      <c r="Q97" s="45">
        <f t="shared" si="41"/>
        <v>0.32933853975968169</v>
      </c>
      <c r="R97" s="4">
        <f t="shared" si="42"/>
        <v>176828.06943222869</v>
      </c>
      <c r="S97">
        <f t="shared" si="52"/>
        <v>1.7682806943222868E-4</v>
      </c>
      <c r="T97" s="44">
        <f t="shared" si="53"/>
        <v>5.9039716203086734E-5</v>
      </c>
      <c r="U97" s="45">
        <f t="shared" si="43"/>
        <v>0.317326811999606</v>
      </c>
      <c r="V97" s="45">
        <f t="shared" si="44"/>
        <v>9.9841951722772951E-2</v>
      </c>
      <c r="W97" s="45">
        <f t="shared" si="45"/>
        <v>0</v>
      </c>
      <c r="X97" s="45">
        <f t="shared" si="46"/>
        <v>9.9841951722772951E-2</v>
      </c>
      <c r="Y97" s="45">
        <f t="shared" si="59"/>
        <v>7.3782697707069911E-4</v>
      </c>
      <c r="Z97" s="10">
        <f t="shared" si="47"/>
        <v>12.497129466759256</v>
      </c>
      <c r="AA97">
        <f t="shared" si="54"/>
        <v>4141324.9306940497</v>
      </c>
      <c r="AB97" s="10">
        <f t="shared" si="55"/>
        <v>4.1413249306940498</v>
      </c>
      <c r="AC97" s="10">
        <f t="shared" si="56"/>
        <v>4.0403249306940499</v>
      </c>
      <c r="AD97" s="3">
        <f t="shared" si="57"/>
        <v>585.978960216686</v>
      </c>
      <c r="AI97" s="100">
        <f t="shared" si="58"/>
        <v>0</v>
      </c>
    </row>
    <row r="98" spans="2:35">
      <c r="B98" s="39">
        <f t="shared" si="30"/>
        <v>70</v>
      </c>
      <c r="C98" s="45">
        <f t="shared" si="31"/>
        <v>2.0563549160670442</v>
      </c>
      <c r="D98" s="10">
        <f t="shared" si="32"/>
        <v>13.393645083933007</v>
      </c>
      <c r="E98" s="40">
        <f t="shared" si="33"/>
        <v>21.552709832133988</v>
      </c>
      <c r="F98" s="40">
        <f t="shared" si="34"/>
        <v>48.34</v>
      </c>
      <c r="G98" s="3">
        <f t="shared" si="35"/>
        <v>119.97458033573201</v>
      </c>
      <c r="H98" s="3">
        <f t="shared" si="36"/>
        <v>148.0155219248214</v>
      </c>
      <c r="I98">
        <f t="shared" si="48"/>
        <v>1.4801552192482141E-4</v>
      </c>
      <c r="J98" s="4">
        <f t="shared" si="37"/>
        <v>369.39137105264285</v>
      </c>
      <c r="K98" s="40">
        <f t="shared" si="38"/>
        <v>2.49562590631718</v>
      </c>
      <c r="L98" s="40">
        <f t="shared" si="49"/>
        <v>3.50437409368282</v>
      </c>
      <c r="M98" s="10">
        <f t="shared" si="39"/>
        <v>4.1413249306940498</v>
      </c>
      <c r="N98" s="10">
        <f t="shared" si="50"/>
        <v>8.26</v>
      </c>
      <c r="O98" s="10">
        <f t="shared" si="51"/>
        <v>0.31900000000000001</v>
      </c>
      <c r="P98" s="10">
        <f t="shared" si="40"/>
        <v>12.997130698376832</v>
      </c>
      <c r="Q98" s="45">
        <f t="shared" si="41"/>
        <v>0.33159876930439391</v>
      </c>
      <c r="R98" s="4">
        <f t="shared" si="42"/>
        <v>176416.73570199535</v>
      </c>
      <c r="S98">
        <f t="shared" si="52"/>
        <v>1.7641673570199535E-4</v>
      </c>
      <c r="T98" s="44">
        <f t="shared" si="53"/>
        <v>5.9451049933320063E-5</v>
      </c>
      <c r="U98" s="45">
        <f t="shared" si="43"/>
        <v>0.31658865305401573</v>
      </c>
      <c r="V98" s="45">
        <f t="shared" si="44"/>
        <v>0.32658583165465421</v>
      </c>
      <c r="W98" s="45">
        <f t="shared" si="45"/>
        <v>0.66807164387117346</v>
      </c>
      <c r="X98" s="45">
        <f t="shared" si="46"/>
        <v>-0.34148581221651925</v>
      </c>
      <c r="Y98" s="45">
        <f t="shared" si="59"/>
        <v>0</v>
      </c>
      <c r="Z98" s="10">
        <f t="shared" si="47"/>
        <v>0</v>
      </c>
      <c r="AA98">
        <f t="shared" si="54"/>
        <v>101000</v>
      </c>
      <c r="AB98" s="10">
        <f t="shared" si="55"/>
        <v>0.10100000000000001</v>
      </c>
      <c r="AC98" s="10">
        <f t="shared" si="56"/>
        <v>0</v>
      </c>
      <c r="AD98" s="3">
        <f t="shared" si="57"/>
        <v>0</v>
      </c>
      <c r="AI98" s="100">
        <f t="shared" si="58"/>
        <v>0.66807164387117346</v>
      </c>
    </row>
    <row r="99" spans="2:35">
      <c r="B99" s="39">
        <f t="shared" si="30"/>
        <v>71</v>
      </c>
      <c r="C99" s="45">
        <f t="shared" si="31"/>
        <v>2.0857314148680022</v>
      </c>
      <c r="D99" s="10">
        <f t="shared" si="32"/>
        <v>13.36426858513205</v>
      </c>
      <c r="E99" s="40">
        <f t="shared" si="33"/>
        <v>21.611462829735903</v>
      </c>
      <c r="F99" s="40">
        <f t="shared" si="34"/>
        <v>48.34</v>
      </c>
      <c r="G99" s="3">
        <f t="shared" si="35"/>
        <v>119.85707434052819</v>
      </c>
      <c r="H99" s="3">
        <f t="shared" si="36"/>
        <v>148.0155219248214</v>
      </c>
      <c r="I99">
        <f t="shared" si="48"/>
        <v>1.4801552192482141E-4</v>
      </c>
      <c r="J99" s="4">
        <f t="shared" si="37"/>
        <v>371.38316006310652</v>
      </c>
      <c r="K99" s="40">
        <f t="shared" si="38"/>
        <v>2.5090825288697483</v>
      </c>
      <c r="L99" s="40">
        <f t="shared" si="49"/>
        <v>3.4909174711302517</v>
      </c>
      <c r="M99" s="10">
        <f t="shared" si="39"/>
        <v>0.10100000000000001</v>
      </c>
      <c r="N99" s="10">
        <f t="shared" si="50"/>
        <v>8.26</v>
      </c>
      <c r="O99" s="10">
        <f t="shared" si="51"/>
        <v>0.31900000000000001</v>
      </c>
      <c r="P99" s="10">
        <f t="shared" si="40"/>
        <v>3.9751961722975562</v>
      </c>
      <c r="Q99" s="45">
        <f t="shared" si="41"/>
        <v>0.33898871876290804</v>
      </c>
      <c r="R99" s="4">
        <f t="shared" si="42"/>
        <v>176005.2188961494</v>
      </c>
      <c r="S99">
        <f t="shared" si="52"/>
        <v>1.7600521889614941E-4</v>
      </c>
      <c r="T99" s="44">
        <f t="shared" si="53"/>
        <v>5.9862566739166004E-5</v>
      </c>
      <c r="U99" s="45">
        <f t="shared" si="43"/>
        <v>0.31585016557008488</v>
      </c>
      <c r="V99" s="45">
        <f t="shared" si="44"/>
        <v>9.9931330799566176E-2</v>
      </c>
      <c r="W99" s="45">
        <f t="shared" si="45"/>
        <v>0</v>
      </c>
      <c r="X99" s="45">
        <f t="shared" si="46"/>
        <v>9.9931330799566176E-2</v>
      </c>
      <c r="Y99" s="45">
        <f t="shared" si="59"/>
        <v>7.3848748393084973E-4</v>
      </c>
      <c r="Z99" s="10">
        <f t="shared" si="47"/>
        <v>12.336381885337419</v>
      </c>
      <c r="AA99">
        <f t="shared" si="54"/>
        <v>4089355.1993653523</v>
      </c>
      <c r="AB99" s="10">
        <f t="shared" si="55"/>
        <v>4.0893551993653521</v>
      </c>
      <c r="AC99" s="10">
        <f t="shared" si="56"/>
        <v>3.9883551993653521</v>
      </c>
      <c r="AD99" s="3">
        <f t="shared" si="57"/>
        <v>578.44165327996404</v>
      </c>
      <c r="AI99" s="100">
        <f t="shared" si="58"/>
        <v>0</v>
      </c>
    </row>
    <row r="100" spans="2:35">
      <c r="B100" s="39">
        <f t="shared" si="30"/>
        <v>72</v>
      </c>
      <c r="C100" s="45">
        <f t="shared" si="31"/>
        <v>2.1151079136689601</v>
      </c>
      <c r="D100" s="10">
        <f t="shared" si="32"/>
        <v>13.334892086331093</v>
      </c>
      <c r="E100" s="40">
        <f t="shared" si="33"/>
        <v>21.670215827337817</v>
      </c>
      <c r="F100" s="40">
        <f t="shared" si="34"/>
        <v>48.34</v>
      </c>
      <c r="G100" s="3">
        <f t="shared" si="35"/>
        <v>119.73956834532436</v>
      </c>
      <c r="H100" s="3">
        <f t="shared" si="36"/>
        <v>148.0155219248214</v>
      </c>
      <c r="I100">
        <f t="shared" si="48"/>
        <v>1.4801552192482141E-4</v>
      </c>
      <c r="J100" s="4">
        <f t="shared" si="37"/>
        <v>373.38037132854447</v>
      </c>
      <c r="K100" s="40">
        <f t="shared" si="38"/>
        <v>2.5225757844382577</v>
      </c>
      <c r="L100" s="40">
        <f t="shared" si="49"/>
        <v>3.4774242155617423</v>
      </c>
      <c r="M100" s="10">
        <f t="shared" si="39"/>
        <v>4.0893551993653521</v>
      </c>
      <c r="N100" s="10">
        <f t="shared" si="50"/>
        <v>8.26</v>
      </c>
      <c r="O100" s="10">
        <f t="shared" si="51"/>
        <v>0.31900000000000001</v>
      </c>
      <c r="P100" s="10">
        <f t="shared" si="40"/>
        <v>12.944877340436769</v>
      </c>
      <c r="Q100" s="45">
        <f t="shared" si="41"/>
        <v>0.34125807196173613</v>
      </c>
      <c r="R100" s="4">
        <f t="shared" si="42"/>
        <v>175593.52092613318</v>
      </c>
      <c r="S100">
        <f t="shared" si="52"/>
        <v>1.7559352092613319E-4</v>
      </c>
      <c r="T100" s="44">
        <f t="shared" si="53"/>
        <v>6.0274264709182226E-5</v>
      </c>
      <c r="U100" s="45">
        <f t="shared" si="43"/>
        <v>0.31511135297799225</v>
      </c>
      <c r="V100" s="45">
        <f t="shared" si="44"/>
        <v>0.32556086574542775</v>
      </c>
      <c r="W100" s="45">
        <f t="shared" si="45"/>
        <v>0.65947839841793177</v>
      </c>
      <c r="X100" s="45">
        <f t="shared" si="46"/>
        <v>-0.33391753267250401</v>
      </c>
      <c r="Y100" s="45">
        <f t="shared" si="59"/>
        <v>0</v>
      </c>
      <c r="Z100" s="10">
        <f t="shared" si="47"/>
        <v>0</v>
      </c>
      <c r="AA100">
        <f t="shared" si="54"/>
        <v>101000</v>
      </c>
      <c r="AB100" s="10">
        <f t="shared" si="55"/>
        <v>0.10100000000000001</v>
      </c>
      <c r="AC100" s="10">
        <f t="shared" si="56"/>
        <v>0</v>
      </c>
      <c r="AD100" s="3">
        <f t="shared" si="57"/>
        <v>0</v>
      </c>
      <c r="AI100" s="100">
        <f t="shared" si="58"/>
        <v>0.65947839841793177</v>
      </c>
    </row>
    <row r="101" spans="2:35">
      <c r="B101" s="39">
        <f t="shared" si="30"/>
        <v>73</v>
      </c>
      <c r="C101" s="45">
        <f t="shared" si="31"/>
        <v>2.1444844124699181</v>
      </c>
      <c r="D101" s="10">
        <f t="shared" si="32"/>
        <v>13.305515587530136</v>
      </c>
      <c r="E101" s="40">
        <f t="shared" si="33"/>
        <v>21.728968824939731</v>
      </c>
      <c r="F101" s="40">
        <f t="shared" si="34"/>
        <v>48.34</v>
      </c>
      <c r="G101" s="3">
        <f t="shared" si="35"/>
        <v>119.62206235012053</v>
      </c>
      <c r="H101" s="3">
        <f t="shared" si="36"/>
        <v>148.0155219248214</v>
      </c>
      <c r="I101">
        <f t="shared" si="48"/>
        <v>1.4801552192482141E-4</v>
      </c>
      <c r="J101" s="4">
        <f t="shared" si="37"/>
        <v>375.38300484895603</v>
      </c>
      <c r="K101" s="40">
        <f t="shared" si="38"/>
        <v>2.5361056730227043</v>
      </c>
      <c r="L101" s="40">
        <f t="shared" si="49"/>
        <v>3.4638943269772957</v>
      </c>
      <c r="M101" s="10">
        <f t="shared" si="39"/>
        <v>0.10100000000000001</v>
      </c>
      <c r="N101" s="10">
        <f t="shared" si="50"/>
        <v>8.26</v>
      </c>
      <c r="O101" s="10">
        <f t="shared" si="51"/>
        <v>0.31900000000000001</v>
      </c>
      <c r="P101" s="10">
        <f t="shared" si="40"/>
        <v>3.9751961722975562</v>
      </c>
      <c r="Q101" s="45">
        <f t="shared" si="41"/>
        <v>0.34864802142025025</v>
      </c>
      <c r="R101" s="4">
        <f t="shared" si="42"/>
        <v>175181.64370338919</v>
      </c>
      <c r="S101">
        <f t="shared" si="52"/>
        <v>1.7518164370338918E-4</v>
      </c>
      <c r="T101" s="44">
        <f t="shared" si="53"/>
        <v>6.0686141931926235E-5</v>
      </c>
      <c r="U101" s="45">
        <f t="shared" si="43"/>
        <v>0.31437221870791704</v>
      </c>
      <c r="V101" s="45">
        <f t="shared" si="44"/>
        <v>0.10001885320387974</v>
      </c>
      <c r="W101" s="45">
        <f t="shared" si="45"/>
        <v>0</v>
      </c>
      <c r="X101" s="45">
        <f t="shared" si="46"/>
        <v>0.10001885320387974</v>
      </c>
      <c r="Y101" s="45">
        <f t="shared" si="59"/>
        <v>7.3913427007521459E-4</v>
      </c>
      <c r="Z101" s="10">
        <f t="shared" si="47"/>
        <v>12.179622011633683</v>
      </c>
      <c r="AA101">
        <f t="shared" si="54"/>
        <v>4038674.6948909196</v>
      </c>
      <c r="AB101" s="10">
        <f t="shared" si="55"/>
        <v>4.0386746948909193</v>
      </c>
      <c r="AC101" s="10">
        <f t="shared" si="56"/>
        <v>3.9376746948909194</v>
      </c>
      <c r="AD101" s="3">
        <f t="shared" si="57"/>
        <v>571.09132630760246</v>
      </c>
      <c r="AI101" s="100">
        <f t="shared" si="58"/>
        <v>0</v>
      </c>
    </row>
    <row r="102" spans="2:35">
      <c r="B102" s="39">
        <f t="shared" si="30"/>
        <v>74</v>
      </c>
      <c r="C102" s="45">
        <f t="shared" si="31"/>
        <v>2.173860911270876</v>
      </c>
      <c r="D102" s="10">
        <f t="shared" si="32"/>
        <v>13.276139088729179</v>
      </c>
      <c r="E102" s="40">
        <f t="shared" si="33"/>
        <v>21.787721822541645</v>
      </c>
      <c r="F102" s="40">
        <f t="shared" si="34"/>
        <v>48.34</v>
      </c>
      <c r="G102" s="3">
        <f t="shared" si="35"/>
        <v>119.5045563549167</v>
      </c>
      <c r="H102" s="3">
        <f t="shared" si="36"/>
        <v>148.0155219248214</v>
      </c>
      <c r="I102">
        <f t="shared" si="48"/>
        <v>1.4801552192482141E-4</v>
      </c>
      <c r="J102" s="4">
        <f t="shared" si="37"/>
        <v>377.39106062434166</v>
      </c>
      <c r="K102" s="40">
        <f t="shared" si="38"/>
        <v>2.5496721946230911</v>
      </c>
      <c r="L102" s="40">
        <f t="shared" si="49"/>
        <v>3.4503278053769089</v>
      </c>
      <c r="M102" s="10">
        <f t="shared" si="39"/>
        <v>4.0386746948909193</v>
      </c>
      <c r="N102" s="10">
        <f t="shared" si="50"/>
        <v>8.26</v>
      </c>
      <c r="O102" s="10">
        <f t="shared" si="51"/>
        <v>0.31900000000000001</v>
      </c>
      <c r="P102" s="10">
        <f t="shared" si="40"/>
        <v>12.893482878440423</v>
      </c>
      <c r="Q102" s="45">
        <f t="shared" si="41"/>
        <v>0.3509264204438437</v>
      </c>
      <c r="R102" s="4">
        <f t="shared" si="42"/>
        <v>174769.58913935977</v>
      </c>
      <c r="S102">
        <f t="shared" si="52"/>
        <v>1.7476958913935977E-4</v>
      </c>
      <c r="T102" s="44">
        <f t="shared" si="53"/>
        <v>6.1098196495955646E-5</v>
      </c>
      <c r="U102" s="45">
        <f t="shared" si="43"/>
        <v>0.31363276619003805</v>
      </c>
      <c r="V102" s="45">
        <f t="shared" si="44"/>
        <v>0.32454917256448829</v>
      </c>
      <c r="W102" s="45">
        <f t="shared" si="45"/>
        <v>0.65109832787478406</v>
      </c>
      <c r="X102" s="45">
        <f t="shared" si="46"/>
        <v>-0.32654915531029577</v>
      </c>
      <c r="Y102" s="45">
        <f t="shared" si="59"/>
        <v>0</v>
      </c>
      <c r="Z102" s="10">
        <f t="shared" si="47"/>
        <v>0</v>
      </c>
      <c r="AA102">
        <f t="shared" si="54"/>
        <v>101000</v>
      </c>
      <c r="AB102" s="10">
        <f t="shared" si="55"/>
        <v>0.10100000000000001</v>
      </c>
      <c r="AC102" s="10">
        <f t="shared" si="56"/>
        <v>0</v>
      </c>
      <c r="AD102" s="3">
        <f t="shared" si="57"/>
        <v>0</v>
      </c>
      <c r="AI102" s="100">
        <f t="shared" si="58"/>
        <v>0.65109832787478406</v>
      </c>
    </row>
    <row r="103" spans="2:35">
      <c r="B103" s="39">
        <f t="shared" si="30"/>
        <v>75</v>
      </c>
      <c r="C103" s="45">
        <f t="shared" si="31"/>
        <v>2.2032374100718339</v>
      </c>
      <c r="D103" s="10">
        <f t="shared" si="32"/>
        <v>13.246762589928222</v>
      </c>
      <c r="E103" s="40">
        <f t="shared" si="33"/>
        <v>21.846474820143559</v>
      </c>
      <c r="F103" s="40">
        <f t="shared" si="34"/>
        <v>48.34</v>
      </c>
      <c r="G103" s="3">
        <f t="shared" si="35"/>
        <v>119.38705035971287</v>
      </c>
      <c r="H103" s="3">
        <f t="shared" si="36"/>
        <v>148.0155219248214</v>
      </c>
      <c r="I103">
        <f t="shared" si="48"/>
        <v>1.4801552192482141E-4</v>
      </c>
      <c r="J103" s="4">
        <f t="shared" si="37"/>
        <v>379.40453865470113</v>
      </c>
      <c r="K103" s="40">
        <f t="shared" si="38"/>
        <v>2.5632753492394169</v>
      </c>
      <c r="L103" s="40">
        <f t="shared" si="49"/>
        <v>3.4367246507605831</v>
      </c>
      <c r="M103" s="10">
        <f t="shared" si="39"/>
        <v>0.10100000000000001</v>
      </c>
      <c r="N103" s="10">
        <f t="shared" si="50"/>
        <v>8.26</v>
      </c>
      <c r="O103" s="10">
        <f t="shared" si="51"/>
        <v>0.31900000000000001</v>
      </c>
      <c r="P103" s="10">
        <f t="shared" si="40"/>
        <v>3.9751961722975562</v>
      </c>
      <c r="Q103" s="45">
        <f t="shared" si="41"/>
        <v>0.35831636990235782</v>
      </c>
      <c r="R103" s="4">
        <f t="shared" si="42"/>
        <v>174357.35914548737</v>
      </c>
      <c r="S103">
        <f t="shared" si="52"/>
        <v>1.7435735914548737E-4</v>
      </c>
      <c r="T103" s="44">
        <f t="shared" si="53"/>
        <v>6.1510426489828045E-5</v>
      </c>
      <c r="U103" s="45">
        <f t="shared" si="43"/>
        <v>0.31289299885453437</v>
      </c>
      <c r="V103" s="45">
        <f t="shared" si="44"/>
        <v>0.10010451893569862</v>
      </c>
      <c r="W103" s="45">
        <f t="shared" si="45"/>
        <v>0</v>
      </c>
      <c r="X103" s="45">
        <f t="shared" si="46"/>
        <v>0.10010451893569862</v>
      </c>
      <c r="Y103" s="45">
        <f t="shared" si="59"/>
        <v>7.3976733550368268E-4</v>
      </c>
      <c r="Z103" s="10">
        <f t="shared" si="47"/>
        <v>12.026698199304759</v>
      </c>
      <c r="AA103">
        <f t="shared" si="54"/>
        <v>3989234.389971877</v>
      </c>
      <c r="AB103" s="10">
        <f t="shared" si="55"/>
        <v>3.9892343899718772</v>
      </c>
      <c r="AC103" s="10">
        <f t="shared" si="56"/>
        <v>3.8882343899718772</v>
      </c>
      <c r="AD103" s="3">
        <f t="shared" si="57"/>
        <v>563.92086874138897</v>
      </c>
      <c r="AI103" s="100">
        <f t="shared" si="58"/>
        <v>0</v>
      </c>
    </row>
    <row r="104" spans="2:35">
      <c r="B104" s="39">
        <f t="shared" ref="B104:B167" si="60">1+B103</f>
        <v>76</v>
      </c>
      <c r="C104" s="45">
        <f t="shared" ref="C104:C167" si="61">xincp+C103</f>
        <v>2.2326139088727919</v>
      </c>
      <c r="D104" s="10">
        <f t="shared" ref="D104:D167" si="62">(F104-E104)/2</f>
        <v>13.217386091127265</v>
      </c>
      <c r="E104" s="40">
        <f t="shared" ref="E104:E167" si="63">E103+ci*2*xincp</f>
        <v>21.905227817745473</v>
      </c>
      <c r="F104" s="40">
        <f t="shared" ref="F104:F167" si="64">F103-osi*2*xincp</f>
        <v>48.34</v>
      </c>
      <c r="G104" s="3">
        <f t="shared" ref="G104:G167" si="65">G103-ei*n*2*xincp</f>
        <v>119.26954436450904</v>
      </c>
      <c r="H104" s="3">
        <f t="shared" ref="H104:H167" si="66">PI()/4*(dto+erate*(two-D104)/two)^2</f>
        <v>148.0155219248214</v>
      </c>
      <c r="I104">
        <f t="shared" si="48"/>
        <v>1.4801552192482141E-4</v>
      </c>
      <c r="J104" s="4">
        <f t="shared" ref="J104:J167" si="67">PI()/4*dc^2-PI()/4*(F104^2-E104^2)</f>
        <v>381.42343894003443</v>
      </c>
      <c r="K104" s="40">
        <f t="shared" ref="K104:K167" si="68">J104/H104</f>
        <v>2.5769151368716812</v>
      </c>
      <c r="L104" s="40">
        <f t="shared" si="49"/>
        <v>3.4230848631283188</v>
      </c>
      <c r="M104" s="10">
        <f t="shared" ref="M104:M167" si="69">AB103</f>
        <v>3.9892343899718772</v>
      </c>
      <c r="N104" s="10">
        <f t="shared" si="50"/>
        <v>8.26</v>
      </c>
      <c r="O104" s="10">
        <f t="shared" si="51"/>
        <v>0.31900000000000001</v>
      </c>
      <c r="P104" s="10">
        <f t="shared" ref="P104:P167" si="70">(1+kv*L104)*N104*M104^O104</f>
        <v>12.842921119312969</v>
      </c>
      <c r="Q104" s="45">
        <f t="shared" ref="Q104:Q167" si="71">xincp/P104+Q103</f>
        <v>0.36060373883720098</v>
      </c>
      <c r="R104" s="4">
        <f t="shared" ref="R104:R167" si="72">PI()/4*(F104^2-E104^2)*G104</f>
        <v>173944.95563321433</v>
      </c>
      <c r="S104">
        <f t="shared" si="52"/>
        <v>1.7394495563321431E-4</v>
      </c>
      <c r="T104" s="44">
        <f t="shared" si="53"/>
        <v>6.1922830002101101E-5</v>
      </c>
      <c r="U104" s="45">
        <f t="shared" ref="U104:U167" si="73">rhopgrain*R104/1000^2</f>
        <v>0.31215292013158474</v>
      </c>
      <c r="V104" s="45">
        <f t="shared" ref="V104:V167" si="74">(U103-U104)/(Q104-Q103)</f>
        <v>0.32355022037595688</v>
      </c>
      <c r="W104" s="45">
        <f t="shared" ref="W104:W167" si="75">IF(V104&lt;AI104,IF(AB103&gt;pbd,AI104,0),AI104)</f>
        <v>0.64292332553033571</v>
      </c>
      <c r="X104" s="45">
        <f t="shared" ref="X104:X167" si="76">V104-W104</f>
        <v>-0.31937310515437883</v>
      </c>
      <c r="Y104" s="45">
        <f t="shared" si="59"/>
        <v>9.2432161491589346E-6</v>
      </c>
      <c r="Z104" s="10">
        <f t="shared" ref="Z104:Z167" si="77">Y104/T104</f>
        <v>0.14926992433720007</v>
      </c>
      <c r="AA104">
        <f t="shared" si="54"/>
        <v>149259.00206175901</v>
      </c>
      <c r="AB104" s="10">
        <f t="shared" si="55"/>
        <v>0.14925900206175902</v>
      </c>
      <c r="AC104" s="10">
        <f t="shared" si="56"/>
        <v>4.825900206175901E-2</v>
      </c>
      <c r="AD104" s="3">
        <f t="shared" si="57"/>
        <v>6.9991301032282829</v>
      </c>
      <c r="AI104" s="100">
        <f t="shared" si="58"/>
        <v>0.64292332553033571</v>
      </c>
    </row>
    <row r="105" spans="2:35">
      <c r="B105" s="39">
        <f t="shared" si="60"/>
        <v>77</v>
      </c>
      <c r="C105" s="45">
        <f t="shared" si="61"/>
        <v>2.2619904076737498</v>
      </c>
      <c r="D105" s="10">
        <f t="shared" si="62"/>
        <v>13.188009592326308</v>
      </c>
      <c r="E105" s="40">
        <f t="shared" si="63"/>
        <v>21.963980815347387</v>
      </c>
      <c r="F105" s="40">
        <f t="shared" si="64"/>
        <v>48.34</v>
      </c>
      <c r="G105" s="3">
        <f t="shared" si="65"/>
        <v>119.15203836930522</v>
      </c>
      <c r="H105" s="3">
        <f t="shared" si="66"/>
        <v>148.0155219248214</v>
      </c>
      <c r="I105">
        <f t="shared" si="48"/>
        <v>1.4801552192482141E-4</v>
      </c>
      <c r="J105" s="4">
        <f t="shared" si="67"/>
        <v>383.44776148034157</v>
      </c>
      <c r="K105" s="40">
        <f t="shared" si="68"/>
        <v>2.5905915575198839</v>
      </c>
      <c r="L105" s="40">
        <f t="shared" si="49"/>
        <v>3.4094084424801161</v>
      </c>
      <c r="M105" s="10">
        <f t="shared" si="69"/>
        <v>0.14925900206175902</v>
      </c>
      <c r="N105" s="10">
        <f t="shared" si="50"/>
        <v>8.26</v>
      </c>
      <c r="O105" s="10">
        <f t="shared" si="51"/>
        <v>0.31900000000000001</v>
      </c>
      <c r="P105" s="10">
        <f t="shared" si="70"/>
        <v>4.5026384695467829</v>
      </c>
      <c r="Q105" s="45">
        <f t="shared" si="71"/>
        <v>0.36712802431995589</v>
      </c>
      <c r="R105" s="4">
        <f t="shared" si="72"/>
        <v>173532.38051398311</v>
      </c>
      <c r="S105">
        <f t="shared" si="52"/>
        <v>1.7353238051398312E-4</v>
      </c>
      <c r="T105" s="44">
        <f t="shared" si="53"/>
        <v>6.2335405121332293E-5</v>
      </c>
      <c r="U105" s="45">
        <f t="shared" si="73"/>
        <v>0.31141253345136838</v>
      </c>
      <c r="V105" s="45">
        <f t="shared" si="74"/>
        <v>0.11348164977963736</v>
      </c>
      <c r="W105" s="45">
        <f t="shared" si="75"/>
        <v>7.9796727718736745E-3</v>
      </c>
      <c r="X105" s="45">
        <f t="shared" si="76"/>
        <v>0.10550197700776369</v>
      </c>
      <c r="Y105" s="45">
        <f t="shared" si="59"/>
        <v>6.9756823314285385E-4</v>
      </c>
      <c r="Z105" s="10">
        <f t="shared" si="77"/>
        <v>11.190562278131942</v>
      </c>
      <c r="AA105">
        <f t="shared" si="54"/>
        <v>3718911.4476714795</v>
      </c>
      <c r="AB105" s="10">
        <f t="shared" si="55"/>
        <v>3.7189114476714797</v>
      </c>
      <c r="AC105" s="10">
        <f t="shared" si="56"/>
        <v>3.6179114476714798</v>
      </c>
      <c r="AD105" s="3">
        <f t="shared" si="57"/>
        <v>524.71522083705293</v>
      </c>
      <c r="AI105" s="100">
        <f t="shared" si="58"/>
        <v>7.9796727718736745E-3</v>
      </c>
    </row>
    <row r="106" spans="2:35">
      <c r="B106" s="39">
        <f t="shared" si="60"/>
        <v>78</v>
      </c>
      <c r="C106" s="45">
        <f t="shared" si="61"/>
        <v>2.2913669064747078</v>
      </c>
      <c r="D106" s="10">
        <f t="shared" si="62"/>
        <v>13.158633093525351</v>
      </c>
      <c r="E106" s="40">
        <f t="shared" si="63"/>
        <v>22.022733812949301</v>
      </c>
      <c r="F106" s="40">
        <f t="shared" si="64"/>
        <v>48.34</v>
      </c>
      <c r="G106" s="3">
        <f t="shared" si="65"/>
        <v>119.03453237410139</v>
      </c>
      <c r="H106" s="3">
        <f t="shared" si="66"/>
        <v>148.0155219248214</v>
      </c>
      <c r="I106">
        <f t="shared" si="48"/>
        <v>1.4801552192482141E-4</v>
      </c>
      <c r="J106" s="4">
        <f t="shared" si="67"/>
        <v>385.477506275623</v>
      </c>
      <c r="K106" s="40">
        <f t="shared" si="68"/>
        <v>2.6043046111840282</v>
      </c>
      <c r="L106" s="40">
        <f t="shared" si="49"/>
        <v>3.3956953888159718</v>
      </c>
      <c r="M106" s="10">
        <f t="shared" si="69"/>
        <v>3.7189114476714797</v>
      </c>
      <c r="N106" s="10">
        <f t="shared" si="50"/>
        <v>8.26</v>
      </c>
      <c r="O106" s="10">
        <f t="shared" si="51"/>
        <v>0.31900000000000001</v>
      </c>
      <c r="P106" s="10">
        <f t="shared" si="70"/>
        <v>12.558642547453223</v>
      </c>
      <c r="Q106" s="45">
        <f t="shared" si="71"/>
        <v>0.36946717034548832</v>
      </c>
      <c r="R106" s="4">
        <f t="shared" si="72"/>
        <v>173119.63569923604</v>
      </c>
      <c r="S106">
        <f t="shared" si="52"/>
        <v>1.7311963569923604E-4</v>
      </c>
      <c r="T106" s="44">
        <f t="shared" si="53"/>
        <v>6.274814993607937E-5</v>
      </c>
      <c r="U106" s="45">
        <f t="shared" si="73"/>
        <v>0.31067184224406402</v>
      </c>
      <c r="V106" s="45">
        <f t="shared" si="74"/>
        <v>0.3166502643355768</v>
      </c>
      <c r="W106" s="45">
        <f t="shared" si="75"/>
        <v>0.59822516497726941</v>
      </c>
      <c r="X106" s="45">
        <f t="shared" si="76"/>
        <v>-0.2815749006416926</v>
      </c>
      <c r="Y106" s="45">
        <f t="shared" si="59"/>
        <v>3.8923423417151445E-5</v>
      </c>
      <c r="Z106" s="10">
        <f t="shared" si="77"/>
        <v>0.62031188898480949</v>
      </c>
      <c r="AA106">
        <f t="shared" si="54"/>
        <v>301546.98133179918</v>
      </c>
      <c r="AB106" s="10">
        <f t="shared" si="55"/>
        <v>0.30154698133179919</v>
      </c>
      <c r="AC106" s="10">
        <f t="shared" si="56"/>
        <v>0.20054698133179918</v>
      </c>
      <c r="AD106" s="3">
        <f t="shared" si="57"/>
        <v>29.085856610848321</v>
      </c>
      <c r="AI106" s="100">
        <f t="shared" si="58"/>
        <v>0.59822516497726941</v>
      </c>
    </row>
    <row r="107" spans="2:35">
      <c r="B107" s="39">
        <f t="shared" si="60"/>
        <v>79</v>
      </c>
      <c r="C107" s="45">
        <f t="shared" si="61"/>
        <v>2.3207434052756657</v>
      </c>
      <c r="D107" s="10">
        <f t="shared" si="62"/>
        <v>13.129256594724394</v>
      </c>
      <c r="E107" s="40">
        <f t="shared" si="63"/>
        <v>22.081486810551215</v>
      </c>
      <c r="F107" s="40">
        <f t="shared" si="64"/>
        <v>48.34</v>
      </c>
      <c r="G107" s="3">
        <f t="shared" si="65"/>
        <v>118.91702637889756</v>
      </c>
      <c r="H107" s="3">
        <f t="shared" si="66"/>
        <v>148.0155219248214</v>
      </c>
      <c r="I107">
        <f t="shared" si="48"/>
        <v>1.4801552192482141E-4</v>
      </c>
      <c r="J107" s="4">
        <f t="shared" si="67"/>
        <v>387.51267332587804</v>
      </c>
      <c r="K107" s="40">
        <f t="shared" si="68"/>
        <v>2.6180542978641097</v>
      </c>
      <c r="L107" s="40">
        <f t="shared" si="49"/>
        <v>3.3819457021358903</v>
      </c>
      <c r="M107" s="10">
        <f t="shared" si="69"/>
        <v>0.30154698133179919</v>
      </c>
      <c r="N107" s="10">
        <f t="shared" si="50"/>
        <v>8.26</v>
      </c>
      <c r="O107" s="10">
        <f t="shared" si="51"/>
        <v>0.31900000000000001</v>
      </c>
      <c r="P107" s="10">
        <f t="shared" si="70"/>
        <v>5.6350047649888158</v>
      </c>
      <c r="Q107" s="45">
        <f t="shared" si="71"/>
        <v>0.37468038666492759</v>
      </c>
      <c r="R107" s="4">
        <f t="shared" si="72"/>
        <v>172706.72310041561</v>
      </c>
      <c r="S107">
        <f t="shared" si="52"/>
        <v>1.727067231004156E-4</v>
      </c>
      <c r="T107" s="44">
        <f t="shared" si="53"/>
        <v>6.3161062534899812E-5</v>
      </c>
      <c r="U107" s="45">
        <f t="shared" si="73"/>
        <v>0.30993084993985082</v>
      </c>
      <c r="V107" s="45">
        <f t="shared" si="74"/>
        <v>0.14213726398618085</v>
      </c>
      <c r="W107" s="45">
        <f t="shared" si="75"/>
        <v>3.3160637767992954E-2</v>
      </c>
      <c r="X107" s="45">
        <f t="shared" si="76"/>
        <v>0.10897662621818789</v>
      </c>
      <c r="Y107" s="45">
        <f t="shared" si="59"/>
        <v>6.0704214965524232E-4</v>
      </c>
      <c r="Z107" s="10">
        <f t="shared" si="77"/>
        <v>9.6110186449099011</v>
      </c>
      <c r="AA107">
        <f t="shared" si="54"/>
        <v>3208244.6151479776</v>
      </c>
      <c r="AB107" s="10">
        <f t="shared" si="55"/>
        <v>3.2082446151479775</v>
      </c>
      <c r="AC107" s="10">
        <f t="shared" si="56"/>
        <v>3.1072446151479776</v>
      </c>
      <c r="AD107" s="3">
        <f t="shared" si="57"/>
        <v>450.65186586627664</v>
      </c>
      <c r="AI107" s="100">
        <f t="shared" si="58"/>
        <v>3.3160637767992954E-2</v>
      </c>
    </row>
    <row r="108" spans="2:35">
      <c r="B108" s="39">
        <f t="shared" si="60"/>
        <v>80</v>
      </c>
      <c r="C108" s="45">
        <f t="shared" si="61"/>
        <v>2.3501199040766236</v>
      </c>
      <c r="D108" s="10">
        <f t="shared" si="62"/>
        <v>13.099880095923437</v>
      </c>
      <c r="E108" s="40">
        <f t="shared" si="63"/>
        <v>22.14023980815313</v>
      </c>
      <c r="F108" s="40">
        <f t="shared" si="64"/>
        <v>48.34</v>
      </c>
      <c r="G108" s="3">
        <f t="shared" si="65"/>
        <v>118.79952038369373</v>
      </c>
      <c r="H108" s="3">
        <f t="shared" si="66"/>
        <v>148.0155219248214</v>
      </c>
      <c r="I108">
        <f t="shared" si="48"/>
        <v>1.4801552192482141E-4</v>
      </c>
      <c r="J108" s="4">
        <f t="shared" si="67"/>
        <v>389.55326263110692</v>
      </c>
      <c r="K108" s="40">
        <f t="shared" si="68"/>
        <v>2.6318406175601301</v>
      </c>
      <c r="L108" s="40">
        <f t="shared" si="49"/>
        <v>3.3681593824398699</v>
      </c>
      <c r="M108" s="10">
        <f t="shared" si="69"/>
        <v>3.2082446151479775</v>
      </c>
      <c r="N108" s="10">
        <f t="shared" si="50"/>
        <v>8.26</v>
      </c>
      <c r="O108" s="10">
        <f t="shared" si="51"/>
        <v>0.31900000000000001</v>
      </c>
      <c r="P108" s="10">
        <f t="shared" si="70"/>
        <v>11.980622153026864</v>
      </c>
      <c r="Q108" s="45">
        <f t="shared" si="71"/>
        <v>0.37713238777352909</v>
      </c>
      <c r="R108" s="4">
        <f t="shared" si="72"/>
        <v>172293.64462896416</v>
      </c>
      <c r="S108">
        <f t="shared" si="52"/>
        <v>1.7229364462896415E-4</v>
      </c>
      <c r="T108" s="44">
        <f t="shared" si="53"/>
        <v>6.357414100635126E-5</v>
      </c>
      <c r="U108" s="45">
        <f t="shared" si="73"/>
        <v>0.30918955996890762</v>
      </c>
      <c r="V108" s="45">
        <f t="shared" si="74"/>
        <v>0.30232040611351463</v>
      </c>
      <c r="W108" s="45">
        <f t="shared" si="75"/>
        <v>0.51378590919299361</v>
      </c>
      <c r="X108" s="45">
        <f t="shared" si="76"/>
        <v>-0.21146550307947898</v>
      </c>
      <c r="Y108" s="45">
        <f t="shared" si="59"/>
        <v>8.8528501673386362E-5</v>
      </c>
      <c r="Z108" s="10">
        <f t="shared" si="77"/>
        <v>1.3925237568611755</v>
      </c>
      <c r="AA108">
        <f t="shared" si="54"/>
        <v>551203.26198868616</v>
      </c>
      <c r="AB108" s="10">
        <f t="shared" si="55"/>
        <v>0.55120326198868619</v>
      </c>
      <c r="AC108" s="10">
        <f t="shared" si="56"/>
        <v>0.45020326198868621</v>
      </c>
      <c r="AD108" s="3">
        <f t="shared" si="57"/>
        <v>65.294164175298945</v>
      </c>
      <c r="AI108" s="100">
        <f t="shared" si="58"/>
        <v>0.51378590919299361</v>
      </c>
    </row>
    <row r="109" spans="2:35">
      <c r="B109" s="39">
        <f t="shared" si="60"/>
        <v>81</v>
      </c>
      <c r="C109" s="45">
        <f t="shared" si="61"/>
        <v>2.3794964028775816</v>
      </c>
      <c r="D109" s="10">
        <f t="shared" si="62"/>
        <v>13.07050359712248</v>
      </c>
      <c r="E109" s="40">
        <f t="shared" si="63"/>
        <v>22.198992805755044</v>
      </c>
      <c r="F109" s="40">
        <f t="shared" si="64"/>
        <v>48.34</v>
      </c>
      <c r="G109" s="3">
        <f t="shared" si="65"/>
        <v>118.6820143884899</v>
      </c>
      <c r="H109" s="3">
        <f t="shared" si="66"/>
        <v>148.0155219248214</v>
      </c>
      <c r="I109">
        <f t="shared" si="48"/>
        <v>1.4801552192482141E-4</v>
      </c>
      <c r="J109" s="4">
        <f t="shared" si="67"/>
        <v>391.59927419130986</v>
      </c>
      <c r="K109" s="40">
        <f t="shared" si="68"/>
        <v>2.6456635702720903</v>
      </c>
      <c r="L109" s="40">
        <f t="shared" si="49"/>
        <v>3.3543364297279097</v>
      </c>
      <c r="M109" s="10">
        <f t="shared" si="69"/>
        <v>0.55120326198868619</v>
      </c>
      <c r="N109" s="10">
        <f t="shared" si="50"/>
        <v>8.26</v>
      </c>
      <c r="O109" s="10">
        <f t="shared" si="51"/>
        <v>0.31900000000000001</v>
      </c>
      <c r="P109" s="10">
        <f t="shared" si="70"/>
        <v>6.8305945115859812</v>
      </c>
      <c r="Q109" s="45">
        <f t="shared" si="71"/>
        <v>0.38143311134175284</v>
      </c>
      <c r="R109" s="4">
        <f t="shared" si="72"/>
        <v>171880.40219632411</v>
      </c>
      <c r="S109">
        <f t="shared" si="52"/>
        <v>1.7188040219632411E-4</v>
      </c>
      <c r="T109" s="44">
        <f t="shared" si="53"/>
        <v>6.3987383438991302E-5</v>
      </c>
      <c r="U109" s="45">
        <f t="shared" si="73"/>
        <v>0.30844797576141342</v>
      </c>
      <c r="V109" s="45">
        <f t="shared" si="74"/>
        <v>0.17243242810894926</v>
      </c>
      <c r="W109" s="45">
        <f t="shared" si="75"/>
        <v>7.4441545784606017E-2</v>
      </c>
      <c r="X109" s="45">
        <f t="shared" si="76"/>
        <v>9.7990882324343248E-2</v>
      </c>
      <c r="Y109" s="45">
        <f t="shared" si="59"/>
        <v>5.0996019875672967E-4</v>
      </c>
      <c r="Z109" s="10">
        <f t="shared" si="77"/>
        <v>7.9696992023896502</v>
      </c>
      <c r="AA109">
        <f t="shared" si="54"/>
        <v>2677605.648776839</v>
      </c>
      <c r="AB109" s="10">
        <f t="shared" si="55"/>
        <v>2.6776056487768392</v>
      </c>
      <c r="AC109" s="10">
        <f t="shared" si="56"/>
        <v>2.5766056487768392</v>
      </c>
      <c r="AD109" s="3">
        <f t="shared" si="57"/>
        <v>373.69189975008544</v>
      </c>
      <c r="AI109" s="100">
        <f t="shared" si="58"/>
        <v>7.4441545784606017E-2</v>
      </c>
    </row>
    <row r="110" spans="2:35">
      <c r="B110" s="39">
        <f t="shared" si="60"/>
        <v>82</v>
      </c>
      <c r="C110" s="45">
        <f t="shared" si="61"/>
        <v>2.4088729016785395</v>
      </c>
      <c r="D110" s="10">
        <f t="shared" si="62"/>
        <v>13.041127098321523</v>
      </c>
      <c r="E110" s="40">
        <f t="shared" si="63"/>
        <v>22.257745803356958</v>
      </c>
      <c r="F110" s="40">
        <f t="shared" si="64"/>
        <v>48.34</v>
      </c>
      <c r="G110" s="3">
        <f t="shared" si="65"/>
        <v>118.56450839328608</v>
      </c>
      <c r="H110" s="3">
        <f t="shared" si="66"/>
        <v>148.0155219248214</v>
      </c>
      <c r="I110">
        <f t="shared" si="48"/>
        <v>1.4801552192482141E-4</v>
      </c>
      <c r="J110" s="4">
        <f t="shared" si="67"/>
        <v>393.65070800648664</v>
      </c>
      <c r="K110" s="40">
        <f t="shared" si="68"/>
        <v>2.6595231559999895</v>
      </c>
      <c r="L110" s="40">
        <f t="shared" si="49"/>
        <v>3.3404768440000105</v>
      </c>
      <c r="M110" s="10">
        <f t="shared" si="69"/>
        <v>2.6776056487768392</v>
      </c>
      <c r="N110" s="10">
        <f t="shared" si="50"/>
        <v>8.26</v>
      </c>
      <c r="O110" s="10">
        <f t="shared" si="51"/>
        <v>0.31900000000000001</v>
      </c>
      <c r="P110" s="10">
        <f t="shared" si="70"/>
        <v>11.309182635498409</v>
      </c>
      <c r="Q110" s="45">
        <f t="shared" si="71"/>
        <v>0.38403069064945167</v>
      </c>
      <c r="R110" s="4">
        <f t="shared" si="72"/>
        <v>171466.99771393783</v>
      </c>
      <c r="S110">
        <f t="shared" si="52"/>
        <v>1.7146699771393784E-4</v>
      </c>
      <c r="T110" s="44">
        <f t="shared" si="53"/>
        <v>6.4400787921377577E-5</v>
      </c>
      <c r="U110" s="45">
        <f t="shared" si="73"/>
        <v>0.30770610074754712</v>
      </c>
      <c r="V110" s="45">
        <f t="shared" si="74"/>
        <v>0.28560244981452387</v>
      </c>
      <c r="W110" s="45">
        <f t="shared" si="75"/>
        <v>0.42604424171656863</v>
      </c>
      <c r="X110" s="45">
        <f t="shared" si="76"/>
        <v>-0.14044179190204475</v>
      </c>
      <c r="Y110" s="45">
        <f t="shared" si="59"/>
        <v>1.4515150617583345E-4</v>
      </c>
      <c r="Z110" s="10">
        <f t="shared" si="77"/>
        <v>2.2538777996480226</v>
      </c>
      <c r="AA110">
        <f t="shared" si="54"/>
        <v>829679.22900835704</v>
      </c>
      <c r="AB110" s="10">
        <f t="shared" si="55"/>
        <v>0.829679229008357</v>
      </c>
      <c r="AC110" s="10">
        <f t="shared" si="56"/>
        <v>0.72867922900835702</v>
      </c>
      <c r="AD110" s="3">
        <f t="shared" si="57"/>
        <v>105.68226671622293</v>
      </c>
      <c r="AI110" s="100">
        <f t="shared" si="58"/>
        <v>0.42604424171656863</v>
      </c>
    </row>
    <row r="111" spans="2:35">
      <c r="B111" s="39">
        <f t="shared" si="60"/>
        <v>83</v>
      </c>
      <c r="C111" s="45">
        <f t="shared" si="61"/>
        <v>2.4382494004794975</v>
      </c>
      <c r="D111" s="10">
        <f t="shared" si="62"/>
        <v>13.011750599520566</v>
      </c>
      <c r="E111" s="40">
        <f t="shared" si="63"/>
        <v>22.316498800958872</v>
      </c>
      <c r="F111" s="40">
        <f t="shared" si="64"/>
        <v>48.34</v>
      </c>
      <c r="G111" s="3">
        <f t="shared" si="65"/>
        <v>118.44700239808225</v>
      </c>
      <c r="H111" s="3">
        <f t="shared" si="66"/>
        <v>148.0155219248214</v>
      </c>
      <c r="I111">
        <f t="shared" si="48"/>
        <v>1.4801552192482141E-4</v>
      </c>
      <c r="J111" s="4">
        <f t="shared" si="67"/>
        <v>395.70756407663748</v>
      </c>
      <c r="K111" s="40">
        <f t="shared" si="68"/>
        <v>2.6734193747438284</v>
      </c>
      <c r="L111" s="40">
        <f t="shared" si="49"/>
        <v>3.3265806252561716</v>
      </c>
      <c r="M111" s="10">
        <f t="shared" si="69"/>
        <v>0.829679229008357</v>
      </c>
      <c r="N111" s="10">
        <f t="shared" si="50"/>
        <v>8.26</v>
      </c>
      <c r="O111" s="10">
        <f t="shared" si="51"/>
        <v>0.31900000000000001</v>
      </c>
      <c r="P111" s="10">
        <f t="shared" si="70"/>
        <v>7.7823795329255576</v>
      </c>
      <c r="Q111" s="45">
        <f t="shared" si="71"/>
        <v>0.38780543572281545</v>
      </c>
      <c r="R111" s="4">
        <f t="shared" si="72"/>
        <v>171053.43309324776</v>
      </c>
      <c r="S111">
        <f t="shared" si="52"/>
        <v>1.7105343309324776E-4</v>
      </c>
      <c r="T111" s="44">
        <f t="shared" si="53"/>
        <v>6.4814352542067648E-5</v>
      </c>
      <c r="U111" s="45">
        <f t="shared" si="73"/>
        <v>0.30696393835748775</v>
      </c>
      <c r="V111" s="45">
        <f t="shared" si="74"/>
        <v>0.19661258591908096</v>
      </c>
      <c r="W111" s="45">
        <f t="shared" si="75"/>
        <v>0.12048781687832416</v>
      </c>
      <c r="X111" s="45">
        <f t="shared" si="76"/>
        <v>7.6124769040756796E-2</v>
      </c>
      <c r="Y111" s="45">
        <f t="shared" si="59"/>
        <v>4.3250310307338602E-4</v>
      </c>
      <c r="Z111" s="10">
        <f t="shared" si="77"/>
        <v>6.6729526117331899</v>
      </c>
      <c r="AA111">
        <f t="shared" si="54"/>
        <v>2258367.1674153707</v>
      </c>
      <c r="AB111" s="10">
        <f t="shared" si="55"/>
        <v>2.2583671674153707</v>
      </c>
      <c r="AC111" s="10">
        <f t="shared" si="56"/>
        <v>2.1573671674153707</v>
      </c>
      <c r="AD111" s="3">
        <f t="shared" si="57"/>
        <v>312.88863921905306</v>
      </c>
      <c r="AI111" s="100">
        <f t="shared" si="58"/>
        <v>0.12048781687832416</v>
      </c>
    </row>
    <row r="112" spans="2:35">
      <c r="B112" s="39">
        <f t="shared" si="60"/>
        <v>84</v>
      </c>
      <c r="C112" s="45">
        <f t="shared" si="61"/>
        <v>2.4676258992804554</v>
      </c>
      <c r="D112" s="10">
        <f t="shared" si="62"/>
        <v>12.982374100719609</v>
      </c>
      <c r="E112" s="40">
        <f t="shared" si="63"/>
        <v>22.375251798560786</v>
      </c>
      <c r="F112" s="40">
        <f t="shared" si="64"/>
        <v>48.34</v>
      </c>
      <c r="G112" s="3">
        <f t="shared" si="65"/>
        <v>118.32949640287842</v>
      </c>
      <c r="H112" s="3">
        <f t="shared" si="66"/>
        <v>148.0155219248214</v>
      </c>
      <c r="I112">
        <f t="shared" si="48"/>
        <v>1.4801552192482141E-4</v>
      </c>
      <c r="J112" s="4">
        <f t="shared" si="67"/>
        <v>397.76984240176216</v>
      </c>
      <c r="K112" s="40">
        <f t="shared" si="68"/>
        <v>2.6873522265036063</v>
      </c>
      <c r="L112" s="40">
        <f t="shared" si="49"/>
        <v>3.3126477734963937</v>
      </c>
      <c r="M112" s="10">
        <f t="shared" si="69"/>
        <v>2.2583671674153707</v>
      </c>
      <c r="N112" s="10">
        <f t="shared" si="50"/>
        <v>8.26</v>
      </c>
      <c r="O112" s="10">
        <f t="shared" si="51"/>
        <v>0.31900000000000001</v>
      </c>
      <c r="P112" s="10">
        <f t="shared" si="70"/>
        <v>10.711258714989267</v>
      </c>
      <c r="Q112" s="45">
        <f t="shared" si="71"/>
        <v>0.39054801711148535</v>
      </c>
      <c r="R112" s="4">
        <f t="shared" si="72"/>
        <v>170639.71024569627</v>
      </c>
      <c r="S112">
        <f t="shared" si="52"/>
        <v>1.7063971024569628E-4</v>
      </c>
      <c r="T112" s="44">
        <f t="shared" si="53"/>
        <v>6.5228075389619128E-5</v>
      </c>
      <c r="U112" s="45">
        <f t="shared" si="73"/>
        <v>0.30622149202141424</v>
      </c>
      <c r="V112" s="45">
        <f t="shared" si="74"/>
        <v>0.27071077603774729</v>
      </c>
      <c r="W112" s="45">
        <f t="shared" si="75"/>
        <v>0.35672275242508783</v>
      </c>
      <c r="X112" s="45">
        <f t="shared" si="76"/>
        <v>-8.6011976387340539E-2</v>
      </c>
      <c r="Y112" s="45">
        <f t="shared" si="59"/>
        <v>1.9660825743075133E-4</v>
      </c>
      <c r="Z112" s="10">
        <f t="shared" si="77"/>
        <v>3.0141661586115265</v>
      </c>
      <c r="AA112">
        <f t="shared" si="54"/>
        <v>1075480.6363961361</v>
      </c>
      <c r="AB112" s="10">
        <f t="shared" si="55"/>
        <v>1.0754806363961362</v>
      </c>
      <c r="AC112" s="10">
        <f t="shared" si="56"/>
        <v>0.97448063639613625</v>
      </c>
      <c r="AD112" s="3">
        <f t="shared" si="57"/>
        <v>141.33149186310897</v>
      </c>
      <c r="AI112" s="100">
        <f t="shared" si="58"/>
        <v>0.35672275242508783</v>
      </c>
    </row>
    <row r="113" spans="2:35">
      <c r="B113" s="39">
        <f t="shared" si="60"/>
        <v>85</v>
      </c>
      <c r="C113" s="45">
        <f t="shared" si="61"/>
        <v>2.4970023980814133</v>
      </c>
      <c r="D113" s="10">
        <f t="shared" si="62"/>
        <v>12.952997601918652</v>
      </c>
      <c r="E113" s="40">
        <f t="shared" si="63"/>
        <v>22.4340047961627</v>
      </c>
      <c r="F113" s="40">
        <f t="shared" si="64"/>
        <v>48.34</v>
      </c>
      <c r="G113" s="3">
        <f t="shared" si="65"/>
        <v>118.21199040767459</v>
      </c>
      <c r="H113" s="3">
        <f t="shared" si="66"/>
        <v>148.0155219248214</v>
      </c>
      <c r="I113">
        <f t="shared" si="48"/>
        <v>1.4801552192482141E-4</v>
      </c>
      <c r="J113" s="4">
        <f t="shared" si="67"/>
        <v>399.83754298186068</v>
      </c>
      <c r="K113" s="40">
        <f t="shared" si="68"/>
        <v>2.7013217112793231</v>
      </c>
      <c r="L113" s="40">
        <f t="shared" si="49"/>
        <v>3.2986782887206769</v>
      </c>
      <c r="M113" s="10">
        <f t="shared" si="69"/>
        <v>1.0754806363961362</v>
      </c>
      <c r="N113" s="10">
        <f t="shared" si="50"/>
        <v>8.26</v>
      </c>
      <c r="O113" s="10">
        <f t="shared" si="51"/>
        <v>0.31900000000000001</v>
      </c>
      <c r="P113" s="10">
        <f t="shared" si="70"/>
        <v>8.4539811527878097</v>
      </c>
      <c r="Q113" s="45">
        <f t="shared" si="71"/>
        <v>0.3940228886861955</v>
      </c>
      <c r="R113" s="4">
        <f t="shared" si="72"/>
        <v>170225.83108272581</v>
      </c>
      <c r="S113">
        <f t="shared" si="52"/>
        <v>1.7022583108272581E-4</v>
      </c>
      <c r="T113" s="44">
        <f t="shared" si="53"/>
        <v>6.5641954552589604E-5</v>
      </c>
      <c r="U113" s="45">
        <f t="shared" si="73"/>
        <v>0.30547876516950556</v>
      </c>
      <c r="V113" s="45">
        <f t="shared" si="74"/>
        <v>0.21374224512761536</v>
      </c>
      <c r="W113" s="45">
        <f t="shared" si="75"/>
        <v>0.16113131786308113</v>
      </c>
      <c r="X113" s="45">
        <f t="shared" si="76"/>
        <v>5.261092726453423E-2</v>
      </c>
      <c r="Y113" s="45">
        <f t="shared" si="59"/>
        <v>3.7942447310142501E-4</v>
      </c>
      <c r="Z113" s="10">
        <f t="shared" si="77"/>
        <v>5.7802129093740788</v>
      </c>
      <c r="AA113">
        <f t="shared" si="54"/>
        <v>1969744.2091867675</v>
      </c>
      <c r="AB113" s="10">
        <f t="shared" si="55"/>
        <v>1.9697442091867674</v>
      </c>
      <c r="AC113" s="10">
        <f t="shared" si="56"/>
        <v>1.8687442091867674</v>
      </c>
      <c r="AD113" s="3">
        <f t="shared" si="57"/>
        <v>271.02889183274362</v>
      </c>
      <c r="AI113" s="100">
        <f t="shared" si="58"/>
        <v>0.16113131786308113</v>
      </c>
    </row>
    <row r="114" spans="2:35">
      <c r="B114" s="39">
        <f t="shared" si="60"/>
        <v>86</v>
      </c>
      <c r="C114" s="45">
        <f t="shared" si="61"/>
        <v>2.5263788968823713</v>
      </c>
      <c r="D114" s="10">
        <f t="shared" si="62"/>
        <v>12.923621103117695</v>
      </c>
      <c r="E114" s="40">
        <f t="shared" si="63"/>
        <v>22.492757793764614</v>
      </c>
      <c r="F114" s="40">
        <f t="shared" si="64"/>
        <v>48.34</v>
      </c>
      <c r="G114" s="3">
        <f t="shared" si="65"/>
        <v>118.09448441247076</v>
      </c>
      <c r="H114" s="3">
        <f t="shared" si="66"/>
        <v>148.0155219248214</v>
      </c>
      <c r="I114">
        <f t="shared" si="48"/>
        <v>1.4801552192482141E-4</v>
      </c>
      <c r="J114" s="4">
        <f t="shared" si="67"/>
        <v>401.91066581693326</v>
      </c>
      <c r="K114" s="40">
        <f t="shared" si="68"/>
        <v>2.7153278290709797</v>
      </c>
      <c r="L114" s="40">
        <f t="shared" si="49"/>
        <v>3.2846721709290203</v>
      </c>
      <c r="M114" s="10">
        <f t="shared" si="69"/>
        <v>1.9697442091867674</v>
      </c>
      <c r="N114" s="10">
        <f t="shared" si="50"/>
        <v>8.26</v>
      </c>
      <c r="O114" s="10">
        <f t="shared" si="51"/>
        <v>0.31900000000000001</v>
      </c>
      <c r="P114" s="10">
        <f t="shared" si="70"/>
        <v>10.254081947071596</v>
      </c>
      <c r="Q114" s="45">
        <f t="shared" si="71"/>
        <v>0.39688774767138696</v>
      </c>
      <c r="R114" s="4">
        <f t="shared" si="72"/>
        <v>169811.79751577872</v>
      </c>
      <c r="S114">
        <f t="shared" si="52"/>
        <v>1.6981179751577872E-4</v>
      </c>
      <c r="T114" s="44">
        <f t="shared" si="53"/>
        <v>6.6055988119536691E-5</v>
      </c>
      <c r="U114" s="45">
        <f t="shared" si="73"/>
        <v>0.30473576123194063</v>
      </c>
      <c r="V114" s="45">
        <f t="shared" si="74"/>
        <v>0.25935096331286989</v>
      </c>
      <c r="W114" s="45">
        <f t="shared" si="75"/>
        <v>0.30899866649875596</v>
      </c>
      <c r="X114" s="45">
        <f t="shared" si="76"/>
        <v>-4.9647703185886072E-2</v>
      </c>
      <c r="Y114" s="45">
        <f t="shared" si="59"/>
        <v>2.3719080453522091E-4</v>
      </c>
      <c r="Z114" s="10">
        <f t="shared" si="77"/>
        <v>3.5907540147002881</v>
      </c>
      <c r="AA114">
        <f t="shared" si="54"/>
        <v>1261891.6274871139</v>
      </c>
      <c r="AB114" s="10">
        <f t="shared" si="55"/>
        <v>1.2618916274871139</v>
      </c>
      <c r="AC114" s="10">
        <f t="shared" si="56"/>
        <v>1.1608916274871139</v>
      </c>
      <c r="AD114" s="3">
        <f t="shared" si="57"/>
        <v>168.3671685985662</v>
      </c>
      <c r="AI114" s="100">
        <f t="shared" si="58"/>
        <v>0.30899866649875596</v>
      </c>
    </row>
    <row r="115" spans="2:35">
      <c r="B115" s="39">
        <f t="shared" si="60"/>
        <v>87</v>
      </c>
      <c r="C115" s="45">
        <f t="shared" si="61"/>
        <v>2.5557553956833292</v>
      </c>
      <c r="D115" s="10">
        <f t="shared" si="62"/>
        <v>12.894244604316738</v>
      </c>
      <c r="E115" s="40">
        <f t="shared" si="63"/>
        <v>22.551510791366528</v>
      </c>
      <c r="F115" s="40">
        <f t="shared" si="64"/>
        <v>48.34</v>
      </c>
      <c r="G115" s="3">
        <f t="shared" si="65"/>
        <v>117.97697841726693</v>
      </c>
      <c r="H115" s="3">
        <f t="shared" si="66"/>
        <v>148.0155219248214</v>
      </c>
      <c r="I115">
        <f t="shared" si="48"/>
        <v>1.4801552192482141E-4</v>
      </c>
      <c r="J115" s="4">
        <f t="shared" si="67"/>
        <v>403.98921090697968</v>
      </c>
      <c r="K115" s="40">
        <f t="shared" si="68"/>
        <v>2.7293705798785748</v>
      </c>
      <c r="L115" s="40">
        <f t="shared" si="49"/>
        <v>3.2706294201214252</v>
      </c>
      <c r="M115" s="10">
        <f t="shared" si="69"/>
        <v>1.2618916274871139</v>
      </c>
      <c r="N115" s="10">
        <f t="shared" si="50"/>
        <v>8.26</v>
      </c>
      <c r="O115" s="10">
        <f t="shared" si="51"/>
        <v>0.31900000000000001</v>
      </c>
      <c r="P115" s="10">
        <f t="shared" si="70"/>
        <v>8.8962316719053991</v>
      </c>
      <c r="Q115" s="45">
        <f t="shared" si="71"/>
        <v>0.40018987602014949</v>
      </c>
      <c r="R115" s="4">
        <f t="shared" si="72"/>
        <v>169397.61145629745</v>
      </c>
      <c r="S115">
        <f t="shared" si="52"/>
        <v>1.6939761145629746E-4</v>
      </c>
      <c r="T115" s="44">
        <f t="shared" si="53"/>
        <v>6.6470174179017948E-5</v>
      </c>
      <c r="U115" s="45">
        <f t="shared" si="73"/>
        <v>0.30399248363889858</v>
      </c>
      <c r="V115" s="45">
        <f t="shared" si="74"/>
        <v>0.22509046122346768</v>
      </c>
      <c r="W115" s="45">
        <f t="shared" si="75"/>
        <v>0.1919545559417104</v>
      </c>
      <c r="X115" s="45">
        <f t="shared" si="76"/>
        <v>3.3135905281757277E-2</v>
      </c>
      <c r="Y115" s="45">
        <f t="shared" si="59"/>
        <v>3.466098167280218E-4</v>
      </c>
      <c r="Z115" s="10">
        <f t="shared" si="77"/>
        <v>5.2145164505591604</v>
      </c>
      <c r="AA115">
        <f t="shared" si="54"/>
        <v>1786854.4094263788</v>
      </c>
      <c r="AB115" s="10">
        <f t="shared" si="55"/>
        <v>1.7868544094263787</v>
      </c>
      <c r="AC115" s="10">
        <f t="shared" si="56"/>
        <v>1.6858544094263788</v>
      </c>
      <c r="AD115" s="3">
        <f t="shared" si="57"/>
        <v>244.50390274494254</v>
      </c>
      <c r="AI115" s="100">
        <f t="shared" si="58"/>
        <v>0.1919545559417104</v>
      </c>
    </row>
    <row r="116" spans="2:35">
      <c r="B116" s="39">
        <f t="shared" si="60"/>
        <v>88</v>
      </c>
      <c r="C116" s="45">
        <f t="shared" si="61"/>
        <v>2.5851318944842872</v>
      </c>
      <c r="D116" s="10">
        <f t="shared" si="62"/>
        <v>12.864868105515781</v>
      </c>
      <c r="E116" s="40">
        <f t="shared" si="63"/>
        <v>22.610263788968442</v>
      </c>
      <c r="F116" s="40">
        <f t="shared" si="64"/>
        <v>48.34</v>
      </c>
      <c r="G116" s="3">
        <f t="shared" si="65"/>
        <v>117.85947242206311</v>
      </c>
      <c r="H116" s="3">
        <f t="shared" si="66"/>
        <v>148.0155219248214</v>
      </c>
      <c r="I116">
        <f t="shared" si="48"/>
        <v>1.4801552192482141E-4</v>
      </c>
      <c r="J116" s="4">
        <f t="shared" si="67"/>
        <v>406.07317825199993</v>
      </c>
      <c r="K116" s="40">
        <f t="shared" si="68"/>
        <v>2.7434499637021088</v>
      </c>
      <c r="L116" s="40">
        <f t="shared" si="49"/>
        <v>3.2565500362978912</v>
      </c>
      <c r="M116" s="10">
        <f t="shared" si="69"/>
        <v>1.7868544094263787</v>
      </c>
      <c r="N116" s="10">
        <f t="shared" si="50"/>
        <v>8.26</v>
      </c>
      <c r="O116" s="10">
        <f t="shared" si="51"/>
        <v>0.31900000000000001</v>
      </c>
      <c r="P116" s="10">
        <f t="shared" si="70"/>
        <v>9.9402313418647577</v>
      </c>
      <c r="Q116" s="45">
        <f t="shared" si="71"/>
        <v>0.4031451894118242</v>
      </c>
      <c r="R116" s="4">
        <f t="shared" si="72"/>
        <v>168983.27481572438</v>
      </c>
      <c r="S116">
        <f t="shared" si="52"/>
        <v>1.6898327481572437E-4</v>
      </c>
      <c r="T116" s="44">
        <f t="shared" si="53"/>
        <v>6.6884510819591045E-5</v>
      </c>
      <c r="U116" s="45">
        <f t="shared" si="73"/>
        <v>0.30324893582055817</v>
      </c>
      <c r="V116" s="45">
        <f t="shared" si="74"/>
        <v>0.25159694414643963</v>
      </c>
      <c r="W116" s="45">
        <f t="shared" si="75"/>
        <v>0.27875766081998643</v>
      </c>
      <c r="X116" s="45">
        <f t="shared" si="76"/>
        <v>-2.7160716673546803E-2</v>
      </c>
      <c r="Y116" s="45">
        <f t="shared" si="59"/>
        <v>2.6634138701520641E-4</v>
      </c>
      <c r="Z116" s="10">
        <f t="shared" si="77"/>
        <v>3.9821086190435699</v>
      </c>
      <c r="AA116">
        <f t="shared" si="54"/>
        <v>1388416.6642066145</v>
      </c>
      <c r="AB116" s="10">
        <f t="shared" si="55"/>
        <v>1.3884166642066145</v>
      </c>
      <c r="AC116" s="10">
        <f t="shared" si="56"/>
        <v>1.2874166642066145</v>
      </c>
      <c r="AD116" s="3">
        <f t="shared" si="57"/>
        <v>186.71742773119863</v>
      </c>
      <c r="AI116" s="100">
        <f t="shared" si="58"/>
        <v>0.27875766081998643</v>
      </c>
    </row>
    <row r="117" spans="2:35">
      <c r="B117" s="39">
        <f t="shared" si="60"/>
        <v>89</v>
      </c>
      <c r="C117" s="45">
        <f t="shared" si="61"/>
        <v>2.6145083932852451</v>
      </c>
      <c r="D117" s="10">
        <f t="shared" si="62"/>
        <v>12.835491606714823</v>
      </c>
      <c r="E117" s="40">
        <f t="shared" si="63"/>
        <v>22.669016786570356</v>
      </c>
      <c r="F117" s="40">
        <f t="shared" si="64"/>
        <v>48.34</v>
      </c>
      <c r="G117" s="3">
        <f t="shared" si="65"/>
        <v>117.74196642685928</v>
      </c>
      <c r="H117" s="3">
        <f t="shared" si="66"/>
        <v>148.0155219248214</v>
      </c>
      <c r="I117">
        <f t="shared" si="48"/>
        <v>1.4801552192482141E-4</v>
      </c>
      <c r="J117" s="4">
        <f t="shared" si="67"/>
        <v>408.16256785199425</v>
      </c>
      <c r="K117" s="40">
        <f t="shared" si="68"/>
        <v>2.7575659805415826</v>
      </c>
      <c r="L117" s="40">
        <f t="shared" si="49"/>
        <v>3.2424340194584174</v>
      </c>
      <c r="M117" s="10">
        <f t="shared" si="69"/>
        <v>1.3884166642066145</v>
      </c>
      <c r="N117" s="10">
        <f t="shared" si="50"/>
        <v>8.26</v>
      </c>
      <c r="O117" s="10">
        <f t="shared" si="51"/>
        <v>0.31900000000000001</v>
      </c>
      <c r="P117" s="10">
        <f t="shared" si="70"/>
        <v>9.171573886975608</v>
      </c>
      <c r="Q117" s="45">
        <f t="shared" si="71"/>
        <v>0.4063481837029867</v>
      </c>
      <c r="R117" s="4">
        <f t="shared" si="72"/>
        <v>168568.78950550189</v>
      </c>
      <c r="S117">
        <f t="shared" si="52"/>
        <v>1.685687895055019E-4</v>
      </c>
      <c r="T117" s="44">
        <f t="shared" si="53"/>
        <v>6.7298996129813515E-5</v>
      </c>
      <c r="U117" s="45">
        <f t="shared" si="73"/>
        <v>0.30250512120709844</v>
      </c>
      <c r="V117" s="45">
        <f t="shared" si="74"/>
        <v>0.23222477027574595</v>
      </c>
      <c r="W117" s="45">
        <f t="shared" si="75"/>
        <v>0.21287559341320336</v>
      </c>
      <c r="X117" s="45">
        <f t="shared" si="76"/>
        <v>1.9349176862542589E-2</v>
      </c>
      <c r="Y117" s="45">
        <f t="shared" si="59"/>
        <v>3.2831669004462381E-4</v>
      </c>
      <c r="Z117" s="10">
        <f t="shared" si="77"/>
        <v>4.8784782675113219</v>
      </c>
      <c r="AA117">
        <f t="shared" si="54"/>
        <v>1678213.1848760028</v>
      </c>
      <c r="AB117" s="10">
        <f t="shared" si="55"/>
        <v>1.6782131848760029</v>
      </c>
      <c r="AC117" s="10">
        <f t="shared" si="56"/>
        <v>1.5772131848760029</v>
      </c>
      <c r="AD117" s="3">
        <f t="shared" si="57"/>
        <v>228.7473799675131</v>
      </c>
      <c r="AI117" s="100">
        <f t="shared" si="58"/>
        <v>0.21287559341320336</v>
      </c>
    </row>
    <row r="118" spans="2:35">
      <c r="B118" s="39">
        <f t="shared" si="60"/>
        <v>90</v>
      </c>
      <c r="C118" s="45">
        <f t="shared" si="61"/>
        <v>2.643884892086203</v>
      </c>
      <c r="D118" s="10">
        <f t="shared" si="62"/>
        <v>12.806115107913866</v>
      </c>
      <c r="E118" s="40">
        <f t="shared" si="63"/>
        <v>22.727769784172271</v>
      </c>
      <c r="F118" s="40">
        <f t="shared" si="64"/>
        <v>48.34</v>
      </c>
      <c r="G118" s="3">
        <f t="shared" si="65"/>
        <v>117.62446043165545</v>
      </c>
      <c r="H118" s="3">
        <f t="shared" si="66"/>
        <v>148.0155219248214</v>
      </c>
      <c r="I118">
        <f t="shared" si="48"/>
        <v>1.4801552192482141E-4</v>
      </c>
      <c r="J118" s="4">
        <f t="shared" si="67"/>
        <v>410.25737970696241</v>
      </c>
      <c r="K118" s="40">
        <f t="shared" si="68"/>
        <v>2.7717186303969954</v>
      </c>
      <c r="L118" s="40">
        <f t="shared" si="49"/>
        <v>3.2282813696030046</v>
      </c>
      <c r="M118" s="10">
        <f t="shared" si="69"/>
        <v>1.6782131848760029</v>
      </c>
      <c r="N118" s="10">
        <f t="shared" si="50"/>
        <v>8.26</v>
      </c>
      <c r="O118" s="10">
        <f t="shared" si="51"/>
        <v>0.31900000000000001</v>
      </c>
      <c r="P118" s="10">
        <f t="shared" si="70"/>
        <v>9.7433046340446996</v>
      </c>
      <c r="Q118" s="45">
        <f t="shared" si="71"/>
        <v>0.40936322838282885</v>
      </c>
      <c r="R118" s="4">
        <f t="shared" si="72"/>
        <v>168154.15743707243</v>
      </c>
      <c r="S118">
        <f t="shared" si="52"/>
        <v>1.6815415743707242E-4</v>
      </c>
      <c r="T118" s="44">
        <f t="shared" si="53"/>
        <v>6.7713628198242998E-5</v>
      </c>
      <c r="U118" s="45">
        <f t="shared" si="73"/>
        <v>0.30176104322869829</v>
      </c>
      <c r="V118" s="45">
        <f t="shared" si="74"/>
        <v>0.24678837543432491</v>
      </c>
      <c r="W118" s="45">
        <f t="shared" si="75"/>
        <v>0.26079372902673859</v>
      </c>
      <c r="X118" s="45">
        <f t="shared" si="76"/>
        <v>-1.4005353592413672E-2</v>
      </c>
      <c r="Y118" s="45">
        <f t="shared" si="59"/>
        <v>2.8608992320650886E-4</v>
      </c>
      <c r="Z118" s="10">
        <f t="shared" si="77"/>
        <v>4.2249976971981571</v>
      </c>
      <c r="AA118">
        <f t="shared" si="54"/>
        <v>1466942.7609772002</v>
      </c>
      <c r="AB118" s="10">
        <f t="shared" si="55"/>
        <v>1.4669427609772003</v>
      </c>
      <c r="AC118" s="10">
        <f t="shared" si="56"/>
        <v>1.3659427609772004</v>
      </c>
      <c r="AD118" s="3">
        <f t="shared" si="57"/>
        <v>198.1062742534011</v>
      </c>
      <c r="AI118" s="100">
        <f t="shared" si="58"/>
        <v>0.26079372902673859</v>
      </c>
    </row>
    <row r="119" spans="2:35">
      <c r="B119" s="39">
        <f t="shared" si="60"/>
        <v>91</v>
      </c>
      <c r="C119" s="45">
        <f t="shared" si="61"/>
        <v>2.673261390887161</v>
      </c>
      <c r="D119" s="10">
        <f t="shared" si="62"/>
        <v>12.776738609112909</v>
      </c>
      <c r="E119" s="40">
        <f t="shared" si="63"/>
        <v>22.786522781774185</v>
      </c>
      <c r="F119" s="40">
        <f t="shared" si="64"/>
        <v>48.34</v>
      </c>
      <c r="G119" s="3">
        <f t="shared" si="65"/>
        <v>117.50695443645162</v>
      </c>
      <c r="H119" s="3">
        <f t="shared" si="66"/>
        <v>148.0155219248214</v>
      </c>
      <c r="I119">
        <f t="shared" si="48"/>
        <v>1.4801552192482141E-4</v>
      </c>
      <c r="J119" s="4">
        <f t="shared" si="67"/>
        <v>412.3576138169044</v>
      </c>
      <c r="K119" s="40">
        <f t="shared" si="68"/>
        <v>2.7859079132683466</v>
      </c>
      <c r="L119" s="40">
        <f t="shared" si="49"/>
        <v>3.2140920867316534</v>
      </c>
      <c r="M119" s="10">
        <f t="shared" si="69"/>
        <v>1.4669427609772003</v>
      </c>
      <c r="N119" s="10">
        <f t="shared" si="50"/>
        <v>8.26</v>
      </c>
      <c r="O119" s="10">
        <f t="shared" si="51"/>
        <v>0.31900000000000001</v>
      </c>
      <c r="P119" s="10">
        <f t="shared" si="70"/>
        <v>9.3339581215728522</v>
      </c>
      <c r="Q119" s="45">
        <f t="shared" si="71"/>
        <v>0.41251049971384779</v>
      </c>
      <c r="R119" s="4">
        <f t="shared" si="72"/>
        <v>167739.38052187834</v>
      </c>
      <c r="S119">
        <f t="shared" si="52"/>
        <v>1.6773938052187833E-4</v>
      </c>
      <c r="T119" s="44">
        <f t="shared" si="53"/>
        <v>6.8128405113437082E-5</v>
      </c>
      <c r="U119" s="45">
        <f t="shared" si="73"/>
        <v>0.30101670531553676</v>
      </c>
      <c r="V119" s="45">
        <f t="shared" si="74"/>
        <v>0.23650261921349749</v>
      </c>
      <c r="W119" s="45">
        <f t="shared" si="75"/>
        <v>0.22585995963527855</v>
      </c>
      <c r="X119" s="45">
        <f t="shared" si="76"/>
        <v>1.0642659578218944E-2</v>
      </c>
      <c r="Y119" s="45">
        <f t="shared" si="59"/>
        <v>3.1958526058283146E-4</v>
      </c>
      <c r="Z119" s="10">
        <f t="shared" si="77"/>
        <v>4.6909253203668362</v>
      </c>
      <c r="AA119">
        <f t="shared" si="54"/>
        <v>1617577.2724299813</v>
      </c>
      <c r="AB119" s="10">
        <f t="shared" si="55"/>
        <v>1.6175772724299813</v>
      </c>
      <c r="AC119" s="10">
        <f t="shared" si="56"/>
        <v>1.5165772724299813</v>
      </c>
      <c r="AD119" s="3">
        <f t="shared" si="57"/>
        <v>219.95319397099075</v>
      </c>
      <c r="AI119" s="100">
        <f t="shared" si="58"/>
        <v>0.22585995963527855</v>
      </c>
    </row>
    <row r="120" spans="2:35">
      <c r="B120" s="39">
        <f t="shared" si="60"/>
        <v>92</v>
      </c>
      <c r="C120" s="45">
        <f t="shared" si="61"/>
        <v>2.7026378896881189</v>
      </c>
      <c r="D120" s="10">
        <f t="shared" si="62"/>
        <v>12.747362110311952</v>
      </c>
      <c r="E120" s="40">
        <f t="shared" si="63"/>
        <v>22.845275779376099</v>
      </c>
      <c r="F120" s="40">
        <f t="shared" si="64"/>
        <v>48.34</v>
      </c>
      <c r="G120" s="3">
        <f t="shared" si="65"/>
        <v>117.38944844124779</v>
      </c>
      <c r="H120" s="3">
        <f t="shared" si="66"/>
        <v>148.0155219248214</v>
      </c>
      <c r="I120">
        <f t="shared" si="48"/>
        <v>1.4801552192482141E-4</v>
      </c>
      <c r="J120" s="4">
        <f t="shared" si="67"/>
        <v>414.46327018182023</v>
      </c>
      <c r="K120" s="40">
        <f t="shared" si="68"/>
        <v>2.8001338291556368</v>
      </c>
      <c r="L120" s="40">
        <f t="shared" si="49"/>
        <v>3.1998661708443632</v>
      </c>
      <c r="M120" s="10">
        <f t="shared" si="69"/>
        <v>1.6175772724299813</v>
      </c>
      <c r="N120" s="10">
        <f t="shared" si="50"/>
        <v>8.26</v>
      </c>
      <c r="O120" s="10">
        <f t="shared" si="51"/>
        <v>0.31900000000000001</v>
      </c>
      <c r="P120" s="10">
        <f t="shared" si="70"/>
        <v>9.6295943764350032</v>
      </c>
      <c r="Q120" s="45">
        <f t="shared" si="71"/>
        <v>0.41556114729593557</v>
      </c>
      <c r="R120" s="4">
        <f t="shared" si="72"/>
        <v>167324.46067136209</v>
      </c>
      <c r="S120">
        <f t="shared" si="52"/>
        <v>1.6732446067136209E-4</v>
      </c>
      <c r="T120" s="44">
        <f t="shared" si="53"/>
        <v>6.8543324963953327E-5</v>
      </c>
      <c r="U120" s="45">
        <f t="shared" si="73"/>
        <v>0.30027211089779282</v>
      </c>
      <c r="V120" s="45">
        <f t="shared" si="74"/>
        <v>0.24407749427233305</v>
      </c>
      <c r="W120" s="45">
        <f t="shared" si="75"/>
        <v>0.25076752212498737</v>
      </c>
      <c r="X120" s="45">
        <f t="shared" si="76"/>
        <v>-6.6900278526543233E-3</v>
      </c>
      <c r="Y120" s="45">
        <f t="shared" si="59"/>
        <v>2.9917634329003161E-4</v>
      </c>
      <c r="Z120" s="10">
        <f t="shared" si="77"/>
        <v>4.3647772186039608</v>
      </c>
      <c r="AA120">
        <f t="shared" si="54"/>
        <v>1512133.5135126945</v>
      </c>
      <c r="AB120" s="10">
        <f t="shared" si="55"/>
        <v>1.5121335135126945</v>
      </c>
      <c r="AC120" s="10">
        <f t="shared" si="56"/>
        <v>1.4111335135126946</v>
      </c>
      <c r="AD120" s="3">
        <f t="shared" si="57"/>
        <v>204.66040805115222</v>
      </c>
      <c r="AI120" s="100">
        <f t="shared" si="58"/>
        <v>0.25076752212498737</v>
      </c>
    </row>
    <row r="121" spans="2:35">
      <c r="B121" s="39">
        <f t="shared" si="60"/>
        <v>93</v>
      </c>
      <c r="C121" s="45">
        <f t="shared" si="61"/>
        <v>2.7320143884890769</v>
      </c>
      <c r="D121" s="10">
        <f t="shared" si="62"/>
        <v>12.717985611510995</v>
      </c>
      <c r="E121" s="40">
        <f t="shared" si="63"/>
        <v>22.904028776978013</v>
      </c>
      <c r="F121" s="40">
        <f t="shared" si="64"/>
        <v>48.34</v>
      </c>
      <c r="G121" s="3">
        <f t="shared" si="65"/>
        <v>117.27194244604397</v>
      </c>
      <c r="H121" s="3">
        <f t="shared" si="66"/>
        <v>148.0155219248214</v>
      </c>
      <c r="I121">
        <f t="shared" si="48"/>
        <v>1.4801552192482141E-4</v>
      </c>
      <c r="J121" s="4">
        <f t="shared" si="67"/>
        <v>416.57434880171013</v>
      </c>
      <c r="K121" s="40">
        <f t="shared" si="68"/>
        <v>2.8143963780588668</v>
      </c>
      <c r="L121" s="40">
        <f t="shared" si="49"/>
        <v>3.1856036219411332</v>
      </c>
      <c r="M121" s="10">
        <f t="shared" si="69"/>
        <v>1.5121335135126945</v>
      </c>
      <c r="N121" s="10">
        <f t="shared" si="50"/>
        <v>8.26</v>
      </c>
      <c r="O121" s="10">
        <f t="shared" si="51"/>
        <v>0.31900000000000001</v>
      </c>
      <c r="P121" s="10">
        <f t="shared" si="70"/>
        <v>9.4247383381611822</v>
      </c>
      <c r="Q121" s="45">
        <f t="shared" si="71"/>
        <v>0.41867810372983583</v>
      </c>
      <c r="R121" s="4">
        <f t="shared" si="72"/>
        <v>166909.39979696603</v>
      </c>
      <c r="S121">
        <f t="shared" si="52"/>
        <v>1.6690939979696604E-4</v>
      </c>
      <c r="T121" s="44">
        <f t="shared" si="53"/>
        <v>6.8958385838349375E-5</v>
      </c>
      <c r="U121" s="45">
        <f t="shared" si="73"/>
        <v>0.29952726340564539</v>
      </c>
      <c r="V121" s="45">
        <f t="shared" si="74"/>
        <v>0.23896628263597444</v>
      </c>
      <c r="W121" s="45">
        <f t="shared" si="75"/>
        <v>0.23333229437370684</v>
      </c>
      <c r="X121" s="45">
        <f t="shared" si="76"/>
        <v>5.633988262267603E-3</v>
      </c>
      <c r="Y121" s="45">
        <f t="shared" si="59"/>
        <v>3.1673723925262513E-4</v>
      </c>
      <c r="Z121" s="10">
        <f t="shared" si="77"/>
        <v>4.5931649269620829</v>
      </c>
      <c r="AA121">
        <f t="shared" si="54"/>
        <v>1585971.3139770192</v>
      </c>
      <c r="AB121" s="10">
        <f t="shared" si="55"/>
        <v>1.5859713139770191</v>
      </c>
      <c r="AC121" s="10">
        <f t="shared" si="56"/>
        <v>1.4849713139770191</v>
      </c>
      <c r="AD121" s="3">
        <f t="shared" si="57"/>
        <v>215.36929861885702</v>
      </c>
      <c r="AI121" s="100">
        <f t="shared" si="58"/>
        <v>0.23333229437370684</v>
      </c>
    </row>
    <row r="122" spans="2:35">
      <c r="B122" s="39">
        <f t="shared" si="60"/>
        <v>94</v>
      </c>
      <c r="C122" s="45">
        <f t="shared" si="61"/>
        <v>2.7613908872900348</v>
      </c>
      <c r="D122" s="10">
        <f t="shared" si="62"/>
        <v>12.688609112710038</v>
      </c>
      <c r="E122" s="40">
        <f t="shared" si="63"/>
        <v>22.962781774579927</v>
      </c>
      <c r="F122" s="40">
        <f t="shared" si="64"/>
        <v>48.34</v>
      </c>
      <c r="G122" s="3">
        <f t="shared" si="65"/>
        <v>117.15443645084014</v>
      </c>
      <c r="H122" s="3">
        <f t="shared" si="66"/>
        <v>148.0155219248214</v>
      </c>
      <c r="I122">
        <f t="shared" si="48"/>
        <v>1.4801552192482141E-4</v>
      </c>
      <c r="J122" s="4">
        <f t="shared" si="67"/>
        <v>418.69084967657386</v>
      </c>
      <c r="K122" s="40">
        <f t="shared" si="68"/>
        <v>2.8286955599780357</v>
      </c>
      <c r="L122" s="40">
        <f t="shared" si="49"/>
        <v>3.1713044400219643</v>
      </c>
      <c r="M122" s="10">
        <f t="shared" si="69"/>
        <v>1.5859713139770191</v>
      </c>
      <c r="N122" s="10">
        <f t="shared" si="50"/>
        <v>8.26</v>
      </c>
      <c r="O122" s="10">
        <f t="shared" si="51"/>
        <v>0.31900000000000001</v>
      </c>
      <c r="P122" s="10">
        <f t="shared" si="70"/>
        <v>9.5691697098937638</v>
      </c>
      <c r="Q122" s="45">
        <f t="shared" si="71"/>
        <v>0.42174801467211798</v>
      </c>
      <c r="R122" s="4">
        <f t="shared" si="72"/>
        <v>166494.19981013259</v>
      </c>
      <c r="S122">
        <f t="shared" si="52"/>
        <v>1.664941998101326E-4</v>
      </c>
      <c r="T122" s="44">
        <f t="shared" si="53"/>
        <v>6.9373585825182812E-5</v>
      </c>
      <c r="U122" s="45">
        <f t="shared" si="73"/>
        <v>0.29878216626927345</v>
      </c>
      <c r="V122" s="45">
        <f t="shared" si="74"/>
        <v>0.2427096910563932</v>
      </c>
      <c r="W122" s="45">
        <f t="shared" si="75"/>
        <v>0.24554144625683502</v>
      </c>
      <c r="X122" s="45">
        <f t="shared" si="76"/>
        <v>-2.8317552004418212E-3</v>
      </c>
      <c r="Y122" s="45">
        <f t="shared" si="59"/>
        <v>3.0804400297692442E-4</v>
      </c>
      <c r="Z122" s="10">
        <f t="shared" si="77"/>
        <v>4.4403644314015489</v>
      </c>
      <c r="AA122">
        <f t="shared" si="54"/>
        <v>1536570.8773985442</v>
      </c>
      <c r="AB122" s="10">
        <f t="shared" si="55"/>
        <v>1.5365708773985443</v>
      </c>
      <c r="AC122" s="10">
        <f t="shared" si="56"/>
        <v>1.4355708773985443</v>
      </c>
      <c r="AD122" s="3">
        <f t="shared" si="57"/>
        <v>208.20462326302308</v>
      </c>
      <c r="AI122" s="100">
        <f t="shared" si="58"/>
        <v>0.24554144625683502</v>
      </c>
    </row>
    <row r="123" spans="2:35">
      <c r="B123" s="39">
        <f t="shared" si="60"/>
        <v>95</v>
      </c>
      <c r="C123" s="45">
        <f t="shared" si="61"/>
        <v>2.7907673860909927</v>
      </c>
      <c r="D123" s="10">
        <f t="shared" si="62"/>
        <v>12.659232613909081</v>
      </c>
      <c r="E123" s="40">
        <f t="shared" si="63"/>
        <v>23.021534772181841</v>
      </c>
      <c r="F123" s="40">
        <f t="shared" si="64"/>
        <v>48.34</v>
      </c>
      <c r="G123" s="3">
        <f t="shared" si="65"/>
        <v>117.03693045563631</v>
      </c>
      <c r="H123" s="3">
        <f t="shared" si="66"/>
        <v>148.0155219248214</v>
      </c>
      <c r="I123">
        <f t="shared" si="48"/>
        <v>1.4801552192482141E-4</v>
      </c>
      <c r="J123" s="4">
        <f t="shared" si="67"/>
        <v>420.81277280641166</v>
      </c>
      <c r="K123" s="40">
        <f t="shared" si="68"/>
        <v>2.8430313749131444</v>
      </c>
      <c r="L123" s="40">
        <f t="shared" si="49"/>
        <v>3.1569686250868556</v>
      </c>
      <c r="M123" s="10">
        <f t="shared" si="69"/>
        <v>1.5365708773985443</v>
      </c>
      <c r="N123" s="10">
        <f t="shared" si="50"/>
        <v>8.26</v>
      </c>
      <c r="O123" s="10">
        <f t="shared" si="51"/>
        <v>0.31900000000000001</v>
      </c>
      <c r="P123" s="10">
        <f t="shared" si="70"/>
        <v>9.4730608283768944</v>
      </c>
      <c r="Q123" s="45">
        <f t="shared" si="71"/>
        <v>0.42484907137735517</v>
      </c>
      <c r="R123" s="4">
        <f t="shared" si="72"/>
        <v>166078.86262230412</v>
      </c>
      <c r="S123">
        <f t="shared" si="52"/>
        <v>1.6607886262230413E-4</v>
      </c>
      <c r="T123" s="44">
        <f t="shared" si="53"/>
        <v>6.9788923013011281E-5</v>
      </c>
      <c r="U123" s="45">
        <f t="shared" si="73"/>
        <v>0.2980368229188558</v>
      </c>
      <c r="V123" s="45">
        <f t="shared" si="74"/>
        <v>0.24035140962075349</v>
      </c>
      <c r="W123" s="45">
        <f t="shared" si="75"/>
        <v>0.23737303618114688</v>
      </c>
      <c r="X123" s="45">
        <f t="shared" si="76"/>
        <v>2.9783734396066075E-3</v>
      </c>
      <c r="Y123" s="45">
        <f t="shared" si="59"/>
        <v>3.1728010790251686E-4</v>
      </c>
      <c r="Z123" s="10">
        <f t="shared" si="77"/>
        <v>4.5462817622699792</v>
      </c>
      <c r="AA123">
        <f t="shared" si="54"/>
        <v>1570813.9756747168</v>
      </c>
      <c r="AB123" s="10">
        <f t="shared" si="55"/>
        <v>1.5708139756747168</v>
      </c>
      <c r="AC123" s="10">
        <f t="shared" si="56"/>
        <v>1.4698139756747168</v>
      </c>
      <c r="AD123" s="3">
        <f t="shared" si="57"/>
        <v>213.17098994557168</v>
      </c>
      <c r="AI123" s="100">
        <f t="shared" si="58"/>
        <v>0.23737303618114688</v>
      </c>
    </row>
    <row r="124" spans="2:35">
      <c r="B124" s="39">
        <f t="shared" si="60"/>
        <v>96</v>
      </c>
      <c r="C124" s="45">
        <f t="shared" si="61"/>
        <v>2.8201438848919507</v>
      </c>
      <c r="D124" s="10">
        <f t="shared" si="62"/>
        <v>12.629856115108124</v>
      </c>
      <c r="E124" s="40">
        <f t="shared" si="63"/>
        <v>23.080287769783755</v>
      </c>
      <c r="F124" s="40">
        <f t="shared" si="64"/>
        <v>48.34</v>
      </c>
      <c r="G124" s="3">
        <f t="shared" si="65"/>
        <v>116.91942446043248</v>
      </c>
      <c r="H124" s="3">
        <f t="shared" si="66"/>
        <v>148.0155219248214</v>
      </c>
      <c r="I124">
        <f t="shared" si="48"/>
        <v>1.4801552192482141E-4</v>
      </c>
      <c r="J124" s="4">
        <f t="shared" si="67"/>
        <v>422.94011819122329</v>
      </c>
      <c r="K124" s="40">
        <f t="shared" si="68"/>
        <v>2.857403822864192</v>
      </c>
      <c r="L124" s="40">
        <f t="shared" si="49"/>
        <v>3.142596177135808</v>
      </c>
      <c r="M124" s="10">
        <f t="shared" si="69"/>
        <v>1.5708139756747168</v>
      </c>
      <c r="N124" s="10">
        <f t="shared" si="50"/>
        <v>8.26</v>
      </c>
      <c r="O124" s="10">
        <f t="shared" si="51"/>
        <v>0.31900000000000001</v>
      </c>
      <c r="P124" s="10">
        <f t="shared" si="70"/>
        <v>9.5399004907302931</v>
      </c>
      <c r="Q124" s="45">
        <f t="shared" si="71"/>
        <v>0.42792840106528035</v>
      </c>
      <c r="R124" s="4">
        <f t="shared" si="72"/>
        <v>165663.39014492309</v>
      </c>
      <c r="S124">
        <f t="shared" si="52"/>
        <v>1.656633901449231E-4</v>
      </c>
      <c r="T124" s="44">
        <f t="shared" si="53"/>
        <v>7.0204395490392315E-5</v>
      </c>
      <c r="U124" s="45">
        <f t="shared" si="73"/>
        <v>0.2972912367845717</v>
      </c>
      <c r="V124" s="45">
        <f t="shared" si="74"/>
        <v>0.24212611504631454</v>
      </c>
      <c r="W124" s="45">
        <f t="shared" si="75"/>
        <v>0.24303516567543851</v>
      </c>
      <c r="X124" s="45">
        <f t="shared" si="76"/>
        <v>-9.0905062912396972E-4</v>
      </c>
      <c r="Y124" s="45">
        <f t="shared" si="59"/>
        <v>3.1448084131242837E-4</v>
      </c>
      <c r="Z124" s="10">
        <f t="shared" si="77"/>
        <v>4.4795035854338501</v>
      </c>
      <c r="AA124">
        <f t="shared" si="54"/>
        <v>1549224.5752115978</v>
      </c>
      <c r="AB124" s="10">
        <f t="shared" si="55"/>
        <v>1.5492245752115978</v>
      </c>
      <c r="AC124" s="10">
        <f t="shared" si="56"/>
        <v>1.4482245752115979</v>
      </c>
      <c r="AD124" s="3">
        <f t="shared" si="57"/>
        <v>210.03982236571397</v>
      </c>
      <c r="AI124" s="100">
        <f t="shared" si="58"/>
        <v>0.24303516567543851</v>
      </c>
    </row>
    <row r="125" spans="2:35">
      <c r="B125" s="39">
        <f t="shared" si="60"/>
        <v>97</v>
      </c>
      <c r="C125" s="45">
        <f t="shared" si="61"/>
        <v>2.8495203836929086</v>
      </c>
      <c r="D125" s="10">
        <f t="shared" si="62"/>
        <v>12.600479616307167</v>
      </c>
      <c r="E125" s="40">
        <f t="shared" si="63"/>
        <v>23.139040767385669</v>
      </c>
      <c r="F125" s="40">
        <f t="shared" si="64"/>
        <v>48.34</v>
      </c>
      <c r="G125" s="3">
        <f t="shared" si="65"/>
        <v>116.80191846522865</v>
      </c>
      <c r="H125" s="3">
        <f t="shared" si="66"/>
        <v>148.0155219248214</v>
      </c>
      <c r="I125">
        <f t="shared" si="48"/>
        <v>1.4801552192482141E-4</v>
      </c>
      <c r="J125" s="4">
        <f t="shared" si="67"/>
        <v>425.07288583100876</v>
      </c>
      <c r="K125" s="40">
        <f t="shared" si="68"/>
        <v>2.8718129038311782</v>
      </c>
      <c r="L125" s="40">
        <f t="shared" si="49"/>
        <v>3.1281870961688218</v>
      </c>
      <c r="M125" s="10">
        <f t="shared" si="69"/>
        <v>1.5492245752115978</v>
      </c>
      <c r="N125" s="10">
        <f t="shared" si="50"/>
        <v>8.26</v>
      </c>
      <c r="O125" s="10">
        <f t="shared" si="51"/>
        <v>0.31900000000000001</v>
      </c>
      <c r="P125" s="10">
        <f t="shared" si="70"/>
        <v>9.4978768403916813</v>
      </c>
      <c r="Q125" s="45">
        <f t="shared" si="71"/>
        <v>0.43102135534281194</v>
      </c>
      <c r="R125" s="4">
        <f t="shared" si="72"/>
        <v>165247.78428943187</v>
      </c>
      <c r="S125">
        <f t="shared" si="52"/>
        <v>1.6524778428943189E-4</v>
      </c>
      <c r="T125" s="44">
        <f t="shared" si="53"/>
        <v>7.0620001345883526E-5</v>
      </c>
      <c r="U125" s="45">
        <f t="shared" si="73"/>
        <v>0.29654541129659995</v>
      </c>
      <c r="V125" s="45">
        <f t="shared" si="74"/>
        <v>0.24113692639743017</v>
      </c>
      <c r="W125" s="45">
        <f t="shared" si="75"/>
        <v>0.23946533738068521</v>
      </c>
      <c r="X125" s="45">
        <f t="shared" si="76"/>
        <v>1.6715890167449676E-3</v>
      </c>
      <c r="Y125" s="45">
        <f t="shared" si="59"/>
        <v>3.1965098971204457E-4</v>
      </c>
      <c r="Z125" s="10">
        <f t="shared" si="77"/>
        <v>4.5263520761838274</v>
      </c>
      <c r="AA125">
        <f t="shared" si="54"/>
        <v>1564370.7034201592</v>
      </c>
      <c r="AB125" s="10">
        <f t="shared" si="55"/>
        <v>1.5643707034201593</v>
      </c>
      <c r="AC125" s="10">
        <f t="shared" si="56"/>
        <v>1.4633707034201593</v>
      </c>
      <c r="AD125" s="3">
        <f t="shared" si="57"/>
        <v>212.23650520959526</v>
      </c>
      <c r="AI125" s="100">
        <f t="shared" si="58"/>
        <v>0.23946533738068521</v>
      </c>
    </row>
    <row r="126" spans="2:35">
      <c r="B126" s="39">
        <f t="shared" si="60"/>
        <v>98</v>
      </c>
      <c r="C126" s="45">
        <f t="shared" si="61"/>
        <v>2.8788968824938665</v>
      </c>
      <c r="D126" s="10">
        <f t="shared" si="62"/>
        <v>12.57110311750621</v>
      </c>
      <c r="E126" s="40">
        <f t="shared" si="63"/>
        <v>23.197793764987583</v>
      </c>
      <c r="F126" s="40">
        <f t="shared" si="64"/>
        <v>48.34</v>
      </c>
      <c r="G126" s="3">
        <f t="shared" si="65"/>
        <v>116.68441247002482</v>
      </c>
      <c r="H126" s="3">
        <f t="shared" si="66"/>
        <v>148.0155219248214</v>
      </c>
      <c r="I126">
        <f t="shared" si="48"/>
        <v>1.4801552192482141E-4</v>
      </c>
      <c r="J126" s="4">
        <f t="shared" si="67"/>
        <v>427.2110757257683</v>
      </c>
      <c r="K126" s="40">
        <f t="shared" si="68"/>
        <v>2.8862586178141045</v>
      </c>
      <c r="L126" s="40">
        <f t="shared" si="49"/>
        <v>3.1137413821858955</v>
      </c>
      <c r="M126" s="10">
        <f t="shared" si="69"/>
        <v>1.5643707034201593</v>
      </c>
      <c r="N126" s="10">
        <f t="shared" si="50"/>
        <v>8.26</v>
      </c>
      <c r="O126" s="10">
        <f t="shared" si="51"/>
        <v>0.31900000000000001</v>
      </c>
      <c r="P126" s="10">
        <f t="shared" si="70"/>
        <v>9.5274000939152454</v>
      </c>
      <c r="Q126" s="45">
        <f t="shared" si="71"/>
        <v>0.43410472525604982</v>
      </c>
      <c r="R126" s="4">
        <f t="shared" si="72"/>
        <v>164832.04696727282</v>
      </c>
      <c r="S126">
        <f t="shared" si="52"/>
        <v>1.6483204696727283E-4</v>
      </c>
      <c r="T126" s="44">
        <f t="shared" si="53"/>
        <v>7.1035738668042585E-5</v>
      </c>
      <c r="U126" s="45">
        <f t="shared" si="73"/>
        <v>0.29579934988511941</v>
      </c>
      <c r="V126" s="45">
        <f t="shared" si="74"/>
        <v>0.24196299259373977</v>
      </c>
      <c r="W126" s="45">
        <f t="shared" si="75"/>
        <v>0.24196976436221487</v>
      </c>
      <c r="X126" s="45">
        <f t="shared" si="76"/>
        <v>-6.7717684751056328E-6</v>
      </c>
      <c r="Y126" s="45">
        <f t="shared" si="59"/>
        <v>3.1963010984486904E-4</v>
      </c>
      <c r="Z126" s="10">
        <f t="shared" si="77"/>
        <v>4.499567623820087</v>
      </c>
      <c r="AA126">
        <f t="shared" si="54"/>
        <v>1555711.2835967466</v>
      </c>
      <c r="AB126" s="10">
        <f t="shared" si="55"/>
        <v>1.5557112835967466</v>
      </c>
      <c r="AC126" s="10">
        <f t="shared" si="56"/>
        <v>1.4547112835967466</v>
      </c>
      <c r="AD126" s="3">
        <f t="shared" si="57"/>
        <v>210.98060675804882</v>
      </c>
      <c r="AI126" s="100">
        <f t="shared" si="58"/>
        <v>0.24196976436221487</v>
      </c>
    </row>
    <row r="127" spans="2:35">
      <c r="B127" s="39">
        <f t="shared" si="60"/>
        <v>99</v>
      </c>
      <c r="C127" s="45">
        <f t="shared" si="61"/>
        <v>2.9082733812948245</v>
      </c>
      <c r="D127" s="10">
        <f t="shared" si="62"/>
        <v>12.541726618705253</v>
      </c>
      <c r="E127" s="40">
        <f t="shared" si="63"/>
        <v>23.256546762589497</v>
      </c>
      <c r="F127" s="40">
        <f t="shared" si="64"/>
        <v>48.34</v>
      </c>
      <c r="G127" s="3">
        <f t="shared" si="65"/>
        <v>116.566906474821</v>
      </c>
      <c r="H127" s="3">
        <f t="shared" si="66"/>
        <v>148.0155219248214</v>
      </c>
      <c r="I127">
        <f t="shared" si="48"/>
        <v>1.4801552192482141E-4</v>
      </c>
      <c r="J127" s="4">
        <f t="shared" si="67"/>
        <v>429.35468787550144</v>
      </c>
      <c r="K127" s="40">
        <f t="shared" si="68"/>
        <v>2.9007409648129681</v>
      </c>
      <c r="L127" s="40">
        <f t="shared" si="49"/>
        <v>3.0992590351870319</v>
      </c>
      <c r="M127" s="10">
        <f t="shared" si="69"/>
        <v>1.5557112835967466</v>
      </c>
      <c r="N127" s="10">
        <f t="shared" si="50"/>
        <v>8.26</v>
      </c>
      <c r="O127" s="10">
        <f t="shared" si="51"/>
        <v>0.31900000000000001</v>
      </c>
      <c r="P127" s="10">
        <f t="shared" si="70"/>
        <v>9.5105448694330619</v>
      </c>
      <c r="Q127" s="45">
        <f t="shared" si="71"/>
        <v>0.43719355972392282</v>
      </c>
      <c r="R127" s="4">
        <f t="shared" si="72"/>
        <v>164416.18008988845</v>
      </c>
      <c r="S127">
        <f t="shared" si="52"/>
        <v>1.6441618008988844E-4</v>
      </c>
      <c r="T127" s="44">
        <f t="shared" si="53"/>
        <v>7.145160554542697E-5</v>
      </c>
      <c r="U127" s="45">
        <f t="shared" si="73"/>
        <v>0.29505305598030934</v>
      </c>
      <c r="V127" s="45">
        <f t="shared" si="74"/>
        <v>0.24161019717057658</v>
      </c>
      <c r="W127" s="45">
        <f t="shared" si="75"/>
        <v>0.2405379209002079</v>
      </c>
      <c r="X127" s="45">
        <f t="shared" si="76"/>
        <v>1.0722762703686828E-3</v>
      </c>
      <c r="Y127" s="45">
        <f t="shared" si="59"/>
        <v>3.2294219374786617E-4</v>
      </c>
      <c r="Z127" s="10">
        <f t="shared" si="77"/>
        <v>4.5197331995926726</v>
      </c>
      <c r="AA127">
        <f t="shared" si="54"/>
        <v>1562230.8190430659</v>
      </c>
      <c r="AB127" s="10">
        <f t="shared" si="55"/>
        <v>1.5622308190430658</v>
      </c>
      <c r="AC127" s="10">
        <f t="shared" si="56"/>
        <v>1.4612308190430658</v>
      </c>
      <c r="AD127" s="3">
        <f t="shared" si="57"/>
        <v>211.92615214547729</v>
      </c>
      <c r="AI127" s="100">
        <f t="shared" si="58"/>
        <v>0.2405379209002079</v>
      </c>
    </row>
    <row r="128" spans="2:35">
      <c r="B128" s="39">
        <f t="shared" si="60"/>
        <v>100</v>
      </c>
      <c r="C128" s="45">
        <f t="shared" si="61"/>
        <v>2.9376498800957824</v>
      </c>
      <c r="D128" s="10">
        <f t="shared" si="62"/>
        <v>12.512350119904296</v>
      </c>
      <c r="E128" s="40">
        <f t="shared" si="63"/>
        <v>23.315299760191412</v>
      </c>
      <c r="F128" s="40">
        <f t="shared" si="64"/>
        <v>48.34</v>
      </c>
      <c r="G128" s="3">
        <f t="shared" si="65"/>
        <v>116.44940047961717</v>
      </c>
      <c r="H128" s="3">
        <f t="shared" si="66"/>
        <v>148.0155219248214</v>
      </c>
      <c r="I128">
        <f t="shared" si="48"/>
        <v>1.4801552192482141E-4</v>
      </c>
      <c r="J128" s="4">
        <f t="shared" si="67"/>
        <v>431.50372228020888</v>
      </c>
      <c r="K128" s="40">
        <f t="shared" si="68"/>
        <v>2.9152599448277732</v>
      </c>
      <c r="L128" s="40">
        <f t="shared" si="49"/>
        <v>3.0847400551722268</v>
      </c>
      <c r="M128" s="10">
        <f t="shared" si="69"/>
        <v>1.5622308190430658</v>
      </c>
      <c r="N128" s="10">
        <f t="shared" si="50"/>
        <v>8.26</v>
      </c>
      <c r="O128" s="10">
        <f t="shared" si="51"/>
        <v>0.31900000000000001</v>
      </c>
      <c r="P128" s="10">
        <f t="shared" si="70"/>
        <v>9.5232408143925245</v>
      </c>
      <c r="Q128" s="45">
        <f t="shared" si="71"/>
        <v>0.44027827630029681</v>
      </c>
      <c r="R128" s="4">
        <f t="shared" si="72"/>
        <v>164000.18556872103</v>
      </c>
      <c r="S128">
        <f t="shared" si="52"/>
        <v>1.6400018556872104E-4</v>
      </c>
      <c r="T128" s="44">
        <f t="shared" si="53"/>
        <v>7.1867600066594377E-5</v>
      </c>
      <c r="U128" s="45">
        <f t="shared" si="73"/>
        <v>0.29430653301234827</v>
      </c>
      <c r="V128" s="45">
        <f t="shared" si="74"/>
        <v>0.2420069881553239</v>
      </c>
      <c r="W128" s="45">
        <f t="shared" si="75"/>
        <v>0.24161593240611687</v>
      </c>
      <c r="X128" s="45">
        <f t="shared" si="76"/>
        <v>3.9105574920703101E-4</v>
      </c>
      <c r="Y128" s="45">
        <f t="shared" si="59"/>
        <v>3.2414848989973142E-4</v>
      </c>
      <c r="Z128" s="10">
        <f t="shared" si="77"/>
        <v>4.510356399815314</v>
      </c>
      <c r="AA128">
        <f t="shared" si="54"/>
        <v>1559199.297443537</v>
      </c>
      <c r="AB128" s="10">
        <f t="shared" si="55"/>
        <v>1.5591992974435371</v>
      </c>
      <c r="AC128" s="10">
        <f t="shared" si="56"/>
        <v>1.4581992974435372</v>
      </c>
      <c r="AD128" s="3">
        <f t="shared" si="57"/>
        <v>211.48648258789515</v>
      </c>
      <c r="AI128" s="100">
        <f t="shared" si="58"/>
        <v>0.24161593240611687</v>
      </c>
    </row>
    <row r="129" spans="2:35">
      <c r="B129" s="39">
        <f t="shared" si="60"/>
        <v>101</v>
      </c>
      <c r="C129" s="45">
        <f t="shared" si="61"/>
        <v>2.9670263788967404</v>
      </c>
      <c r="D129" s="10">
        <f t="shared" si="62"/>
        <v>12.482973621103339</v>
      </c>
      <c r="E129" s="40">
        <f t="shared" si="63"/>
        <v>23.374052757793326</v>
      </c>
      <c r="F129" s="40">
        <f t="shared" si="64"/>
        <v>48.34</v>
      </c>
      <c r="G129" s="3">
        <f t="shared" si="65"/>
        <v>116.33189448441334</v>
      </c>
      <c r="H129" s="3">
        <f t="shared" si="66"/>
        <v>148.0155219248214</v>
      </c>
      <c r="I129">
        <f t="shared" si="48"/>
        <v>1.4801552192482141E-4</v>
      </c>
      <c r="J129" s="4">
        <f t="shared" si="67"/>
        <v>433.65817893988992</v>
      </c>
      <c r="K129" s="40">
        <f t="shared" si="68"/>
        <v>2.9298155578585154</v>
      </c>
      <c r="L129" s="40">
        <f t="shared" si="49"/>
        <v>3.0701844421414846</v>
      </c>
      <c r="M129" s="10">
        <f t="shared" si="69"/>
        <v>1.5591992974435371</v>
      </c>
      <c r="N129" s="10">
        <f t="shared" si="50"/>
        <v>8.26</v>
      </c>
      <c r="O129" s="10">
        <f t="shared" si="51"/>
        <v>0.31900000000000001</v>
      </c>
      <c r="P129" s="10">
        <f t="shared" si="70"/>
        <v>9.5173418185535379</v>
      </c>
      <c r="Q129" s="45">
        <f t="shared" si="71"/>
        <v>0.44336490483177288</v>
      </c>
      <c r="R129" s="4">
        <f t="shared" si="72"/>
        <v>163584.06531521305</v>
      </c>
      <c r="S129">
        <f t="shared" si="52"/>
        <v>1.6358406531521305E-4</v>
      </c>
      <c r="T129" s="44">
        <f t="shared" si="53"/>
        <v>7.2283720320102365E-5</v>
      </c>
      <c r="U129" s="45">
        <f t="shared" si="73"/>
        <v>0.29355978441141556</v>
      </c>
      <c r="V129" s="45">
        <f t="shared" si="74"/>
        <v>0.24193018152903775</v>
      </c>
      <c r="W129" s="45">
        <f t="shared" si="75"/>
        <v>0.24111466737096035</v>
      </c>
      <c r="X129" s="45">
        <f t="shared" si="76"/>
        <v>8.1551415807740169E-4</v>
      </c>
      <c r="Y129" s="45">
        <f t="shared" si="59"/>
        <v>3.2666567916787582E-4</v>
      </c>
      <c r="Z129" s="10">
        <f t="shared" si="77"/>
        <v>4.5192150835798763</v>
      </c>
      <c r="AA129">
        <f t="shared" si="54"/>
        <v>1562063.3120128266</v>
      </c>
      <c r="AB129" s="10">
        <f t="shared" si="55"/>
        <v>1.5620633120128267</v>
      </c>
      <c r="AC129" s="10">
        <f t="shared" si="56"/>
        <v>1.4610633120128267</v>
      </c>
      <c r="AD129" s="3">
        <f t="shared" si="57"/>
        <v>211.90185815994587</v>
      </c>
      <c r="AI129" s="100">
        <f t="shared" si="58"/>
        <v>0.24111466737096035</v>
      </c>
    </row>
    <row r="130" spans="2:35">
      <c r="B130" s="39">
        <f t="shared" si="60"/>
        <v>102</v>
      </c>
      <c r="C130" s="45">
        <f t="shared" si="61"/>
        <v>2.9964028776976983</v>
      </c>
      <c r="D130" s="10">
        <f t="shared" si="62"/>
        <v>12.453597122302382</v>
      </c>
      <c r="E130" s="40">
        <f t="shared" si="63"/>
        <v>23.43280575539524</v>
      </c>
      <c r="F130" s="40">
        <f t="shared" si="64"/>
        <v>48.34</v>
      </c>
      <c r="G130" s="3">
        <f t="shared" si="65"/>
        <v>116.21438848920951</v>
      </c>
      <c r="H130" s="3">
        <f t="shared" si="66"/>
        <v>148.0155219248214</v>
      </c>
      <c r="I130">
        <f t="shared" si="48"/>
        <v>1.4801552192482141E-4</v>
      </c>
      <c r="J130" s="4">
        <f t="shared" si="67"/>
        <v>435.81805785454503</v>
      </c>
      <c r="K130" s="40">
        <f t="shared" si="68"/>
        <v>2.944407803905198</v>
      </c>
      <c r="L130" s="40">
        <f t="shared" si="49"/>
        <v>3.055592196094802</v>
      </c>
      <c r="M130" s="10">
        <f t="shared" si="69"/>
        <v>1.5620633120128267</v>
      </c>
      <c r="N130" s="10">
        <f t="shared" si="50"/>
        <v>8.26</v>
      </c>
      <c r="O130" s="10">
        <f t="shared" si="51"/>
        <v>0.31900000000000001</v>
      </c>
      <c r="P130" s="10">
        <f t="shared" si="70"/>
        <v>9.5229150683531998</v>
      </c>
      <c r="Q130" s="45">
        <f t="shared" si="71"/>
        <v>0.4464497269256486</v>
      </c>
      <c r="R130" s="4">
        <f t="shared" si="72"/>
        <v>163167.82124080686</v>
      </c>
      <c r="S130">
        <f t="shared" si="52"/>
        <v>1.6316782124080686E-4</v>
      </c>
      <c r="T130" s="44">
        <f t="shared" si="53"/>
        <v>7.269996439450855E-5</v>
      </c>
      <c r="U130" s="45">
        <f t="shared" si="73"/>
        <v>0.2928128136076899</v>
      </c>
      <c r="V130" s="45">
        <f t="shared" si="74"/>
        <v>0.24214388415092403</v>
      </c>
      <c r="W130" s="45">
        <f t="shared" si="75"/>
        <v>0.24158823495629006</v>
      </c>
      <c r="X130" s="45">
        <f t="shared" si="76"/>
        <v>5.55649194633967E-4</v>
      </c>
      <c r="Y130" s="45">
        <f t="shared" si="59"/>
        <v>3.2837975807992691E-4</v>
      </c>
      <c r="Z130" s="10">
        <f t="shared" si="77"/>
        <v>4.5169177291197045</v>
      </c>
      <c r="AA130">
        <f t="shared" si="54"/>
        <v>1561320.5767691243</v>
      </c>
      <c r="AB130" s="10">
        <f t="shared" si="55"/>
        <v>1.5613205767691243</v>
      </c>
      <c r="AC130" s="10">
        <f t="shared" si="56"/>
        <v>1.4603205767691243</v>
      </c>
      <c r="AD130" s="3">
        <f t="shared" si="57"/>
        <v>211.79413731241831</v>
      </c>
      <c r="AI130" s="100">
        <f t="shared" si="58"/>
        <v>0.24158823495629006</v>
      </c>
    </row>
    <row r="131" spans="2:35">
      <c r="B131" s="39">
        <f t="shared" si="60"/>
        <v>103</v>
      </c>
      <c r="C131" s="45">
        <f t="shared" si="61"/>
        <v>3.0257793764986562</v>
      </c>
      <c r="D131" s="10">
        <f t="shared" si="62"/>
        <v>12.424220623501425</v>
      </c>
      <c r="E131" s="40">
        <f t="shared" si="63"/>
        <v>23.491558752997154</v>
      </c>
      <c r="F131" s="40">
        <f t="shared" si="64"/>
        <v>48.34</v>
      </c>
      <c r="G131" s="3">
        <f t="shared" si="65"/>
        <v>116.09688249400568</v>
      </c>
      <c r="H131" s="3">
        <f t="shared" si="66"/>
        <v>148.0155219248214</v>
      </c>
      <c r="I131">
        <f t="shared" si="48"/>
        <v>1.4801552192482141E-4</v>
      </c>
      <c r="J131" s="4">
        <f t="shared" si="67"/>
        <v>437.98335902417398</v>
      </c>
      <c r="K131" s="40">
        <f t="shared" si="68"/>
        <v>2.959036682967819</v>
      </c>
      <c r="L131" s="40">
        <f t="shared" si="49"/>
        <v>3.040963317032181</v>
      </c>
      <c r="M131" s="10">
        <f t="shared" si="69"/>
        <v>1.5613205767691243</v>
      </c>
      <c r="N131" s="10">
        <f t="shared" si="50"/>
        <v>8.26</v>
      </c>
      <c r="O131" s="10">
        <f t="shared" si="51"/>
        <v>0.31900000000000001</v>
      </c>
      <c r="P131" s="10">
        <f t="shared" si="70"/>
        <v>9.5214704061174729</v>
      </c>
      <c r="Q131" s="45">
        <f t="shared" si="71"/>
        <v>0.44953501706970911</v>
      </c>
      <c r="R131" s="4">
        <f t="shared" si="72"/>
        <v>162751.45525694493</v>
      </c>
      <c r="S131">
        <f t="shared" si="52"/>
        <v>1.6275145525694492E-4</v>
      </c>
      <c r="T131" s="44">
        <f t="shared" si="53"/>
        <v>7.311633037837049E-5</v>
      </c>
      <c r="U131" s="45">
        <f t="shared" si="73"/>
        <v>0.2920656240313505</v>
      </c>
      <c r="V131" s="45">
        <f t="shared" si="74"/>
        <v>0.24217805828661454</v>
      </c>
      <c r="W131" s="45">
        <f t="shared" si="75"/>
        <v>0.24146542296375659</v>
      </c>
      <c r="X131" s="45">
        <f t="shared" si="76"/>
        <v>7.1263532285795184E-4</v>
      </c>
      <c r="Y131" s="45">
        <f t="shared" si="59"/>
        <v>3.3057844481784992E-4</v>
      </c>
      <c r="Z131" s="10">
        <f t="shared" si="77"/>
        <v>4.5212669058626975</v>
      </c>
      <c r="AA131">
        <f t="shared" si="54"/>
        <v>1562726.666645159</v>
      </c>
      <c r="AB131" s="10">
        <f t="shared" si="55"/>
        <v>1.5627266666451589</v>
      </c>
      <c r="AC131" s="10">
        <f t="shared" si="56"/>
        <v>1.4617266666451589</v>
      </c>
      <c r="AD131" s="3">
        <f t="shared" si="57"/>
        <v>211.99806622844946</v>
      </c>
      <c r="AI131" s="100">
        <f t="shared" si="58"/>
        <v>0.24146542296375659</v>
      </c>
    </row>
    <row r="132" spans="2:35">
      <c r="B132" s="39">
        <f t="shared" si="60"/>
        <v>104</v>
      </c>
      <c r="C132" s="45">
        <f t="shared" si="61"/>
        <v>3.0551558752996142</v>
      </c>
      <c r="D132" s="10">
        <f t="shared" si="62"/>
        <v>12.394844124700468</v>
      </c>
      <c r="E132" s="40">
        <f t="shared" si="63"/>
        <v>23.550311750599068</v>
      </c>
      <c r="F132" s="40">
        <f t="shared" si="64"/>
        <v>48.34</v>
      </c>
      <c r="G132" s="3">
        <f t="shared" si="65"/>
        <v>115.97937649880186</v>
      </c>
      <c r="H132" s="3">
        <f t="shared" si="66"/>
        <v>148.0155219248214</v>
      </c>
      <c r="I132">
        <f t="shared" si="48"/>
        <v>1.4801552192482141E-4</v>
      </c>
      <c r="J132" s="4">
        <f t="shared" si="67"/>
        <v>440.15408244877699</v>
      </c>
      <c r="K132" s="40">
        <f t="shared" si="68"/>
        <v>2.9737021950463802</v>
      </c>
      <c r="L132" s="40">
        <f t="shared" si="49"/>
        <v>3.0262978049536198</v>
      </c>
      <c r="M132" s="10">
        <f t="shared" si="69"/>
        <v>1.5627266666451589</v>
      </c>
      <c r="N132" s="10">
        <f t="shared" si="50"/>
        <v>8.26</v>
      </c>
      <c r="O132" s="10">
        <f t="shared" si="51"/>
        <v>0.31900000000000001</v>
      </c>
      <c r="P132" s="10">
        <f t="shared" si="70"/>
        <v>9.5242049353773819</v>
      </c>
      <c r="Q132" s="45">
        <f t="shared" si="71"/>
        <v>0.45261942138484934</v>
      </c>
      <c r="R132" s="4">
        <f t="shared" si="72"/>
        <v>162334.96927506957</v>
      </c>
      <c r="S132">
        <f t="shared" si="52"/>
        <v>1.6233496927506956E-4</v>
      </c>
      <c r="T132" s="44">
        <f t="shared" si="53"/>
        <v>7.3532816360245856E-5</v>
      </c>
      <c r="U132" s="45">
        <f t="shared" si="73"/>
        <v>0.29131821911257605</v>
      </c>
      <c r="V132" s="45">
        <f t="shared" si="74"/>
        <v>0.24231742742211529</v>
      </c>
      <c r="W132" s="45">
        <f t="shared" si="75"/>
        <v>0.24169792128778414</v>
      </c>
      <c r="X132" s="45">
        <f t="shared" si="76"/>
        <v>6.1950613433114921E-4</v>
      </c>
      <c r="Y132" s="45">
        <f t="shared" si="59"/>
        <v>3.3248925221183675E-4</v>
      </c>
      <c r="Z132" s="10">
        <f t="shared" si="77"/>
        <v>4.5216444666410309</v>
      </c>
      <c r="AA132">
        <f t="shared" si="54"/>
        <v>1562848.732134647</v>
      </c>
      <c r="AB132" s="10">
        <f t="shared" si="55"/>
        <v>1.5628487321346469</v>
      </c>
      <c r="AC132" s="10">
        <f t="shared" si="56"/>
        <v>1.4618487321346469</v>
      </c>
      <c r="AD132" s="3">
        <f t="shared" si="57"/>
        <v>212.01576970770805</v>
      </c>
      <c r="AI132" s="100">
        <f t="shared" si="58"/>
        <v>0.24169792128778414</v>
      </c>
    </row>
    <row r="133" spans="2:35">
      <c r="B133" s="39">
        <f t="shared" si="60"/>
        <v>105</v>
      </c>
      <c r="C133" s="45">
        <f t="shared" si="61"/>
        <v>3.0845323741005721</v>
      </c>
      <c r="D133" s="10">
        <f t="shared" si="62"/>
        <v>12.365467625899511</v>
      </c>
      <c r="E133" s="40">
        <f t="shared" si="63"/>
        <v>23.609064748200982</v>
      </c>
      <c r="F133" s="40">
        <f t="shared" si="64"/>
        <v>48.34</v>
      </c>
      <c r="G133" s="3">
        <f t="shared" si="65"/>
        <v>115.86187050359803</v>
      </c>
      <c r="H133" s="3">
        <f t="shared" si="66"/>
        <v>148.0155219248214</v>
      </c>
      <c r="I133">
        <f t="shared" si="48"/>
        <v>1.4801552192482141E-4</v>
      </c>
      <c r="J133" s="4">
        <f t="shared" si="67"/>
        <v>442.33022812835361</v>
      </c>
      <c r="K133" s="40">
        <f t="shared" si="68"/>
        <v>2.9884043401408782</v>
      </c>
      <c r="L133" s="40">
        <f t="shared" si="49"/>
        <v>3.0115956598591218</v>
      </c>
      <c r="M133" s="10">
        <f t="shared" si="69"/>
        <v>1.5628487321346469</v>
      </c>
      <c r="N133" s="10">
        <f t="shared" si="50"/>
        <v>8.26</v>
      </c>
      <c r="O133" s="10">
        <f t="shared" si="51"/>
        <v>0.31900000000000001</v>
      </c>
      <c r="P133" s="10">
        <f t="shared" si="70"/>
        <v>9.524442246305707</v>
      </c>
      <c r="Q133" s="45">
        <f t="shared" si="71"/>
        <v>0.45570374884899584</v>
      </c>
      <c r="R133" s="4">
        <f t="shared" si="72"/>
        <v>161918.36520662325</v>
      </c>
      <c r="S133">
        <f t="shared" si="52"/>
        <v>1.6191836520662323E-4</v>
      </c>
      <c r="T133" s="44">
        <f t="shared" si="53"/>
        <v>7.3949420428692179E-5</v>
      </c>
      <c r="U133" s="45">
        <f t="shared" si="73"/>
        <v>0.29057060228154569</v>
      </c>
      <c r="V133" s="45">
        <f t="shared" si="74"/>
        <v>0.24239217129859608</v>
      </c>
      <c r="W133" s="45">
        <f t="shared" si="75"/>
        <v>0.24171810493479792</v>
      </c>
      <c r="X133" s="45">
        <f t="shared" si="76"/>
        <v>6.7406636379815921E-4</v>
      </c>
      <c r="Y133" s="45">
        <f t="shared" si="59"/>
        <v>3.3456829361035677E-4</v>
      </c>
      <c r="Z133" s="10">
        <f t="shared" si="77"/>
        <v>4.5242855409931675</v>
      </c>
      <c r="AA133">
        <f t="shared" si="54"/>
        <v>1563702.5921012207</v>
      </c>
      <c r="AB133" s="10">
        <f t="shared" si="55"/>
        <v>1.5637025921012206</v>
      </c>
      <c r="AC133" s="10">
        <f t="shared" si="56"/>
        <v>1.4627025921012207</v>
      </c>
      <c r="AD133" s="3">
        <f t="shared" si="57"/>
        <v>212.13960726631194</v>
      </c>
      <c r="AI133" s="100">
        <f t="shared" si="58"/>
        <v>0.24171810493479792</v>
      </c>
    </row>
    <row r="134" spans="2:35">
      <c r="B134" s="39">
        <f t="shared" si="60"/>
        <v>106</v>
      </c>
      <c r="C134" s="45">
        <f t="shared" si="61"/>
        <v>3.1139088729015301</v>
      </c>
      <c r="D134" s="10">
        <f t="shared" si="62"/>
        <v>12.336091127098554</v>
      </c>
      <c r="E134" s="40">
        <f t="shared" si="63"/>
        <v>23.667817745802896</v>
      </c>
      <c r="F134" s="40">
        <f t="shared" si="64"/>
        <v>48.34</v>
      </c>
      <c r="G134" s="3">
        <f t="shared" si="65"/>
        <v>115.7443645083942</v>
      </c>
      <c r="H134" s="3">
        <f t="shared" si="66"/>
        <v>148.0155219248214</v>
      </c>
      <c r="I134">
        <f t="shared" si="48"/>
        <v>1.4801552192482141E-4</v>
      </c>
      <c r="J134" s="4">
        <f t="shared" si="67"/>
        <v>444.51179606290452</v>
      </c>
      <c r="K134" s="40">
        <f t="shared" si="68"/>
        <v>3.0031431182513182</v>
      </c>
      <c r="L134" s="40">
        <f t="shared" si="49"/>
        <v>2.9968568817486818</v>
      </c>
      <c r="M134" s="10">
        <f t="shared" si="69"/>
        <v>1.5637025921012206</v>
      </c>
      <c r="N134" s="10">
        <f t="shared" si="50"/>
        <v>8.26</v>
      </c>
      <c r="O134" s="10">
        <f t="shared" si="51"/>
        <v>0.31900000000000001</v>
      </c>
      <c r="P134" s="10">
        <f t="shared" si="70"/>
        <v>9.5261019064611574</v>
      </c>
      <c r="Q134" s="45">
        <f t="shared" si="71"/>
        <v>0.45878753895426788</v>
      </c>
      <c r="R134" s="4">
        <f t="shared" si="72"/>
        <v>161501.64496304831</v>
      </c>
      <c r="S134">
        <f t="shared" si="52"/>
        <v>1.6150164496304831E-4</v>
      </c>
      <c r="T134" s="44">
        <f t="shared" si="53"/>
        <v>7.4366140672267101E-5</v>
      </c>
      <c r="U134" s="45">
        <f t="shared" si="73"/>
        <v>0.28982277696843833</v>
      </c>
      <c r="V134" s="45">
        <f t="shared" si="74"/>
        <v>0.24250201459200216</v>
      </c>
      <c r="W134" s="45">
        <f t="shared" si="75"/>
        <v>0.24185929150797947</v>
      </c>
      <c r="X134" s="45">
        <f t="shared" si="76"/>
        <v>6.4272308402268941E-4</v>
      </c>
      <c r="Y134" s="45">
        <f t="shared" si="59"/>
        <v>3.3655031669729585E-4</v>
      </c>
      <c r="Z134" s="10">
        <f t="shared" si="77"/>
        <v>4.5255853491238582</v>
      </c>
      <c r="AA134">
        <f t="shared" si="54"/>
        <v>1564122.8203792039</v>
      </c>
      <c r="AB134" s="10">
        <f t="shared" si="55"/>
        <v>1.5641228203792039</v>
      </c>
      <c r="AC134" s="10">
        <f t="shared" si="56"/>
        <v>1.4631228203792039</v>
      </c>
      <c r="AD134" s="3">
        <f t="shared" si="57"/>
        <v>212.20055407965248</v>
      </c>
      <c r="AI134" s="100">
        <f t="shared" si="58"/>
        <v>0.24185929150797947</v>
      </c>
    </row>
    <row r="135" spans="2:35">
      <c r="B135" s="39">
        <f t="shared" si="60"/>
        <v>107</v>
      </c>
      <c r="C135" s="45">
        <f t="shared" si="61"/>
        <v>3.143285371702488</v>
      </c>
      <c r="D135" s="10">
        <f t="shared" si="62"/>
        <v>12.306714628297597</v>
      </c>
      <c r="E135" s="40">
        <f t="shared" si="63"/>
        <v>23.72657074340481</v>
      </c>
      <c r="F135" s="40">
        <f t="shared" si="64"/>
        <v>48.34</v>
      </c>
      <c r="G135" s="3">
        <f t="shared" si="65"/>
        <v>115.62685851319037</v>
      </c>
      <c r="H135" s="3">
        <f t="shared" si="66"/>
        <v>148.0155219248214</v>
      </c>
      <c r="I135">
        <f t="shared" si="48"/>
        <v>1.4801552192482141E-4</v>
      </c>
      <c r="J135" s="4">
        <f t="shared" si="67"/>
        <v>446.69878625242927</v>
      </c>
      <c r="K135" s="40">
        <f t="shared" si="68"/>
        <v>3.0179185293776971</v>
      </c>
      <c r="L135" s="40">
        <f t="shared" si="49"/>
        <v>2.9820814706223029</v>
      </c>
      <c r="M135" s="10">
        <f t="shared" si="69"/>
        <v>1.5641228203792039</v>
      </c>
      <c r="N135" s="10">
        <f t="shared" si="50"/>
        <v>8.26</v>
      </c>
      <c r="O135" s="10">
        <f t="shared" si="51"/>
        <v>0.31900000000000001</v>
      </c>
      <c r="P135" s="10">
        <f t="shared" si="70"/>
        <v>9.5269184837321674</v>
      </c>
      <c r="Q135" s="45">
        <f t="shared" si="71"/>
        <v>0.46187106473976924</v>
      </c>
      <c r="R135" s="4">
        <f t="shared" si="72"/>
        <v>161084.8104557872</v>
      </c>
      <c r="S135">
        <f t="shared" si="52"/>
        <v>1.610848104557872E-4</v>
      </c>
      <c r="T135" s="44">
        <f t="shared" si="53"/>
        <v>7.478297517952821E-5</v>
      </c>
      <c r="U135" s="45">
        <f t="shared" si="73"/>
        <v>0.28907474660343285</v>
      </c>
      <c r="V135" s="45">
        <f t="shared" si="74"/>
        <v>0.24258930102764029</v>
      </c>
      <c r="W135" s="45">
        <f t="shared" si="75"/>
        <v>0.24192877666110182</v>
      </c>
      <c r="X135" s="45">
        <f t="shared" si="76"/>
        <v>6.6052436653846192E-4</v>
      </c>
      <c r="Y135" s="45">
        <f t="shared" si="59"/>
        <v>3.3858706061346916E-4</v>
      </c>
      <c r="Z135" s="10">
        <f t="shared" si="77"/>
        <v>4.527595482803914</v>
      </c>
      <c r="AA135">
        <f t="shared" si="54"/>
        <v>1564772.6970763414</v>
      </c>
      <c r="AB135" s="10">
        <f t="shared" si="55"/>
        <v>1.5647726970763414</v>
      </c>
      <c r="AC135" s="10">
        <f t="shared" si="56"/>
        <v>1.4637726970763414</v>
      </c>
      <c r="AD135" s="3">
        <f t="shared" si="57"/>
        <v>212.29480740773624</v>
      </c>
      <c r="AI135" s="100">
        <f t="shared" si="58"/>
        <v>0.24192877666110182</v>
      </c>
    </row>
    <row r="136" spans="2:35">
      <c r="B136" s="39">
        <f t="shared" si="60"/>
        <v>108</v>
      </c>
      <c r="C136" s="45">
        <f t="shared" si="61"/>
        <v>3.1726618705034459</v>
      </c>
      <c r="D136" s="10">
        <f t="shared" si="62"/>
        <v>12.277338129496639</v>
      </c>
      <c r="E136" s="40">
        <f t="shared" si="63"/>
        <v>23.785323741006724</v>
      </c>
      <c r="F136" s="40">
        <f t="shared" si="64"/>
        <v>48.34</v>
      </c>
      <c r="G136" s="3">
        <f t="shared" si="65"/>
        <v>115.50935251798654</v>
      </c>
      <c r="H136" s="3">
        <f t="shared" si="66"/>
        <v>148.0155219248214</v>
      </c>
      <c r="I136">
        <f t="shared" si="48"/>
        <v>1.4801552192482141E-4</v>
      </c>
      <c r="J136" s="4">
        <f t="shared" si="67"/>
        <v>448.89119869692763</v>
      </c>
      <c r="K136" s="40">
        <f t="shared" si="68"/>
        <v>3.0327305735200127</v>
      </c>
      <c r="L136" s="40">
        <f t="shared" si="49"/>
        <v>2.9672694264799873</v>
      </c>
      <c r="M136" s="10">
        <f t="shared" si="69"/>
        <v>1.5647726970763414</v>
      </c>
      <c r="N136" s="10">
        <f t="shared" si="50"/>
        <v>8.26</v>
      </c>
      <c r="O136" s="10">
        <f t="shared" si="51"/>
        <v>0.31900000000000001</v>
      </c>
      <c r="P136" s="10">
        <f t="shared" si="70"/>
        <v>9.5281810140416443</v>
      </c>
      <c r="Q136" s="45">
        <f t="shared" si="71"/>
        <v>0.46495418194311222</v>
      </c>
      <c r="R136" s="4">
        <f t="shared" si="72"/>
        <v>160667.86359628235</v>
      </c>
      <c r="S136">
        <f t="shared" si="52"/>
        <v>1.6066786359628235E-4</v>
      </c>
      <c r="T136" s="44">
        <f t="shared" si="53"/>
        <v>7.5199922039033065E-5</v>
      </c>
      <c r="U136" s="45">
        <f t="shared" si="73"/>
        <v>0.28832651461670844</v>
      </c>
      <c r="V136" s="45">
        <f t="shared" si="74"/>
        <v>0.24268684496104001</v>
      </c>
      <c r="W136" s="45">
        <f t="shared" si="75"/>
        <v>0.24203623440294628</v>
      </c>
      <c r="X136" s="45">
        <f t="shared" si="76"/>
        <v>6.506105580937338E-4</v>
      </c>
      <c r="Y136" s="45">
        <f t="shared" si="59"/>
        <v>3.4059296921780451E-4</v>
      </c>
      <c r="Z136" s="10">
        <f t="shared" si="77"/>
        <v>4.5291665201596523</v>
      </c>
      <c r="AA136">
        <f t="shared" si="54"/>
        <v>1565280.6138273298</v>
      </c>
      <c r="AB136" s="10">
        <f t="shared" si="55"/>
        <v>1.5652806138273299</v>
      </c>
      <c r="AC136" s="10">
        <f t="shared" si="56"/>
        <v>1.4642806138273299</v>
      </c>
      <c r="AD136" s="3">
        <f t="shared" si="57"/>
        <v>212.36847191114282</v>
      </c>
      <c r="AI136" s="100">
        <f t="shared" si="58"/>
        <v>0.24203623440294628</v>
      </c>
    </row>
    <row r="137" spans="2:35">
      <c r="B137" s="39">
        <f t="shared" si="60"/>
        <v>109</v>
      </c>
      <c r="C137" s="45">
        <f t="shared" si="61"/>
        <v>3.2020383693044039</v>
      </c>
      <c r="D137" s="10">
        <f t="shared" si="62"/>
        <v>12.247961630695682</v>
      </c>
      <c r="E137" s="40">
        <f t="shared" si="63"/>
        <v>23.844076738608639</v>
      </c>
      <c r="F137" s="40">
        <f t="shared" si="64"/>
        <v>48.34</v>
      </c>
      <c r="G137" s="3">
        <f t="shared" si="65"/>
        <v>115.39184652278271</v>
      </c>
      <c r="H137" s="3">
        <f t="shared" si="66"/>
        <v>148.0155219248214</v>
      </c>
      <c r="I137">
        <f t="shared" si="48"/>
        <v>1.4801552192482141E-4</v>
      </c>
      <c r="J137" s="4">
        <f t="shared" si="67"/>
        <v>451.08903339640005</v>
      </c>
      <c r="K137" s="40">
        <f t="shared" si="68"/>
        <v>3.0475792506782686</v>
      </c>
      <c r="L137" s="40">
        <f t="shared" si="49"/>
        <v>2.9524207493217314</v>
      </c>
      <c r="M137" s="10">
        <f t="shared" si="69"/>
        <v>1.5652806138273299</v>
      </c>
      <c r="N137" s="10">
        <f t="shared" si="50"/>
        <v>8.26</v>
      </c>
      <c r="O137" s="10">
        <f t="shared" si="51"/>
        <v>0.31900000000000001</v>
      </c>
      <c r="P137" s="10">
        <f t="shared" si="70"/>
        <v>9.5291675069428603</v>
      </c>
      <c r="Q137" s="45">
        <f t="shared" si="71"/>
        <v>0.46803697997132976</v>
      </c>
      <c r="R137" s="4">
        <f t="shared" si="72"/>
        <v>160250.8062959761</v>
      </c>
      <c r="S137">
        <f t="shared" si="52"/>
        <v>1.602508062959761E-4</v>
      </c>
      <c r="T137" s="44">
        <f t="shared" si="53"/>
        <v>7.5616979339339309E-5</v>
      </c>
      <c r="U137" s="45">
        <f t="shared" si="73"/>
        <v>0.2875780844384439</v>
      </c>
      <c r="V137" s="45">
        <f t="shared" si="74"/>
        <v>0.242776260855881</v>
      </c>
      <c r="W137" s="45">
        <f t="shared" si="75"/>
        <v>0.2421202189300829</v>
      </c>
      <c r="X137" s="45">
        <f t="shared" si="76"/>
        <v>6.5604192579810094E-4</v>
      </c>
      <c r="Y137" s="45">
        <f t="shared" si="59"/>
        <v>3.4261541397308292E-4</v>
      </c>
      <c r="Z137" s="10">
        <f t="shared" si="77"/>
        <v>4.5309322980961655</v>
      </c>
      <c r="AA137">
        <f t="shared" si="54"/>
        <v>1565851.4902544278</v>
      </c>
      <c r="AB137" s="10">
        <f t="shared" si="55"/>
        <v>1.5658514902544278</v>
      </c>
      <c r="AC137" s="10">
        <f t="shared" si="56"/>
        <v>1.4648514902544278</v>
      </c>
      <c r="AD137" s="3">
        <f t="shared" si="57"/>
        <v>212.451267622107</v>
      </c>
      <c r="AI137" s="100">
        <f t="shared" si="58"/>
        <v>0.2421202189300829</v>
      </c>
    </row>
    <row r="138" spans="2:35">
      <c r="B138" s="39">
        <f t="shared" si="60"/>
        <v>110</v>
      </c>
      <c r="C138" s="45">
        <f t="shared" si="61"/>
        <v>3.2314148681053618</v>
      </c>
      <c r="D138" s="10">
        <f t="shared" si="62"/>
        <v>12.218585131894725</v>
      </c>
      <c r="E138" s="40">
        <f t="shared" si="63"/>
        <v>23.902829736210553</v>
      </c>
      <c r="F138" s="40">
        <f t="shared" si="64"/>
        <v>48.34</v>
      </c>
      <c r="G138" s="3">
        <f t="shared" si="65"/>
        <v>115.27434052757889</v>
      </c>
      <c r="H138" s="3">
        <f t="shared" si="66"/>
        <v>148.0155219248214</v>
      </c>
      <c r="I138">
        <f t="shared" si="48"/>
        <v>1.4801552192482141E-4</v>
      </c>
      <c r="J138" s="4">
        <f t="shared" si="67"/>
        <v>453.29229035084632</v>
      </c>
      <c r="K138" s="40">
        <f t="shared" si="68"/>
        <v>3.0624645608524634</v>
      </c>
      <c r="L138" s="40">
        <f t="shared" si="49"/>
        <v>2.9375354391475366</v>
      </c>
      <c r="M138" s="10">
        <f t="shared" si="69"/>
        <v>1.5658514902544278</v>
      </c>
      <c r="N138" s="10">
        <f t="shared" si="50"/>
        <v>8.26</v>
      </c>
      <c r="O138" s="10">
        <f t="shared" si="51"/>
        <v>0.31900000000000001</v>
      </c>
      <c r="P138" s="10">
        <f t="shared" si="70"/>
        <v>9.530276022067719</v>
      </c>
      <c r="Q138" s="45">
        <f t="shared" si="71"/>
        <v>0.47111941942354874</v>
      </c>
      <c r="R138" s="4">
        <f t="shared" si="72"/>
        <v>159833.64046631087</v>
      </c>
      <c r="S138">
        <f t="shared" si="52"/>
        <v>1.5983364046631086E-4</v>
      </c>
      <c r="T138" s="44">
        <f t="shared" si="53"/>
        <v>7.6034145169004555E-5</v>
      </c>
      <c r="U138" s="45">
        <f t="shared" si="73"/>
        <v>0.28682945949881816</v>
      </c>
      <c r="V138" s="45">
        <f t="shared" si="74"/>
        <v>0.24286768685328883</v>
      </c>
      <c r="W138" s="45">
        <f t="shared" si="75"/>
        <v>0.24221461390069557</v>
      </c>
      <c r="X138" s="45">
        <f t="shared" si="76"/>
        <v>6.5307295259325882E-4</v>
      </c>
      <c r="Y138" s="45">
        <f t="shared" si="59"/>
        <v>3.4462847180733353E-4</v>
      </c>
      <c r="Z138" s="10">
        <f t="shared" si="77"/>
        <v>4.5325487784640988</v>
      </c>
      <c r="AA138">
        <f t="shared" si="54"/>
        <v>1566374.0987420739</v>
      </c>
      <c r="AB138" s="10">
        <f t="shared" si="55"/>
        <v>1.5663740987420738</v>
      </c>
      <c r="AC138" s="10">
        <f t="shared" si="56"/>
        <v>1.4653740987420738</v>
      </c>
      <c r="AD138" s="3">
        <f t="shared" si="57"/>
        <v>212.52706290675474</v>
      </c>
      <c r="AI138" s="100">
        <f t="shared" si="58"/>
        <v>0.24221461390069557</v>
      </c>
    </row>
    <row r="139" spans="2:35">
      <c r="B139" s="39">
        <f t="shared" si="60"/>
        <v>111</v>
      </c>
      <c r="C139" s="45">
        <f t="shared" si="61"/>
        <v>3.2607913669063198</v>
      </c>
      <c r="D139" s="10">
        <f t="shared" si="62"/>
        <v>12.189208633093768</v>
      </c>
      <c r="E139" s="40">
        <f t="shared" si="63"/>
        <v>23.961582733812467</v>
      </c>
      <c r="F139" s="40">
        <f t="shared" si="64"/>
        <v>48.34</v>
      </c>
      <c r="G139" s="3">
        <f t="shared" si="65"/>
        <v>115.15683453237506</v>
      </c>
      <c r="H139" s="3">
        <f t="shared" si="66"/>
        <v>148.0155219248214</v>
      </c>
      <c r="I139">
        <f t="shared" si="48"/>
        <v>1.4801552192482141E-4</v>
      </c>
      <c r="J139" s="4">
        <f t="shared" si="67"/>
        <v>455.50096956026664</v>
      </c>
      <c r="K139" s="40">
        <f t="shared" si="68"/>
        <v>3.0773865040425981</v>
      </c>
      <c r="L139" s="40">
        <f t="shared" si="49"/>
        <v>2.9226134959574019</v>
      </c>
      <c r="M139" s="10">
        <f t="shared" si="69"/>
        <v>1.5663740987420738</v>
      </c>
      <c r="N139" s="10">
        <f t="shared" si="50"/>
        <v>8.26</v>
      </c>
      <c r="O139" s="10">
        <f t="shared" si="51"/>
        <v>0.31900000000000001</v>
      </c>
      <c r="P139" s="10">
        <f t="shared" si="70"/>
        <v>9.5312905703102349</v>
      </c>
      <c r="Q139" s="45">
        <f t="shared" si="71"/>
        <v>0.47420153076872845</v>
      </c>
      <c r="R139" s="4">
        <f t="shared" si="72"/>
        <v>159416.36801872906</v>
      </c>
      <c r="S139">
        <f t="shared" si="52"/>
        <v>1.5941636801872905E-4</v>
      </c>
      <c r="T139" s="44">
        <f t="shared" si="53"/>
        <v>7.6451417616586363E-5</v>
      </c>
      <c r="U139" s="45">
        <f t="shared" si="73"/>
        <v>0.28608064322801019</v>
      </c>
      <c r="V139" s="45">
        <f t="shared" si="74"/>
        <v>0.2429556193610875</v>
      </c>
      <c r="W139" s="45">
        <f t="shared" si="75"/>
        <v>0.24230102772073028</v>
      </c>
      <c r="X139" s="45">
        <f t="shared" si="76"/>
        <v>6.5459164035722162E-4</v>
      </c>
      <c r="Y139" s="45">
        <f t="shared" si="59"/>
        <v>3.466459961285383E-4</v>
      </c>
      <c r="Z139" s="10">
        <f t="shared" si="77"/>
        <v>4.534199717093701</v>
      </c>
      <c r="AA139">
        <f t="shared" si="54"/>
        <v>1566907.8475939177</v>
      </c>
      <c r="AB139" s="10">
        <f t="shared" si="55"/>
        <v>1.5669078475939178</v>
      </c>
      <c r="AC139" s="10">
        <f t="shared" si="56"/>
        <v>1.4659078475939178</v>
      </c>
      <c r="AD139" s="3">
        <f t="shared" si="57"/>
        <v>212.60447390774732</v>
      </c>
      <c r="AI139" s="100">
        <f t="shared" si="58"/>
        <v>0.24230102772073028</v>
      </c>
    </row>
    <row r="140" spans="2:35">
      <c r="B140" s="39">
        <f t="shared" si="60"/>
        <v>112</v>
      </c>
      <c r="C140" s="45">
        <f t="shared" si="61"/>
        <v>3.2901678657072777</v>
      </c>
      <c r="D140" s="10">
        <f t="shared" si="62"/>
        <v>12.159832134292811</v>
      </c>
      <c r="E140" s="40">
        <f t="shared" si="63"/>
        <v>24.020335731414381</v>
      </c>
      <c r="F140" s="40">
        <f t="shared" si="64"/>
        <v>48.34</v>
      </c>
      <c r="G140" s="3">
        <f t="shared" si="65"/>
        <v>115.03932853717123</v>
      </c>
      <c r="H140" s="3">
        <f t="shared" si="66"/>
        <v>148.0155219248214</v>
      </c>
      <c r="I140">
        <f t="shared" si="48"/>
        <v>1.4801552192482141E-4</v>
      </c>
      <c r="J140" s="4">
        <f t="shared" si="67"/>
        <v>457.7150710246608</v>
      </c>
      <c r="K140" s="40">
        <f t="shared" si="68"/>
        <v>3.0923450802486712</v>
      </c>
      <c r="L140" s="40">
        <f t="shared" si="49"/>
        <v>2.9076549197513288</v>
      </c>
      <c r="M140" s="10">
        <f t="shared" si="69"/>
        <v>1.5669078475939178</v>
      </c>
      <c r="N140" s="10">
        <f t="shared" si="50"/>
        <v>8.26</v>
      </c>
      <c r="O140" s="10">
        <f t="shared" si="51"/>
        <v>0.31900000000000001</v>
      </c>
      <c r="P140" s="10">
        <f t="shared" si="70"/>
        <v>9.5323265076094668</v>
      </c>
      <c r="Q140" s="45">
        <f t="shared" si="71"/>
        <v>0.47728330716166956</v>
      </c>
      <c r="R140" s="4">
        <f t="shared" si="72"/>
        <v>158998.99086467305</v>
      </c>
      <c r="S140">
        <f t="shared" si="52"/>
        <v>1.5899899086467304E-4</v>
      </c>
      <c r="T140" s="44">
        <f t="shared" si="53"/>
        <v>7.6868794770642375E-5</v>
      </c>
      <c r="U140" s="45">
        <f t="shared" si="73"/>
        <v>0.28533163905619902</v>
      </c>
      <c r="V140" s="45">
        <f t="shared" si="74"/>
        <v>0.24304299738514093</v>
      </c>
      <c r="W140" s="45">
        <f t="shared" si="75"/>
        <v>0.24238928361078427</v>
      </c>
      <c r="X140" s="45">
        <f t="shared" si="76"/>
        <v>6.5371377435666234E-4</v>
      </c>
      <c r="Y140" s="45">
        <f t="shared" si="59"/>
        <v>3.4866059580609108E-4</v>
      </c>
      <c r="Z140" s="10">
        <f t="shared" si="77"/>
        <v>4.5357885061995411</v>
      </c>
      <c r="AA140">
        <f t="shared" si="54"/>
        <v>1567421.503489939</v>
      </c>
      <c r="AB140" s="10">
        <f t="shared" si="55"/>
        <v>1.567421503489939</v>
      </c>
      <c r="AC140" s="10">
        <f t="shared" si="56"/>
        <v>1.466421503489939</v>
      </c>
      <c r="AD140" s="3">
        <f t="shared" si="57"/>
        <v>212.67897077446543</v>
      </c>
      <c r="AI140" s="100">
        <f t="shared" si="58"/>
        <v>0.24238928361078427</v>
      </c>
    </row>
    <row r="141" spans="2:35">
      <c r="B141" s="39">
        <f t="shared" si="60"/>
        <v>113</v>
      </c>
      <c r="C141" s="45">
        <f t="shared" si="61"/>
        <v>3.3195443645082356</v>
      </c>
      <c r="D141" s="10">
        <f t="shared" si="62"/>
        <v>12.130455635491854</v>
      </c>
      <c r="E141" s="40">
        <f t="shared" si="63"/>
        <v>24.079088729016295</v>
      </c>
      <c r="F141" s="40">
        <f t="shared" si="64"/>
        <v>48.34</v>
      </c>
      <c r="G141" s="3">
        <f t="shared" si="65"/>
        <v>114.9218225419674</v>
      </c>
      <c r="H141" s="3">
        <f t="shared" si="66"/>
        <v>148.0155219248214</v>
      </c>
      <c r="I141">
        <f t="shared" si="48"/>
        <v>1.4801552192482141E-4</v>
      </c>
      <c r="J141" s="4">
        <f t="shared" si="67"/>
        <v>459.93459474402903</v>
      </c>
      <c r="K141" s="40">
        <f t="shared" si="68"/>
        <v>3.107340289470685</v>
      </c>
      <c r="L141" s="40">
        <f t="shared" si="49"/>
        <v>2.892659710529315</v>
      </c>
      <c r="M141" s="10">
        <f t="shared" si="69"/>
        <v>1.567421503489939</v>
      </c>
      <c r="N141" s="10">
        <f t="shared" si="50"/>
        <v>8.26</v>
      </c>
      <c r="O141" s="10">
        <f t="shared" si="51"/>
        <v>0.31900000000000001</v>
      </c>
      <c r="P141" s="10">
        <f t="shared" si="70"/>
        <v>9.5333232202002431</v>
      </c>
      <c r="Q141" s="45">
        <f t="shared" si="71"/>
        <v>0.48036476135370948</v>
      </c>
      <c r="R141" s="4">
        <f t="shared" si="72"/>
        <v>158581.51091558527</v>
      </c>
      <c r="S141">
        <f t="shared" si="52"/>
        <v>1.5858151091558526E-4</v>
      </c>
      <c r="T141" s="44">
        <f t="shared" si="53"/>
        <v>7.7286274719730151E-5</v>
      </c>
      <c r="U141" s="45">
        <f t="shared" si="73"/>
        <v>0.2845824504135635</v>
      </c>
      <c r="V141" s="45">
        <f t="shared" si="74"/>
        <v>0.24312827514062416</v>
      </c>
      <c r="W141" s="45">
        <f t="shared" si="75"/>
        <v>0.24247421711111544</v>
      </c>
      <c r="X141" s="45">
        <f t="shared" si="76"/>
        <v>6.5405802950871395E-4</v>
      </c>
      <c r="Y141" s="45">
        <f t="shared" si="59"/>
        <v>3.5067604566295808E-4</v>
      </c>
      <c r="Z141" s="10">
        <f t="shared" si="77"/>
        <v>4.5373651005258662</v>
      </c>
      <c r="AA141">
        <f t="shared" si="54"/>
        <v>1567931.2168108409</v>
      </c>
      <c r="AB141" s="10">
        <f t="shared" si="55"/>
        <v>1.5679312168108408</v>
      </c>
      <c r="AC141" s="10">
        <f t="shared" si="56"/>
        <v>1.4669312168108408</v>
      </c>
      <c r="AD141" s="3">
        <f t="shared" si="57"/>
        <v>212.75289583913573</v>
      </c>
      <c r="AI141" s="100">
        <f t="shared" si="58"/>
        <v>0.24247421711111544</v>
      </c>
    </row>
    <row r="142" spans="2:35">
      <c r="B142" s="39">
        <f t="shared" si="60"/>
        <v>114</v>
      </c>
      <c r="C142" s="45">
        <f t="shared" si="61"/>
        <v>3.3489208633091936</v>
      </c>
      <c r="D142" s="10">
        <f t="shared" si="62"/>
        <v>12.101079136690897</v>
      </c>
      <c r="E142" s="40">
        <f t="shared" si="63"/>
        <v>24.137841726618209</v>
      </c>
      <c r="F142" s="40">
        <f t="shared" si="64"/>
        <v>48.34</v>
      </c>
      <c r="G142" s="3">
        <f t="shared" si="65"/>
        <v>114.80431654676357</v>
      </c>
      <c r="H142" s="3">
        <f t="shared" si="66"/>
        <v>148.0155219248214</v>
      </c>
      <c r="I142">
        <f t="shared" si="48"/>
        <v>1.4801552192482141E-4</v>
      </c>
      <c r="J142" s="4">
        <f t="shared" si="67"/>
        <v>462.15954071837109</v>
      </c>
      <c r="K142" s="40">
        <f t="shared" si="68"/>
        <v>3.1223721317086368</v>
      </c>
      <c r="L142" s="40">
        <f t="shared" si="49"/>
        <v>2.8776278682913632</v>
      </c>
      <c r="M142" s="10">
        <f t="shared" si="69"/>
        <v>1.5679312168108408</v>
      </c>
      <c r="N142" s="10">
        <f t="shared" si="50"/>
        <v>8.26</v>
      </c>
      <c r="O142" s="10">
        <f t="shared" si="51"/>
        <v>0.31900000000000001</v>
      </c>
      <c r="P142" s="10">
        <f t="shared" si="70"/>
        <v>9.5343120626489153</v>
      </c>
      <c r="Q142" s="45">
        <f t="shared" si="71"/>
        <v>0.48344589595554838</v>
      </c>
      <c r="R142" s="4">
        <f t="shared" si="72"/>
        <v>158163.9300829081</v>
      </c>
      <c r="S142">
        <f t="shared" si="52"/>
        <v>1.5816393008290811E-4</v>
      </c>
      <c r="T142" s="44">
        <f t="shared" si="53"/>
        <v>7.7703855552407306E-5</v>
      </c>
      <c r="U142" s="45">
        <f t="shared" si="73"/>
        <v>0.28383308073028268</v>
      </c>
      <c r="V142" s="45">
        <f t="shared" si="74"/>
        <v>0.24321225136791433</v>
      </c>
      <c r="W142" s="45">
        <f t="shared" si="75"/>
        <v>0.24255849870282875</v>
      </c>
      <c r="X142" s="45">
        <f t="shared" si="76"/>
        <v>6.5375266508557739E-4</v>
      </c>
      <c r="Y142" s="45">
        <f t="shared" si="59"/>
        <v>3.5269034562039766E-4</v>
      </c>
      <c r="Z142" s="10">
        <f t="shared" si="77"/>
        <v>4.538904062264014</v>
      </c>
      <c r="AA142">
        <f t="shared" si="54"/>
        <v>1568428.763507029</v>
      </c>
      <c r="AB142" s="10">
        <f t="shared" si="55"/>
        <v>1.5684287635070291</v>
      </c>
      <c r="AC142" s="10">
        <f t="shared" si="56"/>
        <v>1.4674287635070291</v>
      </c>
      <c r="AD142" s="3">
        <f t="shared" si="57"/>
        <v>212.8250563461971</v>
      </c>
      <c r="AI142" s="100">
        <f t="shared" si="58"/>
        <v>0.24255849870282875</v>
      </c>
    </row>
    <row r="143" spans="2:35">
      <c r="B143" s="39">
        <f t="shared" si="60"/>
        <v>115</v>
      </c>
      <c r="C143" s="45">
        <f t="shared" si="61"/>
        <v>3.3782973621101515</v>
      </c>
      <c r="D143" s="10">
        <f t="shared" si="62"/>
        <v>12.07170263788994</v>
      </c>
      <c r="E143" s="40">
        <f t="shared" si="63"/>
        <v>24.196594724220123</v>
      </c>
      <c r="F143" s="40">
        <f t="shared" si="64"/>
        <v>48.34</v>
      </c>
      <c r="G143" s="3">
        <f t="shared" si="65"/>
        <v>114.68681055155974</v>
      </c>
      <c r="H143" s="3">
        <f t="shared" si="66"/>
        <v>148.0155219248214</v>
      </c>
      <c r="I143">
        <f t="shared" si="48"/>
        <v>1.4801552192482141E-4</v>
      </c>
      <c r="J143" s="4">
        <f t="shared" si="67"/>
        <v>464.38990894768699</v>
      </c>
      <c r="K143" s="40">
        <f t="shared" si="68"/>
        <v>3.1374406069625276</v>
      </c>
      <c r="L143" s="40">
        <f t="shared" si="49"/>
        <v>2.8625593930374724</v>
      </c>
      <c r="M143" s="10">
        <f t="shared" si="69"/>
        <v>1.5684287635070291</v>
      </c>
      <c r="N143" s="10">
        <f t="shared" si="50"/>
        <v>8.26</v>
      </c>
      <c r="O143" s="10">
        <f t="shared" si="51"/>
        <v>0.31900000000000001</v>
      </c>
      <c r="P143" s="10">
        <f t="shared" si="70"/>
        <v>9.535277090763234</v>
      </c>
      <c r="Q143" s="45">
        <f t="shared" si="71"/>
        <v>0.48652671872780057</v>
      </c>
      <c r="R143" s="4">
        <f t="shared" si="72"/>
        <v>157746.25027808399</v>
      </c>
      <c r="S143">
        <f t="shared" si="52"/>
        <v>1.5774625027808399E-4</v>
      </c>
      <c r="T143" s="44">
        <f t="shared" si="53"/>
        <v>7.8121535357231426E-5</v>
      </c>
      <c r="U143" s="45">
        <f t="shared" si="73"/>
        <v>0.28308353343653564</v>
      </c>
      <c r="V143" s="45">
        <f t="shared" si="74"/>
        <v>0.24329451875581221</v>
      </c>
      <c r="W143" s="45">
        <f t="shared" si="75"/>
        <v>0.24264076853135169</v>
      </c>
      <c r="X143" s="45">
        <f t="shared" si="76"/>
        <v>6.5375022446051423E-4</v>
      </c>
      <c r="Y143" s="45">
        <f t="shared" si="59"/>
        <v>3.547044341992806E-4</v>
      </c>
      <c r="Z143" s="10">
        <f t="shared" si="77"/>
        <v>4.5404181136136224</v>
      </c>
      <c r="AA143">
        <f t="shared" si="54"/>
        <v>1568918.2566686743</v>
      </c>
      <c r="AB143" s="10">
        <f t="shared" si="55"/>
        <v>1.5689182566686743</v>
      </c>
      <c r="AC143" s="10">
        <f t="shared" si="56"/>
        <v>1.4679182566686744</v>
      </c>
      <c r="AD143" s="3">
        <f t="shared" si="57"/>
        <v>212.89604882794407</v>
      </c>
      <c r="AI143" s="100">
        <f t="shared" si="58"/>
        <v>0.24264076853135169</v>
      </c>
    </row>
    <row r="144" spans="2:35">
      <c r="B144" s="39">
        <f t="shared" si="60"/>
        <v>116</v>
      </c>
      <c r="C144" s="45">
        <f t="shared" si="61"/>
        <v>3.4076738609111095</v>
      </c>
      <c r="D144" s="10">
        <f t="shared" si="62"/>
        <v>12.042326139088983</v>
      </c>
      <c r="E144" s="40">
        <f t="shared" si="63"/>
        <v>24.255347721822037</v>
      </c>
      <c r="F144" s="40">
        <f t="shared" si="64"/>
        <v>48.34</v>
      </c>
      <c r="G144" s="3">
        <f t="shared" si="65"/>
        <v>114.56930455635592</v>
      </c>
      <c r="H144" s="3">
        <f t="shared" si="66"/>
        <v>148.0155219248214</v>
      </c>
      <c r="I144">
        <f t="shared" si="48"/>
        <v>1.4801552192482141E-4</v>
      </c>
      <c r="J144" s="4">
        <f t="shared" si="67"/>
        <v>466.62569943197673</v>
      </c>
      <c r="K144" s="40">
        <f t="shared" si="68"/>
        <v>3.1525457152323573</v>
      </c>
      <c r="L144" s="40">
        <f t="shared" si="49"/>
        <v>2.8474542847676427</v>
      </c>
      <c r="M144" s="10">
        <f t="shared" si="69"/>
        <v>1.5689182566686743</v>
      </c>
      <c r="N144" s="10">
        <f t="shared" si="50"/>
        <v>8.26</v>
      </c>
      <c r="O144" s="10">
        <f t="shared" si="51"/>
        <v>0.31900000000000001</v>
      </c>
      <c r="P144" s="10">
        <f t="shared" si="70"/>
        <v>9.5362262950395706</v>
      </c>
      <c r="Q144" s="45">
        <f t="shared" si="71"/>
        <v>0.48960723484519164</v>
      </c>
      <c r="R144" s="4">
        <f t="shared" si="72"/>
        <v>157328.47341255529</v>
      </c>
      <c r="S144">
        <f t="shared" si="52"/>
        <v>1.5732847341255529E-4</v>
      </c>
      <c r="T144" s="44">
        <f t="shared" si="53"/>
        <v>7.8539312222760126E-5</v>
      </c>
      <c r="U144" s="45">
        <f t="shared" si="73"/>
        <v>0.28233381196250107</v>
      </c>
      <c r="V144" s="45">
        <f t="shared" si="74"/>
        <v>0.24337528046096327</v>
      </c>
      <c r="W144" s="45">
        <f t="shared" si="75"/>
        <v>0.24272170670013107</v>
      </c>
      <c r="X144" s="45">
        <f t="shared" si="76"/>
        <v>6.5357376083219343E-4</v>
      </c>
      <c r="Y144" s="45">
        <f t="shared" si="59"/>
        <v>3.5671777870342807E-4</v>
      </c>
      <c r="Z144" s="10">
        <f t="shared" si="77"/>
        <v>4.5419009742748147</v>
      </c>
      <c r="AA144">
        <f t="shared" si="54"/>
        <v>1569397.6658733317</v>
      </c>
      <c r="AB144" s="10">
        <f t="shared" si="55"/>
        <v>1.5693976658733317</v>
      </c>
      <c r="AC144" s="10">
        <f t="shared" si="56"/>
        <v>1.4683976658733318</v>
      </c>
      <c r="AD144" s="3">
        <f t="shared" si="57"/>
        <v>212.96557880686464</v>
      </c>
      <c r="AI144" s="100">
        <f t="shared" si="58"/>
        <v>0.24272170670013107</v>
      </c>
    </row>
    <row r="145" spans="2:35">
      <c r="B145" s="39">
        <f t="shared" si="60"/>
        <v>117</v>
      </c>
      <c r="C145" s="45">
        <f t="shared" si="61"/>
        <v>3.4370503597120674</v>
      </c>
      <c r="D145" s="10">
        <f t="shared" si="62"/>
        <v>12.012949640288026</v>
      </c>
      <c r="E145" s="40">
        <f t="shared" si="63"/>
        <v>24.314100719423951</v>
      </c>
      <c r="F145" s="40">
        <f t="shared" si="64"/>
        <v>48.34</v>
      </c>
      <c r="G145" s="3">
        <f t="shared" si="65"/>
        <v>114.45179856115209</v>
      </c>
      <c r="H145" s="3">
        <f t="shared" si="66"/>
        <v>148.0155219248214</v>
      </c>
      <c r="I145">
        <f t="shared" si="48"/>
        <v>1.4801552192482141E-4</v>
      </c>
      <c r="J145" s="4">
        <f t="shared" si="67"/>
        <v>468.86691217124053</v>
      </c>
      <c r="K145" s="40">
        <f t="shared" si="68"/>
        <v>3.1676874565181268</v>
      </c>
      <c r="L145" s="40">
        <f t="shared" si="49"/>
        <v>2.8323125434818732</v>
      </c>
      <c r="M145" s="10">
        <f t="shared" si="69"/>
        <v>1.5693976658733317</v>
      </c>
      <c r="N145" s="10">
        <f t="shared" si="50"/>
        <v>8.26</v>
      </c>
      <c r="O145" s="10">
        <f t="shared" si="51"/>
        <v>0.31900000000000001</v>
      </c>
      <c r="P145" s="10">
        <f t="shared" si="70"/>
        <v>9.5371557494701005</v>
      </c>
      <c r="Q145" s="45">
        <f t="shared" si="71"/>
        <v>0.49268745074735826</v>
      </c>
      <c r="R145" s="4">
        <f t="shared" si="72"/>
        <v>156910.60139776443</v>
      </c>
      <c r="S145">
        <f t="shared" si="52"/>
        <v>1.5691060139776442E-4</v>
      </c>
      <c r="T145" s="44">
        <f t="shared" si="53"/>
        <v>7.8957184237550993E-5</v>
      </c>
      <c r="U145" s="45">
        <f t="shared" si="73"/>
        <v>0.28158391973835811</v>
      </c>
      <c r="V145" s="45">
        <f t="shared" si="74"/>
        <v>0.24345443565026847</v>
      </c>
      <c r="W145" s="45">
        <f t="shared" si="75"/>
        <v>0.24280097747684737</v>
      </c>
      <c r="X145" s="45">
        <f t="shared" si="76"/>
        <v>6.5345817342110646E-4</v>
      </c>
      <c r="Y145" s="45">
        <f t="shared" si="59"/>
        <v>3.587305709606005E-4</v>
      </c>
      <c r="Z145" s="10">
        <f t="shared" si="77"/>
        <v>4.5433556733903</v>
      </c>
      <c r="AA145">
        <f t="shared" si="54"/>
        <v>1569867.97044356</v>
      </c>
      <c r="AB145" s="10">
        <f t="shared" si="55"/>
        <v>1.5698679704435601</v>
      </c>
      <c r="AC145" s="10">
        <f t="shared" si="56"/>
        <v>1.4688679704435601</v>
      </c>
      <c r="AD145" s="3">
        <f t="shared" si="57"/>
        <v>213.03378831668746</v>
      </c>
      <c r="AI145" s="100">
        <f t="shared" si="58"/>
        <v>0.24280097747684737</v>
      </c>
    </row>
    <row r="146" spans="2:35">
      <c r="B146" s="39">
        <f t="shared" si="60"/>
        <v>118</v>
      </c>
      <c r="C146" s="45">
        <f t="shared" si="61"/>
        <v>3.4664268585130253</v>
      </c>
      <c r="D146" s="10">
        <f t="shared" si="62"/>
        <v>11.983573141487069</v>
      </c>
      <c r="E146" s="40">
        <f t="shared" si="63"/>
        <v>24.372853717025865</v>
      </c>
      <c r="F146" s="40">
        <f t="shared" si="64"/>
        <v>48.34</v>
      </c>
      <c r="G146" s="3">
        <f t="shared" si="65"/>
        <v>114.33429256594826</v>
      </c>
      <c r="H146" s="3">
        <f t="shared" si="66"/>
        <v>148.0155219248214</v>
      </c>
      <c r="I146">
        <f t="shared" si="48"/>
        <v>1.4801552192482141E-4</v>
      </c>
      <c r="J146" s="4">
        <f t="shared" si="67"/>
        <v>471.11354716547817</v>
      </c>
      <c r="K146" s="40">
        <f t="shared" si="68"/>
        <v>3.1828658308198352</v>
      </c>
      <c r="L146" s="40">
        <f t="shared" si="49"/>
        <v>2.8171341691801648</v>
      </c>
      <c r="M146" s="10">
        <f t="shared" si="69"/>
        <v>1.5698679704435601</v>
      </c>
      <c r="N146" s="10">
        <f t="shared" si="50"/>
        <v>8.26</v>
      </c>
      <c r="O146" s="10">
        <f t="shared" si="51"/>
        <v>0.31900000000000001</v>
      </c>
      <c r="P146" s="10">
        <f t="shared" si="70"/>
        <v>9.5380673644338891</v>
      </c>
      <c r="Q146" s="45">
        <f t="shared" si="71"/>
        <v>0.49576737225331224</v>
      </c>
      <c r="R146" s="4">
        <f t="shared" si="72"/>
        <v>156492.63614515378</v>
      </c>
      <c r="S146">
        <f t="shared" si="52"/>
        <v>1.5649263614515377E-4</v>
      </c>
      <c r="T146" s="44">
        <f t="shared" si="53"/>
        <v>7.9375149490161642E-5</v>
      </c>
      <c r="U146" s="45">
        <f t="shared" si="73"/>
        <v>0.28083386019428569</v>
      </c>
      <c r="V146" s="45">
        <f t="shared" si="74"/>
        <v>0.24353203243083857</v>
      </c>
      <c r="W146" s="45">
        <f t="shared" si="75"/>
        <v>0.24287874279343502</v>
      </c>
      <c r="X146" s="45">
        <f t="shared" si="76"/>
        <v>6.5328963740354795E-4</v>
      </c>
      <c r="Y146" s="45">
        <f t="shared" si="59"/>
        <v>3.6074265176445658E-4</v>
      </c>
      <c r="Z146" s="10">
        <f t="shared" si="77"/>
        <v>4.5447807541977578</v>
      </c>
      <c r="AA146">
        <f t="shared" si="54"/>
        <v>1570328.6994077549</v>
      </c>
      <c r="AB146" s="10">
        <f t="shared" si="55"/>
        <v>1.570328699407755</v>
      </c>
      <c r="AC146" s="10">
        <f t="shared" si="56"/>
        <v>1.469328699407755</v>
      </c>
      <c r="AD146" s="3">
        <f t="shared" si="57"/>
        <v>213.10060905116097</v>
      </c>
      <c r="AI146" s="100">
        <f t="shared" si="58"/>
        <v>0.24287874279343502</v>
      </c>
    </row>
    <row r="147" spans="2:35">
      <c r="B147" s="39">
        <f t="shared" si="60"/>
        <v>119</v>
      </c>
      <c r="C147" s="45">
        <f t="shared" si="61"/>
        <v>3.4958033573139833</v>
      </c>
      <c r="D147" s="10">
        <f t="shared" si="62"/>
        <v>11.954196642686112</v>
      </c>
      <c r="E147" s="40">
        <f t="shared" si="63"/>
        <v>24.43160671462778</v>
      </c>
      <c r="F147" s="40">
        <f t="shared" si="64"/>
        <v>48.34</v>
      </c>
      <c r="G147" s="3">
        <f t="shared" si="65"/>
        <v>114.21678657074443</v>
      </c>
      <c r="H147" s="3">
        <f t="shared" si="66"/>
        <v>148.0155219248214</v>
      </c>
      <c r="I147">
        <f t="shared" si="48"/>
        <v>1.4801552192482141E-4</v>
      </c>
      <c r="J147" s="4">
        <f t="shared" si="67"/>
        <v>473.36560441468987</v>
      </c>
      <c r="K147" s="40">
        <f t="shared" si="68"/>
        <v>3.1980808381374835</v>
      </c>
      <c r="L147" s="40">
        <f t="shared" si="49"/>
        <v>2.8019191618625165</v>
      </c>
      <c r="M147" s="10">
        <f t="shared" si="69"/>
        <v>1.570328699407755</v>
      </c>
      <c r="N147" s="10">
        <f t="shared" si="50"/>
        <v>8.26</v>
      </c>
      <c r="O147" s="10">
        <f t="shared" si="51"/>
        <v>0.31900000000000001</v>
      </c>
      <c r="P147" s="10">
        <f t="shared" si="70"/>
        <v>9.5389602381953793</v>
      </c>
      <c r="Q147" s="45">
        <f t="shared" si="71"/>
        <v>0.49884700546986871</v>
      </c>
      <c r="R147" s="4">
        <f t="shared" si="72"/>
        <v>156074.57956616575</v>
      </c>
      <c r="S147">
        <f t="shared" si="52"/>
        <v>1.5607457956616575E-4</v>
      </c>
      <c r="T147" s="44">
        <f t="shared" si="53"/>
        <v>7.9793206069149659E-5</v>
      </c>
      <c r="U147" s="45">
        <f t="shared" si="73"/>
        <v>0.28008363676046272</v>
      </c>
      <c r="V147" s="45">
        <f t="shared" si="74"/>
        <v>0.24360804714979811</v>
      </c>
      <c r="W147" s="45">
        <f t="shared" si="75"/>
        <v>0.24295492477428282</v>
      </c>
      <c r="X147" s="45">
        <f t="shared" si="76"/>
        <v>6.5312237551529151E-4</v>
      </c>
      <c r="Y147" s="45">
        <f t="shared" si="59"/>
        <v>3.6275402912656972E-4</v>
      </c>
      <c r="Z147" s="10">
        <f t="shared" si="77"/>
        <v>4.5461768864407217</v>
      </c>
      <c r="AA147">
        <f t="shared" si="54"/>
        <v>1570780.0692941593</v>
      </c>
      <c r="AB147" s="10">
        <f t="shared" si="55"/>
        <v>1.5707800692941594</v>
      </c>
      <c r="AC147" s="10">
        <f t="shared" si="56"/>
        <v>1.4697800692941594</v>
      </c>
      <c r="AD147" s="3">
        <f t="shared" si="57"/>
        <v>213.16607241394624</v>
      </c>
      <c r="AI147" s="100">
        <f t="shared" si="58"/>
        <v>0.24295492477428282</v>
      </c>
    </row>
    <row r="148" spans="2:35">
      <c r="B148" s="39">
        <f t="shared" si="60"/>
        <v>120</v>
      </c>
      <c r="C148" s="45">
        <f t="shared" si="61"/>
        <v>3.5251798561149412</v>
      </c>
      <c r="D148" s="10">
        <f t="shared" si="62"/>
        <v>11.924820143885155</v>
      </c>
      <c r="E148" s="40">
        <f t="shared" si="63"/>
        <v>24.490359712229694</v>
      </c>
      <c r="F148" s="40">
        <f t="shared" si="64"/>
        <v>48.34</v>
      </c>
      <c r="G148" s="3">
        <f t="shared" si="65"/>
        <v>114.0992805755406</v>
      </c>
      <c r="H148" s="3">
        <f t="shared" si="66"/>
        <v>148.0155219248214</v>
      </c>
      <c r="I148">
        <f t="shared" si="48"/>
        <v>1.4801552192482141E-4</v>
      </c>
      <c r="J148" s="4">
        <f t="shared" si="67"/>
        <v>475.62308391887518</v>
      </c>
      <c r="K148" s="40">
        <f t="shared" si="68"/>
        <v>3.2133324784710688</v>
      </c>
      <c r="L148" s="40">
        <f t="shared" si="49"/>
        <v>2.7866675215289312</v>
      </c>
      <c r="M148" s="10">
        <f t="shared" si="69"/>
        <v>1.5707800692941594</v>
      </c>
      <c r="N148" s="10">
        <f t="shared" si="50"/>
        <v>8.26</v>
      </c>
      <c r="O148" s="10">
        <f t="shared" si="51"/>
        <v>0.31900000000000001</v>
      </c>
      <c r="P148" s="10">
        <f t="shared" si="70"/>
        <v>9.5398348014663927</v>
      </c>
      <c r="Q148" s="45">
        <f t="shared" si="71"/>
        <v>0.50192635636140015</v>
      </c>
      <c r="R148" s="4">
        <f t="shared" si="72"/>
        <v>155656.43357224276</v>
      </c>
      <c r="S148">
        <f t="shared" si="52"/>
        <v>1.5565643357224275E-4</v>
      </c>
      <c r="T148" s="44">
        <f t="shared" si="53"/>
        <v>8.021135206307266E-5</v>
      </c>
      <c r="U148" s="45">
        <f t="shared" si="73"/>
        <v>0.27933325286706823</v>
      </c>
      <c r="V148" s="45">
        <f t="shared" si="74"/>
        <v>0.24368249018263241</v>
      </c>
      <c r="W148" s="45">
        <f t="shared" si="75"/>
        <v>0.24302955922254543</v>
      </c>
      <c r="X148" s="45">
        <f t="shared" si="76"/>
        <v>6.5293096008697815E-4</v>
      </c>
      <c r="Y148" s="45">
        <f t="shared" si="59"/>
        <v>3.6476463266062203E-4</v>
      </c>
      <c r="Z148" s="10">
        <f t="shared" si="77"/>
        <v>4.5475437488423873</v>
      </c>
      <c r="AA148">
        <f t="shared" si="54"/>
        <v>1571221.9762339063</v>
      </c>
      <c r="AB148" s="10">
        <f t="shared" si="55"/>
        <v>1.5712219762339064</v>
      </c>
      <c r="AC148" s="10">
        <f t="shared" si="56"/>
        <v>1.4702219762339064</v>
      </c>
      <c r="AD148" s="3">
        <f t="shared" si="57"/>
        <v>213.23016334066807</v>
      </c>
      <c r="AI148" s="100">
        <f t="shared" si="58"/>
        <v>0.24302955922254543</v>
      </c>
    </row>
    <row r="149" spans="2:35">
      <c r="B149" s="39">
        <f t="shared" si="60"/>
        <v>121</v>
      </c>
      <c r="C149" s="45">
        <f t="shared" si="61"/>
        <v>3.5545563549158992</v>
      </c>
      <c r="D149" s="10">
        <f t="shared" si="62"/>
        <v>11.895443645084198</v>
      </c>
      <c r="E149" s="40">
        <f t="shared" si="63"/>
        <v>24.549112709831608</v>
      </c>
      <c r="F149" s="40">
        <f t="shared" si="64"/>
        <v>48.34</v>
      </c>
      <c r="G149" s="3">
        <f t="shared" si="65"/>
        <v>113.98177458033678</v>
      </c>
      <c r="H149" s="3">
        <f t="shared" si="66"/>
        <v>148.0155219248214</v>
      </c>
      <c r="I149">
        <f t="shared" si="48"/>
        <v>1.4801552192482141E-4</v>
      </c>
      <c r="J149" s="4">
        <f t="shared" si="67"/>
        <v>477.88598567803456</v>
      </c>
      <c r="K149" s="40">
        <f t="shared" si="68"/>
        <v>3.2286207518205945</v>
      </c>
      <c r="L149" s="40">
        <f t="shared" si="49"/>
        <v>2.7713792481794055</v>
      </c>
      <c r="M149" s="10">
        <f t="shared" si="69"/>
        <v>1.5712219762339064</v>
      </c>
      <c r="N149" s="10">
        <f t="shared" si="50"/>
        <v>8.26</v>
      </c>
      <c r="O149" s="10">
        <f t="shared" si="51"/>
        <v>0.31900000000000001</v>
      </c>
      <c r="P149" s="10">
        <f t="shared" si="70"/>
        <v>9.5406908637814425</v>
      </c>
      <c r="Q149" s="45">
        <f t="shared" si="71"/>
        <v>0.50500543095048234</v>
      </c>
      <c r="R149" s="4">
        <f t="shared" si="72"/>
        <v>155238.20007482721</v>
      </c>
      <c r="S149">
        <f t="shared" si="52"/>
        <v>1.5523820007482721E-4</v>
      </c>
      <c r="T149" s="44">
        <f t="shared" si="53"/>
        <v>8.0629585560488203E-5</v>
      </c>
      <c r="U149" s="45">
        <f t="shared" si="73"/>
        <v>0.27858271194428114</v>
      </c>
      <c r="V149" s="45">
        <f t="shared" si="74"/>
        <v>0.24375535605677309</v>
      </c>
      <c r="W149" s="45">
        <f t="shared" si="75"/>
        <v>0.24310262896340518</v>
      </c>
      <c r="X149" s="45">
        <f t="shared" si="76"/>
        <v>6.5272709336791634E-4</v>
      </c>
      <c r="Y149" s="45">
        <f t="shared" si="59"/>
        <v>3.6677442806741663E-4</v>
      </c>
      <c r="Z149" s="10">
        <f t="shared" si="77"/>
        <v>4.5488814746823047</v>
      </c>
      <c r="AA149">
        <f t="shared" si="54"/>
        <v>1571654.4633163062</v>
      </c>
      <c r="AB149" s="10">
        <f t="shared" si="55"/>
        <v>1.5716544633163063</v>
      </c>
      <c r="AC149" s="10">
        <f t="shared" si="56"/>
        <v>1.4706544633163063</v>
      </c>
      <c r="AD149" s="3">
        <f t="shared" si="57"/>
        <v>213.29288808068256</v>
      </c>
      <c r="AI149" s="100">
        <f t="shared" si="58"/>
        <v>0.24310262896340518</v>
      </c>
    </row>
    <row r="150" spans="2:35">
      <c r="B150" s="39">
        <f t="shared" si="60"/>
        <v>122</v>
      </c>
      <c r="C150" s="45">
        <f t="shared" si="61"/>
        <v>3.5839328537168571</v>
      </c>
      <c r="D150" s="10">
        <f t="shared" si="62"/>
        <v>11.866067146283241</v>
      </c>
      <c r="E150" s="40">
        <f t="shared" si="63"/>
        <v>24.607865707433522</v>
      </c>
      <c r="F150" s="40">
        <f t="shared" si="64"/>
        <v>48.34</v>
      </c>
      <c r="G150" s="3">
        <f t="shared" si="65"/>
        <v>113.86426858513295</v>
      </c>
      <c r="H150" s="3">
        <f t="shared" si="66"/>
        <v>148.0155219248214</v>
      </c>
      <c r="I150">
        <f t="shared" si="48"/>
        <v>1.4801552192482141E-4</v>
      </c>
      <c r="J150" s="4">
        <f t="shared" si="67"/>
        <v>480.15430969216777</v>
      </c>
      <c r="K150" s="40">
        <f t="shared" si="68"/>
        <v>3.2439456581860586</v>
      </c>
      <c r="L150" s="40">
        <f t="shared" si="49"/>
        <v>2.7560543418139414</v>
      </c>
      <c r="M150" s="10">
        <f t="shared" si="69"/>
        <v>1.5716544633163063</v>
      </c>
      <c r="N150" s="10">
        <f t="shared" si="50"/>
        <v>8.26</v>
      </c>
      <c r="O150" s="10">
        <f t="shared" si="51"/>
        <v>0.31900000000000001</v>
      </c>
      <c r="P150" s="10">
        <f t="shared" si="70"/>
        <v>9.5415285192018526</v>
      </c>
      <c r="Q150" s="45">
        <f t="shared" si="71"/>
        <v>0.50808423522611168</v>
      </c>
      <c r="R150" s="4">
        <f t="shared" si="72"/>
        <v>154819.88098536149</v>
      </c>
      <c r="S150">
        <f t="shared" si="52"/>
        <v>1.5481988098536151E-4</v>
      </c>
      <c r="T150" s="44">
        <f t="shared" si="53"/>
        <v>8.1047904649953905E-5</v>
      </c>
      <c r="U150" s="45">
        <f t="shared" si="73"/>
        <v>0.27783201742228048</v>
      </c>
      <c r="V150" s="45">
        <f t="shared" si="74"/>
        <v>0.24382664657928294</v>
      </c>
      <c r="W150" s="45">
        <f t="shared" si="75"/>
        <v>0.24317414112172114</v>
      </c>
      <c r="X150" s="45">
        <f t="shared" si="76"/>
        <v>6.5250545756179168E-4</v>
      </c>
      <c r="Y150" s="45">
        <f t="shared" si="59"/>
        <v>3.6878336466002936E-4</v>
      </c>
      <c r="Z150" s="10">
        <f t="shared" si="77"/>
        <v>4.5501899926075273</v>
      </c>
      <c r="AA150">
        <f t="shared" si="54"/>
        <v>1572077.5074729342</v>
      </c>
      <c r="AB150" s="10">
        <f t="shared" si="55"/>
        <v>1.5720775074729343</v>
      </c>
      <c r="AC150" s="10">
        <f t="shared" si="56"/>
        <v>1.4710775074729343</v>
      </c>
      <c r="AD150" s="3">
        <f t="shared" si="57"/>
        <v>213.35424328831533</v>
      </c>
      <c r="AI150" s="100">
        <f t="shared" si="58"/>
        <v>0.24317414112172114</v>
      </c>
    </row>
    <row r="151" spans="2:35">
      <c r="B151" s="39">
        <f t="shared" si="60"/>
        <v>123</v>
      </c>
      <c r="C151" s="45">
        <f t="shared" si="61"/>
        <v>3.613309352517815</v>
      </c>
      <c r="D151" s="10">
        <f t="shared" si="62"/>
        <v>11.836690647482284</v>
      </c>
      <c r="E151" s="40">
        <f t="shared" si="63"/>
        <v>24.666618705035436</v>
      </c>
      <c r="F151" s="40">
        <f t="shared" si="64"/>
        <v>48.34</v>
      </c>
      <c r="G151" s="3">
        <f t="shared" si="65"/>
        <v>113.74676258992912</v>
      </c>
      <c r="H151" s="3">
        <f t="shared" si="66"/>
        <v>148.0155219248214</v>
      </c>
      <c r="I151">
        <f t="shared" si="48"/>
        <v>1.4801552192482141E-4</v>
      </c>
      <c r="J151" s="4">
        <f t="shared" si="67"/>
        <v>482.42805596127505</v>
      </c>
      <c r="K151" s="40">
        <f t="shared" si="68"/>
        <v>3.2593071975674635</v>
      </c>
      <c r="L151" s="40">
        <f t="shared" si="49"/>
        <v>2.7406928024325365</v>
      </c>
      <c r="M151" s="10">
        <f t="shared" si="69"/>
        <v>1.5720775074729343</v>
      </c>
      <c r="N151" s="10">
        <f t="shared" si="50"/>
        <v>8.26</v>
      </c>
      <c r="O151" s="10">
        <f t="shared" si="51"/>
        <v>0.31900000000000001</v>
      </c>
      <c r="P151" s="10">
        <f t="shared" si="70"/>
        <v>9.54234773339142</v>
      </c>
      <c r="Q151" s="45">
        <f t="shared" si="71"/>
        <v>0.51116277518522057</v>
      </c>
      <c r="R151" s="4">
        <f t="shared" si="72"/>
        <v>154401.47821528799</v>
      </c>
      <c r="S151">
        <f t="shared" si="52"/>
        <v>1.5440147821528798E-4</v>
      </c>
      <c r="T151" s="44">
        <f t="shared" si="53"/>
        <v>8.1466307420027432E-5</v>
      </c>
      <c r="U151" s="45">
        <f t="shared" si="73"/>
        <v>0.27708117273124505</v>
      </c>
      <c r="V151" s="45">
        <f t="shared" si="74"/>
        <v>0.24389636029046743</v>
      </c>
      <c r="W151" s="45">
        <f t="shared" si="75"/>
        <v>0.24324409188310711</v>
      </c>
      <c r="X151" s="45">
        <f t="shared" si="76"/>
        <v>6.5226840736032354E-4</v>
      </c>
      <c r="Y151" s="45">
        <f t="shared" si="59"/>
        <v>3.707913990161524E-4</v>
      </c>
      <c r="Z151" s="10">
        <f t="shared" si="77"/>
        <v>4.5514693222120703</v>
      </c>
      <c r="AA151">
        <f t="shared" si="54"/>
        <v>1572491.1150385404</v>
      </c>
      <c r="AB151" s="10">
        <f t="shared" si="55"/>
        <v>1.5724911150385406</v>
      </c>
      <c r="AC151" s="10">
        <f t="shared" si="56"/>
        <v>1.4714911150385406</v>
      </c>
      <c r="AD151" s="3">
        <f t="shared" si="57"/>
        <v>213.41422988231193</v>
      </c>
      <c r="AI151" s="100">
        <f t="shared" si="58"/>
        <v>0.24324409188310711</v>
      </c>
    </row>
    <row r="152" spans="2:35">
      <c r="B152" s="39">
        <f t="shared" si="60"/>
        <v>124</v>
      </c>
      <c r="C152" s="45">
        <f t="shared" si="61"/>
        <v>3.642685851318773</v>
      </c>
      <c r="D152" s="10">
        <f t="shared" si="62"/>
        <v>11.807314148681327</v>
      </c>
      <c r="E152" s="40">
        <f t="shared" si="63"/>
        <v>24.72537170263735</v>
      </c>
      <c r="F152" s="40">
        <f t="shared" si="64"/>
        <v>48.34</v>
      </c>
      <c r="G152" s="3">
        <f t="shared" si="65"/>
        <v>113.62925659472529</v>
      </c>
      <c r="H152" s="3">
        <f t="shared" si="66"/>
        <v>148.0155219248214</v>
      </c>
      <c r="I152">
        <f t="shared" si="48"/>
        <v>1.4801552192482141E-4</v>
      </c>
      <c r="J152" s="4">
        <f t="shared" si="67"/>
        <v>484.70722448535616</v>
      </c>
      <c r="K152" s="40">
        <f t="shared" si="68"/>
        <v>3.2747053699648063</v>
      </c>
      <c r="L152" s="40">
        <f t="shared" si="49"/>
        <v>2.7252946300351937</v>
      </c>
      <c r="M152" s="10">
        <f t="shared" si="69"/>
        <v>1.5724911150385406</v>
      </c>
      <c r="N152" s="10">
        <f t="shared" si="50"/>
        <v>8.26</v>
      </c>
      <c r="O152" s="10">
        <f t="shared" si="51"/>
        <v>0.31900000000000001</v>
      </c>
      <c r="P152" s="10">
        <f t="shared" si="70"/>
        <v>9.543148528736296</v>
      </c>
      <c r="Q152" s="45">
        <f t="shared" si="71"/>
        <v>0.51424105681444388</v>
      </c>
      <c r="R152" s="4">
        <f t="shared" si="72"/>
        <v>153982.99367604914</v>
      </c>
      <c r="S152">
        <f t="shared" si="52"/>
        <v>1.5398299367604915E-4</v>
      </c>
      <c r="T152" s="44">
        <f t="shared" si="53"/>
        <v>8.1884791959266264E-5</v>
      </c>
      <c r="U152" s="45">
        <f t="shared" si="73"/>
        <v>0.27633018130135395</v>
      </c>
      <c r="V152" s="45">
        <f t="shared" si="74"/>
        <v>0.24396449719273686</v>
      </c>
      <c r="W152" s="45">
        <f t="shared" si="75"/>
        <v>0.24331248229502001</v>
      </c>
      <c r="X152" s="45">
        <f t="shared" si="76"/>
        <v>6.5201489771685162E-4</v>
      </c>
      <c r="Y152" s="45">
        <f t="shared" si="59"/>
        <v>3.7279848449777407E-4</v>
      </c>
      <c r="Z152" s="10">
        <f t="shared" si="77"/>
        <v>4.5527194437182343</v>
      </c>
      <c r="AA152">
        <f t="shared" si="54"/>
        <v>1572895.2796189894</v>
      </c>
      <c r="AB152" s="10">
        <f t="shared" si="55"/>
        <v>1.5728952796189895</v>
      </c>
      <c r="AC152" s="10">
        <f t="shared" si="56"/>
        <v>1.4718952796189895</v>
      </c>
      <c r="AD152" s="3">
        <f t="shared" si="57"/>
        <v>213.47284693531392</v>
      </c>
      <c r="AI152" s="100">
        <f t="shared" si="58"/>
        <v>0.24331248229502001</v>
      </c>
    </row>
    <row r="153" spans="2:35">
      <c r="B153" s="39">
        <f t="shared" si="60"/>
        <v>125</v>
      </c>
      <c r="C153" s="45">
        <f t="shared" si="61"/>
        <v>3.6720623501197309</v>
      </c>
      <c r="D153" s="10">
        <f t="shared" si="62"/>
        <v>11.77793764988037</v>
      </c>
      <c r="E153" s="40">
        <f t="shared" si="63"/>
        <v>24.784124700239264</v>
      </c>
      <c r="F153" s="40">
        <f t="shared" si="64"/>
        <v>48.34</v>
      </c>
      <c r="G153" s="3">
        <f t="shared" si="65"/>
        <v>113.51175059952146</v>
      </c>
      <c r="H153" s="3">
        <f t="shared" si="66"/>
        <v>148.0155219248214</v>
      </c>
      <c r="I153">
        <f t="shared" si="48"/>
        <v>1.4801552192482141E-4</v>
      </c>
      <c r="J153" s="4">
        <f t="shared" si="67"/>
        <v>486.99181526441134</v>
      </c>
      <c r="K153" s="40">
        <f t="shared" si="68"/>
        <v>3.2901401753780894</v>
      </c>
      <c r="L153" s="40">
        <f t="shared" si="49"/>
        <v>2.7098598246219106</v>
      </c>
      <c r="M153" s="10">
        <f t="shared" si="69"/>
        <v>1.5728952796189895</v>
      </c>
      <c r="N153" s="10">
        <f t="shared" si="50"/>
        <v>8.26</v>
      </c>
      <c r="O153" s="10">
        <f t="shared" si="51"/>
        <v>0.31900000000000001</v>
      </c>
      <c r="P153" s="10">
        <f t="shared" si="70"/>
        <v>9.5439309027425629</v>
      </c>
      <c r="Q153" s="45">
        <f t="shared" si="71"/>
        <v>0.51731908609821797</v>
      </c>
      <c r="R153" s="4">
        <f t="shared" si="72"/>
        <v>153564.42927908729</v>
      </c>
      <c r="S153">
        <f t="shared" si="52"/>
        <v>1.5356442927908729E-4</v>
      </c>
      <c r="T153" s="44">
        <f t="shared" si="53"/>
        <v>8.2303356356228124E-5</v>
      </c>
      <c r="U153" s="45">
        <f t="shared" si="73"/>
        <v>0.27557904656278609</v>
      </c>
      <c r="V153" s="45">
        <f t="shared" si="74"/>
        <v>0.24403105666586225</v>
      </c>
      <c r="W153" s="45">
        <f t="shared" si="75"/>
        <v>0.24337931130018337</v>
      </c>
      <c r="X153" s="45">
        <f t="shared" si="76"/>
        <v>6.5174536567888519E-4</v>
      </c>
      <c r="Y153" s="45">
        <f t="shared" si="59"/>
        <v>3.7480457581889773E-4</v>
      </c>
      <c r="Z153" s="10">
        <f t="shared" si="77"/>
        <v>4.5539403544693382</v>
      </c>
      <c r="AA153">
        <f t="shared" si="54"/>
        <v>1573290.0003553759</v>
      </c>
      <c r="AB153" s="10">
        <f t="shared" si="55"/>
        <v>1.573290000355376</v>
      </c>
      <c r="AC153" s="10">
        <f t="shared" si="56"/>
        <v>1.472290000355376</v>
      </c>
      <c r="AD153" s="3">
        <f t="shared" si="57"/>
        <v>213.53009432275218</v>
      </c>
      <c r="AI153" s="100">
        <f t="shared" si="58"/>
        <v>0.24337931130018337</v>
      </c>
    </row>
    <row r="154" spans="2:35">
      <c r="B154" s="39">
        <f t="shared" si="60"/>
        <v>126</v>
      </c>
      <c r="C154" s="45">
        <f t="shared" si="61"/>
        <v>3.7014388489206889</v>
      </c>
      <c r="D154" s="10">
        <f t="shared" si="62"/>
        <v>11.748561151079413</v>
      </c>
      <c r="E154" s="40">
        <f t="shared" si="63"/>
        <v>24.842877697841178</v>
      </c>
      <c r="F154" s="40">
        <f t="shared" si="64"/>
        <v>48.34</v>
      </c>
      <c r="G154" s="3">
        <f t="shared" si="65"/>
        <v>113.39424460431763</v>
      </c>
      <c r="H154" s="3">
        <f t="shared" si="66"/>
        <v>148.0155219248214</v>
      </c>
      <c r="I154">
        <f t="shared" si="48"/>
        <v>1.4801552192482141E-4</v>
      </c>
      <c r="J154" s="4">
        <f t="shared" si="67"/>
        <v>489.28182829844013</v>
      </c>
      <c r="K154" s="40">
        <f t="shared" si="68"/>
        <v>3.3056116138073097</v>
      </c>
      <c r="L154" s="40">
        <f t="shared" si="49"/>
        <v>2.6943883861926903</v>
      </c>
      <c r="M154" s="10">
        <f t="shared" si="69"/>
        <v>1.573290000355376</v>
      </c>
      <c r="N154" s="10">
        <f t="shared" si="50"/>
        <v>8.26</v>
      </c>
      <c r="O154" s="10">
        <f t="shared" si="51"/>
        <v>0.31900000000000001</v>
      </c>
      <c r="P154" s="10">
        <f t="shared" si="70"/>
        <v>9.5446948634044766</v>
      </c>
      <c r="Q154" s="45">
        <f t="shared" si="71"/>
        <v>0.52039686901546878</v>
      </c>
      <c r="R154" s="4">
        <f t="shared" si="72"/>
        <v>153145.7869358449</v>
      </c>
      <c r="S154">
        <f t="shared" si="52"/>
        <v>1.531457869358449E-4</v>
      </c>
      <c r="T154" s="44">
        <f t="shared" si="53"/>
        <v>8.2721998699470517E-5</v>
      </c>
      <c r="U154" s="45">
        <f t="shared" si="73"/>
        <v>0.27482777194572044</v>
      </c>
      <c r="V154" s="45">
        <f t="shared" si="74"/>
        <v>0.24409603837060498</v>
      </c>
      <c r="W154" s="45">
        <f t="shared" si="75"/>
        <v>0.24344457875657644</v>
      </c>
      <c r="X154" s="45">
        <f t="shared" si="76"/>
        <v>6.5145961402854335E-4</v>
      </c>
      <c r="Y154" s="45">
        <f t="shared" si="59"/>
        <v>3.7680962709023356E-4</v>
      </c>
      <c r="Z154" s="10">
        <f t="shared" si="77"/>
        <v>4.5551320448528454</v>
      </c>
      <c r="AA154">
        <f t="shared" si="54"/>
        <v>1573675.2741399645</v>
      </c>
      <c r="AB154" s="10">
        <f t="shared" si="55"/>
        <v>1.5736752741399644</v>
      </c>
      <c r="AC154" s="10">
        <f t="shared" si="56"/>
        <v>1.4726752741399645</v>
      </c>
      <c r="AD154" s="3">
        <f t="shared" si="57"/>
        <v>213.58597159390348</v>
      </c>
      <c r="AI154" s="100">
        <f t="shared" si="58"/>
        <v>0.24344457875657644</v>
      </c>
    </row>
    <row r="155" spans="2:35">
      <c r="B155" s="39">
        <f t="shared" si="60"/>
        <v>127</v>
      </c>
      <c r="C155" s="45">
        <f t="shared" si="61"/>
        <v>3.7308153477216468</v>
      </c>
      <c r="D155" s="10">
        <f t="shared" si="62"/>
        <v>11.719184652278456</v>
      </c>
      <c r="E155" s="40">
        <f t="shared" si="63"/>
        <v>24.901630695443092</v>
      </c>
      <c r="F155" s="40">
        <f t="shared" si="64"/>
        <v>48.34</v>
      </c>
      <c r="G155" s="3">
        <f t="shared" si="65"/>
        <v>113.27673860911381</v>
      </c>
      <c r="H155" s="3">
        <f t="shared" si="66"/>
        <v>148.0155219248214</v>
      </c>
      <c r="I155">
        <f t="shared" si="48"/>
        <v>1.4801552192482141E-4</v>
      </c>
      <c r="J155" s="4">
        <f t="shared" si="67"/>
        <v>491.57726358744321</v>
      </c>
      <c r="K155" s="40">
        <f t="shared" si="68"/>
        <v>3.321119685252472</v>
      </c>
      <c r="L155" s="40">
        <f t="shared" si="49"/>
        <v>2.678880314747528</v>
      </c>
      <c r="M155" s="10">
        <f t="shared" si="69"/>
        <v>1.5736752741399644</v>
      </c>
      <c r="N155" s="10">
        <f t="shared" si="50"/>
        <v>8.26</v>
      </c>
      <c r="O155" s="10">
        <f t="shared" si="51"/>
        <v>0.31900000000000001</v>
      </c>
      <c r="P155" s="10">
        <f t="shared" si="70"/>
        <v>9.5454404141336884</v>
      </c>
      <c r="Q155" s="45">
        <f t="shared" si="71"/>
        <v>0.52347441154116103</v>
      </c>
      <c r="R155" s="4">
        <f t="shared" si="72"/>
        <v>152727.06855776432</v>
      </c>
      <c r="S155">
        <f t="shared" si="52"/>
        <v>1.5272706855776433E-4</v>
      </c>
      <c r="T155" s="44">
        <f t="shared" si="53"/>
        <v>8.3140717077551086E-5</v>
      </c>
      <c r="U155" s="45">
        <f t="shared" si="73"/>
        <v>0.27407636088033593</v>
      </c>
      <c r="V155" s="45">
        <f t="shared" si="74"/>
        <v>0.24415944186359859</v>
      </c>
      <c r="W155" s="45">
        <f t="shared" si="75"/>
        <v>0.24350828415033202</v>
      </c>
      <c r="X155" s="45">
        <f t="shared" si="76"/>
        <v>6.5115771326657024E-4</v>
      </c>
      <c r="Y155" s="45">
        <f t="shared" si="59"/>
        <v>3.7881359264374396E-4</v>
      </c>
      <c r="Z155" s="10">
        <f t="shared" si="77"/>
        <v>4.5562945083862862</v>
      </c>
      <c r="AA155">
        <f t="shared" si="54"/>
        <v>1574051.0988769713</v>
      </c>
      <c r="AB155" s="10">
        <f t="shared" si="55"/>
        <v>1.5740510988769714</v>
      </c>
      <c r="AC155" s="10">
        <f t="shared" si="56"/>
        <v>1.4730510988769714</v>
      </c>
      <c r="AD155" s="3">
        <f t="shared" si="57"/>
        <v>213.64047844481092</v>
      </c>
      <c r="AI155" s="100">
        <f t="shared" si="58"/>
        <v>0.24350828415033202</v>
      </c>
    </row>
    <row r="156" spans="2:35">
      <c r="B156" s="39">
        <f t="shared" si="60"/>
        <v>128</v>
      </c>
      <c r="C156" s="45">
        <f t="shared" si="61"/>
        <v>3.7601918465226047</v>
      </c>
      <c r="D156" s="10">
        <f t="shared" si="62"/>
        <v>11.689808153477498</v>
      </c>
      <c r="E156" s="40">
        <f t="shared" si="63"/>
        <v>24.960383693045006</v>
      </c>
      <c r="F156" s="40">
        <f t="shared" si="64"/>
        <v>48.34</v>
      </c>
      <c r="G156" s="3">
        <f t="shared" si="65"/>
        <v>113.15923261390998</v>
      </c>
      <c r="H156" s="3">
        <f t="shared" si="66"/>
        <v>148.0155219248214</v>
      </c>
      <c r="I156">
        <f t="shared" ref="I156:I219" si="78">H156/1000^2</f>
        <v>1.4801552192482141E-4</v>
      </c>
      <c r="J156" s="4">
        <f t="shared" si="67"/>
        <v>493.8781211314199</v>
      </c>
      <c r="K156" s="40">
        <f t="shared" si="68"/>
        <v>3.336664389713571</v>
      </c>
      <c r="L156" s="40">
        <f t="shared" ref="L156:L219" si="79">IF((gstar-K156)&lt;0,0,gstar-K156)</f>
        <v>2.663335610286429</v>
      </c>
      <c r="M156" s="10">
        <f t="shared" si="69"/>
        <v>1.5740510988769714</v>
      </c>
      <c r="N156" s="10">
        <f t="shared" ref="N156:N219" si="80">IF(fueltype=1,VLOOKUP($M156,kndxbn_,4),IF(fueltype=2,VLOOKUP($M156,knsobn_,4),IF(fueltype=3,VLOOKUP($M156,knsbcobn_,4),IF(fueltype=4,VLOOKUP($M156,knsubn_,4),IF(fueltype=5,am_1,IF(fueltype=6,am_0,IF(fueltype=7,am_3,am_4)))))))</f>
        <v>8.26</v>
      </c>
      <c r="O156" s="10">
        <f t="shared" ref="O156:O219" si="81">IF(fueltype=1,VLOOKUP($M156,kndxbn_,5),IF(fueltype=2,VLOOKUP($M156,knsobn_,5),IF(fueltype=3,VLOOKUP($M156,knsbcobn_,5),IF(fueltype=4,VLOOKUP($M156,knsubn_,5),IF(fueltype=5,nm_1,IF(fueltype=6,an_0,IF(fueltype=7,nm_3,nm_4)))))))</f>
        <v>0.31900000000000001</v>
      </c>
      <c r="P156" s="10">
        <f t="shared" si="70"/>
        <v>9.5461675600716411</v>
      </c>
      <c r="Q156" s="45">
        <f t="shared" si="71"/>
        <v>0.52655171964581127</v>
      </c>
      <c r="R156" s="4">
        <f t="shared" si="72"/>
        <v>152308.27605628798</v>
      </c>
      <c r="S156">
        <f t="shared" ref="S156:S219" si="82">R156/1000^3</f>
        <v>1.52308276056288E-4</v>
      </c>
      <c r="T156" s="44">
        <f t="shared" ref="T156:T219" si="83">(vc/1000^3-S156)</f>
        <v>8.3559509579027416E-5</v>
      </c>
      <c r="U156" s="45">
        <f t="shared" si="73"/>
        <v>0.27332481679681159</v>
      </c>
      <c r="V156" s="45">
        <f t="shared" si="74"/>
        <v>0.24422126675865216</v>
      </c>
      <c r="W156" s="45">
        <f t="shared" si="75"/>
        <v>0.24357042713491034</v>
      </c>
      <c r="X156" s="45">
        <f t="shared" si="76"/>
        <v>6.5083962374182236E-4</v>
      </c>
      <c r="Y156" s="45">
        <f t="shared" si="59"/>
        <v>3.8081642669271216E-4</v>
      </c>
      <c r="Z156" s="10">
        <f t="shared" si="77"/>
        <v>4.5574277375640939</v>
      </c>
      <c r="AA156">
        <f t="shared" ref="AA156:AA219" si="84">Z156*rat*to+patm*1000000</f>
        <v>1574417.4721398444</v>
      </c>
      <c r="AB156" s="10">
        <f t="shared" ref="AB156:AB219" si="85">AA156/1000000</f>
        <v>1.5744174721398445</v>
      </c>
      <c r="AC156" s="10">
        <f t="shared" ref="AC156:AC219" si="86">AB156-patm</f>
        <v>1.4734174721398445</v>
      </c>
      <c r="AD156" s="3">
        <f t="shared" ref="AD156:AD219" si="87">AC156*1000000/6895</f>
        <v>213.69361452354525</v>
      </c>
      <c r="AI156" s="100">
        <f t="shared" si="58"/>
        <v>0.24357042713491034</v>
      </c>
    </row>
    <row r="157" spans="2:35">
      <c r="B157" s="39">
        <f t="shared" si="60"/>
        <v>129</v>
      </c>
      <c r="C157" s="45">
        <f t="shared" si="61"/>
        <v>3.7895683453235627</v>
      </c>
      <c r="D157" s="10">
        <f t="shared" si="62"/>
        <v>11.660431654676541</v>
      </c>
      <c r="E157" s="40">
        <f t="shared" si="63"/>
        <v>25.019136690646921</v>
      </c>
      <c r="F157" s="40">
        <f t="shared" si="64"/>
        <v>48.34</v>
      </c>
      <c r="G157" s="3">
        <f t="shared" si="65"/>
        <v>113.04172661870615</v>
      </c>
      <c r="H157" s="3">
        <f t="shared" si="66"/>
        <v>148.0155219248214</v>
      </c>
      <c r="I157">
        <f t="shared" si="78"/>
        <v>1.4801552192482141E-4</v>
      </c>
      <c r="J157" s="4">
        <f t="shared" si="67"/>
        <v>496.18440093037043</v>
      </c>
      <c r="K157" s="40">
        <f t="shared" si="68"/>
        <v>3.352245727190609</v>
      </c>
      <c r="L157" s="40">
        <f t="shared" si="79"/>
        <v>2.647754272809391</v>
      </c>
      <c r="M157" s="10">
        <f t="shared" si="69"/>
        <v>1.5744174721398445</v>
      </c>
      <c r="N157" s="10">
        <f t="shared" si="80"/>
        <v>8.26</v>
      </c>
      <c r="O157" s="10">
        <f t="shared" si="81"/>
        <v>0.31900000000000001</v>
      </c>
      <c r="P157" s="10">
        <f t="shared" si="70"/>
        <v>9.5468763054909722</v>
      </c>
      <c r="Q157" s="45">
        <f t="shared" si="71"/>
        <v>0.52962879929583895</v>
      </c>
      <c r="R157" s="4">
        <f t="shared" si="72"/>
        <v>151889.41134285831</v>
      </c>
      <c r="S157">
        <f t="shared" si="82"/>
        <v>1.5188941134285832E-4</v>
      </c>
      <c r="T157" s="44">
        <f t="shared" si="83"/>
        <v>8.3978374292457096E-5</v>
      </c>
      <c r="U157" s="45">
        <f t="shared" si="73"/>
        <v>0.27257314312532638</v>
      </c>
      <c r="V157" s="45">
        <f t="shared" si="74"/>
        <v>0.24428151266037168</v>
      </c>
      <c r="W157" s="45">
        <f t="shared" si="75"/>
        <v>0.24363100730907869</v>
      </c>
      <c r="X157" s="45">
        <f t="shared" si="76"/>
        <v>6.5050535129299036E-4</v>
      </c>
      <c r="Y157" s="45">
        <f t="shared" si="59"/>
        <v>3.8281808347140995E-4</v>
      </c>
      <c r="Z157" s="10">
        <f t="shared" si="77"/>
        <v>4.5585317255396607</v>
      </c>
      <c r="AA157">
        <f t="shared" si="84"/>
        <v>1574774.3917150747</v>
      </c>
      <c r="AB157" s="10">
        <f t="shared" si="85"/>
        <v>1.5747743917150747</v>
      </c>
      <c r="AC157" s="10">
        <f t="shared" si="86"/>
        <v>1.4737743917150747</v>
      </c>
      <c r="AD157" s="3">
        <f t="shared" si="87"/>
        <v>213.74537950907538</v>
      </c>
      <c r="AI157" s="100">
        <f t="shared" ref="AI157:AI220" si="88">($M157-patm)*1000000*$I157/SQRT(rat*to)*SQRT(k)*(2/(k+1))^((k+1)/2/(k-1))</f>
        <v>0.24363100730907869</v>
      </c>
    </row>
    <row r="158" spans="2:35">
      <c r="B158" s="39">
        <f t="shared" si="60"/>
        <v>130</v>
      </c>
      <c r="C158" s="45">
        <f t="shared" si="61"/>
        <v>3.8189448441245206</v>
      </c>
      <c r="D158" s="10">
        <f t="shared" si="62"/>
        <v>11.631055155875584</v>
      </c>
      <c r="E158" s="40">
        <f t="shared" si="63"/>
        <v>25.077889688248835</v>
      </c>
      <c r="F158" s="40">
        <f t="shared" si="64"/>
        <v>48.34</v>
      </c>
      <c r="G158" s="3">
        <f t="shared" si="65"/>
        <v>112.92422062350232</v>
      </c>
      <c r="H158" s="3">
        <f t="shared" si="66"/>
        <v>148.0155219248214</v>
      </c>
      <c r="I158">
        <f t="shared" si="78"/>
        <v>1.4801552192482141E-4</v>
      </c>
      <c r="J158" s="4">
        <f t="shared" si="67"/>
        <v>498.49610298429502</v>
      </c>
      <c r="K158" s="40">
        <f t="shared" si="68"/>
        <v>3.3678636976835867</v>
      </c>
      <c r="L158" s="40">
        <f t="shared" si="79"/>
        <v>2.6321363023164133</v>
      </c>
      <c r="M158" s="10">
        <f t="shared" si="69"/>
        <v>1.5747743917150747</v>
      </c>
      <c r="N158" s="10">
        <f t="shared" si="80"/>
        <v>8.26</v>
      </c>
      <c r="O158" s="10">
        <f t="shared" si="81"/>
        <v>0.31900000000000001</v>
      </c>
      <c r="P158" s="10">
        <f t="shared" si="70"/>
        <v>9.5475666548480422</v>
      </c>
      <c r="Q158" s="45">
        <f t="shared" si="71"/>
        <v>0.53270565645357781</v>
      </c>
      <c r="R158" s="4">
        <f t="shared" si="72"/>
        <v>151470.47632891766</v>
      </c>
      <c r="S158">
        <f t="shared" si="82"/>
        <v>1.5147047632891767E-4</v>
      </c>
      <c r="T158" s="44">
        <f t="shared" si="83"/>
        <v>8.439730930639774E-5</v>
      </c>
      <c r="U158" s="45">
        <f t="shared" si="73"/>
        <v>0.27182134329605917</v>
      </c>
      <c r="V158" s="45">
        <f t="shared" si="74"/>
        <v>0.2443401791910593</v>
      </c>
      <c r="W158" s="45">
        <f t="shared" si="75"/>
        <v>0.24369002430683112</v>
      </c>
      <c r="X158" s="45">
        <f t="shared" si="76"/>
        <v>6.501548842281768E-4</v>
      </c>
      <c r="Y158" s="45">
        <f t="shared" ref="Y158:Y221" si="89">IF((X158*(Q158-Q157)+Y157)&lt;0,0,X158*(Q158-Q157)+Y157)</f>
        <v>3.8481851718058632E-4</v>
      </c>
      <c r="Z158" s="10">
        <f t="shared" si="77"/>
        <v>4.5596064654565369</v>
      </c>
      <c r="AA158">
        <f t="shared" si="84"/>
        <v>1575121.8553859692</v>
      </c>
      <c r="AB158" s="10">
        <f t="shared" si="85"/>
        <v>1.5751218553859692</v>
      </c>
      <c r="AC158" s="10">
        <f t="shared" si="86"/>
        <v>1.4741218553859692</v>
      </c>
      <c r="AD158" s="3">
        <f t="shared" si="87"/>
        <v>213.79577307990851</v>
      </c>
      <c r="AI158" s="100">
        <f t="shared" si="88"/>
        <v>0.24369002430683112</v>
      </c>
    </row>
    <row r="159" spans="2:35">
      <c r="B159" s="39">
        <f t="shared" si="60"/>
        <v>131</v>
      </c>
      <c r="C159" s="45">
        <f t="shared" si="61"/>
        <v>3.8483213429254786</v>
      </c>
      <c r="D159" s="10">
        <f t="shared" si="62"/>
        <v>11.601678657074627</v>
      </c>
      <c r="E159" s="40">
        <f t="shared" si="63"/>
        <v>25.136642685850749</v>
      </c>
      <c r="F159" s="40">
        <f t="shared" si="64"/>
        <v>48.34</v>
      </c>
      <c r="G159" s="3">
        <f t="shared" si="65"/>
        <v>112.80671462829849</v>
      </c>
      <c r="H159" s="3">
        <f t="shared" si="66"/>
        <v>148.0155219248214</v>
      </c>
      <c r="I159">
        <f t="shared" si="78"/>
        <v>1.4801552192482141E-4</v>
      </c>
      <c r="J159" s="4">
        <f t="shared" si="67"/>
        <v>500.81322729319368</v>
      </c>
      <c r="K159" s="40">
        <f t="shared" si="68"/>
        <v>3.3835183011925052</v>
      </c>
      <c r="L159" s="40">
        <f t="shared" si="79"/>
        <v>2.6164816988074948</v>
      </c>
      <c r="M159" s="10">
        <f t="shared" si="69"/>
        <v>1.5751218553859692</v>
      </c>
      <c r="N159" s="10">
        <f t="shared" si="80"/>
        <v>8.26</v>
      </c>
      <c r="O159" s="10">
        <f t="shared" si="81"/>
        <v>0.31900000000000001</v>
      </c>
      <c r="P159" s="10">
        <f t="shared" si="70"/>
        <v>9.548238612364754</v>
      </c>
      <c r="Q159" s="45">
        <f t="shared" si="71"/>
        <v>0.53578229707742187</v>
      </c>
      <c r="R159" s="4">
        <f t="shared" si="72"/>
        <v>151051.47292590843</v>
      </c>
      <c r="S159">
        <f t="shared" si="82"/>
        <v>1.5105147292590842E-4</v>
      </c>
      <c r="T159" s="44">
        <f t="shared" si="83"/>
        <v>8.4816312709406989E-5</v>
      </c>
      <c r="U159" s="45">
        <f t="shared" si="73"/>
        <v>0.27106942073918894</v>
      </c>
      <c r="V159" s="45">
        <f t="shared" si="74"/>
        <v>0.24439726597991707</v>
      </c>
      <c r="W159" s="45">
        <f t="shared" si="75"/>
        <v>0.24374747776163536</v>
      </c>
      <c r="X159" s="45">
        <f t="shared" si="76"/>
        <v>6.4978821828171052E-4</v>
      </c>
      <c r="Y159" s="45">
        <f t="shared" si="89"/>
        <v>3.8681768200984705E-4</v>
      </c>
      <c r="Z159" s="10">
        <f t="shared" si="77"/>
        <v>4.5606519507059993</v>
      </c>
      <c r="AA159">
        <f t="shared" si="84"/>
        <v>1575459.861015927</v>
      </c>
      <c r="AB159" s="10">
        <f t="shared" si="85"/>
        <v>1.5754598610159269</v>
      </c>
      <c r="AC159" s="10">
        <f t="shared" si="86"/>
        <v>1.474459861015927</v>
      </c>
      <c r="AD159" s="3">
        <f t="shared" si="87"/>
        <v>213.84479492616782</v>
      </c>
      <c r="AI159" s="100">
        <f t="shared" si="88"/>
        <v>0.24374747776163536</v>
      </c>
    </row>
    <row r="160" spans="2:35">
      <c r="B160" s="39">
        <f t="shared" si="60"/>
        <v>132</v>
      </c>
      <c r="C160" s="45">
        <f t="shared" si="61"/>
        <v>3.8776978417264365</v>
      </c>
      <c r="D160" s="10">
        <f t="shared" si="62"/>
        <v>11.57230215827367</v>
      </c>
      <c r="E160" s="40">
        <f t="shared" si="63"/>
        <v>25.195395683452663</v>
      </c>
      <c r="F160" s="40">
        <f t="shared" si="64"/>
        <v>48.34</v>
      </c>
      <c r="G160" s="3">
        <f t="shared" si="65"/>
        <v>112.68920863309467</v>
      </c>
      <c r="H160" s="3">
        <f t="shared" si="66"/>
        <v>148.0155219248214</v>
      </c>
      <c r="I160">
        <f t="shared" si="78"/>
        <v>1.4801552192482141E-4</v>
      </c>
      <c r="J160" s="4">
        <f t="shared" si="67"/>
        <v>503.13577385706594</v>
      </c>
      <c r="K160" s="40">
        <f t="shared" si="68"/>
        <v>3.3992095377173603</v>
      </c>
      <c r="L160" s="40">
        <f t="shared" si="79"/>
        <v>2.6007904622826397</v>
      </c>
      <c r="M160" s="10">
        <f t="shared" si="69"/>
        <v>1.5754598610159269</v>
      </c>
      <c r="N160" s="10">
        <f t="shared" si="80"/>
        <v>8.26</v>
      </c>
      <c r="O160" s="10">
        <f t="shared" si="81"/>
        <v>0.31900000000000001</v>
      </c>
      <c r="P160" s="10">
        <f t="shared" si="70"/>
        <v>9.5488921821898192</v>
      </c>
      <c r="Q160" s="45">
        <f t="shared" si="71"/>
        <v>0.53885872712191951</v>
      </c>
      <c r="R160" s="4">
        <f t="shared" si="72"/>
        <v>150632.40304527307</v>
      </c>
      <c r="S160">
        <f t="shared" si="82"/>
        <v>1.5063240304527306E-4</v>
      </c>
      <c r="T160" s="44">
        <f t="shared" si="83"/>
        <v>8.5235382590042349E-5</v>
      </c>
      <c r="U160" s="45">
        <f t="shared" si="73"/>
        <v>0.27031737888489477</v>
      </c>
      <c r="V160" s="45">
        <f t="shared" si="74"/>
        <v>0.24445277266721457</v>
      </c>
      <c r="W160" s="45">
        <f t="shared" si="75"/>
        <v>0.2438033673202023</v>
      </c>
      <c r="X160" s="45">
        <f t="shared" si="76"/>
        <v>6.4940534701227182E-4</v>
      </c>
      <c r="Y160" s="45">
        <f t="shared" si="89"/>
        <v>3.8881553213045302E-4</v>
      </c>
      <c r="Z160" s="10">
        <f t="shared" si="77"/>
        <v>4.5616681748299737</v>
      </c>
      <c r="AA160">
        <f t="shared" si="84"/>
        <v>1575788.4065170509</v>
      </c>
      <c r="AB160" s="10">
        <f t="shared" si="85"/>
        <v>1.5757884065170509</v>
      </c>
      <c r="AC160" s="10">
        <f t="shared" si="86"/>
        <v>1.4747884065170509</v>
      </c>
      <c r="AD160" s="3">
        <f t="shared" si="87"/>
        <v>213.89244474504002</v>
      </c>
      <c r="AI160" s="100">
        <f t="shared" si="88"/>
        <v>0.2438033673202023</v>
      </c>
    </row>
    <row r="161" spans="2:35">
      <c r="B161" s="39">
        <f t="shared" si="60"/>
        <v>133</v>
      </c>
      <c r="C161" s="45">
        <f t="shared" si="61"/>
        <v>3.9070743405273944</v>
      </c>
      <c r="D161" s="10">
        <f t="shared" si="62"/>
        <v>11.542925659472713</v>
      </c>
      <c r="E161" s="40">
        <f t="shared" si="63"/>
        <v>25.254148681054577</v>
      </c>
      <c r="F161" s="40">
        <f t="shared" si="64"/>
        <v>48.34</v>
      </c>
      <c r="G161" s="3">
        <f t="shared" si="65"/>
        <v>112.57170263789084</v>
      </c>
      <c r="H161" s="3">
        <f t="shared" si="66"/>
        <v>148.0155219248214</v>
      </c>
      <c r="I161">
        <f t="shared" si="78"/>
        <v>1.4801552192482141E-4</v>
      </c>
      <c r="J161" s="4">
        <f t="shared" si="67"/>
        <v>505.46374267591227</v>
      </c>
      <c r="K161" s="40">
        <f t="shared" si="68"/>
        <v>3.4149374072581558</v>
      </c>
      <c r="L161" s="40">
        <f t="shared" si="79"/>
        <v>2.5850625927418442</v>
      </c>
      <c r="M161" s="10">
        <f t="shared" si="69"/>
        <v>1.5757884065170509</v>
      </c>
      <c r="N161" s="10">
        <f t="shared" si="80"/>
        <v>8.26</v>
      </c>
      <c r="O161" s="10">
        <f t="shared" si="81"/>
        <v>0.31900000000000001</v>
      </c>
      <c r="P161" s="10">
        <f t="shared" si="70"/>
        <v>9.5495273683382162</v>
      </c>
      <c r="Q161" s="45">
        <f t="shared" si="71"/>
        <v>0.54193495253788682</v>
      </c>
      <c r="R161" s="4">
        <f t="shared" si="72"/>
        <v>150213.26859845393</v>
      </c>
      <c r="S161">
        <f t="shared" si="82"/>
        <v>1.5021326859845392E-4</v>
      </c>
      <c r="T161" s="44">
        <f t="shared" si="83"/>
        <v>8.5654517036861489E-5</v>
      </c>
      <c r="U161" s="45">
        <f t="shared" si="73"/>
        <v>0.26956522116335546</v>
      </c>
      <c r="V161" s="45">
        <f t="shared" si="74"/>
        <v>0.24450669890287982</v>
      </c>
      <c r="W161" s="45">
        <f t="shared" si="75"/>
        <v>0.24385769263729623</v>
      </c>
      <c r="X161" s="45">
        <f t="shared" si="76"/>
        <v>6.4900626558359042E-4</v>
      </c>
      <c r="Y161" s="45">
        <f t="shared" si="89"/>
        <v>3.9081202169976328E-4</v>
      </c>
      <c r="Z161" s="10">
        <f t="shared" si="77"/>
        <v>4.5626551315627291</v>
      </c>
      <c r="AA161">
        <f t="shared" si="84"/>
        <v>1576107.4898636285</v>
      </c>
      <c r="AB161" s="10">
        <f t="shared" si="85"/>
        <v>1.5761074898636285</v>
      </c>
      <c r="AC161" s="10">
        <f t="shared" si="86"/>
        <v>1.4751074898636285</v>
      </c>
      <c r="AD161" s="3">
        <f t="shared" si="87"/>
        <v>213.93872224273076</v>
      </c>
      <c r="AI161" s="100">
        <f t="shared" si="88"/>
        <v>0.24385769263729623</v>
      </c>
    </row>
    <row r="162" spans="2:35">
      <c r="B162" s="39">
        <f t="shared" si="60"/>
        <v>134</v>
      </c>
      <c r="C162" s="45">
        <f t="shared" si="61"/>
        <v>3.9364508393283524</v>
      </c>
      <c r="D162" s="10">
        <f t="shared" si="62"/>
        <v>11.513549160671756</v>
      </c>
      <c r="E162" s="40">
        <f t="shared" si="63"/>
        <v>25.312901678656491</v>
      </c>
      <c r="F162" s="40">
        <f t="shared" si="64"/>
        <v>48.34</v>
      </c>
      <c r="G162" s="3">
        <f t="shared" si="65"/>
        <v>112.45419664268701</v>
      </c>
      <c r="H162" s="3">
        <f t="shared" si="66"/>
        <v>148.0155219248214</v>
      </c>
      <c r="I162">
        <f t="shared" si="78"/>
        <v>1.4801552192482141E-4</v>
      </c>
      <c r="J162" s="4">
        <f t="shared" si="67"/>
        <v>507.79713374973267</v>
      </c>
      <c r="K162" s="40">
        <f t="shared" si="68"/>
        <v>3.430701909814891</v>
      </c>
      <c r="L162" s="40">
        <f t="shared" si="79"/>
        <v>2.569298090185109</v>
      </c>
      <c r="M162" s="10">
        <f t="shared" si="69"/>
        <v>1.5761074898636285</v>
      </c>
      <c r="N162" s="10">
        <f t="shared" si="80"/>
        <v>8.26</v>
      </c>
      <c r="O162" s="10">
        <f t="shared" si="81"/>
        <v>0.31900000000000001</v>
      </c>
      <c r="P162" s="10">
        <f t="shared" si="70"/>
        <v>9.5501441747174258</v>
      </c>
      <c r="Q162" s="45">
        <f t="shared" si="71"/>
        <v>0.54501097927251219</v>
      </c>
      <c r="R162" s="4">
        <f t="shared" si="72"/>
        <v>149794.07149689342</v>
      </c>
      <c r="S162">
        <f t="shared" si="82"/>
        <v>1.4979407149689342E-4</v>
      </c>
      <c r="T162" s="44">
        <f t="shared" si="83"/>
        <v>8.6073714138421996E-5</v>
      </c>
      <c r="U162" s="45">
        <f t="shared" si="73"/>
        <v>0.26881295100475006</v>
      </c>
      <c r="V162" s="45">
        <f t="shared" si="74"/>
        <v>0.24455904434687076</v>
      </c>
      <c r="W162" s="45">
        <f t="shared" si="75"/>
        <v>0.24391045337796352</v>
      </c>
      <c r="X162" s="45">
        <f t="shared" si="76"/>
        <v>6.4859096890723666E-4</v>
      </c>
      <c r="Y162" s="45">
        <f t="shared" si="89"/>
        <v>3.9280710485995851E-4</v>
      </c>
      <c r="Z162" s="10">
        <f t="shared" si="77"/>
        <v>4.5636128148049258</v>
      </c>
      <c r="AA162">
        <f t="shared" si="84"/>
        <v>1576417.1090837421</v>
      </c>
      <c r="AB162" s="10">
        <f t="shared" si="85"/>
        <v>1.5764171090837422</v>
      </c>
      <c r="AC162" s="10">
        <f t="shared" si="86"/>
        <v>1.4754171090837422</v>
      </c>
      <c r="AD162" s="3">
        <f t="shared" si="87"/>
        <v>213.98362713324758</v>
      </c>
      <c r="AI162" s="100">
        <f t="shared" si="88"/>
        <v>0.24391045337796352</v>
      </c>
    </row>
    <row r="163" spans="2:35">
      <c r="B163" s="39">
        <f t="shared" si="60"/>
        <v>135</v>
      </c>
      <c r="C163" s="45">
        <f t="shared" si="61"/>
        <v>3.9658273381293103</v>
      </c>
      <c r="D163" s="10">
        <f t="shared" si="62"/>
        <v>11.484172661870799</v>
      </c>
      <c r="E163" s="40">
        <f t="shared" si="63"/>
        <v>25.371654676258405</v>
      </c>
      <c r="F163" s="40">
        <f t="shared" si="64"/>
        <v>48.34</v>
      </c>
      <c r="G163" s="3">
        <f t="shared" si="65"/>
        <v>112.33669064748318</v>
      </c>
      <c r="H163" s="3">
        <f t="shared" si="66"/>
        <v>148.0155219248214</v>
      </c>
      <c r="I163">
        <f t="shared" si="78"/>
        <v>1.4801552192482141E-4</v>
      </c>
      <c r="J163" s="4">
        <f t="shared" si="67"/>
        <v>510.13594707852667</v>
      </c>
      <c r="K163" s="40">
        <f t="shared" si="68"/>
        <v>3.4465030453875638</v>
      </c>
      <c r="L163" s="40">
        <f t="shared" si="79"/>
        <v>2.5534969546124362</v>
      </c>
      <c r="M163" s="10">
        <f t="shared" si="69"/>
        <v>1.5764171090837422</v>
      </c>
      <c r="N163" s="10">
        <f t="shared" si="80"/>
        <v>8.26</v>
      </c>
      <c r="O163" s="10">
        <f t="shared" si="81"/>
        <v>0.31900000000000001</v>
      </c>
      <c r="P163" s="10">
        <f t="shared" si="70"/>
        <v>9.5507426051113562</v>
      </c>
      <c r="Q163" s="45">
        <f t="shared" si="71"/>
        <v>0.54808681326946607</v>
      </c>
      <c r="R163" s="4">
        <f t="shared" si="72"/>
        <v>149374.81365203398</v>
      </c>
      <c r="S163">
        <f t="shared" si="82"/>
        <v>1.4937481365203398E-4</v>
      </c>
      <c r="T163" s="44">
        <f t="shared" si="83"/>
        <v>8.649297198328143E-5</v>
      </c>
      <c r="U163" s="45">
        <f t="shared" si="73"/>
        <v>0.26806057183925758</v>
      </c>
      <c r="V163" s="45">
        <f t="shared" si="74"/>
        <v>0.24460980866899482</v>
      </c>
      <c r="W163" s="45">
        <f t="shared" si="75"/>
        <v>0.24396164921614577</v>
      </c>
      <c r="X163" s="45">
        <f t="shared" si="76"/>
        <v>6.481594528490453E-4</v>
      </c>
      <c r="Y163" s="45">
        <f t="shared" si="89"/>
        <v>3.9480073574047863E-4</v>
      </c>
      <c r="Z163" s="10">
        <f t="shared" si="77"/>
        <v>4.564541218641339</v>
      </c>
      <c r="AA163">
        <f t="shared" si="84"/>
        <v>1576717.2622649977</v>
      </c>
      <c r="AB163" s="10">
        <f t="shared" si="85"/>
        <v>1.5767172622649976</v>
      </c>
      <c r="AC163" s="10">
        <f t="shared" si="86"/>
        <v>1.4757172622649977</v>
      </c>
      <c r="AD163" s="3">
        <f t="shared" si="87"/>
        <v>214.027159139231</v>
      </c>
      <c r="AI163" s="100">
        <f t="shared" si="88"/>
        <v>0.24396164921614577</v>
      </c>
    </row>
    <row r="164" spans="2:35">
      <c r="B164" s="39">
        <f t="shared" si="60"/>
        <v>136</v>
      </c>
      <c r="C164" s="45">
        <f t="shared" si="61"/>
        <v>3.9952038369302683</v>
      </c>
      <c r="D164" s="10">
        <f t="shared" si="62"/>
        <v>11.454796163069842</v>
      </c>
      <c r="E164" s="40">
        <f t="shared" si="63"/>
        <v>25.430407673860319</v>
      </c>
      <c r="F164" s="40">
        <f t="shared" si="64"/>
        <v>48.34</v>
      </c>
      <c r="G164" s="3">
        <f t="shared" si="65"/>
        <v>112.21918465227935</v>
      </c>
      <c r="H164" s="3">
        <f t="shared" si="66"/>
        <v>148.0155219248214</v>
      </c>
      <c r="I164">
        <f t="shared" si="78"/>
        <v>1.4801552192482141E-4</v>
      </c>
      <c r="J164" s="4">
        <f t="shared" si="67"/>
        <v>512.48018266229474</v>
      </c>
      <c r="K164" s="40">
        <f t="shared" si="68"/>
        <v>3.4623408139761764</v>
      </c>
      <c r="L164" s="40">
        <f t="shared" si="79"/>
        <v>2.5376591860238236</v>
      </c>
      <c r="M164" s="10">
        <f t="shared" si="69"/>
        <v>1.5767172622649976</v>
      </c>
      <c r="N164" s="10">
        <f t="shared" si="80"/>
        <v>8.26</v>
      </c>
      <c r="O164" s="10">
        <f t="shared" si="81"/>
        <v>0.31900000000000001</v>
      </c>
      <c r="P164" s="10">
        <f t="shared" si="70"/>
        <v>9.5513226631915789</v>
      </c>
      <c r="Q164" s="45">
        <f t="shared" si="71"/>
        <v>0.55116246046900708</v>
      </c>
      <c r="R164" s="4">
        <f t="shared" si="72"/>
        <v>148955.49697531798</v>
      </c>
      <c r="S164">
        <f t="shared" si="82"/>
        <v>1.4895549697531798E-4</v>
      </c>
      <c r="T164" s="44">
        <f t="shared" si="83"/>
        <v>8.6912288659997432E-5</v>
      </c>
      <c r="U164" s="45">
        <f t="shared" si="73"/>
        <v>0.26730808709705683</v>
      </c>
      <c r="V164" s="45">
        <f t="shared" si="74"/>
        <v>0.2446589915491735</v>
      </c>
      <c r="W164" s="45">
        <f t="shared" si="75"/>
        <v>0.24401127983562665</v>
      </c>
      <c r="X164" s="45">
        <f t="shared" si="76"/>
        <v>6.4771171354685575E-4</v>
      </c>
      <c r="Y164" s="45">
        <f t="shared" si="89"/>
        <v>3.9679286845835892E-4</v>
      </c>
      <c r="Z164" s="10">
        <f t="shared" si="77"/>
        <v>4.5654403373338877</v>
      </c>
      <c r="AA164">
        <f t="shared" si="84"/>
        <v>1577007.9475522728</v>
      </c>
      <c r="AB164" s="10">
        <f t="shared" si="85"/>
        <v>1.5770079475522729</v>
      </c>
      <c r="AC164" s="10">
        <f t="shared" si="86"/>
        <v>1.4760079475522729</v>
      </c>
      <c r="AD164" s="3">
        <f t="shared" si="87"/>
        <v>214.06931799162771</v>
      </c>
      <c r="AI164" s="100">
        <f t="shared" si="88"/>
        <v>0.24401127983562665</v>
      </c>
    </row>
    <row r="165" spans="2:35">
      <c r="B165" s="39">
        <f t="shared" si="60"/>
        <v>137</v>
      </c>
      <c r="C165" s="45">
        <f t="shared" si="61"/>
        <v>4.0245803357312262</v>
      </c>
      <c r="D165" s="10">
        <f t="shared" si="62"/>
        <v>11.425419664268885</v>
      </c>
      <c r="E165" s="40">
        <f t="shared" si="63"/>
        <v>25.489160671462233</v>
      </c>
      <c r="F165" s="40">
        <f t="shared" si="64"/>
        <v>48.34</v>
      </c>
      <c r="G165" s="3">
        <f t="shared" si="65"/>
        <v>112.10167865707552</v>
      </c>
      <c r="H165" s="3">
        <f t="shared" si="66"/>
        <v>148.0155219248214</v>
      </c>
      <c r="I165">
        <f t="shared" si="78"/>
        <v>1.4801552192482141E-4</v>
      </c>
      <c r="J165" s="4">
        <f t="shared" si="67"/>
        <v>514.82984050103664</v>
      </c>
      <c r="K165" s="40">
        <f t="shared" si="68"/>
        <v>3.478215215580728</v>
      </c>
      <c r="L165" s="40">
        <f t="shared" si="79"/>
        <v>2.521784784419272</v>
      </c>
      <c r="M165" s="10">
        <f t="shared" si="69"/>
        <v>1.5770079475522729</v>
      </c>
      <c r="N165" s="10">
        <f t="shared" si="80"/>
        <v>8.26</v>
      </c>
      <c r="O165" s="10">
        <f t="shared" si="81"/>
        <v>0.31900000000000001</v>
      </c>
      <c r="P165" s="10">
        <f t="shared" si="70"/>
        <v>9.5518843525131238</v>
      </c>
      <c r="Q165" s="45">
        <f t="shared" si="71"/>
        <v>0.55423792680808903</v>
      </c>
      <c r="R165" s="4">
        <f t="shared" si="72"/>
        <v>148536.1233781878</v>
      </c>
      <c r="S165">
        <f t="shared" si="82"/>
        <v>1.485361233781878E-4</v>
      </c>
      <c r="T165" s="44">
        <f t="shared" si="83"/>
        <v>8.7331662257127617E-5</v>
      </c>
      <c r="U165" s="45">
        <f t="shared" si="73"/>
        <v>0.26655550020832691</v>
      </c>
      <c r="V165" s="45">
        <f t="shared" si="74"/>
        <v>0.2447065926771203</v>
      </c>
      <c r="W165" s="45">
        <f t="shared" si="75"/>
        <v>0.24405934492966005</v>
      </c>
      <c r="X165" s="45">
        <f t="shared" si="76"/>
        <v>6.4724774746025004E-4</v>
      </c>
      <c r="Y165" s="45">
        <f t="shared" si="89"/>
        <v>3.9878345711871955E-4</v>
      </c>
      <c r="Z165" s="10">
        <f t="shared" si="77"/>
        <v>4.5663101653166187</v>
      </c>
      <c r="AA165">
        <f t="shared" si="84"/>
        <v>1577289.163146093</v>
      </c>
      <c r="AB165" s="10">
        <f t="shared" si="85"/>
        <v>1.577289163146093</v>
      </c>
      <c r="AC165" s="10">
        <f t="shared" si="86"/>
        <v>1.476289163146093</v>
      </c>
      <c r="AD165" s="3">
        <f t="shared" si="87"/>
        <v>214.11010342945511</v>
      </c>
      <c r="AI165" s="100">
        <f t="shared" si="88"/>
        <v>0.24405934492966005</v>
      </c>
    </row>
    <row r="166" spans="2:35">
      <c r="B166" s="39">
        <f t="shared" si="60"/>
        <v>138</v>
      </c>
      <c r="C166" s="45">
        <f t="shared" si="61"/>
        <v>4.0539568345321841</v>
      </c>
      <c r="D166" s="10">
        <f t="shared" si="62"/>
        <v>11.396043165467928</v>
      </c>
      <c r="E166" s="40">
        <f t="shared" si="63"/>
        <v>25.547913669064148</v>
      </c>
      <c r="F166" s="40">
        <f t="shared" si="64"/>
        <v>48.34</v>
      </c>
      <c r="G166" s="3">
        <f t="shared" si="65"/>
        <v>111.9841726618717</v>
      </c>
      <c r="H166" s="3">
        <f t="shared" si="66"/>
        <v>148.0155219248214</v>
      </c>
      <c r="I166">
        <f t="shared" si="78"/>
        <v>1.4801552192482141E-4</v>
      </c>
      <c r="J166" s="4">
        <f t="shared" si="67"/>
        <v>517.18492059475261</v>
      </c>
      <c r="K166" s="40">
        <f t="shared" si="68"/>
        <v>3.4941262502012198</v>
      </c>
      <c r="L166" s="40">
        <f t="shared" si="79"/>
        <v>2.5058737497987802</v>
      </c>
      <c r="M166" s="10">
        <f t="shared" si="69"/>
        <v>1.577289163146093</v>
      </c>
      <c r="N166" s="10">
        <f t="shared" si="80"/>
        <v>8.26</v>
      </c>
      <c r="O166" s="10">
        <f t="shared" si="81"/>
        <v>0.31900000000000001</v>
      </c>
      <c r="P166" s="10">
        <f t="shared" si="70"/>
        <v>9.5524276765114813</v>
      </c>
      <c r="Q166" s="45">
        <f t="shared" si="71"/>
        <v>0.55731321822046909</v>
      </c>
      <c r="R166" s="4">
        <f t="shared" si="72"/>
        <v>148116.69477208587</v>
      </c>
      <c r="S166">
        <f t="shared" si="82"/>
        <v>1.4811669477208587E-4</v>
      </c>
      <c r="T166" s="44">
        <f t="shared" si="83"/>
        <v>8.7751090863229545E-5</v>
      </c>
      <c r="U166" s="45">
        <f t="shared" si="73"/>
        <v>0.26580281460324667</v>
      </c>
      <c r="V166" s="45">
        <f t="shared" si="74"/>
        <v>0.24475261175256047</v>
      </c>
      <c r="W166" s="45">
        <f t="shared" si="75"/>
        <v>0.24410584420070089</v>
      </c>
      <c r="X166" s="45">
        <f t="shared" si="76"/>
        <v>6.4676755185957835E-4</v>
      </c>
      <c r="Y166" s="45">
        <f t="shared" si="89"/>
        <v>4.0077245581675937E-4</v>
      </c>
      <c r="Z166" s="10">
        <f t="shared" si="77"/>
        <v>4.5671506972079774</v>
      </c>
      <c r="AA166">
        <f t="shared" si="84"/>
        <v>1577560.9073066006</v>
      </c>
      <c r="AB166" s="10">
        <f t="shared" si="85"/>
        <v>1.5775609073066006</v>
      </c>
      <c r="AC166" s="10">
        <f t="shared" si="86"/>
        <v>1.4765609073066006</v>
      </c>
      <c r="AD166" s="3">
        <f t="shared" si="87"/>
        <v>214.14951520037718</v>
      </c>
      <c r="AI166" s="100">
        <f t="shared" si="88"/>
        <v>0.24410584420070089</v>
      </c>
    </row>
    <row r="167" spans="2:35">
      <c r="B167" s="39">
        <f t="shared" si="60"/>
        <v>139</v>
      </c>
      <c r="C167" s="45">
        <f t="shared" si="61"/>
        <v>4.0833333333331421</v>
      </c>
      <c r="D167" s="10">
        <f t="shared" si="62"/>
        <v>11.366666666666971</v>
      </c>
      <c r="E167" s="40">
        <f t="shared" si="63"/>
        <v>25.606666666666062</v>
      </c>
      <c r="F167" s="40">
        <f t="shared" si="64"/>
        <v>48.34</v>
      </c>
      <c r="G167" s="3">
        <f t="shared" si="65"/>
        <v>111.86666666666787</v>
      </c>
      <c r="H167" s="3">
        <f t="shared" si="66"/>
        <v>148.0155219248214</v>
      </c>
      <c r="I167">
        <f t="shared" si="78"/>
        <v>1.4801552192482141E-4</v>
      </c>
      <c r="J167" s="4">
        <f t="shared" si="67"/>
        <v>519.54542294344242</v>
      </c>
      <c r="K167" s="40">
        <f t="shared" si="68"/>
        <v>3.5100739178376501</v>
      </c>
      <c r="L167" s="40">
        <f t="shared" si="79"/>
        <v>2.4899260821623499</v>
      </c>
      <c r="M167" s="10">
        <f t="shared" si="69"/>
        <v>1.5775609073066006</v>
      </c>
      <c r="N167" s="10">
        <f t="shared" si="80"/>
        <v>8.26</v>
      </c>
      <c r="O167" s="10">
        <f t="shared" si="81"/>
        <v>0.31900000000000001</v>
      </c>
      <c r="P167" s="10">
        <f t="shared" si="70"/>
        <v>9.5529526385104102</v>
      </c>
      <c r="Q167" s="45">
        <f t="shared" si="71"/>
        <v>0.56038834063681331</v>
      </c>
      <c r="R167" s="4">
        <f t="shared" si="72"/>
        <v>147697.21306845461</v>
      </c>
      <c r="S167">
        <f t="shared" si="82"/>
        <v>1.4769721306845461E-4</v>
      </c>
      <c r="T167" s="44">
        <f t="shared" si="83"/>
        <v>8.8170572566860804E-5</v>
      </c>
      <c r="U167" s="45">
        <f t="shared" si="73"/>
        <v>0.2650500337119952</v>
      </c>
      <c r="V167" s="45">
        <f t="shared" si="74"/>
        <v>0.24479704848511152</v>
      </c>
      <c r="W167" s="45">
        <f t="shared" si="75"/>
        <v>0.24415077736106222</v>
      </c>
      <c r="X167" s="45">
        <f t="shared" si="76"/>
        <v>6.4627112404930243E-4</v>
      </c>
      <c r="Y167" s="45">
        <f t="shared" si="89"/>
        <v>4.0275981863735938E-4</v>
      </c>
      <c r="Z167" s="10">
        <f t="shared" si="77"/>
        <v>4.5679619277956007</v>
      </c>
      <c r="AA167">
        <f t="shared" si="84"/>
        <v>1577823.1783486374</v>
      </c>
      <c r="AB167" s="10">
        <f t="shared" si="85"/>
        <v>1.5778231783486374</v>
      </c>
      <c r="AC167" s="10">
        <f t="shared" si="86"/>
        <v>1.4768231783486374</v>
      </c>
      <c r="AD167" s="3">
        <f t="shared" si="87"/>
        <v>214.18755305999093</v>
      </c>
      <c r="AI167" s="100">
        <f t="shared" si="88"/>
        <v>0.24415077736106222</v>
      </c>
    </row>
    <row r="168" spans="2:35">
      <c r="B168" s="39">
        <f t="shared" ref="B168:B231" si="90">1+B167</f>
        <v>140</v>
      </c>
      <c r="C168" s="45">
        <f t="shared" ref="C168:C231" si="91">xincp+C167</f>
        <v>4.1127098321341</v>
      </c>
      <c r="D168" s="10">
        <f t="shared" ref="D168:D231" si="92">(F168-E168)/2</f>
        <v>11.337290167866014</v>
      </c>
      <c r="E168" s="40">
        <f t="shared" ref="E168:E231" si="93">E167+ci*2*xincp</f>
        <v>25.665419664267976</v>
      </c>
      <c r="F168" s="40">
        <f t="shared" ref="F168:F231" si="94">F167-osi*2*xincp</f>
        <v>48.34</v>
      </c>
      <c r="G168" s="3">
        <f t="shared" ref="G168:G231" si="95">G167-ei*n*2*xincp</f>
        <v>111.74916067146404</v>
      </c>
      <c r="H168" s="3">
        <f t="shared" ref="H168:H231" si="96">PI()/4*(dto+erate*(two-D168)/two)^2</f>
        <v>148.0155219248214</v>
      </c>
      <c r="I168">
        <f t="shared" si="78"/>
        <v>1.4801552192482141E-4</v>
      </c>
      <c r="J168" s="4">
        <f t="shared" ref="J168:J231" si="97">PI()/4*dc^2-PI()/4*(F168^2-E168^2)</f>
        <v>521.91134754710606</v>
      </c>
      <c r="K168" s="40">
        <f t="shared" ref="K168:K231" si="98">J168/H168</f>
        <v>3.5260582184900189</v>
      </c>
      <c r="L168" s="40">
        <f t="shared" si="79"/>
        <v>2.4739417815099811</v>
      </c>
      <c r="M168" s="10">
        <f t="shared" ref="M168:M231" si="99">AB167</f>
        <v>1.5778231783486374</v>
      </c>
      <c r="N168" s="10">
        <f t="shared" si="80"/>
        <v>8.26</v>
      </c>
      <c r="O168" s="10">
        <f t="shared" si="81"/>
        <v>0.31900000000000001</v>
      </c>
      <c r="P168" s="10">
        <f t="shared" ref="P168:P231" si="100">(1+kv*L168)*N168*M168^O168</f>
        <v>9.5534592417125719</v>
      </c>
      <c r="Q168" s="45">
        <f t="shared" ref="Q168:Q231" si="101">xincp/P168+Q167</f>
        <v>0.5634632999848046</v>
      </c>
      <c r="R168" s="4">
        <f t="shared" ref="R168:R231" si="102">PI()/4*(F168^2-E168^2)*G168</f>
        <v>147277.68017873637</v>
      </c>
      <c r="S168">
        <f t="shared" si="82"/>
        <v>1.4727768017873635E-4</v>
      </c>
      <c r="T168" s="44">
        <f t="shared" si="83"/>
        <v>8.8590105456579061E-5</v>
      </c>
      <c r="U168" s="45">
        <f t="shared" ref="U168:U231" si="103">rhopgrain*R168/1000^2</f>
        <v>0.26429716096475131</v>
      </c>
      <c r="V168" s="45">
        <f t="shared" ref="V168:V231" si="104">(U167-U168)/(Q168-Q167)</f>
        <v>0.24483990259438898</v>
      </c>
      <c r="W168" s="45">
        <f t="shared" ref="W168:W231" si="105">IF(V168&lt;AI168,IF(AB167&gt;pbd,AI168,0),AI168)</f>
        <v>0.24419414413210144</v>
      </c>
      <c r="X168" s="45">
        <f t="shared" ref="X168:X231" si="106">V168-W168</f>
        <v>6.4575846228753786E-4</v>
      </c>
      <c r="Y168" s="45">
        <f t="shared" si="89"/>
        <v>4.0474549965751494E-4</v>
      </c>
      <c r="Z168" s="10">
        <f t="shared" ref="Z168:Z231" si="107">Y168/T168</f>
        <v>4.5687438520534789</v>
      </c>
      <c r="AA168">
        <f t="shared" si="84"/>
        <v>1578075.9746472933</v>
      </c>
      <c r="AB168" s="10">
        <f t="shared" si="85"/>
        <v>1.5780759746472934</v>
      </c>
      <c r="AC168" s="10">
        <f t="shared" si="86"/>
        <v>1.4770759746472935</v>
      </c>
      <c r="AD168" s="3">
        <f t="shared" si="87"/>
        <v>214.22421677263142</v>
      </c>
      <c r="AI168" s="100">
        <f t="shared" si="88"/>
        <v>0.24419414413210144</v>
      </c>
    </row>
    <row r="169" spans="2:35">
      <c r="B169" s="39">
        <f t="shared" si="90"/>
        <v>141</v>
      </c>
      <c r="C169" s="45">
        <f t="shared" si="91"/>
        <v>4.142086330935058</v>
      </c>
      <c r="D169" s="10">
        <f t="shared" si="92"/>
        <v>11.307913669065057</v>
      </c>
      <c r="E169" s="40">
        <f t="shared" si="93"/>
        <v>25.72417266186989</v>
      </c>
      <c r="F169" s="40">
        <f t="shared" si="94"/>
        <v>48.34</v>
      </c>
      <c r="G169" s="3">
        <f t="shared" si="95"/>
        <v>111.63165467626021</v>
      </c>
      <c r="H169" s="3">
        <f t="shared" si="96"/>
        <v>148.0155219248214</v>
      </c>
      <c r="I169">
        <f t="shared" si="78"/>
        <v>1.4801552192482141E-4</v>
      </c>
      <c r="J169" s="4">
        <f t="shared" si="97"/>
        <v>524.28269440574377</v>
      </c>
      <c r="K169" s="40">
        <f t="shared" si="98"/>
        <v>3.5420791521583279</v>
      </c>
      <c r="L169" s="40">
        <f t="shared" si="79"/>
        <v>2.4579208478416721</v>
      </c>
      <c r="M169" s="10">
        <f t="shared" si="99"/>
        <v>1.5780759746472934</v>
      </c>
      <c r="N169" s="10">
        <f t="shared" si="80"/>
        <v>8.26</v>
      </c>
      <c r="O169" s="10">
        <f t="shared" si="81"/>
        <v>0.31900000000000001</v>
      </c>
      <c r="P169" s="10">
        <f t="shared" si="100"/>
        <v>9.5539474892103797</v>
      </c>
      <c r="Q169" s="45">
        <f t="shared" si="101"/>
        <v>0.56653810218924772</v>
      </c>
      <c r="R169" s="4">
        <f t="shared" si="102"/>
        <v>146858.09801437359</v>
      </c>
      <c r="S169">
        <f t="shared" si="82"/>
        <v>1.4685809801437359E-4</v>
      </c>
      <c r="T169" s="44">
        <f t="shared" si="83"/>
        <v>8.9009687620941822E-5</v>
      </c>
      <c r="U169" s="45">
        <f t="shared" si="103"/>
        <v>0.26354419979169413</v>
      </c>
      <c r="V169" s="45">
        <f t="shared" si="104"/>
        <v>0.24488117380986019</v>
      </c>
      <c r="W169" s="45">
        <f t="shared" si="105"/>
        <v>0.24423594424513809</v>
      </c>
      <c r="X169" s="45">
        <f t="shared" si="106"/>
        <v>6.4522956472209958E-4</v>
      </c>
      <c r="Y169" s="45">
        <f t="shared" si="89"/>
        <v>4.067294529454943E-4</v>
      </c>
      <c r="Z169" s="10">
        <f t="shared" si="107"/>
        <v>4.5694964651218566</v>
      </c>
      <c r="AA169">
        <f t="shared" si="84"/>
        <v>1578319.2946314081</v>
      </c>
      <c r="AB169" s="10">
        <f t="shared" si="85"/>
        <v>1.578319294631408</v>
      </c>
      <c r="AC169" s="10">
        <f t="shared" si="86"/>
        <v>1.477319294631408</v>
      </c>
      <c r="AD169" s="3">
        <f t="shared" si="87"/>
        <v>214.25950611042902</v>
      </c>
      <c r="AI169" s="100">
        <f t="shared" si="88"/>
        <v>0.24423594424513809</v>
      </c>
    </row>
    <row r="170" spans="2:35">
      <c r="B170" s="39">
        <f t="shared" si="90"/>
        <v>142</v>
      </c>
      <c r="C170" s="45">
        <f t="shared" si="91"/>
        <v>4.1714628297360159</v>
      </c>
      <c r="D170" s="10">
        <f t="shared" si="92"/>
        <v>11.2785371702641</v>
      </c>
      <c r="E170" s="40">
        <f t="shared" si="93"/>
        <v>25.782925659471804</v>
      </c>
      <c r="F170" s="40">
        <f t="shared" si="94"/>
        <v>48.34</v>
      </c>
      <c r="G170" s="3">
        <f t="shared" si="95"/>
        <v>111.51414868105638</v>
      </c>
      <c r="H170" s="3">
        <f t="shared" si="96"/>
        <v>148.0155219248214</v>
      </c>
      <c r="I170">
        <f t="shared" si="78"/>
        <v>1.4801552192482141E-4</v>
      </c>
      <c r="J170" s="4">
        <f t="shared" si="97"/>
        <v>526.65946351935509</v>
      </c>
      <c r="K170" s="40">
        <f t="shared" si="98"/>
        <v>3.5581367188425741</v>
      </c>
      <c r="L170" s="40">
        <f t="shared" si="79"/>
        <v>2.4418632811574259</v>
      </c>
      <c r="M170" s="10">
        <f t="shared" si="99"/>
        <v>1.578319294631408</v>
      </c>
      <c r="N170" s="10">
        <f t="shared" si="80"/>
        <v>8.26</v>
      </c>
      <c r="O170" s="10">
        <f t="shared" si="81"/>
        <v>0.31900000000000001</v>
      </c>
      <c r="P170" s="10">
        <f t="shared" si="100"/>
        <v>9.5544173839735631</v>
      </c>
      <c r="Q170" s="45">
        <f t="shared" si="101"/>
        <v>0.56961275317217774</v>
      </c>
      <c r="R170" s="4">
        <f t="shared" si="102"/>
        <v>146438.46848680868</v>
      </c>
      <c r="S170">
        <f t="shared" si="82"/>
        <v>1.4643846848680868E-4</v>
      </c>
      <c r="T170" s="44">
        <f t="shared" si="83"/>
        <v>8.942931714850673E-5</v>
      </c>
      <c r="U170" s="45">
        <f t="shared" si="103"/>
        <v>0.26279115362300248</v>
      </c>
      <c r="V170" s="45">
        <f t="shared" si="104"/>
        <v>0.24492086187097126</v>
      </c>
      <c r="W170" s="45">
        <f t="shared" si="105"/>
        <v>0.24427617744037916</v>
      </c>
      <c r="X170" s="45">
        <f t="shared" si="106"/>
        <v>6.4468443059209624E-4</v>
      </c>
      <c r="Y170" s="45">
        <f t="shared" si="89"/>
        <v>4.08711632563694E-4</v>
      </c>
      <c r="Z170" s="10">
        <f t="shared" si="107"/>
        <v>4.5702197623290086</v>
      </c>
      <c r="AA170">
        <f t="shared" si="84"/>
        <v>1578553.136790612</v>
      </c>
      <c r="AB170" s="10">
        <f t="shared" si="85"/>
        <v>1.578553136790612</v>
      </c>
      <c r="AC170" s="10">
        <f t="shared" si="86"/>
        <v>1.4775531367906121</v>
      </c>
      <c r="AD170" s="3">
        <f t="shared" si="87"/>
        <v>214.29342085433098</v>
      </c>
      <c r="AI170" s="100">
        <f t="shared" si="88"/>
        <v>0.24427617744037916</v>
      </c>
    </row>
    <row r="171" spans="2:35">
      <c r="B171" s="39">
        <f t="shared" si="90"/>
        <v>143</v>
      </c>
      <c r="C171" s="45">
        <f t="shared" si="91"/>
        <v>4.2008393285369738</v>
      </c>
      <c r="D171" s="10">
        <f t="shared" si="92"/>
        <v>11.249160671463143</v>
      </c>
      <c r="E171" s="40">
        <f t="shared" si="93"/>
        <v>25.841678657073718</v>
      </c>
      <c r="F171" s="40">
        <f t="shared" si="94"/>
        <v>48.34</v>
      </c>
      <c r="G171" s="3">
        <f t="shared" si="95"/>
        <v>111.39664268585256</v>
      </c>
      <c r="H171" s="3">
        <f t="shared" si="96"/>
        <v>148.0155219248214</v>
      </c>
      <c r="I171">
        <f t="shared" si="78"/>
        <v>1.4801552192482141E-4</v>
      </c>
      <c r="J171" s="4">
        <f t="shared" si="97"/>
        <v>529.04165488794069</v>
      </c>
      <c r="K171" s="40">
        <f t="shared" si="98"/>
        <v>3.5742309185427619</v>
      </c>
      <c r="L171" s="40">
        <f t="shared" si="79"/>
        <v>2.4257690814572381</v>
      </c>
      <c r="M171" s="10">
        <f t="shared" si="99"/>
        <v>1.578553136790612</v>
      </c>
      <c r="N171" s="10">
        <f t="shared" si="80"/>
        <v>8.26</v>
      </c>
      <c r="O171" s="10">
        <f t="shared" si="81"/>
        <v>0.31900000000000001</v>
      </c>
      <c r="P171" s="10">
        <f t="shared" si="100"/>
        <v>9.554868928862895</v>
      </c>
      <c r="Q171" s="45">
        <f t="shared" si="101"/>
        <v>0.57268725885296412</v>
      </c>
      <c r="R171" s="4">
        <f t="shared" si="102"/>
        <v>146018.79350748396</v>
      </c>
      <c r="S171">
        <f t="shared" si="82"/>
        <v>1.4601879350748396E-4</v>
      </c>
      <c r="T171" s="44">
        <f t="shared" si="83"/>
        <v>8.9848992127831452E-5</v>
      </c>
      <c r="U171" s="45">
        <f t="shared" si="103"/>
        <v>0.26203802588885533</v>
      </c>
      <c r="V171" s="45">
        <f t="shared" si="104"/>
        <v>0.24495896652710752</v>
      </c>
      <c r="W171" s="45">
        <f t="shared" si="105"/>
        <v>0.24431484346808374</v>
      </c>
      <c r="X171" s="45">
        <f t="shared" si="106"/>
        <v>6.4412305902378231E-4</v>
      </c>
      <c r="Y171" s="45">
        <f t="shared" si="89"/>
        <v>4.1069199256778814E-4</v>
      </c>
      <c r="Z171" s="10">
        <f t="shared" si="107"/>
        <v>4.570913739171182</v>
      </c>
      <c r="AA171">
        <f t="shared" si="84"/>
        <v>1578777.4996688408</v>
      </c>
      <c r="AB171" s="10">
        <f t="shared" si="85"/>
        <v>1.5787774996688408</v>
      </c>
      <c r="AC171" s="10">
        <f t="shared" si="86"/>
        <v>1.4777774996688409</v>
      </c>
      <c r="AD171" s="3">
        <f t="shared" si="87"/>
        <v>214.32596079316036</v>
      </c>
      <c r="AI171" s="100">
        <f t="shared" si="88"/>
        <v>0.24431484346808374</v>
      </c>
    </row>
    <row r="172" spans="2:35">
      <c r="B172" s="39">
        <f t="shared" si="90"/>
        <v>144</v>
      </c>
      <c r="C172" s="45">
        <f t="shared" si="91"/>
        <v>4.2302158273379318</v>
      </c>
      <c r="D172" s="10">
        <f t="shared" si="92"/>
        <v>11.219784172662186</v>
      </c>
      <c r="E172" s="40">
        <f t="shared" si="93"/>
        <v>25.900431654675632</v>
      </c>
      <c r="F172" s="40">
        <f t="shared" si="94"/>
        <v>48.34</v>
      </c>
      <c r="G172" s="3">
        <f t="shared" si="95"/>
        <v>111.27913669064873</v>
      </c>
      <c r="H172" s="3">
        <f t="shared" si="96"/>
        <v>148.0155219248214</v>
      </c>
      <c r="I172">
        <f t="shared" si="78"/>
        <v>1.4801552192482141E-4</v>
      </c>
      <c r="J172" s="4">
        <f t="shared" si="97"/>
        <v>531.42926851150014</v>
      </c>
      <c r="K172" s="40">
        <f t="shared" si="98"/>
        <v>3.5903617512588881</v>
      </c>
      <c r="L172" s="40">
        <f t="shared" si="79"/>
        <v>2.4096382487411119</v>
      </c>
      <c r="M172" s="10">
        <f t="shared" si="99"/>
        <v>1.5787774996688408</v>
      </c>
      <c r="N172" s="10">
        <f t="shared" si="80"/>
        <v>8.26</v>
      </c>
      <c r="O172" s="10">
        <f t="shared" si="81"/>
        <v>0.31900000000000001</v>
      </c>
      <c r="P172" s="10">
        <f t="shared" si="100"/>
        <v>9.5553021266177822</v>
      </c>
      <c r="Q172" s="45">
        <f t="shared" si="101"/>
        <v>0.57576162514841855</v>
      </c>
      <c r="R172" s="4">
        <f t="shared" si="102"/>
        <v>145599.07498784192</v>
      </c>
      <c r="S172">
        <f t="shared" si="82"/>
        <v>1.4559907498784192E-4</v>
      </c>
      <c r="T172" s="44">
        <f t="shared" si="83"/>
        <v>9.0268710647473495E-5</v>
      </c>
      <c r="U172" s="45">
        <f t="shared" si="103"/>
        <v>0.26128482001943171</v>
      </c>
      <c r="V172" s="45">
        <f t="shared" si="104"/>
        <v>0.24499548753746958</v>
      </c>
      <c r="W172" s="45">
        <f t="shared" si="105"/>
        <v>0.24435194208749014</v>
      </c>
      <c r="X172" s="45">
        <f t="shared" si="106"/>
        <v>6.4354544997943797E-4</v>
      </c>
      <c r="Y172" s="45">
        <f t="shared" si="89"/>
        <v>4.12670487008798E-4</v>
      </c>
      <c r="Z172" s="10">
        <f t="shared" si="107"/>
        <v>4.5715783913254349</v>
      </c>
      <c r="AA172">
        <f t="shared" si="84"/>
        <v>1578992.3818684856</v>
      </c>
      <c r="AB172" s="10">
        <f t="shared" si="85"/>
        <v>1.5789923818684857</v>
      </c>
      <c r="AC172" s="10">
        <f t="shared" si="86"/>
        <v>1.4779923818684857</v>
      </c>
      <c r="AD172" s="3">
        <f t="shared" si="87"/>
        <v>214.35712572421835</v>
      </c>
      <c r="AI172" s="100">
        <f t="shared" si="88"/>
        <v>0.24435194208749014</v>
      </c>
    </row>
    <row r="173" spans="2:35">
      <c r="B173" s="39">
        <f t="shared" si="90"/>
        <v>145</v>
      </c>
      <c r="C173" s="45">
        <f t="shared" si="91"/>
        <v>4.2595923261388897</v>
      </c>
      <c r="D173" s="10">
        <f t="shared" si="92"/>
        <v>11.190407673861229</v>
      </c>
      <c r="E173" s="40">
        <f t="shared" si="93"/>
        <v>25.959184652277546</v>
      </c>
      <c r="F173" s="40">
        <f t="shared" si="94"/>
        <v>48.34</v>
      </c>
      <c r="G173" s="3">
        <f t="shared" si="95"/>
        <v>111.1616306954449</v>
      </c>
      <c r="H173" s="3">
        <f t="shared" si="96"/>
        <v>148.0155219248214</v>
      </c>
      <c r="I173">
        <f t="shared" si="78"/>
        <v>1.4801552192482141E-4</v>
      </c>
      <c r="J173" s="4">
        <f t="shared" si="97"/>
        <v>533.82230439003342</v>
      </c>
      <c r="K173" s="40">
        <f t="shared" si="98"/>
        <v>3.6065292169909533</v>
      </c>
      <c r="L173" s="40">
        <f t="shared" si="79"/>
        <v>2.3934707830090467</v>
      </c>
      <c r="M173" s="10">
        <f t="shared" si="99"/>
        <v>1.5789923818684857</v>
      </c>
      <c r="N173" s="10">
        <f t="shared" si="80"/>
        <v>8.26</v>
      </c>
      <c r="O173" s="10">
        <f t="shared" si="81"/>
        <v>0.31900000000000001</v>
      </c>
      <c r="P173" s="10">
        <f t="shared" si="100"/>
        <v>9.5557169798643837</v>
      </c>
      <c r="Q173" s="45">
        <f t="shared" si="101"/>
        <v>0.57883585797290038</v>
      </c>
      <c r="R173" s="4">
        <f t="shared" si="102"/>
        <v>145179.31483932494</v>
      </c>
      <c r="S173">
        <f t="shared" si="82"/>
        <v>1.4517931483932494E-4</v>
      </c>
      <c r="T173" s="44">
        <f t="shared" si="83"/>
        <v>9.0688470795990473E-5</v>
      </c>
      <c r="U173" s="45">
        <f t="shared" si="103"/>
        <v>0.26053153944491059</v>
      </c>
      <c r="V173" s="45">
        <f t="shared" si="104"/>
        <v>0.24503042467126365</v>
      </c>
      <c r="W173" s="45">
        <f t="shared" si="105"/>
        <v>0.24438747306750236</v>
      </c>
      <c r="X173" s="45">
        <f t="shared" si="106"/>
        <v>6.4295160376129368E-4</v>
      </c>
      <c r="Y173" s="45">
        <f t="shared" si="89"/>
        <v>4.1464706993363422E-4</v>
      </c>
      <c r="Z173" s="10">
        <f t="shared" si="107"/>
        <v>4.5722137146452653</v>
      </c>
      <c r="AA173">
        <f t="shared" si="84"/>
        <v>1579197.7820489823</v>
      </c>
      <c r="AB173" s="10">
        <f t="shared" si="85"/>
        <v>1.5791977820489824</v>
      </c>
      <c r="AC173" s="10">
        <f t="shared" si="86"/>
        <v>1.4781977820489824</v>
      </c>
      <c r="AD173" s="3">
        <f t="shared" si="87"/>
        <v>214.38691545307938</v>
      </c>
      <c r="AI173" s="100">
        <f t="shared" si="88"/>
        <v>0.24438747306750236</v>
      </c>
    </row>
    <row r="174" spans="2:35">
      <c r="B174" s="39">
        <f t="shared" si="90"/>
        <v>146</v>
      </c>
      <c r="C174" s="45">
        <f t="shared" si="91"/>
        <v>4.2889688249398477</v>
      </c>
      <c r="D174" s="10">
        <f t="shared" si="92"/>
        <v>11.161031175060272</v>
      </c>
      <c r="E174" s="40">
        <f t="shared" si="93"/>
        <v>26.01793764987946</v>
      </c>
      <c r="F174" s="40">
        <f t="shared" si="94"/>
        <v>48.34</v>
      </c>
      <c r="G174" s="3">
        <f t="shared" si="95"/>
        <v>111.04412470024107</v>
      </c>
      <c r="H174" s="3">
        <f t="shared" si="96"/>
        <v>148.0155219248214</v>
      </c>
      <c r="I174">
        <f t="shared" si="78"/>
        <v>1.4801552192482141E-4</v>
      </c>
      <c r="J174" s="4">
        <f t="shared" si="97"/>
        <v>536.22076252354032</v>
      </c>
      <c r="K174" s="40">
        <f t="shared" si="98"/>
        <v>3.6227333157389556</v>
      </c>
      <c r="L174" s="40">
        <f t="shared" si="79"/>
        <v>2.3772666842610444</v>
      </c>
      <c r="M174" s="10">
        <f t="shared" si="99"/>
        <v>1.5791977820489824</v>
      </c>
      <c r="N174" s="10">
        <f t="shared" si="80"/>
        <v>8.26</v>
      </c>
      <c r="O174" s="10">
        <f t="shared" si="81"/>
        <v>0.31900000000000001</v>
      </c>
      <c r="P174" s="10">
        <f t="shared" si="100"/>
        <v>9.5561134911129901</v>
      </c>
      <c r="Q174" s="45">
        <f t="shared" si="101"/>
        <v>0.58190996323842259</v>
      </c>
      <c r="R174" s="4">
        <f t="shared" si="102"/>
        <v>144759.51497337542</v>
      </c>
      <c r="S174">
        <f t="shared" si="82"/>
        <v>1.4475951497337541E-4</v>
      </c>
      <c r="T174" s="44">
        <f t="shared" si="83"/>
        <v>9.110827066194E-5</v>
      </c>
      <c r="U174" s="45">
        <f t="shared" si="103"/>
        <v>0.25977818759547083</v>
      </c>
      <c r="V174" s="45">
        <f t="shared" si="104"/>
        <v>0.24506377770761845</v>
      </c>
      <c r="W174" s="45">
        <f t="shared" si="105"/>
        <v>0.24442143618645681</v>
      </c>
      <c r="X174" s="45">
        <f t="shared" si="106"/>
        <v>6.4234152116163235E-4</v>
      </c>
      <c r="Y174" s="45">
        <f t="shared" si="89"/>
        <v>4.1662169538610075E-4</v>
      </c>
      <c r="Z174" s="10">
        <f t="shared" si="107"/>
        <v>4.5728197051614359</v>
      </c>
      <c r="AA174">
        <f t="shared" si="84"/>
        <v>1579393.6989270751</v>
      </c>
      <c r="AB174" s="10">
        <f t="shared" si="85"/>
        <v>1.5793936989270752</v>
      </c>
      <c r="AC174" s="10">
        <f t="shared" si="86"/>
        <v>1.4783936989270752</v>
      </c>
      <c r="AD174" s="3">
        <f t="shared" si="87"/>
        <v>214.41532979362947</v>
      </c>
      <c r="AI174" s="100">
        <f t="shared" si="88"/>
        <v>0.24442143618645681</v>
      </c>
    </row>
    <row r="175" spans="2:35">
      <c r="B175" s="39">
        <f t="shared" si="90"/>
        <v>147</v>
      </c>
      <c r="C175" s="45">
        <f t="shared" si="91"/>
        <v>4.3183453237408056</v>
      </c>
      <c r="D175" s="10">
        <f t="shared" si="92"/>
        <v>11.131654676259314</v>
      </c>
      <c r="E175" s="40">
        <f t="shared" si="93"/>
        <v>26.076690647481374</v>
      </c>
      <c r="F175" s="40">
        <f t="shared" si="94"/>
        <v>48.34</v>
      </c>
      <c r="G175" s="3">
        <f t="shared" si="95"/>
        <v>110.92661870503724</v>
      </c>
      <c r="H175" s="3">
        <f t="shared" si="96"/>
        <v>148.0155219248214</v>
      </c>
      <c r="I175">
        <f t="shared" si="78"/>
        <v>1.4801552192482141E-4</v>
      </c>
      <c r="J175" s="4">
        <f t="shared" si="97"/>
        <v>538.62464291202173</v>
      </c>
      <c r="K175" s="40">
        <f t="shared" si="98"/>
        <v>3.6389740475029013</v>
      </c>
      <c r="L175" s="40">
        <f t="shared" si="79"/>
        <v>2.3610259524970987</v>
      </c>
      <c r="M175" s="10">
        <f t="shared" si="99"/>
        <v>1.5793936989270752</v>
      </c>
      <c r="N175" s="10">
        <f t="shared" si="80"/>
        <v>8.26</v>
      </c>
      <c r="O175" s="10">
        <f t="shared" si="81"/>
        <v>0.31900000000000001</v>
      </c>
      <c r="P175" s="10">
        <f t="shared" si="100"/>
        <v>9.5564916627586456</v>
      </c>
      <c r="Q175" s="45">
        <f t="shared" si="101"/>
        <v>0.58498394685475719</v>
      </c>
      <c r="R175" s="4">
        <f t="shared" si="102"/>
        <v>144339.6773014357</v>
      </c>
      <c r="S175">
        <f t="shared" si="82"/>
        <v>1.443396773014357E-4</v>
      </c>
      <c r="T175" s="44">
        <f t="shared" si="83"/>
        <v>9.1528108333879717E-5</v>
      </c>
      <c r="U175" s="45">
        <f t="shared" si="103"/>
        <v>0.25902476790129142</v>
      </c>
      <c r="V175" s="45">
        <f t="shared" si="104"/>
        <v>0.24509554643553616</v>
      </c>
      <c r="W175" s="45">
        <f t="shared" si="105"/>
        <v>0.24445383123216596</v>
      </c>
      <c r="X175" s="45">
        <f t="shared" si="106"/>
        <v>6.4171520337019672E-4</v>
      </c>
      <c r="Y175" s="45">
        <f t="shared" si="89"/>
        <v>4.1859431740761354E-4</v>
      </c>
      <c r="Z175" s="10">
        <f t="shared" si="107"/>
        <v>4.5733963590796529</v>
      </c>
      <c r="AA175">
        <f t="shared" si="84"/>
        <v>1579580.1312760678</v>
      </c>
      <c r="AB175" s="10">
        <f t="shared" si="85"/>
        <v>1.5795801312760678</v>
      </c>
      <c r="AC175" s="10">
        <f t="shared" si="86"/>
        <v>1.4785801312760678</v>
      </c>
      <c r="AD175" s="3">
        <f t="shared" si="87"/>
        <v>214.44236856795763</v>
      </c>
      <c r="AI175" s="100">
        <f t="shared" si="88"/>
        <v>0.24445383123216596</v>
      </c>
    </row>
    <row r="176" spans="2:35">
      <c r="B176" s="39">
        <f t="shared" si="90"/>
        <v>148</v>
      </c>
      <c r="C176" s="45">
        <f t="shared" si="91"/>
        <v>4.3477218225417635</v>
      </c>
      <c r="D176" s="10">
        <f t="shared" si="92"/>
        <v>11.102278177458357</v>
      </c>
      <c r="E176" s="40">
        <f t="shared" si="93"/>
        <v>26.135443645083289</v>
      </c>
      <c r="F176" s="40">
        <f t="shared" si="94"/>
        <v>48.34</v>
      </c>
      <c r="G176" s="3">
        <f t="shared" si="95"/>
        <v>110.80911270983341</v>
      </c>
      <c r="H176" s="3">
        <f t="shared" si="96"/>
        <v>148.0155219248214</v>
      </c>
      <c r="I176">
        <f t="shared" si="78"/>
        <v>1.4801552192482141E-4</v>
      </c>
      <c r="J176" s="4">
        <f t="shared" si="97"/>
        <v>541.03394555547652</v>
      </c>
      <c r="K176" s="40">
        <f t="shared" si="98"/>
        <v>3.6552514122827819</v>
      </c>
      <c r="L176" s="40">
        <f t="shared" si="79"/>
        <v>2.3447485877172181</v>
      </c>
      <c r="M176" s="10">
        <f t="shared" si="99"/>
        <v>1.5795801312760678</v>
      </c>
      <c r="N176" s="10">
        <f t="shared" si="80"/>
        <v>8.26</v>
      </c>
      <c r="O176" s="10">
        <f t="shared" si="81"/>
        <v>0.31900000000000001</v>
      </c>
      <c r="P176" s="10">
        <f t="shared" si="100"/>
        <v>9.5568514970797835</v>
      </c>
      <c r="Q176" s="45">
        <f t="shared" si="101"/>
        <v>0.58805781472954144</v>
      </c>
      <c r="R176" s="4">
        <f t="shared" si="102"/>
        <v>143919.80373494831</v>
      </c>
      <c r="S176">
        <f t="shared" si="82"/>
        <v>1.4391980373494831E-4</v>
      </c>
      <c r="T176" s="44">
        <f t="shared" si="83"/>
        <v>9.1947981900367104E-5</v>
      </c>
      <c r="U176" s="45">
        <f t="shared" si="103"/>
        <v>0.25827128379255149</v>
      </c>
      <c r="V176" s="45">
        <f t="shared" si="104"/>
        <v>0.24512573065386475</v>
      </c>
      <c r="W176" s="45">
        <f t="shared" si="105"/>
        <v>0.24448465800179436</v>
      </c>
      <c r="X176" s="45">
        <f t="shared" si="106"/>
        <v>6.4107265207039021E-4</v>
      </c>
      <c r="Y176" s="45">
        <f t="shared" si="89"/>
        <v>4.2056489003821544E-4</v>
      </c>
      <c r="Z176" s="10">
        <f t="shared" si="107"/>
        <v>4.5739436727815379</v>
      </c>
      <c r="AA176">
        <f t="shared" si="84"/>
        <v>1579757.0779261382</v>
      </c>
      <c r="AB176" s="10">
        <f t="shared" si="85"/>
        <v>1.5797570779261383</v>
      </c>
      <c r="AC176" s="10">
        <f t="shared" si="86"/>
        <v>1.4787570779261383</v>
      </c>
      <c r="AD176" s="3">
        <f t="shared" si="87"/>
        <v>214.46803160640152</v>
      </c>
      <c r="AI176" s="100">
        <f t="shared" si="88"/>
        <v>0.24448465800179436</v>
      </c>
    </row>
    <row r="177" spans="2:35">
      <c r="B177" s="39">
        <f t="shared" si="90"/>
        <v>149</v>
      </c>
      <c r="C177" s="45">
        <f t="shared" si="91"/>
        <v>4.3770983213427215</v>
      </c>
      <c r="D177" s="10">
        <f t="shared" si="92"/>
        <v>11.0729016786574</v>
      </c>
      <c r="E177" s="40">
        <f t="shared" si="93"/>
        <v>26.194196642685203</v>
      </c>
      <c r="F177" s="40">
        <f t="shared" si="94"/>
        <v>48.34</v>
      </c>
      <c r="G177" s="3">
        <f t="shared" si="95"/>
        <v>110.69160671462959</v>
      </c>
      <c r="H177" s="3">
        <f t="shared" si="96"/>
        <v>148.0155219248214</v>
      </c>
      <c r="I177">
        <f t="shared" si="78"/>
        <v>1.4801552192482141E-4</v>
      </c>
      <c r="J177" s="4">
        <f t="shared" si="97"/>
        <v>543.44867045390561</v>
      </c>
      <c r="K177" s="40">
        <f t="shared" si="98"/>
        <v>3.671565410078605</v>
      </c>
      <c r="L177" s="40">
        <f t="shared" si="79"/>
        <v>2.328434589921395</v>
      </c>
      <c r="M177" s="10">
        <f t="shared" si="99"/>
        <v>1.5797570779261383</v>
      </c>
      <c r="N177" s="10">
        <f t="shared" si="80"/>
        <v>8.26</v>
      </c>
      <c r="O177" s="10">
        <f t="shared" si="81"/>
        <v>0.31900000000000001</v>
      </c>
      <c r="P177" s="10">
        <f t="shared" si="100"/>
        <v>9.5571929962389408</v>
      </c>
      <c r="Q177" s="45">
        <f t="shared" si="101"/>
        <v>0.5911315727683838</v>
      </c>
      <c r="R177" s="4">
        <f t="shared" si="102"/>
        <v>143499.89618535549</v>
      </c>
      <c r="S177">
        <f t="shared" si="82"/>
        <v>1.434998961853555E-4</v>
      </c>
      <c r="T177" s="44">
        <f t="shared" si="83"/>
        <v>9.2367889449959911E-5</v>
      </c>
      <c r="U177" s="45">
        <f t="shared" si="103"/>
        <v>0.25751773869942968</v>
      </c>
      <c r="V177" s="45">
        <f t="shared" si="104"/>
        <v>0.24515433017154847</v>
      </c>
      <c r="W177" s="45">
        <f t="shared" si="105"/>
        <v>0.24451391630191077</v>
      </c>
      <c r="X177" s="45">
        <f t="shared" si="106"/>
        <v>6.4041386963770153E-4</v>
      </c>
      <c r="Y177" s="45">
        <f t="shared" si="89"/>
        <v>4.2253336731820049E-4</v>
      </c>
      <c r="Z177" s="10">
        <f t="shared" si="107"/>
        <v>4.5744616428321336</v>
      </c>
      <c r="AA177">
        <f t="shared" si="84"/>
        <v>1579924.5377667632</v>
      </c>
      <c r="AB177" s="10">
        <f t="shared" si="85"/>
        <v>1.5799245377667632</v>
      </c>
      <c r="AC177" s="10">
        <f t="shared" si="86"/>
        <v>1.4789245377667632</v>
      </c>
      <c r="AD177" s="3">
        <f t="shared" si="87"/>
        <v>214.49231874789893</v>
      </c>
      <c r="AI177" s="100">
        <f t="shared" si="88"/>
        <v>0.24451391630191077</v>
      </c>
    </row>
    <row r="178" spans="2:35">
      <c r="B178" s="39">
        <f t="shared" si="90"/>
        <v>150</v>
      </c>
      <c r="C178" s="45">
        <f t="shared" si="91"/>
        <v>4.4064748201436794</v>
      </c>
      <c r="D178" s="10">
        <f t="shared" si="92"/>
        <v>11.043525179856443</v>
      </c>
      <c r="E178" s="40">
        <f t="shared" si="93"/>
        <v>26.252949640287117</v>
      </c>
      <c r="F178" s="40">
        <f t="shared" si="94"/>
        <v>48.34</v>
      </c>
      <c r="G178" s="3">
        <f t="shared" si="95"/>
        <v>110.57410071942576</v>
      </c>
      <c r="H178" s="3">
        <f t="shared" si="96"/>
        <v>148.0155219248214</v>
      </c>
      <c r="I178">
        <f t="shared" si="78"/>
        <v>1.4801552192482141E-4</v>
      </c>
      <c r="J178" s="4">
        <f t="shared" si="97"/>
        <v>545.8688176073083</v>
      </c>
      <c r="K178" s="40">
        <f t="shared" si="98"/>
        <v>3.6879160408903648</v>
      </c>
      <c r="L178" s="40">
        <f t="shared" si="79"/>
        <v>2.3120839591096352</v>
      </c>
      <c r="M178" s="10">
        <f t="shared" si="99"/>
        <v>1.5799245377667632</v>
      </c>
      <c r="N178" s="10">
        <f t="shared" si="80"/>
        <v>8.26</v>
      </c>
      <c r="O178" s="10">
        <f t="shared" si="81"/>
        <v>0.31900000000000001</v>
      </c>
      <c r="P178" s="10">
        <f t="shared" si="100"/>
        <v>9.5575161622875093</v>
      </c>
      <c r="Q178" s="45">
        <f t="shared" si="101"/>
        <v>0.5942052268749678</v>
      </c>
      <c r="R178" s="4">
        <f t="shared" si="102"/>
        <v>143079.95656409979</v>
      </c>
      <c r="S178">
        <f t="shared" si="82"/>
        <v>1.430799565640998E-4</v>
      </c>
      <c r="T178" s="44">
        <f t="shared" si="83"/>
        <v>9.2787829071215615E-5</v>
      </c>
      <c r="U178" s="45">
        <f t="shared" si="103"/>
        <v>0.25676413605210524</v>
      </c>
      <c r="V178" s="45">
        <f t="shared" si="104"/>
        <v>0.24518134480719936</v>
      </c>
      <c r="W178" s="45">
        <f t="shared" si="105"/>
        <v>0.2445416059488891</v>
      </c>
      <c r="X178" s="45">
        <f t="shared" si="106"/>
        <v>6.3973885831025701E-4</v>
      </c>
      <c r="Y178" s="45">
        <f t="shared" si="89"/>
        <v>4.2449970328718717E-4</v>
      </c>
      <c r="Z178" s="10">
        <f t="shared" si="107"/>
        <v>4.5749502659597656</v>
      </c>
      <c r="AA178">
        <f t="shared" si="84"/>
        <v>1580082.5097402101</v>
      </c>
      <c r="AB178" s="10">
        <f t="shared" si="85"/>
        <v>1.58008250974021</v>
      </c>
      <c r="AC178" s="10">
        <f t="shared" si="86"/>
        <v>1.47908250974021</v>
      </c>
      <c r="AD178" s="3">
        <f t="shared" si="87"/>
        <v>214.51522983904425</v>
      </c>
      <c r="AI178" s="100">
        <f t="shared" si="88"/>
        <v>0.2445416059488891</v>
      </c>
    </row>
    <row r="179" spans="2:35">
      <c r="B179" s="39">
        <f t="shared" si="90"/>
        <v>151</v>
      </c>
      <c r="C179" s="45">
        <f t="shared" si="91"/>
        <v>4.4358513189446374</v>
      </c>
      <c r="D179" s="10">
        <f t="shared" si="92"/>
        <v>11.014148681055486</v>
      </c>
      <c r="E179" s="40">
        <f t="shared" si="93"/>
        <v>26.311702637889031</v>
      </c>
      <c r="F179" s="40">
        <f t="shared" si="94"/>
        <v>48.34</v>
      </c>
      <c r="G179" s="3">
        <f t="shared" si="95"/>
        <v>110.45659472422193</v>
      </c>
      <c r="H179" s="3">
        <f t="shared" si="96"/>
        <v>148.0155219248214</v>
      </c>
      <c r="I179">
        <f t="shared" si="78"/>
        <v>1.4801552192482141E-4</v>
      </c>
      <c r="J179" s="4">
        <f t="shared" si="97"/>
        <v>548.29438701568506</v>
      </c>
      <c r="K179" s="40">
        <f t="shared" si="98"/>
        <v>3.7043033047180645</v>
      </c>
      <c r="L179" s="40">
        <f t="shared" si="79"/>
        <v>2.2956966952819355</v>
      </c>
      <c r="M179" s="10">
        <f t="shared" si="99"/>
        <v>1.58008250974021</v>
      </c>
      <c r="N179" s="10">
        <f t="shared" si="80"/>
        <v>8.26</v>
      </c>
      <c r="O179" s="10">
        <f t="shared" si="81"/>
        <v>0.31900000000000001</v>
      </c>
      <c r="P179" s="10">
        <f t="shared" si="100"/>
        <v>9.5578209971532679</v>
      </c>
      <c r="Q179" s="45">
        <f t="shared" si="101"/>
        <v>0.59727878295115999</v>
      </c>
      <c r="R179" s="4">
        <f t="shared" si="102"/>
        <v>142659.98678262354</v>
      </c>
      <c r="S179">
        <f t="shared" si="82"/>
        <v>1.4265998678262355E-4</v>
      </c>
      <c r="T179" s="44">
        <f t="shared" si="83"/>
        <v>9.3207798852691859E-5</v>
      </c>
      <c r="U179" s="45">
        <f t="shared" si="103"/>
        <v>0.25601047928075704</v>
      </c>
      <c r="V179" s="45">
        <f t="shared" si="104"/>
        <v>0.24520677438945515</v>
      </c>
      <c r="W179" s="45">
        <f t="shared" si="105"/>
        <v>0.24456772676783226</v>
      </c>
      <c r="X179" s="45">
        <f t="shared" si="106"/>
        <v>6.3904762162289575E-4</v>
      </c>
      <c r="Y179" s="45">
        <f t="shared" si="89"/>
        <v>4.264638519876024E-4</v>
      </c>
      <c r="Z179" s="10">
        <f t="shared" si="107"/>
        <v>4.5754095390837142</v>
      </c>
      <c r="AA179">
        <f t="shared" si="84"/>
        <v>1580230.9928504813</v>
      </c>
      <c r="AB179" s="10">
        <f t="shared" si="85"/>
        <v>1.5802309928504814</v>
      </c>
      <c r="AC179" s="10">
        <f t="shared" si="86"/>
        <v>1.4792309928504814</v>
      </c>
      <c r="AD179" s="3">
        <f t="shared" si="87"/>
        <v>214.53676473538528</v>
      </c>
      <c r="AI179" s="100">
        <f t="shared" si="88"/>
        <v>0.24456772676783226</v>
      </c>
    </row>
    <row r="180" spans="2:35">
      <c r="B180" s="39">
        <f t="shared" si="90"/>
        <v>152</v>
      </c>
      <c r="C180" s="45">
        <f t="shared" si="91"/>
        <v>4.4652278177455953</v>
      </c>
      <c r="D180" s="10">
        <f t="shared" si="92"/>
        <v>10.984772182254529</v>
      </c>
      <c r="E180" s="40">
        <f t="shared" si="93"/>
        <v>26.370455635490945</v>
      </c>
      <c r="F180" s="40">
        <f t="shared" si="94"/>
        <v>48.34</v>
      </c>
      <c r="G180" s="3">
        <f t="shared" si="95"/>
        <v>110.3390887290181</v>
      </c>
      <c r="H180" s="3">
        <f t="shared" si="96"/>
        <v>148.0155219248214</v>
      </c>
      <c r="I180">
        <f t="shared" si="78"/>
        <v>1.4801552192482141E-4</v>
      </c>
      <c r="J180" s="4">
        <f t="shared" si="97"/>
        <v>550.72537867903588</v>
      </c>
      <c r="K180" s="40">
        <f t="shared" si="98"/>
        <v>3.7207272015617048</v>
      </c>
      <c r="L180" s="40">
        <f t="shared" si="79"/>
        <v>2.2792727984382952</v>
      </c>
      <c r="M180" s="10">
        <f t="shared" si="99"/>
        <v>1.5802309928504814</v>
      </c>
      <c r="N180" s="10">
        <f t="shared" si="80"/>
        <v>8.26</v>
      </c>
      <c r="O180" s="10">
        <f t="shared" si="81"/>
        <v>0.31900000000000001</v>
      </c>
      <c r="P180" s="10">
        <f t="shared" si="100"/>
        <v>9.5581075026577196</v>
      </c>
      <c r="Q180" s="45">
        <f t="shared" si="101"/>
        <v>0.60035224689711264</v>
      </c>
      <c r="R180" s="4">
        <f t="shared" si="102"/>
        <v>142239.9887523691</v>
      </c>
      <c r="S180">
        <f t="shared" si="82"/>
        <v>1.422399887523691E-4</v>
      </c>
      <c r="T180" s="44">
        <f t="shared" si="83"/>
        <v>9.3627796882946311E-5</v>
      </c>
      <c r="U180" s="45">
        <f t="shared" si="103"/>
        <v>0.25525677181556394</v>
      </c>
      <c r="V180" s="45">
        <f t="shared" si="104"/>
        <v>0.24523061875693491</v>
      </c>
      <c r="W180" s="45">
        <f t="shared" si="105"/>
        <v>0.24459227859405114</v>
      </c>
      <c r="X180" s="45">
        <f t="shared" si="106"/>
        <v>6.3834016288377704E-4</v>
      </c>
      <c r="Y180" s="45">
        <f t="shared" si="89"/>
        <v>4.2842576746347923E-4</v>
      </c>
      <c r="Z180" s="10">
        <f t="shared" si="107"/>
        <v>4.5758394592911129</v>
      </c>
      <c r="AA180">
        <f t="shared" si="84"/>
        <v>1580369.9861558464</v>
      </c>
      <c r="AB180" s="10">
        <f t="shared" si="85"/>
        <v>1.5803699861558465</v>
      </c>
      <c r="AC180" s="10">
        <f t="shared" si="86"/>
        <v>1.4793699861558465</v>
      </c>
      <c r="AD180" s="3">
        <f t="shared" si="87"/>
        <v>214.55692330034032</v>
      </c>
      <c r="AI180" s="100">
        <f t="shared" si="88"/>
        <v>0.24459227859405114</v>
      </c>
    </row>
    <row r="181" spans="2:35">
      <c r="B181" s="39">
        <f t="shared" si="90"/>
        <v>153</v>
      </c>
      <c r="C181" s="45">
        <f t="shared" si="91"/>
        <v>4.4946043165465532</v>
      </c>
      <c r="D181" s="10">
        <f t="shared" si="92"/>
        <v>10.955395683453572</v>
      </c>
      <c r="E181" s="40">
        <f t="shared" si="93"/>
        <v>26.429208633092859</v>
      </c>
      <c r="F181" s="40">
        <f t="shared" si="94"/>
        <v>48.34</v>
      </c>
      <c r="G181" s="3">
        <f t="shared" si="95"/>
        <v>110.22158273381427</v>
      </c>
      <c r="H181" s="3">
        <f t="shared" si="96"/>
        <v>148.0155219248214</v>
      </c>
      <c r="I181">
        <f t="shared" si="78"/>
        <v>1.4801552192482141E-4</v>
      </c>
      <c r="J181" s="4">
        <f t="shared" si="97"/>
        <v>553.16179259736009</v>
      </c>
      <c r="K181" s="40">
        <f t="shared" si="98"/>
        <v>3.7371877314212805</v>
      </c>
      <c r="L181" s="40">
        <f t="shared" si="79"/>
        <v>2.2628122685787195</v>
      </c>
      <c r="M181" s="10">
        <f t="shared" si="99"/>
        <v>1.5803699861558465</v>
      </c>
      <c r="N181" s="10">
        <f t="shared" si="80"/>
        <v>8.26</v>
      </c>
      <c r="O181" s="10">
        <f t="shared" si="81"/>
        <v>0.31900000000000001</v>
      </c>
      <c r="P181" s="10">
        <f t="shared" si="100"/>
        <v>9.5583756805017437</v>
      </c>
      <c r="Q181" s="45">
        <f t="shared" si="101"/>
        <v>0.60342562461137039</v>
      </c>
      <c r="R181" s="4">
        <f t="shared" si="102"/>
        <v>141819.96438477898</v>
      </c>
      <c r="S181">
        <f t="shared" si="82"/>
        <v>1.4181996438477899E-4</v>
      </c>
      <c r="T181" s="44">
        <f t="shared" si="83"/>
        <v>9.4047821250536423E-5</v>
      </c>
      <c r="U181" s="45">
        <f t="shared" si="103"/>
        <v>0.25450301708670509</v>
      </c>
      <c r="V181" s="45">
        <f t="shared" si="104"/>
        <v>0.2452528777579478</v>
      </c>
      <c r="W181" s="45">
        <f t="shared" si="105"/>
        <v>0.24461526127182953</v>
      </c>
      <c r="X181" s="45">
        <f t="shared" si="106"/>
        <v>6.3761648611826427E-4</v>
      </c>
      <c r="Y181" s="45">
        <f t="shared" si="89"/>
        <v>4.3038540376215845E-4</v>
      </c>
      <c r="Z181" s="10">
        <f t="shared" si="107"/>
        <v>4.5762400238453544</v>
      </c>
      <c r="AA181">
        <f t="shared" si="84"/>
        <v>1580499.4887715599</v>
      </c>
      <c r="AB181" s="10">
        <f t="shared" si="85"/>
        <v>1.58049948877156</v>
      </c>
      <c r="AC181" s="10">
        <f t="shared" si="86"/>
        <v>1.47949948877156</v>
      </c>
      <c r="AD181" s="3">
        <f t="shared" si="87"/>
        <v>214.57570540559246</v>
      </c>
      <c r="AI181" s="100">
        <f t="shared" si="88"/>
        <v>0.24461526127182953</v>
      </c>
    </row>
    <row r="182" spans="2:35">
      <c r="B182" s="39">
        <f t="shared" si="90"/>
        <v>154</v>
      </c>
      <c r="C182" s="45">
        <f t="shared" si="91"/>
        <v>4.5239808153475112</v>
      </c>
      <c r="D182" s="10">
        <f t="shared" si="92"/>
        <v>10.926019184652615</v>
      </c>
      <c r="E182" s="40">
        <f t="shared" si="93"/>
        <v>26.487961630694773</v>
      </c>
      <c r="F182" s="40">
        <f t="shared" si="94"/>
        <v>48.34</v>
      </c>
      <c r="G182" s="3">
        <f t="shared" si="95"/>
        <v>110.10407673861044</v>
      </c>
      <c r="H182" s="3">
        <f t="shared" si="96"/>
        <v>148.0155219248214</v>
      </c>
      <c r="I182">
        <f t="shared" si="78"/>
        <v>1.4801552192482141E-4</v>
      </c>
      <c r="J182" s="4">
        <f t="shared" si="97"/>
        <v>555.60362877065882</v>
      </c>
      <c r="K182" s="40">
        <f t="shared" si="98"/>
        <v>3.7536848942967995</v>
      </c>
      <c r="L182" s="40">
        <f t="shared" si="79"/>
        <v>2.2463151057032005</v>
      </c>
      <c r="M182" s="10">
        <f t="shared" si="99"/>
        <v>1.58049948877156</v>
      </c>
      <c r="N182" s="10">
        <f t="shared" si="80"/>
        <v>8.26</v>
      </c>
      <c r="O182" s="10">
        <f t="shared" si="81"/>
        <v>0.31900000000000001</v>
      </c>
      <c r="P182" s="10">
        <f t="shared" si="100"/>
        <v>9.5586255322709253</v>
      </c>
      <c r="Q182" s="45">
        <f t="shared" si="101"/>
        <v>0.60649892199097577</v>
      </c>
      <c r="R182" s="4">
        <f t="shared" si="102"/>
        <v>141399.91559129549</v>
      </c>
      <c r="S182">
        <f t="shared" si="82"/>
        <v>1.4139991559129549E-4</v>
      </c>
      <c r="T182" s="44">
        <f t="shared" si="83"/>
        <v>9.4467870044019918E-5</v>
      </c>
      <c r="U182" s="45">
        <f t="shared" si="103"/>
        <v>0.25374921852435933</v>
      </c>
      <c r="V182" s="45">
        <f t="shared" si="104"/>
        <v>0.24527355125085348</v>
      </c>
      <c r="W182" s="45">
        <f t="shared" si="105"/>
        <v>0.24463667465487407</v>
      </c>
      <c r="X182" s="45">
        <f t="shared" si="106"/>
        <v>6.3687659597941315E-4</v>
      </c>
      <c r="Y182" s="45">
        <f t="shared" si="89"/>
        <v>4.3234271493571398E-4</v>
      </c>
      <c r="Z182" s="10">
        <f t="shared" si="107"/>
        <v>4.5766112301913013</v>
      </c>
      <c r="AA182">
        <f t="shared" si="84"/>
        <v>1580619.499871545</v>
      </c>
      <c r="AB182" s="10">
        <f t="shared" si="85"/>
        <v>1.580619499871545</v>
      </c>
      <c r="AC182" s="10">
        <f t="shared" si="86"/>
        <v>1.4796194998715451</v>
      </c>
      <c r="AD182" s="3">
        <f t="shared" si="87"/>
        <v>214.59311093133357</v>
      </c>
      <c r="AI182" s="100">
        <f t="shared" si="88"/>
        <v>0.24463667465487407</v>
      </c>
    </row>
    <row r="183" spans="2:35">
      <c r="B183" s="39">
        <f t="shared" si="90"/>
        <v>155</v>
      </c>
      <c r="C183" s="45">
        <f t="shared" si="91"/>
        <v>4.5533573141484691</v>
      </c>
      <c r="D183" s="10">
        <f t="shared" si="92"/>
        <v>10.896642685851658</v>
      </c>
      <c r="E183" s="40">
        <f t="shared" si="93"/>
        <v>26.546714628296687</v>
      </c>
      <c r="F183" s="40">
        <f t="shared" si="94"/>
        <v>48.34</v>
      </c>
      <c r="G183" s="3">
        <f t="shared" si="95"/>
        <v>109.98657074340662</v>
      </c>
      <c r="H183" s="3">
        <f t="shared" si="96"/>
        <v>148.0155219248214</v>
      </c>
      <c r="I183">
        <f t="shared" si="78"/>
        <v>1.4801552192482141E-4</v>
      </c>
      <c r="J183" s="4">
        <f t="shared" si="97"/>
        <v>558.05088719893115</v>
      </c>
      <c r="K183" s="40">
        <f t="shared" si="98"/>
        <v>3.7702186901882553</v>
      </c>
      <c r="L183" s="40">
        <f t="shared" si="79"/>
        <v>2.2297813098117447</v>
      </c>
      <c r="M183" s="10">
        <f t="shared" si="99"/>
        <v>1.580619499871545</v>
      </c>
      <c r="N183" s="10">
        <f t="shared" si="80"/>
        <v>8.26</v>
      </c>
      <c r="O183" s="10">
        <f t="shared" si="81"/>
        <v>0.31900000000000001</v>
      </c>
      <c r="P183" s="10">
        <f t="shared" si="100"/>
        <v>9.5588570594388536</v>
      </c>
      <c r="Q183" s="45">
        <f t="shared" si="101"/>
        <v>0.60957214493157308</v>
      </c>
      <c r="R183" s="4">
        <f t="shared" si="102"/>
        <v>140979.84428336105</v>
      </c>
      <c r="S183">
        <f t="shared" si="82"/>
        <v>1.4097984428336106E-4</v>
      </c>
      <c r="T183" s="44">
        <f t="shared" si="83"/>
        <v>9.4887941351954355E-5</v>
      </c>
      <c r="U183" s="45">
        <f t="shared" si="103"/>
        <v>0.25299537955870555</v>
      </c>
      <c r="V183" s="45">
        <f t="shared" si="104"/>
        <v>0.24529263910390775</v>
      </c>
      <c r="W183" s="45">
        <f t="shared" si="105"/>
        <v>0.24465651860659207</v>
      </c>
      <c r="X183" s="45">
        <f t="shared" si="106"/>
        <v>6.3612049731567866E-4</v>
      </c>
      <c r="Y183" s="45">
        <f t="shared" si="89"/>
        <v>4.3429765504104868E-4</v>
      </c>
      <c r="Z183" s="10">
        <f t="shared" si="107"/>
        <v>4.5769530759463954</v>
      </c>
      <c r="AA183">
        <f t="shared" si="84"/>
        <v>1580730.0186855199</v>
      </c>
      <c r="AB183" s="10">
        <f t="shared" si="85"/>
        <v>1.58073001868552</v>
      </c>
      <c r="AC183" s="10">
        <f t="shared" si="86"/>
        <v>1.47973001868552</v>
      </c>
      <c r="AD183" s="3">
        <f t="shared" si="87"/>
        <v>214.60913976584771</v>
      </c>
      <c r="AI183" s="100">
        <f t="shared" si="88"/>
        <v>0.24465651860659207</v>
      </c>
    </row>
    <row r="184" spans="2:35">
      <c r="B184" s="39">
        <f t="shared" si="90"/>
        <v>156</v>
      </c>
      <c r="C184" s="45">
        <f t="shared" si="91"/>
        <v>4.5827338129494271</v>
      </c>
      <c r="D184" s="10">
        <f t="shared" si="92"/>
        <v>10.867266187050701</v>
      </c>
      <c r="E184" s="40">
        <f t="shared" si="93"/>
        <v>26.605467625898601</v>
      </c>
      <c r="F184" s="40">
        <f t="shared" si="94"/>
        <v>48.34</v>
      </c>
      <c r="G184" s="3">
        <f t="shared" si="95"/>
        <v>109.86906474820279</v>
      </c>
      <c r="H184" s="3">
        <f t="shared" si="96"/>
        <v>148.0155219248214</v>
      </c>
      <c r="I184">
        <f t="shared" si="78"/>
        <v>1.4801552192482141E-4</v>
      </c>
      <c r="J184" s="4">
        <f t="shared" si="97"/>
        <v>560.50356788217755</v>
      </c>
      <c r="K184" s="40">
        <f t="shared" si="98"/>
        <v>3.7867891190956517</v>
      </c>
      <c r="L184" s="40">
        <f t="shared" si="79"/>
        <v>2.2132108809043483</v>
      </c>
      <c r="M184" s="10">
        <f t="shared" si="99"/>
        <v>1.58073001868552</v>
      </c>
      <c r="N184" s="10">
        <f t="shared" si="80"/>
        <v>8.26</v>
      </c>
      <c r="O184" s="10">
        <f t="shared" si="81"/>
        <v>0.31900000000000001</v>
      </c>
      <c r="P184" s="10">
        <f t="shared" si="100"/>
        <v>9.5590702633616456</v>
      </c>
      <c r="Q184" s="45">
        <f t="shared" si="101"/>
        <v>0.61264529932751399</v>
      </c>
      <c r="R184" s="4">
        <f t="shared" si="102"/>
        <v>140559.75237241806</v>
      </c>
      <c r="S184">
        <f t="shared" si="82"/>
        <v>1.4055975237241806E-4</v>
      </c>
      <c r="T184" s="44">
        <f t="shared" si="83"/>
        <v>9.5308033262897349E-5</v>
      </c>
      <c r="U184" s="45">
        <f t="shared" si="103"/>
        <v>0.25224150361992281</v>
      </c>
      <c r="V184" s="45">
        <f t="shared" si="104"/>
        <v>0.2453101411951408</v>
      </c>
      <c r="W184" s="45">
        <f t="shared" si="105"/>
        <v>0.24467479299961681</v>
      </c>
      <c r="X184" s="45">
        <f t="shared" si="106"/>
        <v>6.3534819552399369E-4</v>
      </c>
      <c r="Y184" s="45">
        <f t="shared" si="89"/>
        <v>4.3625017814107639E-4</v>
      </c>
      <c r="Z184" s="10">
        <f t="shared" si="107"/>
        <v>4.5772655589033651</v>
      </c>
      <c r="AA184">
        <f t="shared" si="84"/>
        <v>1580831.0444998736</v>
      </c>
      <c r="AB184" s="10">
        <f t="shared" si="85"/>
        <v>1.5808310444998737</v>
      </c>
      <c r="AC184" s="10">
        <f t="shared" si="86"/>
        <v>1.4798310444998737</v>
      </c>
      <c r="AD184" s="3">
        <f t="shared" si="87"/>
        <v>214.62379180563795</v>
      </c>
      <c r="AI184" s="100">
        <f t="shared" si="88"/>
        <v>0.24467479299961681</v>
      </c>
    </row>
    <row r="185" spans="2:35">
      <c r="B185" s="39">
        <f t="shared" si="90"/>
        <v>157</v>
      </c>
      <c r="C185" s="45">
        <f t="shared" si="91"/>
        <v>4.612110311750385</v>
      </c>
      <c r="D185" s="10">
        <f t="shared" si="92"/>
        <v>10.837889688249744</v>
      </c>
      <c r="E185" s="40">
        <f t="shared" si="93"/>
        <v>26.664220623500515</v>
      </c>
      <c r="F185" s="40">
        <f t="shared" si="94"/>
        <v>48.34</v>
      </c>
      <c r="G185" s="3">
        <f t="shared" si="95"/>
        <v>109.75155875299896</v>
      </c>
      <c r="H185" s="3">
        <f t="shared" si="96"/>
        <v>148.0155219248214</v>
      </c>
      <c r="I185">
        <f t="shared" si="78"/>
        <v>1.4801552192482141E-4</v>
      </c>
      <c r="J185" s="4">
        <f t="shared" si="97"/>
        <v>562.96167082039756</v>
      </c>
      <c r="K185" s="40">
        <f t="shared" si="98"/>
        <v>3.8033961810189849</v>
      </c>
      <c r="L185" s="40">
        <f t="shared" si="79"/>
        <v>2.1966038189810151</v>
      </c>
      <c r="M185" s="10">
        <f t="shared" si="99"/>
        <v>1.5808310444998737</v>
      </c>
      <c r="N185" s="10">
        <f t="shared" si="80"/>
        <v>8.26</v>
      </c>
      <c r="O185" s="10">
        <f t="shared" si="81"/>
        <v>0.31900000000000001</v>
      </c>
      <c r="P185" s="10">
        <f t="shared" si="100"/>
        <v>9.5592651452796833</v>
      </c>
      <c r="Q185" s="45">
        <f t="shared" si="101"/>
        <v>0.61571839107196291</v>
      </c>
      <c r="R185" s="4">
        <f t="shared" si="102"/>
        <v>140139.64176990898</v>
      </c>
      <c r="S185">
        <f t="shared" si="82"/>
        <v>1.4013964176990898E-4</v>
      </c>
      <c r="T185" s="44">
        <f t="shared" si="83"/>
        <v>9.5728143865406434E-5</v>
      </c>
      <c r="U185" s="45">
        <f t="shared" si="103"/>
        <v>0.25148759413819016</v>
      </c>
      <c r="V185" s="45">
        <f t="shared" si="104"/>
        <v>0.24532605741253108</v>
      </c>
      <c r="W185" s="45">
        <f t="shared" si="105"/>
        <v>0.24469149771595181</v>
      </c>
      <c r="X185" s="45">
        <f t="shared" si="106"/>
        <v>6.3455969657927325E-4</v>
      </c>
      <c r="Y185" s="45">
        <f t="shared" si="89"/>
        <v>4.3820023830599416E-4</v>
      </c>
      <c r="Z185" s="10">
        <f t="shared" si="107"/>
        <v>4.5775486770338176</v>
      </c>
      <c r="AA185">
        <f t="shared" si="84"/>
        <v>1580922.5766588261</v>
      </c>
      <c r="AB185" s="10">
        <f t="shared" si="85"/>
        <v>1.5809225766588262</v>
      </c>
      <c r="AC185" s="10">
        <f t="shared" si="86"/>
        <v>1.4799225766588262</v>
      </c>
      <c r="AD185" s="3">
        <f t="shared" si="87"/>
        <v>214.63706695559483</v>
      </c>
      <c r="AI185" s="100">
        <f t="shared" si="88"/>
        <v>0.24469149771595181</v>
      </c>
    </row>
    <row r="186" spans="2:35">
      <c r="B186" s="39">
        <f t="shared" si="90"/>
        <v>158</v>
      </c>
      <c r="C186" s="45">
        <f t="shared" si="91"/>
        <v>4.6414868105513429</v>
      </c>
      <c r="D186" s="10">
        <f t="shared" si="92"/>
        <v>10.808513189448787</v>
      </c>
      <c r="E186" s="40">
        <f t="shared" si="93"/>
        <v>26.72297362110243</v>
      </c>
      <c r="F186" s="40">
        <f t="shared" si="94"/>
        <v>48.34</v>
      </c>
      <c r="G186" s="3">
        <f t="shared" si="95"/>
        <v>109.63405275779513</v>
      </c>
      <c r="H186" s="3">
        <f t="shared" si="96"/>
        <v>148.0155219248214</v>
      </c>
      <c r="I186">
        <f t="shared" si="78"/>
        <v>1.4801552192482141E-4</v>
      </c>
      <c r="J186" s="4">
        <f t="shared" si="97"/>
        <v>565.42519601359186</v>
      </c>
      <c r="K186" s="40">
        <f t="shared" si="98"/>
        <v>3.8200398759582601</v>
      </c>
      <c r="L186" s="40">
        <f t="shared" si="79"/>
        <v>2.1799601240417399</v>
      </c>
      <c r="M186" s="10">
        <f t="shared" si="99"/>
        <v>1.5809225766588262</v>
      </c>
      <c r="N186" s="10">
        <f t="shared" si="80"/>
        <v>8.26</v>
      </c>
      <c r="O186" s="10">
        <f t="shared" si="81"/>
        <v>0.31900000000000001</v>
      </c>
      <c r="P186" s="10">
        <f t="shared" si="100"/>
        <v>9.5594417063199018</v>
      </c>
      <c r="Q186" s="45">
        <f t="shared" si="101"/>
        <v>0.61879142605700144</v>
      </c>
      <c r="R186" s="4">
        <f t="shared" si="102"/>
        <v>139719.51438727611</v>
      </c>
      <c r="S186">
        <f t="shared" si="82"/>
        <v>1.3971951438727611E-4</v>
      </c>
      <c r="T186" s="44">
        <f t="shared" si="83"/>
        <v>9.6148271248039304E-5</v>
      </c>
      <c r="U186" s="45">
        <f t="shared" si="103"/>
        <v>0.25073365454368635</v>
      </c>
      <c r="V186" s="45">
        <f t="shared" si="104"/>
        <v>0.24534038765405222</v>
      </c>
      <c r="W186" s="45">
        <f t="shared" si="105"/>
        <v>0.24470663264716344</v>
      </c>
      <c r="X186" s="45">
        <f t="shared" si="106"/>
        <v>6.3375500688878095E-4</v>
      </c>
      <c r="Y186" s="45">
        <f t="shared" si="89"/>
        <v>4.4014778961410674E-4</v>
      </c>
      <c r="Z186" s="10">
        <f t="shared" si="107"/>
        <v>4.5778024284870584</v>
      </c>
      <c r="AA186">
        <f t="shared" si="84"/>
        <v>1581004.614564047</v>
      </c>
      <c r="AB186" s="10">
        <f t="shared" si="85"/>
        <v>1.5810046145640471</v>
      </c>
      <c r="AC186" s="10">
        <f t="shared" si="86"/>
        <v>1.4800046145640471</v>
      </c>
      <c r="AD186" s="3">
        <f t="shared" si="87"/>
        <v>214.64896512894086</v>
      </c>
      <c r="AI186" s="100">
        <f t="shared" si="88"/>
        <v>0.24470663264716344</v>
      </c>
    </row>
    <row r="187" spans="2:35">
      <c r="B187" s="39">
        <f t="shared" si="90"/>
        <v>159</v>
      </c>
      <c r="C187" s="45">
        <f t="shared" si="91"/>
        <v>4.6708633093523009</v>
      </c>
      <c r="D187" s="10">
        <f t="shared" si="92"/>
        <v>10.77913669064783</v>
      </c>
      <c r="E187" s="40">
        <f t="shared" si="93"/>
        <v>26.781726618704344</v>
      </c>
      <c r="F187" s="40">
        <f t="shared" si="94"/>
        <v>48.34</v>
      </c>
      <c r="G187" s="3">
        <f t="shared" si="95"/>
        <v>109.5165467625913</v>
      </c>
      <c r="H187" s="3">
        <f t="shared" si="96"/>
        <v>148.0155219248214</v>
      </c>
      <c r="I187">
        <f t="shared" si="78"/>
        <v>1.4801552192482141E-4</v>
      </c>
      <c r="J187" s="4">
        <f t="shared" si="97"/>
        <v>567.89414346175977</v>
      </c>
      <c r="K187" s="40">
        <f t="shared" si="98"/>
        <v>3.836720203913472</v>
      </c>
      <c r="L187" s="40">
        <f t="shared" si="79"/>
        <v>2.163279796086528</v>
      </c>
      <c r="M187" s="10">
        <f t="shared" si="99"/>
        <v>1.5810046145640471</v>
      </c>
      <c r="N187" s="10">
        <f t="shared" si="80"/>
        <v>8.26</v>
      </c>
      <c r="O187" s="10">
        <f t="shared" si="81"/>
        <v>0.31900000000000001</v>
      </c>
      <c r="P187" s="10">
        <f t="shared" si="100"/>
        <v>9.5595999474951068</v>
      </c>
      <c r="Q187" s="45">
        <f t="shared" si="101"/>
        <v>0.62186441017373273</v>
      </c>
      <c r="R187" s="4">
        <f t="shared" si="102"/>
        <v>139299.37213596192</v>
      </c>
      <c r="S187">
        <f t="shared" si="82"/>
        <v>1.3929937213596192E-4</v>
      </c>
      <c r="T187" s="44">
        <f t="shared" si="83"/>
        <v>9.6568413499353492E-5</v>
      </c>
      <c r="U187" s="45">
        <f t="shared" si="103"/>
        <v>0.24997968826659045</v>
      </c>
      <c r="V187" s="45">
        <f t="shared" si="104"/>
        <v>0.2453531318274057</v>
      </c>
      <c r="W187" s="45">
        <f t="shared" si="105"/>
        <v>0.24472019769431705</v>
      </c>
      <c r="X187" s="45">
        <f t="shared" si="106"/>
        <v>6.3293413308865287E-4</v>
      </c>
      <c r="Y187" s="45">
        <f t="shared" si="89"/>
        <v>4.4209278615202525E-4</v>
      </c>
      <c r="Z187" s="10">
        <f t="shared" si="107"/>
        <v>4.5780268115824949</v>
      </c>
      <c r="AA187">
        <f t="shared" si="84"/>
        <v>1581077.1576722006</v>
      </c>
      <c r="AB187" s="10">
        <f t="shared" si="85"/>
        <v>1.5810771576722007</v>
      </c>
      <c r="AC187" s="10">
        <f t="shared" si="86"/>
        <v>1.4800771576722007</v>
      </c>
      <c r="AD187" s="3">
        <f t="shared" si="87"/>
        <v>214.65948624687468</v>
      </c>
      <c r="AI187" s="100">
        <f t="shared" si="88"/>
        <v>0.24472019769431705</v>
      </c>
    </row>
    <row r="188" spans="2:35">
      <c r="B188" s="39">
        <f t="shared" si="90"/>
        <v>160</v>
      </c>
      <c r="C188" s="45">
        <f t="shared" si="91"/>
        <v>4.7002398081532588</v>
      </c>
      <c r="D188" s="10">
        <f t="shared" si="92"/>
        <v>10.749760191846873</v>
      </c>
      <c r="E188" s="40">
        <f t="shared" si="93"/>
        <v>26.840479616306258</v>
      </c>
      <c r="F188" s="40">
        <f t="shared" si="94"/>
        <v>48.34</v>
      </c>
      <c r="G188" s="3">
        <f t="shared" si="95"/>
        <v>109.39904076738748</v>
      </c>
      <c r="H188" s="3">
        <f t="shared" si="96"/>
        <v>148.0155219248214</v>
      </c>
      <c r="I188">
        <f t="shared" si="78"/>
        <v>1.4801552192482141E-4</v>
      </c>
      <c r="J188" s="4">
        <f t="shared" si="97"/>
        <v>570.36851316490174</v>
      </c>
      <c r="K188" s="40">
        <f t="shared" si="98"/>
        <v>3.8534371648846246</v>
      </c>
      <c r="L188" s="40">
        <f t="shared" si="79"/>
        <v>2.1465628351153754</v>
      </c>
      <c r="M188" s="10">
        <f t="shared" si="99"/>
        <v>1.5810771576722007</v>
      </c>
      <c r="N188" s="10">
        <f t="shared" si="80"/>
        <v>8.26</v>
      </c>
      <c r="O188" s="10">
        <f t="shared" si="81"/>
        <v>0.31900000000000001</v>
      </c>
      <c r="P188" s="10">
        <f t="shared" si="100"/>
        <v>9.5597398696992695</v>
      </c>
      <c r="Q188" s="45">
        <f t="shared" si="101"/>
        <v>0.62493734931238754</v>
      </c>
      <c r="R188" s="4">
        <f t="shared" si="102"/>
        <v>138879.21692740879</v>
      </c>
      <c r="S188">
        <f t="shared" si="82"/>
        <v>1.388792169274088E-4</v>
      </c>
      <c r="T188" s="44">
        <f t="shared" si="83"/>
        <v>9.6988568707906614E-5</v>
      </c>
      <c r="U188" s="45">
        <f t="shared" si="103"/>
        <v>0.24922569873708142</v>
      </c>
      <c r="V188" s="45">
        <f t="shared" si="104"/>
        <v>0.24536428985023531</v>
      </c>
      <c r="W188" s="45">
        <f t="shared" si="105"/>
        <v>0.24473219276757152</v>
      </c>
      <c r="X188" s="45">
        <f t="shared" si="106"/>
        <v>6.3209708266379061E-4</v>
      </c>
      <c r="Y188" s="45">
        <f t="shared" si="89"/>
        <v>4.4403518201677233E-4</v>
      </c>
      <c r="Z188" s="10">
        <f t="shared" si="107"/>
        <v>4.5782218248218571</v>
      </c>
      <c r="AA188">
        <f t="shared" si="84"/>
        <v>1581140.2054988961</v>
      </c>
      <c r="AB188" s="10">
        <f t="shared" si="85"/>
        <v>1.5811402054988961</v>
      </c>
      <c r="AC188" s="10">
        <f t="shared" si="86"/>
        <v>1.4801402054988961</v>
      </c>
      <c r="AD188" s="3">
        <f t="shared" si="87"/>
        <v>214.66863023914374</v>
      </c>
      <c r="AI188" s="100">
        <f t="shared" si="88"/>
        <v>0.24473219276757152</v>
      </c>
    </row>
    <row r="189" spans="2:35">
      <c r="B189" s="39">
        <f t="shared" si="90"/>
        <v>161</v>
      </c>
      <c r="C189" s="45">
        <f t="shared" si="91"/>
        <v>4.7296163069542168</v>
      </c>
      <c r="D189" s="10">
        <f t="shared" si="92"/>
        <v>10.720383693045916</v>
      </c>
      <c r="E189" s="40">
        <f t="shared" si="93"/>
        <v>26.899232613908172</v>
      </c>
      <c r="F189" s="40">
        <f t="shared" si="94"/>
        <v>48.34</v>
      </c>
      <c r="G189" s="3">
        <f t="shared" si="95"/>
        <v>109.28153477218365</v>
      </c>
      <c r="H189" s="3">
        <f t="shared" si="96"/>
        <v>148.0155219248214</v>
      </c>
      <c r="I189">
        <f t="shared" si="78"/>
        <v>1.4801552192482141E-4</v>
      </c>
      <c r="J189" s="4">
        <f t="shared" si="97"/>
        <v>572.84830512301755</v>
      </c>
      <c r="K189" s="40">
        <f t="shared" si="98"/>
        <v>3.8701907588717153</v>
      </c>
      <c r="L189" s="40">
        <f t="shared" si="79"/>
        <v>2.1298092411282847</v>
      </c>
      <c r="M189" s="10">
        <f t="shared" si="99"/>
        <v>1.5811402054988961</v>
      </c>
      <c r="N189" s="10">
        <f t="shared" si="80"/>
        <v>8.26</v>
      </c>
      <c r="O189" s="10">
        <f t="shared" si="81"/>
        <v>0.31900000000000001</v>
      </c>
      <c r="P189" s="10">
        <f t="shared" si="100"/>
        <v>9.5598614737151859</v>
      </c>
      <c r="Q189" s="45">
        <f t="shared" si="101"/>
        <v>0.62801024936242789</v>
      </c>
      <c r="R189" s="4">
        <f t="shared" si="102"/>
        <v>138459.05067305916</v>
      </c>
      <c r="S189">
        <f t="shared" si="82"/>
        <v>1.3845905067305916E-4</v>
      </c>
      <c r="T189" s="44">
        <f t="shared" si="83"/>
        <v>9.7408734962256256E-5</v>
      </c>
      <c r="U189" s="45">
        <f t="shared" si="103"/>
        <v>0.24847168938533831</v>
      </c>
      <c r="V189" s="45">
        <f t="shared" si="104"/>
        <v>0.24537386165007413</v>
      </c>
      <c r="W189" s="45">
        <f t="shared" si="105"/>
        <v>0.24474261778683243</v>
      </c>
      <c r="X189" s="45">
        <f t="shared" si="106"/>
        <v>6.312438632417039E-4</v>
      </c>
      <c r="Y189" s="45">
        <f t="shared" si="89"/>
        <v>4.4597493131571543E-4</v>
      </c>
      <c r="Z189" s="10">
        <f t="shared" si="107"/>
        <v>4.5783874668788265</v>
      </c>
      <c r="AA189">
        <f t="shared" si="84"/>
        <v>1581193.7576153341</v>
      </c>
      <c r="AB189" s="10">
        <f t="shared" si="85"/>
        <v>1.5811937576153341</v>
      </c>
      <c r="AC189" s="10">
        <f t="shared" si="86"/>
        <v>1.4801937576153341</v>
      </c>
      <c r="AD189" s="3">
        <f t="shared" si="87"/>
        <v>214.67639704355824</v>
      </c>
      <c r="AI189" s="100">
        <f t="shared" si="88"/>
        <v>0.24474261778683243</v>
      </c>
    </row>
    <row r="190" spans="2:35">
      <c r="B190" s="39">
        <f t="shared" si="90"/>
        <v>162</v>
      </c>
      <c r="C190" s="45">
        <f t="shared" si="91"/>
        <v>4.7589928057551747</v>
      </c>
      <c r="D190" s="10">
        <f t="shared" si="92"/>
        <v>10.691007194244959</v>
      </c>
      <c r="E190" s="40">
        <f t="shared" si="93"/>
        <v>26.957985611510086</v>
      </c>
      <c r="F190" s="40">
        <f t="shared" si="94"/>
        <v>48.34</v>
      </c>
      <c r="G190" s="3">
        <f t="shared" si="95"/>
        <v>109.16402877697982</v>
      </c>
      <c r="H190" s="3">
        <f t="shared" si="96"/>
        <v>148.0155219248214</v>
      </c>
      <c r="I190">
        <f t="shared" si="78"/>
        <v>1.4801552192482141E-4</v>
      </c>
      <c r="J190" s="4">
        <f t="shared" si="97"/>
        <v>575.3335193361072</v>
      </c>
      <c r="K190" s="40">
        <f t="shared" si="98"/>
        <v>3.8869809858747448</v>
      </c>
      <c r="L190" s="40">
        <f t="shared" si="79"/>
        <v>2.1130190141252552</v>
      </c>
      <c r="M190" s="10">
        <f t="shared" si="99"/>
        <v>1.5811937576153341</v>
      </c>
      <c r="N190" s="10">
        <f t="shared" si="80"/>
        <v>8.26</v>
      </c>
      <c r="O190" s="10">
        <f t="shared" si="81"/>
        <v>0.31900000000000001</v>
      </c>
      <c r="P190" s="10">
        <f t="shared" si="100"/>
        <v>9.5599647602080502</v>
      </c>
      <c r="Q190" s="45">
        <f t="shared" si="101"/>
        <v>0.63108311621265245</v>
      </c>
      <c r="R190" s="4">
        <f t="shared" si="102"/>
        <v>138038.87528435537</v>
      </c>
      <c r="S190">
        <f t="shared" si="82"/>
        <v>1.3803887528435538E-4</v>
      </c>
      <c r="T190" s="44">
        <f t="shared" si="83"/>
        <v>9.7828910350960033E-5</v>
      </c>
      <c r="U190" s="45">
        <f t="shared" si="103"/>
        <v>0.24771766364153991</v>
      </c>
      <c r="V190" s="45">
        <f t="shared" si="104"/>
        <v>0.24538184716441558</v>
      </c>
      <c r="W190" s="45">
        <f t="shared" si="105"/>
        <v>0.24475147268119746</v>
      </c>
      <c r="X190" s="45">
        <f t="shared" si="106"/>
        <v>6.3037448321812128E-4</v>
      </c>
      <c r="Y190" s="45">
        <f t="shared" si="89"/>
        <v>4.4791198816842383E-4</v>
      </c>
      <c r="Z190" s="10">
        <f t="shared" si="107"/>
        <v>4.5785237366085854</v>
      </c>
      <c r="AA190">
        <f t="shared" si="84"/>
        <v>1581237.8136513948</v>
      </c>
      <c r="AB190" s="10">
        <f t="shared" si="85"/>
        <v>1.5812378136513947</v>
      </c>
      <c r="AC190" s="10">
        <f t="shared" si="86"/>
        <v>1.4802378136513947</v>
      </c>
      <c r="AD190" s="3">
        <f t="shared" si="87"/>
        <v>214.6827866064387</v>
      </c>
      <c r="AI190" s="100">
        <f t="shared" si="88"/>
        <v>0.24475147268119746</v>
      </c>
    </row>
    <row r="191" spans="2:35">
      <c r="B191" s="39">
        <f t="shared" si="90"/>
        <v>163</v>
      </c>
      <c r="C191" s="45">
        <f t="shared" si="91"/>
        <v>4.7883693045561326</v>
      </c>
      <c r="D191" s="10">
        <f t="shared" si="92"/>
        <v>10.661630695444002</v>
      </c>
      <c r="E191" s="40">
        <f t="shared" si="93"/>
        <v>27.016738609112</v>
      </c>
      <c r="F191" s="40">
        <f t="shared" si="94"/>
        <v>48.34</v>
      </c>
      <c r="G191" s="3">
        <f t="shared" si="95"/>
        <v>109.04652278177599</v>
      </c>
      <c r="H191" s="3">
        <f t="shared" si="96"/>
        <v>148.0155219248214</v>
      </c>
      <c r="I191">
        <f t="shared" si="78"/>
        <v>1.4801552192482141E-4</v>
      </c>
      <c r="J191" s="4">
        <f t="shared" si="97"/>
        <v>577.82415580417114</v>
      </c>
      <c r="K191" s="40">
        <f t="shared" si="98"/>
        <v>3.903807845893716</v>
      </c>
      <c r="L191" s="40">
        <f t="shared" si="79"/>
        <v>2.096192154106284</v>
      </c>
      <c r="M191" s="10">
        <f t="shared" si="99"/>
        <v>1.5812378136513947</v>
      </c>
      <c r="N191" s="10">
        <f t="shared" si="80"/>
        <v>8.26</v>
      </c>
      <c r="O191" s="10">
        <f t="shared" si="81"/>
        <v>0.31900000000000001</v>
      </c>
      <c r="P191" s="10">
        <f t="shared" si="100"/>
        <v>9.5600497297314124</v>
      </c>
      <c r="Q191" s="45">
        <f t="shared" si="101"/>
        <v>0.63415595575130024</v>
      </c>
      <c r="R191" s="4">
        <f t="shared" si="102"/>
        <v>137618.69267273982</v>
      </c>
      <c r="S191">
        <f t="shared" si="82"/>
        <v>1.3761869267273983E-4</v>
      </c>
      <c r="T191" s="44">
        <f t="shared" si="83"/>
        <v>9.8249092962575586E-5</v>
      </c>
      <c r="U191" s="45">
        <f t="shared" si="103"/>
        <v>0.24696362493586524</v>
      </c>
      <c r="V191" s="45">
        <f t="shared" si="104"/>
        <v>0.24538824634054507</v>
      </c>
      <c r="W191" s="45">
        <f t="shared" si="105"/>
        <v>0.24475875738946681</v>
      </c>
      <c r="X191" s="45">
        <f t="shared" si="106"/>
        <v>6.2948895107825531E-4</v>
      </c>
      <c r="Y191" s="45">
        <f t="shared" si="89"/>
        <v>4.49846306706439E-4</v>
      </c>
      <c r="Z191" s="10">
        <f t="shared" si="107"/>
        <v>4.5786306330358855</v>
      </c>
      <c r="AA191">
        <f t="shared" si="84"/>
        <v>1581272.3732917805</v>
      </c>
      <c r="AB191" s="10">
        <f t="shared" si="85"/>
        <v>1.5812723732917804</v>
      </c>
      <c r="AC191" s="10">
        <f t="shared" si="86"/>
        <v>1.4802723732917804</v>
      </c>
      <c r="AD191" s="3">
        <f t="shared" si="87"/>
        <v>214.68779888205663</v>
      </c>
      <c r="AI191" s="100">
        <f t="shared" si="88"/>
        <v>0.24475875738946681</v>
      </c>
    </row>
    <row r="192" spans="2:35">
      <c r="B192" s="39">
        <f t="shared" si="90"/>
        <v>164</v>
      </c>
      <c r="C192" s="45">
        <f t="shared" si="91"/>
        <v>4.8177458033570906</v>
      </c>
      <c r="D192" s="10">
        <f t="shared" si="92"/>
        <v>10.632254196643045</v>
      </c>
      <c r="E192" s="40">
        <f t="shared" si="93"/>
        <v>27.075491606713914</v>
      </c>
      <c r="F192" s="40">
        <f t="shared" si="94"/>
        <v>48.34</v>
      </c>
      <c r="G192" s="3">
        <f t="shared" si="95"/>
        <v>108.92901678657216</v>
      </c>
      <c r="H192" s="3">
        <f t="shared" si="96"/>
        <v>148.0155219248214</v>
      </c>
      <c r="I192">
        <f t="shared" si="78"/>
        <v>1.4801552192482141E-4</v>
      </c>
      <c r="J192" s="4">
        <f t="shared" si="97"/>
        <v>580.32021452720846</v>
      </c>
      <c r="K192" s="40">
        <f t="shared" si="98"/>
        <v>3.920671338928623</v>
      </c>
      <c r="L192" s="40">
        <f t="shared" si="79"/>
        <v>2.079328661071377</v>
      </c>
      <c r="M192" s="10">
        <f t="shared" si="99"/>
        <v>1.5812723732917804</v>
      </c>
      <c r="N192" s="10">
        <f t="shared" si="80"/>
        <v>8.26</v>
      </c>
      <c r="O192" s="10">
        <f t="shared" si="81"/>
        <v>0.31900000000000001</v>
      </c>
      <c r="P192" s="10">
        <f t="shared" si="100"/>
        <v>9.560116382719789</v>
      </c>
      <c r="Q192" s="45">
        <f t="shared" si="101"/>
        <v>0.63722877386615673</v>
      </c>
      <c r="R192" s="4">
        <f t="shared" si="102"/>
        <v>137198.504749655</v>
      </c>
      <c r="S192">
        <f t="shared" si="82"/>
        <v>1.3719850474965499E-4</v>
      </c>
      <c r="T192" s="44">
        <f t="shared" si="83"/>
        <v>9.866928088566042E-5</v>
      </c>
      <c r="U192" s="45">
        <f t="shared" si="103"/>
        <v>0.24620957669849336</v>
      </c>
      <c r="V192" s="45">
        <f t="shared" si="104"/>
        <v>0.24539305913558623</v>
      </c>
      <c r="W192" s="45">
        <f t="shared" si="105"/>
        <v>0.24476447185950573</v>
      </c>
      <c r="X192" s="45">
        <f t="shared" si="106"/>
        <v>6.2858727608050557E-4</v>
      </c>
      <c r="Y192" s="45">
        <f t="shared" si="89"/>
        <v>4.5177784107514746E-4</v>
      </c>
      <c r="Z192" s="10">
        <f t="shared" si="107"/>
        <v>4.5787081553647386</v>
      </c>
      <c r="AA192">
        <f t="shared" si="84"/>
        <v>1581297.4362791476</v>
      </c>
      <c r="AB192" s="10">
        <f t="shared" si="85"/>
        <v>1.5812974362791477</v>
      </c>
      <c r="AC192" s="10">
        <f t="shared" si="86"/>
        <v>1.4802974362791477</v>
      </c>
      <c r="AD192" s="3">
        <f t="shared" si="87"/>
        <v>214.69143383308887</v>
      </c>
      <c r="AI192" s="100">
        <f t="shared" si="88"/>
        <v>0.24476447185950573</v>
      </c>
    </row>
    <row r="193" spans="2:35">
      <c r="B193" s="39">
        <f t="shared" si="90"/>
        <v>165</v>
      </c>
      <c r="C193" s="45">
        <f t="shared" si="91"/>
        <v>4.8471223021580485</v>
      </c>
      <c r="D193" s="10">
        <f t="shared" si="92"/>
        <v>10.602877697842088</v>
      </c>
      <c r="E193" s="40">
        <f t="shared" si="93"/>
        <v>27.134244604315828</v>
      </c>
      <c r="F193" s="40">
        <f t="shared" si="94"/>
        <v>48.34</v>
      </c>
      <c r="G193" s="3">
        <f t="shared" si="95"/>
        <v>108.81151079136833</v>
      </c>
      <c r="H193" s="3">
        <f t="shared" si="96"/>
        <v>148.0155219248214</v>
      </c>
      <c r="I193">
        <f t="shared" si="78"/>
        <v>1.4801552192482141E-4</v>
      </c>
      <c r="J193" s="4">
        <f t="shared" si="97"/>
        <v>582.82169550522008</v>
      </c>
      <c r="K193" s="40">
        <f t="shared" si="98"/>
        <v>3.9375714649794715</v>
      </c>
      <c r="L193" s="40">
        <f t="shared" si="79"/>
        <v>2.0624285350205285</v>
      </c>
      <c r="M193" s="10">
        <f t="shared" si="99"/>
        <v>1.5812974362791477</v>
      </c>
      <c r="N193" s="10">
        <f t="shared" si="80"/>
        <v>8.26</v>
      </c>
      <c r="O193" s="10">
        <f t="shared" si="81"/>
        <v>0.31900000000000001</v>
      </c>
      <c r="P193" s="10">
        <f t="shared" si="100"/>
        <v>9.5601647194947006</v>
      </c>
      <c r="Q193" s="45">
        <f t="shared" si="101"/>
        <v>0.64030157644465779</v>
      </c>
      <c r="R193" s="4">
        <f t="shared" si="102"/>
        <v>136778.3134265432</v>
      </c>
      <c r="S193">
        <f t="shared" si="82"/>
        <v>1.3677831342654321E-4</v>
      </c>
      <c r="T193" s="44">
        <f t="shared" si="83"/>
        <v>9.9089472208772206E-5</v>
      </c>
      <c r="U193" s="45">
        <f t="shared" si="103"/>
        <v>0.24545552235960308</v>
      </c>
      <c r="V193" s="45">
        <f t="shared" si="104"/>
        <v>0.24539628551669396</v>
      </c>
      <c r="W193" s="45">
        <f t="shared" si="105"/>
        <v>0.24476861604876232</v>
      </c>
      <c r="X193" s="45">
        <f t="shared" si="106"/>
        <v>6.2766946793163525E-4</v>
      </c>
      <c r="Y193" s="45">
        <f t="shared" si="89"/>
        <v>4.5370654543465416E-4</v>
      </c>
      <c r="Z193" s="10">
        <f t="shared" si="107"/>
        <v>4.578756302977748</v>
      </c>
      <c r="AA193">
        <f t="shared" si="84"/>
        <v>1581313.0024138917</v>
      </c>
      <c r="AB193" s="10">
        <f t="shared" si="85"/>
        <v>1.5813130024138917</v>
      </c>
      <c r="AC193" s="10">
        <f t="shared" si="86"/>
        <v>1.4803130024138917</v>
      </c>
      <c r="AD193" s="3">
        <f t="shared" si="87"/>
        <v>214.69369143058617</v>
      </c>
      <c r="AI193" s="100">
        <f t="shared" si="88"/>
        <v>0.24476861604876232</v>
      </c>
    </row>
    <row r="194" spans="2:35">
      <c r="B194" s="39">
        <f t="shared" si="90"/>
        <v>166</v>
      </c>
      <c r="C194" s="45">
        <f t="shared" si="91"/>
        <v>4.8764988009590065</v>
      </c>
      <c r="D194" s="10">
        <f t="shared" si="92"/>
        <v>10.573501199041131</v>
      </c>
      <c r="E194" s="40">
        <f t="shared" si="93"/>
        <v>27.192997601917742</v>
      </c>
      <c r="F194" s="40">
        <f t="shared" si="94"/>
        <v>48.34</v>
      </c>
      <c r="G194" s="3">
        <f t="shared" si="95"/>
        <v>108.69400479616451</v>
      </c>
      <c r="H194" s="3">
        <f t="shared" si="96"/>
        <v>148.0155219248214</v>
      </c>
      <c r="I194">
        <f t="shared" si="78"/>
        <v>1.4801552192482141E-4</v>
      </c>
      <c r="J194" s="4">
        <f t="shared" si="97"/>
        <v>585.32859873820553</v>
      </c>
      <c r="K194" s="40">
        <f t="shared" si="98"/>
        <v>3.9545082240462586</v>
      </c>
      <c r="L194" s="40">
        <f t="shared" si="79"/>
        <v>2.0454917759537414</v>
      </c>
      <c r="M194" s="10">
        <f t="shared" si="99"/>
        <v>1.5813130024138917</v>
      </c>
      <c r="N194" s="10">
        <f t="shared" si="80"/>
        <v>8.26</v>
      </c>
      <c r="O194" s="10">
        <f t="shared" si="81"/>
        <v>0.31900000000000001</v>
      </c>
      <c r="P194" s="10">
        <f t="shared" si="100"/>
        <v>9.5601947402642811</v>
      </c>
      <c r="Q194" s="45">
        <f t="shared" si="101"/>
        <v>0.64337436937399362</v>
      </c>
      <c r="R194" s="4">
        <f t="shared" si="102"/>
        <v>136358.12061484685</v>
      </c>
      <c r="S194">
        <f t="shared" si="82"/>
        <v>1.3635812061484686E-4</v>
      </c>
      <c r="T194" s="44">
        <f t="shared" si="83"/>
        <v>9.9509665020468556E-5</v>
      </c>
      <c r="U194" s="45">
        <f t="shared" si="103"/>
        <v>0.2447014653493734</v>
      </c>
      <c r="V194" s="45">
        <f t="shared" si="104"/>
        <v>0.24539792546081804</v>
      </c>
      <c r="W194" s="45">
        <f t="shared" si="105"/>
        <v>0.24477118992423161</v>
      </c>
      <c r="X194" s="45">
        <f t="shared" si="106"/>
        <v>6.2673553658643133E-4</v>
      </c>
      <c r="Y194" s="45">
        <f t="shared" si="89"/>
        <v>4.5563237396004043E-4</v>
      </c>
      <c r="Z194" s="10">
        <f t="shared" si="107"/>
        <v>4.5787750754293013</v>
      </c>
      <c r="AA194">
        <f t="shared" si="84"/>
        <v>1581319.0715519465</v>
      </c>
      <c r="AB194" s="10">
        <f t="shared" si="85"/>
        <v>1.5813190715519465</v>
      </c>
      <c r="AC194" s="10">
        <f t="shared" si="86"/>
        <v>1.4803190715519465</v>
      </c>
      <c r="AD194" s="3">
        <f t="shared" si="87"/>
        <v>214.69457165365432</v>
      </c>
      <c r="AI194" s="100">
        <f t="shared" si="88"/>
        <v>0.24477118992423161</v>
      </c>
    </row>
    <row r="195" spans="2:35">
      <c r="B195" s="39">
        <f t="shared" si="90"/>
        <v>167</v>
      </c>
      <c r="C195" s="45">
        <f t="shared" si="91"/>
        <v>4.9058752997599644</v>
      </c>
      <c r="D195" s="10">
        <f t="shared" si="92"/>
        <v>10.544124700240173</v>
      </c>
      <c r="E195" s="40">
        <f t="shared" si="93"/>
        <v>27.251750599519657</v>
      </c>
      <c r="F195" s="40">
        <f t="shared" si="94"/>
        <v>48.34</v>
      </c>
      <c r="G195" s="3">
        <f t="shared" si="95"/>
        <v>108.57649880096068</v>
      </c>
      <c r="H195" s="3">
        <f t="shared" si="96"/>
        <v>148.0155219248214</v>
      </c>
      <c r="I195">
        <f t="shared" si="78"/>
        <v>1.4801552192482141E-4</v>
      </c>
      <c r="J195" s="4">
        <f t="shared" si="97"/>
        <v>587.84092422616482</v>
      </c>
      <c r="K195" s="40">
        <f t="shared" si="98"/>
        <v>3.9714816161289845</v>
      </c>
      <c r="L195" s="40">
        <f t="shared" si="79"/>
        <v>2.0285183838710155</v>
      </c>
      <c r="M195" s="10">
        <f t="shared" si="99"/>
        <v>1.5813190715519465</v>
      </c>
      <c r="N195" s="10">
        <f t="shared" si="80"/>
        <v>8.26</v>
      </c>
      <c r="O195" s="10">
        <f t="shared" si="81"/>
        <v>0.31900000000000001</v>
      </c>
      <c r="P195" s="10">
        <f t="shared" si="100"/>
        <v>9.5602064451190376</v>
      </c>
      <c r="Q195" s="45">
        <f t="shared" si="101"/>
        <v>0.64644715854121459</v>
      </c>
      <c r="R195" s="4">
        <f t="shared" si="102"/>
        <v>135937.9282260084</v>
      </c>
      <c r="S195">
        <f t="shared" si="82"/>
        <v>1.3593792822600841E-4</v>
      </c>
      <c r="T195" s="44">
        <f t="shared" si="83"/>
        <v>9.9929857409307004E-5</v>
      </c>
      <c r="U195" s="45">
        <f t="shared" si="103"/>
        <v>0.24394740909798335</v>
      </c>
      <c r="V195" s="45">
        <f t="shared" si="104"/>
        <v>0.24539797895474119</v>
      </c>
      <c r="W195" s="45">
        <f t="shared" si="105"/>
        <v>0.2447721934620922</v>
      </c>
      <c r="X195" s="45">
        <f t="shared" si="106"/>
        <v>6.2578549264899475E-4</v>
      </c>
      <c r="Y195" s="45">
        <f t="shared" si="89"/>
        <v>4.575552808428563E-4</v>
      </c>
      <c r="Z195" s="10">
        <f t="shared" si="107"/>
        <v>4.5787644724512706</v>
      </c>
      <c r="AA195">
        <f t="shared" si="84"/>
        <v>1581315.6436066257</v>
      </c>
      <c r="AB195" s="10">
        <f t="shared" si="85"/>
        <v>1.5813156436066258</v>
      </c>
      <c r="AC195" s="10">
        <f t="shared" si="86"/>
        <v>1.4803156436066258</v>
      </c>
      <c r="AD195" s="3">
        <f t="shared" si="87"/>
        <v>214.69407448972092</v>
      </c>
      <c r="AI195" s="100">
        <f t="shared" si="88"/>
        <v>0.2447721934620922</v>
      </c>
    </row>
    <row r="196" spans="2:35">
      <c r="B196" s="39">
        <f t="shared" si="90"/>
        <v>168</v>
      </c>
      <c r="C196" s="45">
        <f t="shared" si="91"/>
        <v>4.9352517985609223</v>
      </c>
      <c r="D196" s="10">
        <f t="shared" si="92"/>
        <v>10.514748201439216</v>
      </c>
      <c r="E196" s="40">
        <f t="shared" si="93"/>
        <v>27.310503597121571</v>
      </c>
      <c r="F196" s="40">
        <f t="shared" si="94"/>
        <v>48.34</v>
      </c>
      <c r="G196" s="3">
        <f t="shared" si="95"/>
        <v>108.45899280575685</v>
      </c>
      <c r="H196" s="3">
        <f t="shared" si="96"/>
        <v>148.0155219248214</v>
      </c>
      <c r="I196">
        <f t="shared" si="78"/>
        <v>1.4801552192482141E-4</v>
      </c>
      <c r="J196" s="4">
        <f t="shared" si="97"/>
        <v>590.35867196909794</v>
      </c>
      <c r="K196" s="40">
        <f t="shared" si="98"/>
        <v>3.988491641227649</v>
      </c>
      <c r="L196" s="40">
        <f t="shared" si="79"/>
        <v>2.011508358772351</v>
      </c>
      <c r="M196" s="10">
        <f t="shared" si="99"/>
        <v>1.5813156436066258</v>
      </c>
      <c r="N196" s="10">
        <f t="shared" si="80"/>
        <v>8.26</v>
      </c>
      <c r="O196" s="10">
        <f t="shared" si="81"/>
        <v>0.31900000000000001</v>
      </c>
      <c r="P196" s="10">
        <f t="shared" si="100"/>
        <v>9.5601998340354033</v>
      </c>
      <c r="Q196" s="45">
        <f t="shared" si="101"/>
        <v>0.64951994983333528</v>
      </c>
      <c r="R196" s="4">
        <f t="shared" si="102"/>
        <v>135517.73817147024</v>
      </c>
      <c r="S196">
        <f t="shared" si="82"/>
        <v>1.3551773817147022E-4</v>
      </c>
      <c r="T196" s="44">
        <f t="shared" si="83"/>
        <v>1.0035004746384519E-4</v>
      </c>
      <c r="U196" s="45">
        <f t="shared" si="103"/>
        <v>0.2431933570356119</v>
      </c>
      <c r="V196" s="45">
        <f t="shared" si="104"/>
        <v>0.24539644599521077</v>
      </c>
      <c r="W196" s="45">
        <f t="shared" si="105"/>
        <v>0.24477162664801047</v>
      </c>
      <c r="X196" s="45">
        <f t="shared" si="106"/>
        <v>6.2481934720029497E-4</v>
      </c>
      <c r="Y196" s="45">
        <f t="shared" si="89"/>
        <v>4.5947522029208187E-4</v>
      </c>
      <c r="Z196" s="10">
        <f t="shared" si="107"/>
        <v>4.5787244939532767</v>
      </c>
      <c r="AA196">
        <f t="shared" si="84"/>
        <v>1581302.7185487102</v>
      </c>
      <c r="AB196" s="10">
        <f t="shared" si="85"/>
        <v>1.5813027185487103</v>
      </c>
      <c r="AC196" s="10">
        <f t="shared" si="86"/>
        <v>1.4803027185487103</v>
      </c>
      <c r="AD196" s="3">
        <f t="shared" si="87"/>
        <v>214.69219993454826</v>
      </c>
      <c r="AI196" s="100">
        <f t="shared" si="88"/>
        <v>0.24477162664801047</v>
      </c>
    </row>
    <row r="197" spans="2:35">
      <c r="B197" s="39">
        <f t="shared" si="90"/>
        <v>169</v>
      </c>
      <c r="C197" s="45">
        <f t="shared" si="91"/>
        <v>4.9646282973618803</v>
      </c>
      <c r="D197" s="10">
        <f t="shared" si="92"/>
        <v>10.485371702638259</v>
      </c>
      <c r="E197" s="40">
        <f t="shared" si="93"/>
        <v>27.369256594723485</v>
      </c>
      <c r="F197" s="40">
        <f t="shared" si="94"/>
        <v>48.34</v>
      </c>
      <c r="G197" s="3">
        <f t="shared" si="95"/>
        <v>108.34148681055302</v>
      </c>
      <c r="H197" s="3">
        <f t="shared" si="96"/>
        <v>148.0155219248214</v>
      </c>
      <c r="I197">
        <f t="shared" si="78"/>
        <v>1.4801552192482141E-4</v>
      </c>
      <c r="J197" s="4">
        <f t="shared" si="97"/>
        <v>592.88184196700513</v>
      </c>
      <c r="K197" s="40">
        <f t="shared" si="98"/>
        <v>4.0055382993422537</v>
      </c>
      <c r="L197" s="40">
        <f t="shared" si="79"/>
        <v>1.9944617006577463</v>
      </c>
      <c r="M197" s="10">
        <f t="shared" si="99"/>
        <v>1.5813027185487103</v>
      </c>
      <c r="N197" s="10">
        <f t="shared" si="80"/>
        <v>8.26</v>
      </c>
      <c r="O197" s="10">
        <f t="shared" si="81"/>
        <v>0.31900000000000001</v>
      </c>
      <c r="P197" s="10">
        <f t="shared" si="100"/>
        <v>9.5601749068759094</v>
      </c>
      <c r="Q197" s="45">
        <f t="shared" si="101"/>
        <v>0.65259274913743892</v>
      </c>
      <c r="R197" s="4">
        <f t="shared" si="102"/>
        <v>135097.55236267473</v>
      </c>
      <c r="S197">
        <f t="shared" si="82"/>
        <v>1.3509755236267473E-4</v>
      </c>
      <c r="T197" s="44">
        <f t="shared" si="83"/>
        <v>1.0077023327264068E-4</v>
      </c>
      <c r="U197" s="45">
        <f t="shared" si="103"/>
        <v>0.24243931259243792</v>
      </c>
      <c r="V197" s="45">
        <f t="shared" si="104"/>
        <v>0.24539332658887666</v>
      </c>
      <c r="W197" s="45">
        <f t="shared" si="105"/>
        <v>0.24476948947715491</v>
      </c>
      <c r="X197" s="45">
        <f t="shared" si="106"/>
        <v>6.2383711172175893E-4</v>
      </c>
      <c r="Y197" s="45">
        <f t="shared" si="89"/>
        <v>4.6139214653485454E-4</v>
      </c>
      <c r="Z197" s="10">
        <f t="shared" si="107"/>
        <v>4.5786551400206337</v>
      </c>
      <c r="AA197">
        <f t="shared" si="84"/>
        <v>1581280.2964057818</v>
      </c>
      <c r="AB197" s="10">
        <f t="shared" si="85"/>
        <v>1.5812802964057817</v>
      </c>
      <c r="AC197" s="10">
        <f t="shared" si="86"/>
        <v>1.4802802964057817</v>
      </c>
      <c r="AD197" s="3">
        <f t="shared" si="87"/>
        <v>214.68894799213658</v>
      </c>
      <c r="AI197" s="100">
        <f t="shared" si="88"/>
        <v>0.24476948947715491</v>
      </c>
    </row>
    <row r="198" spans="2:35">
      <c r="B198" s="39">
        <f t="shared" si="90"/>
        <v>170</v>
      </c>
      <c r="C198" s="45">
        <f t="shared" si="91"/>
        <v>4.9940047961628382</v>
      </c>
      <c r="D198" s="10">
        <f t="shared" si="92"/>
        <v>10.455995203837302</v>
      </c>
      <c r="E198" s="40">
        <f t="shared" si="93"/>
        <v>27.428009592325399</v>
      </c>
      <c r="F198" s="40">
        <f t="shared" si="94"/>
        <v>48.34</v>
      </c>
      <c r="G198" s="3">
        <f t="shared" si="95"/>
        <v>108.22398081534919</v>
      </c>
      <c r="H198" s="3">
        <f t="shared" si="96"/>
        <v>148.0155219248214</v>
      </c>
      <c r="I198">
        <f t="shared" si="78"/>
        <v>1.4801552192482141E-4</v>
      </c>
      <c r="J198" s="4">
        <f t="shared" si="97"/>
        <v>595.41043421988616</v>
      </c>
      <c r="K198" s="40">
        <f t="shared" si="98"/>
        <v>4.0226215904727969</v>
      </c>
      <c r="L198" s="40">
        <f t="shared" si="79"/>
        <v>1.9773784095272031</v>
      </c>
      <c r="M198" s="10">
        <f t="shared" si="99"/>
        <v>1.5812802964057817</v>
      </c>
      <c r="N198" s="10">
        <f t="shared" si="80"/>
        <v>8.26</v>
      </c>
      <c r="O198" s="10">
        <f t="shared" si="81"/>
        <v>0.31900000000000001</v>
      </c>
      <c r="P198" s="10">
        <f t="shared" si="100"/>
        <v>9.5601316633878888</v>
      </c>
      <c r="Q198" s="45">
        <f t="shared" si="101"/>
        <v>0.6556655623407821</v>
      </c>
      <c r="R198" s="4">
        <f t="shared" si="102"/>
        <v>134677.37271106429</v>
      </c>
      <c r="S198">
        <f t="shared" si="82"/>
        <v>1.3467737271106431E-4</v>
      </c>
      <c r="T198" s="44">
        <f t="shared" si="83"/>
        <v>1.0119041292425111E-4</v>
      </c>
      <c r="U198" s="45">
        <f t="shared" si="103"/>
        <v>0.24168527919864041</v>
      </c>
      <c r="V198" s="45">
        <f t="shared" si="104"/>
        <v>0.24538862075219234</v>
      </c>
      <c r="W198" s="45">
        <f t="shared" si="105"/>
        <v>0.24476578195408633</v>
      </c>
      <c r="X198" s="45">
        <f t="shared" si="106"/>
        <v>6.2283879810601239E-4</v>
      </c>
      <c r="Y198" s="45">
        <f t="shared" si="89"/>
        <v>4.6330601381722907E-4</v>
      </c>
      <c r="Z198" s="10">
        <f t="shared" si="107"/>
        <v>4.5785564109126593</v>
      </c>
      <c r="AA198">
        <f t="shared" si="84"/>
        <v>1581248.377261678</v>
      </c>
      <c r="AB198" s="10">
        <f t="shared" si="85"/>
        <v>1.5812483772616779</v>
      </c>
      <c r="AC198" s="10">
        <f t="shared" si="86"/>
        <v>1.4802483772616779</v>
      </c>
      <c r="AD198" s="3">
        <f t="shared" si="87"/>
        <v>214.68431867464511</v>
      </c>
      <c r="AI198" s="100">
        <f t="shared" si="88"/>
        <v>0.24476578195408633</v>
      </c>
    </row>
    <row r="199" spans="2:35">
      <c r="B199" s="39">
        <f t="shared" si="90"/>
        <v>171</v>
      </c>
      <c r="C199" s="45">
        <f t="shared" si="91"/>
        <v>5.0233812949637962</v>
      </c>
      <c r="D199" s="10">
        <f t="shared" si="92"/>
        <v>10.426618705036345</v>
      </c>
      <c r="E199" s="40">
        <f t="shared" si="93"/>
        <v>27.486762589927313</v>
      </c>
      <c r="F199" s="40">
        <f t="shared" si="94"/>
        <v>48.34</v>
      </c>
      <c r="G199" s="3">
        <f t="shared" si="95"/>
        <v>108.10647482014537</v>
      </c>
      <c r="H199" s="3">
        <f t="shared" si="96"/>
        <v>148.0155219248214</v>
      </c>
      <c r="I199">
        <f t="shared" si="78"/>
        <v>1.4801552192482141E-4</v>
      </c>
      <c r="J199" s="4">
        <f t="shared" si="97"/>
        <v>597.94444872774125</v>
      </c>
      <c r="K199" s="40">
        <f t="shared" si="98"/>
        <v>4.0397415146192799</v>
      </c>
      <c r="L199" s="40">
        <f t="shared" si="79"/>
        <v>1.9602584853807201</v>
      </c>
      <c r="M199" s="10">
        <f t="shared" si="99"/>
        <v>1.5812483772616779</v>
      </c>
      <c r="N199" s="10">
        <f t="shared" si="80"/>
        <v>8.26</v>
      </c>
      <c r="O199" s="10">
        <f t="shared" si="81"/>
        <v>0.31900000000000001</v>
      </c>
      <c r="P199" s="10">
        <f t="shared" si="100"/>
        <v>9.5600701032024258</v>
      </c>
      <c r="Q199" s="45">
        <f t="shared" si="101"/>
        <v>0.65873839533089973</v>
      </c>
      <c r="R199" s="4">
        <f t="shared" si="102"/>
        <v>134257.20112808133</v>
      </c>
      <c r="S199">
        <f t="shared" si="82"/>
        <v>1.3425720112808132E-4</v>
      </c>
      <c r="T199" s="44">
        <f t="shared" si="83"/>
        <v>1.0161058450723409E-4</v>
      </c>
      <c r="U199" s="45">
        <f t="shared" si="103"/>
        <v>0.24093126028439835</v>
      </c>
      <c r="V199" s="45">
        <f t="shared" si="104"/>
        <v>0.24538232851151576</v>
      </c>
      <c r="W199" s="45">
        <f t="shared" si="105"/>
        <v>0.2447605040926672</v>
      </c>
      <c r="X199" s="45">
        <f t="shared" si="106"/>
        <v>6.2182441884855999E-4</v>
      </c>
      <c r="Y199" s="45">
        <f t="shared" si="89"/>
        <v>4.6521677640552766E-4</v>
      </c>
      <c r="Z199" s="10">
        <f t="shared" si="107"/>
        <v>4.5784283070668383</v>
      </c>
      <c r="AA199">
        <f t="shared" si="84"/>
        <v>1581206.9612578377</v>
      </c>
      <c r="AB199" s="10">
        <f t="shared" si="85"/>
        <v>1.5812069612578377</v>
      </c>
      <c r="AC199" s="10">
        <f t="shared" si="86"/>
        <v>1.4802069612578377</v>
      </c>
      <c r="AD199" s="3">
        <f t="shared" si="87"/>
        <v>214.67831200258706</v>
      </c>
      <c r="AI199" s="100">
        <f t="shared" si="88"/>
        <v>0.2447605040926672</v>
      </c>
    </row>
    <row r="200" spans="2:35">
      <c r="B200" s="39">
        <f t="shared" si="90"/>
        <v>172</v>
      </c>
      <c r="C200" s="45">
        <f t="shared" si="91"/>
        <v>5.0527577937647541</v>
      </c>
      <c r="D200" s="10">
        <f t="shared" si="92"/>
        <v>10.397242206235388</v>
      </c>
      <c r="E200" s="40">
        <f t="shared" si="93"/>
        <v>27.545515587529227</v>
      </c>
      <c r="F200" s="40">
        <f t="shared" si="94"/>
        <v>48.34</v>
      </c>
      <c r="G200" s="3">
        <f t="shared" si="95"/>
        <v>107.98896882494154</v>
      </c>
      <c r="H200" s="3">
        <f t="shared" si="96"/>
        <v>148.0155219248214</v>
      </c>
      <c r="I200">
        <f t="shared" si="78"/>
        <v>1.4801552192482141E-4</v>
      </c>
      <c r="J200" s="4">
        <f t="shared" si="97"/>
        <v>600.48388549057017</v>
      </c>
      <c r="K200" s="40">
        <f t="shared" si="98"/>
        <v>4.0568980717817018</v>
      </c>
      <c r="L200" s="40">
        <f t="shared" si="79"/>
        <v>1.9431019282182982</v>
      </c>
      <c r="M200" s="10">
        <f t="shared" si="99"/>
        <v>1.5812069612578377</v>
      </c>
      <c r="N200" s="10">
        <f t="shared" si="80"/>
        <v>8.26</v>
      </c>
      <c r="O200" s="10">
        <f t="shared" si="81"/>
        <v>0.31900000000000001</v>
      </c>
      <c r="P200" s="10">
        <f t="shared" si="100"/>
        <v>9.5599902258369216</v>
      </c>
      <c r="Q200" s="45">
        <f t="shared" si="101"/>
        <v>0.66181125399570928</v>
      </c>
      <c r="R200" s="4">
        <f t="shared" si="102"/>
        <v>133837.03952516822</v>
      </c>
      <c r="S200">
        <f t="shared" si="82"/>
        <v>1.3383703952516823E-4</v>
      </c>
      <c r="T200" s="44">
        <f t="shared" si="83"/>
        <v>1.0203074611014719E-4</v>
      </c>
      <c r="U200" s="45">
        <f t="shared" si="103"/>
        <v>0.24017725927989061</v>
      </c>
      <c r="V200" s="45">
        <f t="shared" si="104"/>
        <v>0.24537444990313689</v>
      </c>
      <c r="W200" s="45">
        <f t="shared" si="105"/>
        <v>0.24475365591628467</v>
      </c>
      <c r="X200" s="45">
        <f t="shared" si="106"/>
        <v>6.2079398685221943E-4</v>
      </c>
      <c r="Y200" s="45">
        <f t="shared" si="89"/>
        <v>4.6712438858708815E-4</v>
      </c>
      <c r="Z200" s="10">
        <f t="shared" si="107"/>
        <v>4.5782708290969909</v>
      </c>
      <c r="AA200">
        <f t="shared" si="84"/>
        <v>1581156.048592709</v>
      </c>
      <c r="AB200" s="10">
        <f t="shared" si="85"/>
        <v>1.581156048592709</v>
      </c>
      <c r="AC200" s="10">
        <f t="shared" si="86"/>
        <v>1.480156048592709</v>
      </c>
      <c r="AD200" s="3">
        <f t="shared" si="87"/>
        <v>214.67092800474387</v>
      </c>
      <c r="AI200" s="100">
        <f t="shared" si="88"/>
        <v>0.24475365591628467</v>
      </c>
    </row>
    <row r="201" spans="2:35">
      <c r="B201" s="39">
        <f t="shared" si="90"/>
        <v>173</v>
      </c>
      <c r="C201" s="45">
        <f t="shared" si="91"/>
        <v>5.082134292565712</v>
      </c>
      <c r="D201" s="10">
        <f t="shared" si="92"/>
        <v>10.367865707434431</v>
      </c>
      <c r="E201" s="40">
        <f t="shared" si="93"/>
        <v>27.604268585131141</v>
      </c>
      <c r="F201" s="40">
        <f t="shared" si="94"/>
        <v>48.34</v>
      </c>
      <c r="G201" s="3">
        <f t="shared" si="95"/>
        <v>107.87146282973771</v>
      </c>
      <c r="H201" s="3">
        <f t="shared" si="96"/>
        <v>148.0155219248214</v>
      </c>
      <c r="I201">
        <f t="shared" si="78"/>
        <v>1.4801552192482141E-4</v>
      </c>
      <c r="J201" s="4">
        <f t="shared" si="97"/>
        <v>603.02874450837294</v>
      </c>
      <c r="K201" s="40">
        <f t="shared" si="98"/>
        <v>4.0740912619600627</v>
      </c>
      <c r="L201" s="40">
        <f t="shared" si="79"/>
        <v>1.9259087380399373</v>
      </c>
      <c r="M201" s="10">
        <f t="shared" si="99"/>
        <v>1.581156048592709</v>
      </c>
      <c r="N201" s="10">
        <f t="shared" si="80"/>
        <v>8.26</v>
      </c>
      <c r="O201" s="10">
        <f t="shared" si="81"/>
        <v>0.31900000000000001</v>
      </c>
      <c r="P201" s="10">
        <f t="shared" si="100"/>
        <v>9.559892030693943</v>
      </c>
      <c r="Q201" s="45">
        <f t="shared" si="101"/>
        <v>0.66488414422361553</v>
      </c>
      <c r="R201" s="4">
        <f t="shared" si="102"/>
        <v>133416.88981376743</v>
      </c>
      <c r="S201">
        <f t="shared" si="82"/>
        <v>1.3341688981376743E-4</v>
      </c>
      <c r="T201" s="44">
        <f t="shared" si="83"/>
        <v>1.0245089582154799E-4</v>
      </c>
      <c r="U201" s="45">
        <f t="shared" si="103"/>
        <v>0.2394232796152963</v>
      </c>
      <c r="V201" s="45">
        <f t="shared" si="104"/>
        <v>0.24536498497313597</v>
      </c>
      <c r="W201" s="45">
        <f t="shared" si="105"/>
        <v>0.24474523745775226</v>
      </c>
      <c r="X201" s="45">
        <f t="shared" si="106"/>
        <v>6.1974751538371176E-4</v>
      </c>
      <c r="Y201" s="45">
        <f t="shared" si="89"/>
        <v>4.6902880467087992E-4</v>
      </c>
      <c r="Z201" s="10">
        <f t="shared" si="107"/>
        <v>4.5780839777901816</v>
      </c>
      <c r="AA201">
        <f t="shared" si="84"/>
        <v>1581095.6395207504</v>
      </c>
      <c r="AB201" s="10">
        <f t="shared" si="85"/>
        <v>1.5810956395207503</v>
      </c>
      <c r="AC201" s="10">
        <f t="shared" si="86"/>
        <v>1.4800956395207503</v>
      </c>
      <c r="AD201" s="3">
        <f t="shared" si="87"/>
        <v>214.66216671802036</v>
      </c>
      <c r="AI201" s="100">
        <f t="shared" si="88"/>
        <v>0.24474523745775226</v>
      </c>
    </row>
    <row r="202" spans="2:35">
      <c r="B202" s="39">
        <f t="shared" si="90"/>
        <v>174</v>
      </c>
      <c r="C202" s="45">
        <f t="shared" si="91"/>
        <v>5.11151079136667</v>
      </c>
      <c r="D202" s="10">
        <f t="shared" si="92"/>
        <v>10.338489208633474</v>
      </c>
      <c r="E202" s="40">
        <f t="shared" si="93"/>
        <v>27.663021582733055</v>
      </c>
      <c r="F202" s="40">
        <f t="shared" si="94"/>
        <v>48.34</v>
      </c>
      <c r="G202" s="3">
        <f t="shared" si="95"/>
        <v>107.75395683453388</v>
      </c>
      <c r="H202" s="3">
        <f t="shared" si="96"/>
        <v>148.0155219248214</v>
      </c>
      <c r="I202">
        <f t="shared" si="78"/>
        <v>1.4801552192482141E-4</v>
      </c>
      <c r="J202" s="4">
        <f t="shared" si="97"/>
        <v>605.57902578114954</v>
      </c>
      <c r="K202" s="40">
        <f t="shared" si="98"/>
        <v>4.0913210851543615</v>
      </c>
      <c r="L202" s="40">
        <f t="shared" si="79"/>
        <v>1.9086789148456385</v>
      </c>
      <c r="M202" s="10">
        <f t="shared" si="99"/>
        <v>1.5810956395207503</v>
      </c>
      <c r="N202" s="10">
        <f t="shared" si="80"/>
        <v>8.26</v>
      </c>
      <c r="O202" s="10">
        <f t="shared" si="81"/>
        <v>0.31900000000000001</v>
      </c>
      <c r="P202" s="10">
        <f t="shared" si="100"/>
        <v>9.5597755170592684</v>
      </c>
      <c r="Q202" s="45">
        <f t="shared" si="101"/>
        <v>0.66795707190361553</v>
      </c>
      <c r="R202" s="4">
        <f t="shared" si="102"/>
        <v>132996.7539053213</v>
      </c>
      <c r="S202">
        <f t="shared" si="82"/>
        <v>1.3299675390532131E-4</v>
      </c>
      <c r="T202" s="44">
        <f t="shared" si="83"/>
        <v>1.0287103172999411E-4</v>
      </c>
      <c r="U202" s="45">
        <f t="shared" si="103"/>
        <v>0.2386693247207943</v>
      </c>
      <c r="V202" s="45">
        <f t="shared" si="104"/>
        <v>0.24535393377757606</v>
      </c>
      <c r="W202" s="45">
        <f t="shared" si="105"/>
        <v>0.24473524875914501</v>
      </c>
      <c r="X202" s="45">
        <f t="shared" si="106"/>
        <v>6.1868501843104218E-4</v>
      </c>
      <c r="Y202" s="45">
        <f t="shared" si="89"/>
        <v>4.7092997898921796E-4</v>
      </c>
      <c r="Z202" s="10">
        <f t="shared" si="107"/>
        <v>4.5778677541143873</v>
      </c>
      <c r="AA202">
        <f t="shared" si="84"/>
        <v>1581025.7343549086</v>
      </c>
      <c r="AB202" s="10">
        <f t="shared" si="85"/>
        <v>1.5810257343549086</v>
      </c>
      <c r="AC202" s="10">
        <f t="shared" si="86"/>
        <v>1.4800257343549086</v>
      </c>
      <c r="AD202" s="3">
        <f t="shared" si="87"/>
        <v>214.65202818780401</v>
      </c>
      <c r="AI202" s="100">
        <f t="shared" si="88"/>
        <v>0.24473524875914501</v>
      </c>
    </row>
    <row r="203" spans="2:35">
      <c r="B203" s="39">
        <f t="shared" si="90"/>
        <v>175</v>
      </c>
      <c r="C203" s="45">
        <f t="shared" si="91"/>
        <v>5.1408872901676279</v>
      </c>
      <c r="D203" s="10">
        <f t="shared" si="92"/>
        <v>10.309112709832517</v>
      </c>
      <c r="E203" s="40">
        <f t="shared" si="93"/>
        <v>27.721774580334969</v>
      </c>
      <c r="F203" s="40">
        <f t="shared" si="94"/>
        <v>48.34</v>
      </c>
      <c r="G203" s="3">
        <f t="shared" si="95"/>
        <v>107.63645083933005</v>
      </c>
      <c r="H203" s="3">
        <f t="shared" si="96"/>
        <v>148.0155219248214</v>
      </c>
      <c r="I203">
        <f t="shared" si="78"/>
        <v>1.4801552192482141E-4</v>
      </c>
      <c r="J203" s="4">
        <f t="shared" si="97"/>
        <v>608.13472930889998</v>
      </c>
      <c r="K203" s="40">
        <f t="shared" si="98"/>
        <v>4.1085875413646002</v>
      </c>
      <c r="L203" s="40">
        <f t="shared" si="79"/>
        <v>1.8914124586353998</v>
      </c>
      <c r="M203" s="10">
        <f t="shared" si="99"/>
        <v>1.5810257343549086</v>
      </c>
      <c r="N203" s="10">
        <f t="shared" si="80"/>
        <v>8.26</v>
      </c>
      <c r="O203" s="10">
        <f t="shared" si="81"/>
        <v>0.31900000000000001</v>
      </c>
      <c r="P203" s="10">
        <f t="shared" si="100"/>
        <v>9.5596406841066415</v>
      </c>
      <c r="Q203" s="45">
        <f t="shared" si="101"/>
        <v>0.67103004292540269</v>
      </c>
      <c r="R203" s="4">
        <f t="shared" si="102"/>
        <v>132576.63371127224</v>
      </c>
      <c r="S203">
        <f t="shared" si="82"/>
        <v>1.3257663371127223E-4</v>
      </c>
      <c r="T203" s="44">
        <f t="shared" si="83"/>
        <v>1.0329115192404318E-4</v>
      </c>
      <c r="U203" s="45">
        <f t="shared" si="103"/>
        <v>0.23791539802656358</v>
      </c>
      <c r="V203" s="45">
        <f t="shared" si="104"/>
        <v>0.24534129638236929</v>
      </c>
      <c r="W203" s="45">
        <f t="shared" si="105"/>
        <v>0.24472368987220891</v>
      </c>
      <c r="X203" s="45">
        <f t="shared" si="106"/>
        <v>6.1760651016037893E-4</v>
      </c>
      <c r="Y203" s="45">
        <f t="shared" si="89"/>
        <v>4.7282786589780787E-4</v>
      </c>
      <c r="Z203" s="10">
        <f t="shared" si="107"/>
        <v>4.5776221592098176</v>
      </c>
      <c r="AA203">
        <f t="shared" si="84"/>
        <v>1580946.3334638141</v>
      </c>
      <c r="AB203" s="10">
        <f t="shared" si="85"/>
        <v>1.5809463334638141</v>
      </c>
      <c r="AC203" s="10">
        <f t="shared" si="86"/>
        <v>1.4799463334638141</v>
      </c>
      <c r="AD203" s="3">
        <f t="shared" si="87"/>
        <v>214.64051246755824</v>
      </c>
      <c r="AI203" s="100">
        <f t="shared" si="88"/>
        <v>0.24472368987220891</v>
      </c>
    </row>
    <row r="204" spans="2:35">
      <c r="B204" s="39">
        <f t="shared" si="90"/>
        <v>176</v>
      </c>
      <c r="C204" s="45">
        <f t="shared" si="91"/>
        <v>5.1702637889685858</v>
      </c>
      <c r="D204" s="10">
        <f t="shared" si="92"/>
        <v>10.27973621103156</v>
      </c>
      <c r="E204" s="40">
        <f t="shared" si="93"/>
        <v>27.780527577936883</v>
      </c>
      <c r="F204" s="40">
        <f t="shared" si="94"/>
        <v>48.34</v>
      </c>
      <c r="G204" s="3">
        <f t="shared" si="95"/>
        <v>107.51894484412622</v>
      </c>
      <c r="H204" s="3">
        <f t="shared" si="96"/>
        <v>148.0155219248214</v>
      </c>
      <c r="I204">
        <f t="shared" si="78"/>
        <v>1.4801552192482141E-4</v>
      </c>
      <c r="J204" s="4">
        <f t="shared" si="97"/>
        <v>610.69585509162471</v>
      </c>
      <c r="K204" s="40">
        <f t="shared" si="98"/>
        <v>4.1258906305907797</v>
      </c>
      <c r="L204" s="40">
        <f t="shared" si="79"/>
        <v>1.8741093694092203</v>
      </c>
      <c r="M204" s="10">
        <f t="shared" si="99"/>
        <v>1.5809463334638141</v>
      </c>
      <c r="N204" s="10">
        <f t="shared" si="80"/>
        <v>8.26</v>
      </c>
      <c r="O204" s="10">
        <f t="shared" si="81"/>
        <v>0.31900000000000001</v>
      </c>
      <c r="P204" s="10">
        <f t="shared" si="100"/>
        <v>9.5594875308923175</v>
      </c>
      <c r="Q204" s="45">
        <f t="shared" si="101"/>
        <v>0.67410306317947233</v>
      </c>
      <c r="R204" s="4">
        <f t="shared" si="102"/>
        <v>132156.53114306263</v>
      </c>
      <c r="S204">
        <f t="shared" si="82"/>
        <v>1.3215653114306264E-4</v>
      </c>
      <c r="T204" s="44">
        <f t="shared" si="83"/>
        <v>1.0371125449225278E-4</v>
      </c>
      <c r="U204" s="45">
        <f t="shared" si="103"/>
        <v>0.23716150296278304</v>
      </c>
      <c r="V204" s="45">
        <f t="shared" si="104"/>
        <v>0.24532707286330083</v>
      </c>
      <c r="W204" s="45">
        <f t="shared" si="105"/>
        <v>0.24471056085789736</v>
      </c>
      <c r="X204" s="45">
        <f t="shared" si="106"/>
        <v>6.1651200540346895E-4</v>
      </c>
      <c r="Y204" s="45">
        <f t="shared" si="89"/>
        <v>4.7472241977728982E-4</v>
      </c>
      <c r="Z204" s="10">
        <f t="shared" si="107"/>
        <v>4.5773471943949104</v>
      </c>
      <c r="AA204">
        <f t="shared" si="84"/>
        <v>1580857.437273718</v>
      </c>
      <c r="AB204" s="10">
        <f t="shared" si="85"/>
        <v>1.5808574372737179</v>
      </c>
      <c r="AC204" s="10">
        <f t="shared" si="86"/>
        <v>1.4798574372737179</v>
      </c>
      <c r="AD204" s="3">
        <f t="shared" si="87"/>
        <v>214.6276196191034</v>
      </c>
      <c r="AI204" s="100">
        <f t="shared" si="88"/>
        <v>0.24471056085789736</v>
      </c>
    </row>
    <row r="205" spans="2:35">
      <c r="B205" s="39">
        <f t="shared" si="90"/>
        <v>177</v>
      </c>
      <c r="C205" s="45">
        <f t="shared" si="91"/>
        <v>5.1996402877695438</v>
      </c>
      <c r="D205" s="10">
        <f t="shared" si="92"/>
        <v>10.250359712230603</v>
      </c>
      <c r="E205" s="40">
        <f t="shared" si="93"/>
        <v>27.839280575538798</v>
      </c>
      <c r="F205" s="40">
        <f t="shared" si="94"/>
        <v>48.34</v>
      </c>
      <c r="G205" s="3">
        <f t="shared" si="95"/>
        <v>107.4014388489224</v>
      </c>
      <c r="H205" s="3">
        <f t="shared" si="96"/>
        <v>148.0155219248214</v>
      </c>
      <c r="I205">
        <f t="shared" si="78"/>
        <v>1.4801552192482141E-4</v>
      </c>
      <c r="J205" s="4">
        <f t="shared" si="97"/>
        <v>613.26240312932305</v>
      </c>
      <c r="K205" s="40">
        <f t="shared" si="98"/>
        <v>4.1432303528328962</v>
      </c>
      <c r="L205" s="40">
        <f t="shared" si="79"/>
        <v>1.8567696471671038</v>
      </c>
      <c r="M205" s="10">
        <f t="shared" si="99"/>
        <v>1.5808574372737179</v>
      </c>
      <c r="N205" s="10">
        <f t="shared" si="80"/>
        <v>8.26</v>
      </c>
      <c r="O205" s="10">
        <f t="shared" si="81"/>
        <v>0.31900000000000001</v>
      </c>
      <c r="P205" s="10">
        <f t="shared" si="100"/>
        <v>9.5593160563587798</v>
      </c>
      <c r="Q205" s="45">
        <f t="shared" si="101"/>
        <v>0.67717613855722558</v>
      </c>
      <c r="R205" s="4">
        <f t="shared" si="102"/>
        <v>131736.44811213494</v>
      </c>
      <c r="S205">
        <f t="shared" si="82"/>
        <v>1.3173644811213494E-4</v>
      </c>
      <c r="T205" s="44">
        <f t="shared" si="83"/>
        <v>1.0413133752318048E-4</v>
      </c>
      <c r="U205" s="45">
        <f t="shared" si="103"/>
        <v>0.23640764295963174</v>
      </c>
      <c r="V205" s="45">
        <f t="shared" si="104"/>
        <v>0.24531126330603051</v>
      </c>
      <c r="W205" s="45">
        <f t="shared" si="105"/>
        <v>0.24469586178669142</v>
      </c>
      <c r="X205" s="45">
        <f t="shared" si="106"/>
        <v>6.1540151933908716E-4</v>
      </c>
      <c r="Y205" s="45">
        <f t="shared" si="89"/>
        <v>4.7661359503380269E-4</v>
      </c>
      <c r="Z205" s="10">
        <f t="shared" si="107"/>
        <v>4.5770428611627567</v>
      </c>
      <c r="AA205">
        <f t="shared" si="84"/>
        <v>1580759.0462673369</v>
      </c>
      <c r="AB205" s="10">
        <f t="shared" si="85"/>
        <v>1.5807590462673369</v>
      </c>
      <c r="AC205" s="10">
        <f t="shared" si="86"/>
        <v>1.4797590462673369</v>
      </c>
      <c r="AD205" s="3">
        <f t="shared" si="87"/>
        <v>214.61334971244915</v>
      </c>
      <c r="AI205" s="100">
        <f t="shared" si="88"/>
        <v>0.24469586178669142</v>
      </c>
    </row>
    <row r="206" spans="2:35">
      <c r="B206" s="39">
        <f t="shared" si="90"/>
        <v>178</v>
      </c>
      <c r="C206" s="45">
        <f t="shared" si="91"/>
        <v>5.2290167865705017</v>
      </c>
      <c r="D206" s="10">
        <f t="shared" si="92"/>
        <v>10.220983213429646</v>
      </c>
      <c r="E206" s="40">
        <f t="shared" si="93"/>
        <v>27.898033573140712</v>
      </c>
      <c r="F206" s="40">
        <f t="shared" si="94"/>
        <v>48.34</v>
      </c>
      <c r="G206" s="3">
        <f t="shared" si="95"/>
        <v>107.28393285371857</v>
      </c>
      <c r="H206" s="3">
        <f t="shared" si="96"/>
        <v>148.0155219248214</v>
      </c>
      <c r="I206">
        <f t="shared" si="78"/>
        <v>1.4801552192482141E-4</v>
      </c>
      <c r="J206" s="4">
        <f t="shared" si="97"/>
        <v>615.83437342199545</v>
      </c>
      <c r="K206" s="40">
        <f t="shared" si="98"/>
        <v>4.1606067080909535</v>
      </c>
      <c r="L206" s="40">
        <f t="shared" si="79"/>
        <v>1.8393932919090465</v>
      </c>
      <c r="M206" s="10">
        <f t="shared" si="99"/>
        <v>1.5807590462673369</v>
      </c>
      <c r="N206" s="10">
        <f t="shared" si="80"/>
        <v>8.26</v>
      </c>
      <c r="O206" s="10">
        <f t="shared" si="81"/>
        <v>0.31900000000000001</v>
      </c>
      <c r="P206" s="10">
        <f t="shared" si="100"/>
        <v>9.5591262593324551</v>
      </c>
      <c r="Q206" s="45">
        <f t="shared" si="101"/>
        <v>0.68024927495107512</v>
      </c>
      <c r="R206" s="4">
        <f t="shared" si="102"/>
        <v>131316.38652993151</v>
      </c>
      <c r="S206">
        <f t="shared" si="82"/>
        <v>1.3131638652993152E-4</v>
      </c>
      <c r="T206" s="44">
        <f t="shared" si="83"/>
        <v>1.045513991053839E-4</v>
      </c>
      <c r="U206" s="45">
        <f t="shared" si="103"/>
        <v>0.23565382144728855</v>
      </c>
      <c r="V206" s="45">
        <f t="shared" si="104"/>
        <v>0.2452938678061454</v>
      </c>
      <c r="W206" s="45">
        <f t="shared" si="105"/>
        <v>0.24467959273840875</v>
      </c>
      <c r="X206" s="45">
        <f t="shared" si="106"/>
        <v>6.1427506773664708E-4</v>
      </c>
      <c r="Y206" s="45">
        <f t="shared" si="89"/>
        <v>4.7850134610029859E-4</v>
      </c>
      <c r="Z206" s="10">
        <f t="shared" si="107"/>
        <v>4.5767091611847981</v>
      </c>
      <c r="AA206">
        <f t="shared" si="84"/>
        <v>1580651.1609850484</v>
      </c>
      <c r="AB206" s="10">
        <f t="shared" si="85"/>
        <v>1.5806511609850484</v>
      </c>
      <c r="AC206" s="10">
        <f t="shared" si="86"/>
        <v>1.4796511609850485</v>
      </c>
      <c r="AD206" s="3">
        <f t="shared" si="87"/>
        <v>214.59770282596787</v>
      </c>
      <c r="AI206" s="100">
        <f t="shared" si="88"/>
        <v>0.24467959273840875</v>
      </c>
    </row>
    <row r="207" spans="2:35">
      <c r="B207" s="39">
        <f t="shared" si="90"/>
        <v>179</v>
      </c>
      <c r="C207" s="45">
        <f t="shared" si="91"/>
        <v>5.2583932853714597</v>
      </c>
      <c r="D207" s="10">
        <f t="shared" si="92"/>
        <v>10.191606714628689</v>
      </c>
      <c r="E207" s="40">
        <f t="shared" si="93"/>
        <v>27.956786570742626</v>
      </c>
      <c r="F207" s="40">
        <f t="shared" si="94"/>
        <v>48.34</v>
      </c>
      <c r="G207" s="3">
        <f t="shared" si="95"/>
        <v>107.16642685851474</v>
      </c>
      <c r="H207" s="3">
        <f t="shared" si="96"/>
        <v>148.0155219248214</v>
      </c>
      <c r="I207">
        <f t="shared" si="78"/>
        <v>1.4801552192482141E-4</v>
      </c>
      <c r="J207" s="4">
        <f t="shared" si="97"/>
        <v>618.41176596964169</v>
      </c>
      <c r="K207" s="40">
        <f t="shared" si="98"/>
        <v>4.1780196963649487</v>
      </c>
      <c r="L207" s="40">
        <f t="shared" si="79"/>
        <v>1.8219803036350513</v>
      </c>
      <c r="M207" s="10">
        <f t="shared" si="99"/>
        <v>1.5806511609850484</v>
      </c>
      <c r="N207" s="10">
        <f t="shared" si="80"/>
        <v>8.26</v>
      </c>
      <c r="O207" s="10">
        <f t="shared" si="81"/>
        <v>0.31900000000000001</v>
      </c>
      <c r="P207" s="10">
        <f t="shared" si="100"/>
        <v>9.5589181385259767</v>
      </c>
      <c r="Q207" s="45">
        <f t="shared" si="101"/>
        <v>0.68332247825454939</v>
      </c>
      <c r="R207" s="4">
        <f t="shared" si="102"/>
        <v>130896.34830789478</v>
      </c>
      <c r="S207">
        <f t="shared" si="82"/>
        <v>1.3089634830789476E-4</v>
      </c>
      <c r="T207" s="44">
        <f t="shared" si="83"/>
        <v>1.0497143732742065E-4</v>
      </c>
      <c r="U207" s="45">
        <f t="shared" si="103"/>
        <v>0.23490004185593255</v>
      </c>
      <c r="V207" s="45">
        <f t="shared" si="104"/>
        <v>0.24527488646906331</v>
      </c>
      <c r="W207" s="45">
        <f t="shared" si="105"/>
        <v>0.24466175380240132</v>
      </c>
      <c r="X207" s="45">
        <f t="shared" si="106"/>
        <v>6.1313266666199184E-4</v>
      </c>
      <c r="Y207" s="45">
        <f t="shared" si="89"/>
        <v>4.8038562743695222E-4</v>
      </c>
      <c r="Z207" s="10">
        <f t="shared" si="107"/>
        <v>4.5763460963058167</v>
      </c>
      <c r="AA207">
        <f t="shared" si="84"/>
        <v>1580533.7820232708</v>
      </c>
      <c r="AB207" s="10">
        <f t="shared" si="85"/>
        <v>1.5805337820232708</v>
      </c>
      <c r="AC207" s="10">
        <f t="shared" si="86"/>
        <v>1.4795337820232708</v>
      </c>
      <c r="AD207" s="3">
        <f t="shared" si="87"/>
        <v>214.58067904615964</v>
      </c>
      <c r="AI207" s="100">
        <f t="shared" si="88"/>
        <v>0.24466175380240132</v>
      </c>
    </row>
    <row r="208" spans="2:35">
      <c r="B208" s="39">
        <f t="shared" si="90"/>
        <v>180</v>
      </c>
      <c r="C208" s="45">
        <f t="shared" si="91"/>
        <v>5.2877697841724176</v>
      </c>
      <c r="D208" s="10">
        <f t="shared" si="92"/>
        <v>10.162230215827732</v>
      </c>
      <c r="E208" s="40">
        <f t="shared" si="93"/>
        <v>28.01553956834454</v>
      </c>
      <c r="F208" s="40">
        <f t="shared" si="94"/>
        <v>48.34</v>
      </c>
      <c r="G208" s="3">
        <f t="shared" si="95"/>
        <v>107.04892086331091</v>
      </c>
      <c r="H208" s="3">
        <f t="shared" si="96"/>
        <v>148.0155219248214</v>
      </c>
      <c r="I208">
        <f t="shared" si="78"/>
        <v>1.4801552192482141E-4</v>
      </c>
      <c r="J208" s="4">
        <f t="shared" si="97"/>
        <v>620.994580772262</v>
      </c>
      <c r="K208" s="40">
        <f t="shared" si="98"/>
        <v>4.1954693176548838</v>
      </c>
      <c r="L208" s="40">
        <f t="shared" si="79"/>
        <v>1.8045306823451162</v>
      </c>
      <c r="M208" s="10">
        <f t="shared" si="99"/>
        <v>1.5805337820232708</v>
      </c>
      <c r="N208" s="10">
        <f t="shared" si="80"/>
        <v>8.26</v>
      </c>
      <c r="O208" s="10">
        <f t="shared" si="81"/>
        <v>0.31900000000000001</v>
      </c>
      <c r="P208" s="10">
        <f t="shared" si="100"/>
        <v>9.5586916925350032</v>
      </c>
      <c r="Q208" s="45">
        <f t="shared" si="101"/>
        <v>0.68639575436239786</v>
      </c>
      <c r="R208" s="4">
        <f t="shared" si="102"/>
        <v>130476.33535746709</v>
      </c>
      <c r="S208">
        <f t="shared" si="82"/>
        <v>1.3047633535746709E-4</v>
      </c>
      <c r="T208" s="44">
        <f t="shared" si="83"/>
        <v>1.0539145027784833E-4</v>
      </c>
      <c r="U208" s="45">
        <f t="shared" si="103"/>
        <v>0.23414630761574257</v>
      </c>
      <c r="V208" s="45">
        <f t="shared" si="104"/>
        <v>0.24525431941019379</v>
      </c>
      <c r="W208" s="45">
        <f t="shared" si="105"/>
        <v>0.24464234507728744</v>
      </c>
      <c r="X208" s="45">
        <f t="shared" si="106"/>
        <v>6.119743329063565E-4</v>
      </c>
      <c r="Y208" s="45">
        <f t="shared" si="89"/>
        <v>4.8226639353288984E-4</v>
      </c>
      <c r="Z208" s="10">
        <f t="shared" si="107"/>
        <v>4.5759536685515645</v>
      </c>
      <c r="AA208">
        <f t="shared" si="84"/>
        <v>1580406.9100369303</v>
      </c>
      <c r="AB208" s="10">
        <f t="shared" si="85"/>
        <v>1.5804069100369305</v>
      </c>
      <c r="AC208" s="10">
        <f t="shared" si="86"/>
        <v>1.4794069100369305</v>
      </c>
      <c r="AD208" s="3">
        <f t="shared" si="87"/>
        <v>214.56227846801025</v>
      </c>
      <c r="AI208" s="100">
        <f t="shared" si="88"/>
        <v>0.24464234507728744</v>
      </c>
    </row>
    <row r="209" spans="2:35">
      <c r="B209" s="39">
        <f t="shared" si="90"/>
        <v>181</v>
      </c>
      <c r="C209" s="45">
        <f t="shared" si="91"/>
        <v>5.3171462829733755</v>
      </c>
      <c r="D209" s="10">
        <f t="shared" si="92"/>
        <v>10.132853717026775</v>
      </c>
      <c r="E209" s="40">
        <f t="shared" si="93"/>
        <v>28.074292565946454</v>
      </c>
      <c r="F209" s="40">
        <f t="shared" si="94"/>
        <v>48.34</v>
      </c>
      <c r="G209" s="3">
        <f t="shared" si="95"/>
        <v>106.93141486810708</v>
      </c>
      <c r="H209" s="3">
        <f t="shared" si="96"/>
        <v>148.0155219248214</v>
      </c>
      <c r="I209">
        <f t="shared" si="78"/>
        <v>1.4801552192482141E-4</v>
      </c>
      <c r="J209" s="4">
        <f t="shared" si="97"/>
        <v>623.58281782985591</v>
      </c>
      <c r="K209" s="40">
        <f t="shared" si="98"/>
        <v>4.212955571960757</v>
      </c>
      <c r="L209" s="40">
        <f t="shared" si="79"/>
        <v>1.787044428039243</v>
      </c>
      <c r="M209" s="10">
        <f t="shared" si="99"/>
        <v>1.5804069100369305</v>
      </c>
      <c r="N209" s="10">
        <f t="shared" si="80"/>
        <v>8.26</v>
      </c>
      <c r="O209" s="10">
        <f t="shared" si="81"/>
        <v>0.31900000000000001</v>
      </c>
      <c r="P209" s="10">
        <f t="shared" si="100"/>
        <v>9.5584469198429343</v>
      </c>
      <c r="Q209" s="45">
        <f t="shared" si="101"/>
        <v>0.68946910917069559</v>
      </c>
      <c r="R209" s="4">
        <f t="shared" si="102"/>
        <v>130056.34959009093</v>
      </c>
      <c r="S209">
        <f t="shared" si="82"/>
        <v>1.3005634959009093E-4</v>
      </c>
      <c r="T209" s="44">
        <f t="shared" si="83"/>
        <v>1.0581143604522448E-4</v>
      </c>
      <c r="U209" s="45">
        <f t="shared" si="103"/>
        <v>0.23339262215689768</v>
      </c>
      <c r="V209" s="45">
        <f t="shared" si="104"/>
        <v>0.24523216675471743</v>
      </c>
      <c r="W209" s="45">
        <f t="shared" si="105"/>
        <v>0.24462136667135981</v>
      </c>
      <c r="X209" s="45">
        <f t="shared" si="106"/>
        <v>6.1080008335762104E-4</v>
      </c>
      <c r="Y209" s="45">
        <f t="shared" si="89"/>
        <v>4.8414359890598565E-4</v>
      </c>
      <c r="Z209" s="10">
        <f t="shared" si="107"/>
        <v>4.5755318801179445</v>
      </c>
      <c r="AA209">
        <f t="shared" si="84"/>
        <v>1580270.5457359629</v>
      </c>
      <c r="AB209" s="10">
        <f t="shared" si="85"/>
        <v>1.5802705457359629</v>
      </c>
      <c r="AC209" s="10">
        <f t="shared" si="86"/>
        <v>1.4792705457359629</v>
      </c>
      <c r="AD209" s="3">
        <f t="shared" si="87"/>
        <v>214.54250119448338</v>
      </c>
      <c r="AI209" s="100">
        <f t="shared" si="88"/>
        <v>0.24462136667135981</v>
      </c>
    </row>
    <row r="210" spans="2:35">
      <c r="B210" s="39">
        <f t="shared" si="90"/>
        <v>182</v>
      </c>
      <c r="C210" s="45">
        <f t="shared" si="91"/>
        <v>5.3465227817743335</v>
      </c>
      <c r="D210" s="10">
        <f t="shared" si="92"/>
        <v>10.103477218225818</v>
      </c>
      <c r="E210" s="40">
        <f t="shared" si="93"/>
        <v>28.133045563548368</v>
      </c>
      <c r="F210" s="40">
        <f t="shared" si="94"/>
        <v>48.34</v>
      </c>
      <c r="G210" s="3">
        <f t="shared" si="95"/>
        <v>106.81390887290326</v>
      </c>
      <c r="H210" s="3">
        <f t="shared" si="96"/>
        <v>148.0155219248214</v>
      </c>
      <c r="I210">
        <f t="shared" si="78"/>
        <v>1.4801552192482141E-4</v>
      </c>
      <c r="J210" s="4">
        <f t="shared" si="97"/>
        <v>626.17647714242389</v>
      </c>
      <c r="K210" s="40">
        <f t="shared" si="98"/>
        <v>4.2304784592825699</v>
      </c>
      <c r="L210" s="40">
        <f t="shared" si="79"/>
        <v>1.7695215407174301</v>
      </c>
      <c r="M210" s="10">
        <f t="shared" si="99"/>
        <v>1.5802705457359629</v>
      </c>
      <c r="N210" s="10">
        <f t="shared" si="80"/>
        <v>8.26</v>
      </c>
      <c r="O210" s="10">
        <f t="shared" si="81"/>
        <v>0.31900000000000001</v>
      </c>
      <c r="P210" s="10">
        <f t="shared" si="100"/>
        <v>9.5581838188140811</v>
      </c>
      <c r="Q210" s="45">
        <f t="shared" si="101"/>
        <v>0.69254254857694908</v>
      </c>
      <c r="R210" s="4">
        <f t="shared" si="102"/>
        <v>129636.39291720864</v>
      </c>
      <c r="S210">
        <f t="shared" si="82"/>
        <v>1.2963639291720865E-4</v>
      </c>
      <c r="T210" s="44">
        <f t="shared" si="83"/>
        <v>1.0623139271810677E-4</v>
      </c>
      <c r="U210" s="45">
        <f t="shared" si="103"/>
        <v>0.23263898890957674</v>
      </c>
      <c r="V210" s="45">
        <f t="shared" si="104"/>
        <v>0.24520842863781125</v>
      </c>
      <c r="W210" s="45">
        <f t="shared" si="105"/>
        <v>0.24459881870200695</v>
      </c>
      <c r="X210" s="45">
        <f t="shared" si="106"/>
        <v>6.0960993580430611E-4</v>
      </c>
      <c r="Y210" s="45">
        <f t="shared" si="89"/>
        <v>4.8601719810513027E-4</v>
      </c>
      <c r="Z210" s="10">
        <f t="shared" si="107"/>
        <v>4.5750807333837233</v>
      </c>
      <c r="AA210">
        <f t="shared" si="84"/>
        <v>1580124.6898894245</v>
      </c>
      <c r="AB210" s="10">
        <f t="shared" si="85"/>
        <v>1.5801246898894246</v>
      </c>
      <c r="AC210" s="10">
        <f t="shared" si="86"/>
        <v>1.4791246898894246</v>
      </c>
      <c r="AD210" s="3">
        <f t="shared" si="87"/>
        <v>214.52134733711739</v>
      </c>
      <c r="AI210" s="100">
        <f t="shared" si="88"/>
        <v>0.24459881870200695</v>
      </c>
    </row>
    <row r="211" spans="2:35">
      <c r="B211" s="39">
        <f t="shared" si="90"/>
        <v>183</v>
      </c>
      <c r="C211" s="45">
        <f t="shared" si="91"/>
        <v>5.3758992805752914</v>
      </c>
      <c r="D211" s="10">
        <f t="shared" si="92"/>
        <v>10.074100719424861</v>
      </c>
      <c r="E211" s="40">
        <f t="shared" si="93"/>
        <v>28.191798561150282</v>
      </c>
      <c r="F211" s="40">
        <f t="shared" si="94"/>
        <v>48.34</v>
      </c>
      <c r="G211" s="3">
        <f t="shared" si="95"/>
        <v>106.69640287769943</v>
      </c>
      <c r="H211" s="3">
        <f t="shared" si="96"/>
        <v>148.0155219248214</v>
      </c>
      <c r="I211">
        <f t="shared" si="78"/>
        <v>1.4801552192482141E-4</v>
      </c>
      <c r="J211" s="4">
        <f t="shared" si="97"/>
        <v>628.77555870996594</v>
      </c>
      <c r="K211" s="40">
        <f t="shared" si="98"/>
        <v>4.2480379796203227</v>
      </c>
      <c r="L211" s="40">
        <f t="shared" si="79"/>
        <v>1.7519620203796773</v>
      </c>
      <c r="M211" s="10">
        <f t="shared" si="99"/>
        <v>1.5801246898894246</v>
      </c>
      <c r="N211" s="10">
        <f t="shared" si="80"/>
        <v>8.26</v>
      </c>
      <c r="O211" s="10">
        <f t="shared" si="81"/>
        <v>0.31900000000000001</v>
      </c>
      <c r="P211" s="10">
        <f t="shared" si="100"/>
        <v>9.5579023877015477</v>
      </c>
      <c r="Q211" s="45">
        <f t="shared" si="101"/>
        <v>0.69561607848020035</v>
      </c>
      <c r="R211" s="4">
        <f t="shared" si="102"/>
        <v>129216.46725026261</v>
      </c>
      <c r="S211">
        <f t="shared" si="82"/>
        <v>1.292164672502626E-4</v>
      </c>
      <c r="T211" s="44">
        <f t="shared" si="83"/>
        <v>1.0665131838505281E-4</v>
      </c>
      <c r="U211" s="45">
        <f t="shared" si="103"/>
        <v>0.23188541130395873</v>
      </c>
      <c r="V211" s="45">
        <f t="shared" si="104"/>
        <v>0.24518310520449102</v>
      </c>
      <c r="W211" s="45">
        <f t="shared" si="105"/>
        <v>0.24457470129639317</v>
      </c>
      <c r="X211" s="45">
        <f t="shared" si="106"/>
        <v>6.0840390809785427E-4</v>
      </c>
      <c r="Y211" s="45">
        <f t="shared" si="89"/>
        <v>4.8788714570992394E-4</v>
      </c>
      <c r="Z211" s="10">
        <f t="shared" si="107"/>
        <v>4.574600230898799</v>
      </c>
      <c r="AA211">
        <f t="shared" si="84"/>
        <v>1579969.3433216976</v>
      </c>
      <c r="AB211" s="10">
        <f t="shared" si="85"/>
        <v>1.5799693433216975</v>
      </c>
      <c r="AC211" s="10">
        <f t="shared" si="86"/>
        <v>1.4789693433216975</v>
      </c>
      <c r="AD211" s="3">
        <f t="shared" si="87"/>
        <v>214.49881701547463</v>
      </c>
      <c r="AI211" s="100">
        <f t="shared" si="88"/>
        <v>0.24457470129639317</v>
      </c>
    </row>
    <row r="212" spans="2:35">
      <c r="B212" s="39">
        <f t="shared" si="90"/>
        <v>184</v>
      </c>
      <c r="C212" s="45">
        <f t="shared" si="91"/>
        <v>5.4052757793762494</v>
      </c>
      <c r="D212" s="10">
        <f t="shared" si="92"/>
        <v>10.044724220623904</v>
      </c>
      <c r="E212" s="40">
        <f t="shared" si="93"/>
        <v>28.250551558752196</v>
      </c>
      <c r="F212" s="40">
        <f t="shared" si="94"/>
        <v>48.34</v>
      </c>
      <c r="G212" s="3">
        <f t="shared" si="95"/>
        <v>106.5788968824956</v>
      </c>
      <c r="H212" s="3">
        <f t="shared" si="96"/>
        <v>148.0155219248214</v>
      </c>
      <c r="I212">
        <f t="shared" si="78"/>
        <v>1.4801552192482141E-4</v>
      </c>
      <c r="J212" s="4">
        <f t="shared" si="97"/>
        <v>631.38006253248159</v>
      </c>
      <c r="K212" s="40">
        <f t="shared" si="98"/>
        <v>4.2656341329740135</v>
      </c>
      <c r="L212" s="40">
        <f t="shared" si="79"/>
        <v>1.7343658670259865</v>
      </c>
      <c r="M212" s="10">
        <f t="shared" si="99"/>
        <v>1.5799693433216975</v>
      </c>
      <c r="N212" s="10">
        <f t="shared" si="80"/>
        <v>8.26</v>
      </c>
      <c r="O212" s="10">
        <f t="shared" si="81"/>
        <v>0.31900000000000001</v>
      </c>
      <c r="P212" s="10">
        <f t="shared" si="100"/>
        <v>9.5576026246398413</v>
      </c>
      <c r="Q212" s="45">
        <f t="shared" si="101"/>
        <v>0.69868970478113324</v>
      </c>
      <c r="R212" s="4">
        <f t="shared" si="102"/>
        <v>128796.57450069529</v>
      </c>
      <c r="S212">
        <f t="shared" si="82"/>
        <v>1.2879657450069528E-4</v>
      </c>
      <c r="T212" s="44">
        <f t="shared" si="83"/>
        <v>1.0707121113462013E-4</v>
      </c>
      <c r="U212" s="45">
        <f t="shared" si="103"/>
        <v>0.2311318927702227</v>
      </c>
      <c r="V212" s="45">
        <f t="shared" si="104"/>
        <v>0.24515619660963126</v>
      </c>
      <c r="W212" s="45">
        <f t="shared" si="105"/>
        <v>0.24454901459083075</v>
      </c>
      <c r="X212" s="45">
        <f t="shared" si="106"/>
        <v>6.071820188005006E-4</v>
      </c>
      <c r="Y212" s="45">
        <f t="shared" si="89"/>
        <v>4.8975339633236265E-4</v>
      </c>
      <c r="Z212" s="10">
        <f t="shared" si="107"/>
        <v>4.5740903753913651</v>
      </c>
      <c r="AA212">
        <f t="shared" si="84"/>
        <v>1579804.5069148077</v>
      </c>
      <c r="AB212" s="10">
        <f t="shared" si="85"/>
        <v>1.5798045069148077</v>
      </c>
      <c r="AC212" s="10">
        <f t="shared" si="86"/>
        <v>1.4788045069148077</v>
      </c>
      <c r="AD212" s="3">
        <f t="shared" si="87"/>
        <v>214.47491035747754</v>
      </c>
      <c r="AI212" s="100">
        <f t="shared" si="88"/>
        <v>0.24454901459083075</v>
      </c>
    </row>
    <row r="213" spans="2:35">
      <c r="B213" s="39">
        <f t="shared" si="90"/>
        <v>185</v>
      </c>
      <c r="C213" s="45">
        <f t="shared" si="91"/>
        <v>5.4346522781772073</v>
      </c>
      <c r="D213" s="10">
        <f t="shared" si="92"/>
        <v>10.015347721822947</v>
      </c>
      <c r="E213" s="40">
        <f t="shared" si="93"/>
        <v>28.30930455635411</v>
      </c>
      <c r="F213" s="40">
        <f t="shared" si="94"/>
        <v>48.34</v>
      </c>
      <c r="G213" s="3">
        <f t="shared" si="95"/>
        <v>106.46139088729177</v>
      </c>
      <c r="H213" s="3">
        <f t="shared" si="96"/>
        <v>148.0155219248214</v>
      </c>
      <c r="I213">
        <f t="shared" si="78"/>
        <v>1.4801552192482141E-4</v>
      </c>
      <c r="J213" s="4">
        <f t="shared" si="97"/>
        <v>633.98998860997153</v>
      </c>
      <c r="K213" s="40">
        <f t="shared" si="98"/>
        <v>4.283266919343645</v>
      </c>
      <c r="L213" s="40">
        <f t="shared" si="79"/>
        <v>1.716733080656355</v>
      </c>
      <c r="M213" s="10">
        <f t="shared" si="99"/>
        <v>1.5798045069148077</v>
      </c>
      <c r="N213" s="10">
        <f t="shared" si="80"/>
        <v>8.26</v>
      </c>
      <c r="O213" s="10">
        <f t="shared" si="81"/>
        <v>0.31900000000000001</v>
      </c>
      <c r="P213" s="10">
        <f t="shared" si="100"/>
        <v>9.557284527649248</v>
      </c>
      <c r="Q213" s="45">
        <f t="shared" si="101"/>
        <v>0.70176343338217795</v>
      </c>
      <c r="R213" s="4">
        <f t="shared" si="102"/>
        <v>128376.71657994903</v>
      </c>
      <c r="S213">
        <f t="shared" si="82"/>
        <v>1.2837671657994903E-4</v>
      </c>
      <c r="T213" s="44">
        <f t="shared" si="83"/>
        <v>1.0749106905536638E-4</v>
      </c>
      <c r="U213" s="45">
        <f t="shared" si="103"/>
        <v>0.23037843673854752</v>
      </c>
      <c r="V213" s="45">
        <f t="shared" si="104"/>
        <v>0.24512770301811557</v>
      </c>
      <c r="W213" s="45">
        <f t="shared" si="105"/>
        <v>0.24452175873116361</v>
      </c>
      <c r="X213" s="45">
        <f t="shared" si="106"/>
        <v>6.0594428695195934E-4</v>
      </c>
      <c r="Y213" s="45">
        <f t="shared" si="89"/>
        <v>4.9161590461780649E-4</v>
      </c>
      <c r="Z213" s="10">
        <f t="shared" si="107"/>
        <v>4.5735511697682112</v>
      </c>
      <c r="AA213">
        <f t="shared" si="84"/>
        <v>1579630.1816085209</v>
      </c>
      <c r="AB213" s="10">
        <f t="shared" si="85"/>
        <v>1.579630181608521</v>
      </c>
      <c r="AC213" s="10">
        <f t="shared" si="86"/>
        <v>1.478630181608521</v>
      </c>
      <c r="AD213" s="3">
        <f t="shared" si="87"/>
        <v>214.44962749942292</v>
      </c>
      <c r="AI213" s="100">
        <f t="shared" si="88"/>
        <v>0.24452175873116361</v>
      </c>
    </row>
    <row r="214" spans="2:35">
      <c r="B214" s="39">
        <f t="shared" si="90"/>
        <v>186</v>
      </c>
      <c r="C214" s="45">
        <f t="shared" si="91"/>
        <v>5.4640287769781652</v>
      </c>
      <c r="D214" s="10">
        <f t="shared" si="92"/>
        <v>9.9859712230219895</v>
      </c>
      <c r="E214" s="40">
        <f t="shared" si="93"/>
        <v>28.368057553956024</v>
      </c>
      <c r="F214" s="40">
        <f t="shared" si="94"/>
        <v>48.34</v>
      </c>
      <c r="G214" s="3">
        <f t="shared" si="95"/>
        <v>106.34388489208794</v>
      </c>
      <c r="H214" s="3">
        <f t="shared" si="96"/>
        <v>148.0155219248214</v>
      </c>
      <c r="I214">
        <f t="shared" si="78"/>
        <v>1.4801552192482141E-4</v>
      </c>
      <c r="J214" s="4">
        <f t="shared" si="97"/>
        <v>636.60533694243509</v>
      </c>
      <c r="K214" s="40">
        <f t="shared" si="98"/>
        <v>4.3009363387292145</v>
      </c>
      <c r="L214" s="40">
        <f t="shared" si="79"/>
        <v>1.6990636612707855</v>
      </c>
      <c r="M214" s="10">
        <f t="shared" si="99"/>
        <v>1.579630181608521</v>
      </c>
      <c r="N214" s="10">
        <f t="shared" si="80"/>
        <v>8.26</v>
      </c>
      <c r="O214" s="10">
        <f t="shared" si="81"/>
        <v>0.31900000000000001</v>
      </c>
      <c r="P214" s="10">
        <f t="shared" si="100"/>
        <v>9.5569480946359633</v>
      </c>
      <c r="Q214" s="45">
        <f t="shared" si="101"/>
        <v>0.70483727018761655</v>
      </c>
      <c r="R214" s="4">
        <f t="shared" si="102"/>
        <v>127956.89539946627</v>
      </c>
      <c r="S214">
        <f t="shared" si="82"/>
        <v>1.2795689539946628E-4</v>
      </c>
      <c r="T214" s="44">
        <f t="shared" si="83"/>
        <v>1.0791089023584914E-4</v>
      </c>
      <c r="U214" s="45">
        <f t="shared" si="103"/>
        <v>0.22962504663911218</v>
      </c>
      <c r="V214" s="45">
        <f t="shared" si="104"/>
        <v>0.24509762460464826</v>
      </c>
      <c r="W214" s="45">
        <f t="shared" si="105"/>
        <v>0.24449293387278287</v>
      </c>
      <c r="X214" s="45">
        <f t="shared" si="106"/>
        <v>6.0469073186539268E-4</v>
      </c>
      <c r="Y214" s="45">
        <f t="shared" si="89"/>
        <v>4.9347462524532192E-4</v>
      </c>
      <c r="Z214" s="10">
        <f t="shared" si="107"/>
        <v>4.5729826171092451</v>
      </c>
      <c r="AA214">
        <f t="shared" si="84"/>
        <v>1579446.3683985719</v>
      </c>
      <c r="AB214" s="10">
        <f t="shared" si="85"/>
        <v>1.5794463683985718</v>
      </c>
      <c r="AC214" s="10">
        <f t="shared" si="86"/>
        <v>1.4784463683985718</v>
      </c>
      <c r="AD214" s="3">
        <f t="shared" si="87"/>
        <v>214.4229685857247</v>
      </c>
      <c r="AI214" s="100">
        <f t="shared" si="88"/>
        <v>0.24449293387278287</v>
      </c>
    </row>
    <row r="215" spans="2:35">
      <c r="B215" s="39">
        <f t="shared" si="90"/>
        <v>187</v>
      </c>
      <c r="C215" s="45">
        <f t="shared" si="91"/>
        <v>5.4934052757791232</v>
      </c>
      <c r="D215" s="10">
        <f t="shared" si="92"/>
        <v>9.9565947242210324</v>
      </c>
      <c r="E215" s="40">
        <f t="shared" si="93"/>
        <v>28.426810551557939</v>
      </c>
      <c r="F215" s="40">
        <f t="shared" si="94"/>
        <v>48.34</v>
      </c>
      <c r="G215" s="3">
        <f t="shared" si="95"/>
        <v>106.22637889688411</v>
      </c>
      <c r="H215" s="3">
        <f t="shared" si="96"/>
        <v>148.0155219248214</v>
      </c>
      <c r="I215">
        <f t="shared" si="78"/>
        <v>1.4801552192482141E-4</v>
      </c>
      <c r="J215" s="4">
        <f t="shared" si="97"/>
        <v>639.22610752987271</v>
      </c>
      <c r="K215" s="40">
        <f t="shared" si="98"/>
        <v>4.318642391130723</v>
      </c>
      <c r="L215" s="40">
        <f t="shared" si="79"/>
        <v>1.681357608869277</v>
      </c>
      <c r="M215" s="10">
        <f t="shared" si="99"/>
        <v>1.5794463683985718</v>
      </c>
      <c r="N215" s="10">
        <f t="shared" si="80"/>
        <v>8.26</v>
      </c>
      <c r="O215" s="10">
        <f t="shared" si="81"/>
        <v>0.31900000000000001</v>
      </c>
      <c r="P215" s="10">
        <f t="shared" si="100"/>
        <v>9.5565933233885776</v>
      </c>
      <c r="Q215" s="45">
        <f t="shared" si="101"/>
        <v>0.70791122110368854</v>
      </c>
      <c r="R215" s="4">
        <f t="shared" si="102"/>
        <v>127537.11287068939</v>
      </c>
      <c r="S215">
        <f t="shared" si="82"/>
        <v>1.2753711287068941E-4</v>
      </c>
      <c r="T215" s="44">
        <f t="shared" si="83"/>
        <v>1.0833067276462601E-4</v>
      </c>
      <c r="U215" s="45">
        <f t="shared" si="103"/>
        <v>0.22887172590209565</v>
      </c>
      <c r="V215" s="45">
        <f t="shared" si="104"/>
        <v>0.24506596155385427</v>
      </c>
      <c r="W215" s="45">
        <f t="shared" si="105"/>
        <v>0.24446254018033428</v>
      </c>
      <c r="X215" s="45">
        <f t="shared" si="106"/>
        <v>6.0342137351998559E-4</v>
      </c>
      <c r="Y215" s="45">
        <f t="shared" si="89"/>
        <v>4.9532951292923107E-4</v>
      </c>
      <c r="Z215" s="10">
        <f t="shared" si="107"/>
        <v>4.572384720673262</v>
      </c>
      <c r="AA215">
        <f t="shared" si="84"/>
        <v>1579253.0683385301</v>
      </c>
      <c r="AB215" s="10">
        <f t="shared" si="85"/>
        <v>1.5792530683385302</v>
      </c>
      <c r="AC215" s="10">
        <f t="shared" si="86"/>
        <v>1.4782530683385302</v>
      </c>
      <c r="AD215" s="3">
        <f t="shared" si="87"/>
        <v>214.39493376918495</v>
      </c>
      <c r="AI215" s="100">
        <f t="shared" si="88"/>
        <v>0.24446254018033428</v>
      </c>
    </row>
    <row r="216" spans="2:35">
      <c r="B216" s="39">
        <f t="shared" si="90"/>
        <v>188</v>
      </c>
      <c r="C216" s="45">
        <f t="shared" si="91"/>
        <v>5.5227817745800811</v>
      </c>
      <c r="D216" s="10">
        <f t="shared" si="92"/>
        <v>9.9272182254200754</v>
      </c>
      <c r="E216" s="40">
        <f t="shared" si="93"/>
        <v>28.485563549159853</v>
      </c>
      <c r="F216" s="40">
        <f t="shared" si="94"/>
        <v>48.34</v>
      </c>
      <c r="G216" s="3">
        <f t="shared" si="95"/>
        <v>106.10887290168029</v>
      </c>
      <c r="H216" s="3">
        <f t="shared" si="96"/>
        <v>148.0155219248214</v>
      </c>
      <c r="I216">
        <f t="shared" si="78"/>
        <v>1.4801552192482141E-4</v>
      </c>
      <c r="J216" s="4">
        <f t="shared" si="97"/>
        <v>641.85230037228393</v>
      </c>
      <c r="K216" s="40">
        <f t="shared" si="98"/>
        <v>4.3363850765481695</v>
      </c>
      <c r="L216" s="40">
        <f t="shared" si="79"/>
        <v>1.6636149234518305</v>
      </c>
      <c r="M216" s="10">
        <f t="shared" si="99"/>
        <v>1.5792530683385302</v>
      </c>
      <c r="N216" s="10">
        <f t="shared" si="80"/>
        <v>8.26</v>
      </c>
      <c r="O216" s="10">
        <f t="shared" si="81"/>
        <v>0.31900000000000001</v>
      </c>
      <c r="P216" s="10">
        <f t="shared" si="100"/>
        <v>9.5562202115815964</v>
      </c>
      <c r="Q216" s="45">
        <f t="shared" si="101"/>
        <v>0.71098529203869643</v>
      </c>
      <c r="R216" s="4">
        <f t="shared" si="102"/>
        <v>127117.37090506084</v>
      </c>
      <c r="S216">
        <f t="shared" si="82"/>
        <v>1.2711737090506084E-4</v>
      </c>
      <c r="T216" s="44">
        <f t="shared" si="83"/>
        <v>1.0875041473025457E-4</v>
      </c>
      <c r="U216" s="45">
        <f t="shared" si="103"/>
        <v>0.22811847795767692</v>
      </c>
      <c r="V216" s="45">
        <f t="shared" si="104"/>
        <v>0.24503271406025293</v>
      </c>
      <c r="W216" s="45">
        <f t="shared" si="105"/>
        <v>0.24443057782802657</v>
      </c>
      <c r="X216" s="45">
        <f t="shared" si="106"/>
        <v>6.0213623222635237E-4</v>
      </c>
      <c r="Y216" s="45">
        <f t="shared" si="89"/>
        <v>4.9718052241963322E-4</v>
      </c>
      <c r="Z216" s="10">
        <f t="shared" si="107"/>
        <v>4.5717574838941433</v>
      </c>
      <c r="AA216">
        <f t="shared" si="84"/>
        <v>1579050.28253857</v>
      </c>
      <c r="AB216" s="10">
        <f t="shared" si="85"/>
        <v>1.5790502825385699</v>
      </c>
      <c r="AC216" s="10">
        <f t="shared" si="86"/>
        <v>1.47805028253857</v>
      </c>
      <c r="AD216" s="3">
        <f t="shared" si="87"/>
        <v>214.36552321081507</v>
      </c>
      <c r="AI216" s="100">
        <f t="shared" si="88"/>
        <v>0.24443057782802657</v>
      </c>
    </row>
    <row r="217" spans="2:35">
      <c r="B217" s="39">
        <f t="shared" si="90"/>
        <v>189</v>
      </c>
      <c r="C217" s="45">
        <f t="shared" si="91"/>
        <v>5.5521582733810391</v>
      </c>
      <c r="D217" s="10">
        <f t="shared" si="92"/>
        <v>9.8978417266191183</v>
      </c>
      <c r="E217" s="40">
        <f t="shared" si="93"/>
        <v>28.544316546761767</v>
      </c>
      <c r="F217" s="40">
        <f t="shared" si="94"/>
        <v>48.34</v>
      </c>
      <c r="G217" s="3">
        <f t="shared" si="95"/>
        <v>105.99136690647646</v>
      </c>
      <c r="H217" s="3">
        <f t="shared" si="96"/>
        <v>148.0155219248214</v>
      </c>
      <c r="I217">
        <f t="shared" si="78"/>
        <v>1.4801552192482141E-4</v>
      </c>
      <c r="J217" s="4">
        <f t="shared" si="97"/>
        <v>644.48391546966945</v>
      </c>
      <c r="K217" s="40">
        <f t="shared" si="98"/>
        <v>4.3541643949815576</v>
      </c>
      <c r="L217" s="40">
        <f t="shared" si="79"/>
        <v>1.6458356050184424</v>
      </c>
      <c r="M217" s="10">
        <f t="shared" si="99"/>
        <v>1.5790502825385699</v>
      </c>
      <c r="N217" s="10">
        <f t="shared" si="80"/>
        <v>8.26</v>
      </c>
      <c r="O217" s="10">
        <f t="shared" si="81"/>
        <v>0.31900000000000001</v>
      </c>
      <c r="P217" s="10">
        <f t="shared" si="100"/>
        <v>9.5558287567729554</v>
      </c>
      <c r="Q217" s="45">
        <f t="shared" si="101"/>
        <v>0.71405948890311144</v>
      </c>
      <c r="R217" s="4">
        <f t="shared" si="102"/>
        <v>126697.67141402293</v>
      </c>
      <c r="S217">
        <f t="shared" si="82"/>
        <v>1.2669767141402293E-4</v>
      </c>
      <c r="T217" s="44">
        <f t="shared" si="83"/>
        <v>1.0917011422129249E-4</v>
      </c>
      <c r="U217" s="45">
        <f t="shared" si="103"/>
        <v>0.22736530623603485</v>
      </c>
      <c r="V217" s="45">
        <f t="shared" si="104"/>
        <v>0.24499788232833192</v>
      </c>
      <c r="W217" s="45">
        <f t="shared" si="105"/>
        <v>0.24439704699942813</v>
      </c>
      <c r="X217" s="45">
        <f t="shared" si="106"/>
        <v>6.008353289037871E-4</v>
      </c>
      <c r="Y217" s="45">
        <f t="shared" si="89"/>
        <v>4.9902760850377903E-4</v>
      </c>
      <c r="Z217" s="10">
        <f t="shared" si="107"/>
        <v>4.57110091038495</v>
      </c>
      <c r="AA217">
        <f t="shared" si="84"/>
        <v>1578838.0121667951</v>
      </c>
      <c r="AB217" s="10">
        <f t="shared" si="85"/>
        <v>1.5788380121667951</v>
      </c>
      <c r="AC217" s="10">
        <f t="shared" si="86"/>
        <v>1.4778380121667951</v>
      </c>
      <c r="AD217" s="3">
        <f t="shared" si="87"/>
        <v>214.3347370800283</v>
      </c>
      <c r="AI217" s="100">
        <f t="shared" si="88"/>
        <v>0.24439704699942813</v>
      </c>
    </row>
    <row r="218" spans="2:35">
      <c r="B218" s="39">
        <f t="shared" si="90"/>
        <v>190</v>
      </c>
      <c r="C218" s="45">
        <f t="shared" si="91"/>
        <v>5.581534772181997</v>
      </c>
      <c r="D218" s="10">
        <f t="shared" si="92"/>
        <v>9.8684652278181613</v>
      </c>
      <c r="E218" s="40">
        <f t="shared" si="93"/>
        <v>28.603069544363681</v>
      </c>
      <c r="F218" s="40">
        <f t="shared" si="94"/>
        <v>48.34</v>
      </c>
      <c r="G218" s="3">
        <f t="shared" si="95"/>
        <v>105.87386091127263</v>
      </c>
      <c r="H218" s="3">
        <f t="shared" si="96"/>
        <v>148.0155219248214</v>
      </c>
      <c r="I218">
        <f t="shared" si="78"/>
        <v>1.4801552192482141E-4</v>
      </c>
      <c r="J218" s="4">
        <f t="shared" si="97"/>
        <v>647.12095282202881</v>
      </c>
      <c r="K218" s="40">
        <f t="shared" si="98"/>
        <v>4.3719803464308846</v>
      </c>
      <c r="L218" s="40">
        <f t="shared" si="79"/>
        <v>1.6280196535691154</v>
      </c>
      <c r="M218" s="10">
        <f t="shared" si="99"/>
        <v>1.5788380121667951</v>
      </c>
      <c r="N218" s="10">
        <f t="shared" si="80"/>
        <v>8.26</v>
      </c>
      <c r="O218" s="10">
        <f t="shared" si="81"/>
        <v>0.31900000000000001</v>
      </c>
      <c r="P218" s="10">
        <f t="shared" si="100"/>
        <v>9.5554189564065037</v>
      </c>
      <c r="Q218" s="45">
        <f t="shared" si="101"/>
        <v>0.71713381760967876</v>
      </c>
      <c r="R218" s="4">
        <f t="shared" si="102"/>
        <v>126278.01630901813</v>
      </c>
      <c r="S218">
        <f t="shared" si="82"/>
        <v>1.2627801630901814E-4</v>
      </c>
      <c r="T218" s="44">
        <f t="shared" si="83"/>
        <v>1.0958976932629727E-4</v>
      </c>
      <c r="U218" s="45">
        <f t="shared" si="103"/>
        <v>0.22661221416734845</v>
      </c>
      <c r="V218" s="45">
        <f t="shared" si="104"/>
        <v>0.24496146657241316</v>
      </c>
      <c r="W218" s="45">
        <f t="shared" si="105"/>
        <v>0.24436194788768606</v>
      </c>
      <c r="X218" s="45">
        <f t="shared" si="106"/>
        <v>5.9951868472710168E-4</v>
      </c>
      <c r="Y218" s="45">
        <f t="shared" si="89"/>
        <v>5.0087072600635903E-4</v>
      </c>
      <c r="Z218" s="10">
        <f t="shared" si="107"/>
        <v>4.5704150039320286</v>
      </c>
      <c r="AA218">
        <f t="shared" si="84"/>
        <v>1578616.2584473323</v>
      </c>
      <c r="AB218" s="10">
        <f t="shared" si="85"/>
        <v>1.5786162584473322</v>
      </c>
      <c r="AC218" s="10">
        <f t="shared" si="86"/>
        <v>1.4776162584473322</v>
      </c>
      <c r="AD218" s="3">
        <f t="shared" si="87"/>
        <v>214.3025755543629</v>
      </c>
      <c r="AI218" s="100">
        <f t="shared" si="88"/>
        <v>0.24436194788768606</v>
      </c>
    </row>
    <row r="219" spans="2:35">
      <c r="B219" s="39">
        <f t="shared" si="90"/>
        <v>191</v>
      </c>
      <c r="C219" s="45">
        <f t="shared" si="91"/>
        <v>5.6109112709829549</v>
      </c>
      <c r="D219" s="10">
        <f t="shared" si="92"/>
        <v>9.8390887290172042</v>
      </c>
      <c r="E219" s="40">
        <f t="shared" si="93"/>
        <v>28.661822541965595</v>
      </c>
      <c r="F219" s="40">
        <f t="shared" si="94"/>
        <v>48.34</v>
      </c>
      <c r="G219" s="3">
        <f t="shared" si="95"/>
        <v>105.7563549160688</v>
      </c>
      <c r="H219" s="3">
        <f t="shared" si="96"/>
        <v>148.0155219248214</v>
      </c>
      <c r="I219">
        <f t="shared" si="78"/>
        <v>1.4801552192482141E-4</v>
      </c>
      <c r="J219" s="4">
        <f t="shared" si="97"/>
        <v>649.76341242936201</v>
      </c>
      <c r="K219" s="40">
        <f t="shared" si="98"/>
        <v>4.3898329308961497</v>
      </c>
      <c r="L219" s="40">
        <f t="shared" si="79"/>
        <v>1.6101670691038503</v>
      </c>
      <c r="M219" s="10">
        <f t="shared" si="99"/>
        <v>1.5786162584473322</v>
      </c>
      <c r="N219" s="10">
        <f t="shared" si="80"/>
        <v>8.26</v>
      </c>
      <c r="O219" s="10">
        <f t="shared" si="81"/>
        <v>0.31900000000000001</v>
      </c>
      <c r="P219" s="10">
        <f t="shared" si="100"/>
        <v>9.5549908078082026</v>
      </c>
      <c r="Q219" s="45">
        <f t="shared" si="101"/>
        <v>0.72020828407352422</v>
      </c>
      <c r="R219" s="4">
        <f t="shared" si="102"/>
        <v>125858.40750148881</v>
      </c>
      <c r="S219">
        <f t="shared" si="82"/>
        <v>1.2585840750148881E-4</v>
      </c>
      <c r="T219" s="44">
        <f t="shared" si="83"/>
        <v>1.100093781338266E-4</v>
      </c>
      <c r="U219" s="45">
        <f t="shared" si="103"/>
        <v>0.22585920518179672</v>
      </c>
      <c r="V219" s="45">
        <f t="shared" si="104"/>
        <v>0.24492346701673878</v>
      </c>
      <c r="W219" s="45">
        <f t="shared" si="105"/>
        <v>0.24432528069521084</v>
      </c>
      <c r="X219" s="45">
        <f t="shared" si="106"/>
        <v>5.9818632152794371E-4</v>
      </c>
      <c r="Y219" s="45">
        <f t="shared" si="89"/>
        <v>5.0270982979102772E-4</v>
      </c>
      <c r="Z219" s="10">
        <f t="shared" si="107"/>
        <v>4.5696997685004668</v>
      </c>
      <c r="AA219">
        <f t="shared" si="84"/>
        <v>1578385.0226620953</v>
      </c>
      <c r="AB219" s="10">
        <f t="shared" si="85"/>
        <v>1.5783850226620952</v>
      </c>
      <c r="AC219" s="10">
        <f t="shared" si="86"/>
        <v>1.4773850226620953</v>
      </c>
      <c r="AD219" s="3">
        <f t="shared" si="87"/>
        <v>214.26903881973826</v>
      </c>
      <c r="AI219" s="100">
        <f t="shared" si="88"/>
        <v>0.24432528069521084</v>
      </c>
    </row>
    <row r="220" spans="2:35">
      <c r="B220" s="39">
        <f t="shared" si="90"/>
        <v>192</v>
      </c>
      <c r="C220" s="45">
        <f t="shared" si="91"/>
        <v>5.6402877697839129</v>
      </c>
      <c r="D220" s="10">
        <f t="shared" si="92"/>
        <v>9.8097122302162472</v>
      </c>
      <c r="E220" s="40">
        <f t="shared" si="93"/>
        <v>28.720575539567509</v>
      </c>
      <c r="F220" s="40">
        <f t="shared" si="94"/>
        <v>48.34</v>
      </c>
      <c r="G220" s="3">
        <f t="shared" si="95"/>
        <v>105.63884892086497</v>
      </c>
      <c r="H220" s="3">
        <f t="shared" si="96"/>
        <v>148.0155219248214</v>
      </c>
      <c r="I220">
        <f t="shared" ref="I220:I230" si="108">H220/1000^2</f>
        <v>1.4801552192482141E-4</v>
      </c>
      <c r="J220" s="4">
        <f t="shared" si="97"/>
        <v>652.41129429166881</v>
      </c>
      <c r="K220" s="40">
        <f t="shared" si="98"/>
        <v>4.4077221483773519</v>
      </c>
      <c r="L220" s="40">
        <f t="shared" ref="L220:L230" si="109">IF((gstar-K220)&lt;0,0,gstar-K220)</f>
        <v>1.5922778516226481</v>
      </c>
      <c r="M220" s="10">
        <f t="shared" si="99"/>
        <v>1.5783850226620952</v>
      </c>
      <c r="N220" s="10">
        <f t="shared" ref="N220:N283" si="110">IF(fueltype=1,VLOOKUP($M220,kndxbn_,4),IF(fueltype=2,VLOOKUP($M220,knsobn_,4),IF(fueltype=3,VLOOKUP($M220,knsbcobn_,4),IF(fueltype=4,VLOOKUP($M220,knsubn_,4),IF(fueltype=5,am_1,IF(fueltype=6,am_0,IF(fueltype=7,am_3,am_4)))))))</f>
        <v>8.26</v>
      </c>
      <c r="O220" s="10">
        <f t="shared" ref="O220:O283" si="111">IF(fueltype=1,VLOOKUP($M220,kndxbn_,5),IF(fueltype=2,VLOOKUP($M220,knsobn_,5),IF(fueltype=3,VLOOKUP($M220,knsbcobn_,5),IF(fueltype=4,VLOOKUP($M220,knsubn_,5),IF(fueltype=5,nm_1,IF(fueltype=6,an_0,IF(fueltype=7,nm_3,nm_4)))))))</f>
        <v>0.31900000000000001</v>
      </c>
      <c r="P220" s="10">
        <f t="shared" si="100"/>
        <v>9.5545443081894277</v>
      </c>
      <c r="Q220" s="45">
        <f t="shared" si="101"/>
        <v>0.72328289421225977</v>
      </c>
      <c r="R220" s="4">
        <f t="shared" si="102"/>
        <v>125438.84690287743</v>
      </c>
      <c r="S220">
        <f t="shared" ref="S220:S230" si="112">R220/1000^3</f>
        <v>1.2543884690287743E-4</v>
      </c>
      <c r="T220" s="44">
        <f t="shared" ref="T220:T230" si="113">(vc/1000^3-S220)</f>
        <v>1.1042893873243798E-4</v>
      </c>
      <c r="U220" s="45">
        <f t="shared" si="103"/>
        <v>0.22510628270955868</v>
      </c>
      <c r="V220" s="45">
        <f t="shared" si="104"/>
        <v>0.24488388389549945</v>
      </c>
      <c r="W220" s="45">
        <f t="shared" si="105"/>
        <v>0.24428704563396825</v>
      </c>
      <c r="X220" s="45">
        <f t="shared" si="106"/>
        <v>5.9683826153120179E-4</v>
      </c>
      <c r="Y220" s="45">
        <f t="shared" si="89"/>
        <v>5.0454487476111684E-4</v>
      </c>
      <c r="Z220" s="10">
        <f t="shared" si="107"/>
        <v>4.5689552082321079</v>
      </c>
      <c r="AA220">
        <f t="shared" ref="AA220:AA230" si="114">Z220*rat*to+patm*1000000</f>
        <v>1578144.306150143</v>
      </c>
      <c r="AB220" s="10">
        <f t="shared" ref="AB220:AB230" si="115">AA220/1000000</f>
        <v>1.578144306150143</v>
      </c>
      <c r="AC220" s="10">
        <f t="shared" ref="AC220:AC230" si="116">AB220-patm</f>
        <v>1.477144306150143</v>
      </c>
      <c r="AD220" s="3">
        <f t="shared" ref="AD220:AD230" si="117">AC220*1000000/6895</f>
        <v>214.23412707036158</v>
      </c>
      <c r="AI220" s="100">
        <f t="shared" si="88"/>
        <v>0.24428704563396825</v>
      </c>
    </row>
    <row r="221" spans="2:35">
      <c r="B221" s="39">
        <f t="shared" si="90"/>
        <v>193</v>
      </c>
      <c r="C221" s="45">
        <f t="shared" si="91"/>
        <v>5.6696642685848708</v>
      </c>
      <c r="D221" s="10">
        <f t="shared" si="92"/>
        <v>9.7803357314152901</v>
      </c>
      <c r="E221" s="40">
        <f t="shared" si="93"/>
        <v>28.779328537169423</v>
      </c>
      <c r="F221" s="40">
        <f t="shared" si="94"/>
        <v>48.34</v>
      </c>
      <c r="G221" s="3">
        <f t="shared" si="95"/>
        <v>105.52134292566114</v>
      </c>
      <c r="H221" s="3">
        <f t="shared" si="96"/>
        <v>148.0155219248214</v>
      </c>
      <c r="I221">
        <f t="shared" si="108"/>
        <v>1.4801552192482141E-4</v>
      </c>
      <c r="J221" s="4">
        <f t="shared" si="97"/>
        <v>655.06459840895013</v>
      </c>
      <c r="K221" s="40">
        <f t="shared" si="98"/>
        <v>4.4256479988744974</v>
      </c>
      <c r="L221" s="40">
        <f t="shared" si="109"/>
        <v>1.5743520011255026</v>
      </c>
      <c r="M221" s="10">
        <f t="shared" si="99"/>
        <v>1.578144306150143</v>
      </c>
      <c r="N221" s="10">
        <f t="shared" si="110"/>
        <v>8.26</v>
      </c>
      <c r="O221" s="10">
        <f t="shared" si="111"/>
        <v>0.31900000000000001</v>
      </c>
      <c r="P221" s="10">
        <f t="shared" si="100"/>
        <v>9.5540794546456222</v>
      </c>
      <c r="Q221" s="45">
        <f t="shared" si="101"/>
        <v>0.72635765394608987</v>
      </c>
      <c r="R221" s="4">
        <f t="shared" si="102"/>
        <v>125019.33642462626</v>
      </c>
      <c r="S221">
        <f t="shared" si="112"/>
        <v>1.2501933642462625E-4</v>
      </c>
      <c r="T221" s="44">
        <f t="shared" si="113"/>
        <v>1.1084844921068916E-4</v>
      </c>
      <c r="U221" s="45">
        <f t="shared" si="103"/>
        <v>0.22435345018081307</v>
      </c>
      <c r="V221" s="45">
        <f t="shared" si="104"/>
        <v>0.24484271745286645</v>
      </c>
      <c r="W221" s="45">
        <f t="shared" si="105"/>
        <v>0.24424724292537292</v>
      </c>
      <c r="X221" s="45">
        <f t="shared" si="106"/>
        <v>5.9547452749353358E-4</v>
      </c>
      <c r="Y221" s="45">
        <f t="shared" si="89"/>
        <v>5.0637581586077541E-4</v>
      </c>
      <c r="Z221" s="10">
        <f t="shared" si="107"/>
        <v>4.5681813274474337</v>
      </c>
      <c r="AA221">
        <f t="shared" si="114"/>
        <v>1577894.1103082884</v>
      </c>
      <c r="AB221" s="10">
        <f t="shared" si="115"/>
        <v>1.5778941103082884</v>
      </c>
      <c r="AC221" s="10">
        <f t="shared" si="116"/>
        <v>1.4768941103082884</v>
      </c>
      <c r="AD221" s="3">
        <f t="shared" si="117"/>
        <v>214.19784050881628</v>
      </c>
      <c r="AI221" s="100">
        <f t="shared" ref="AI221:AI230" si="118">($M221-patm)*1000000*$I221/SQRT(rat*to)*SQRT(k)*(2/(k+1))^((k+1)/2/(k-1))</f>
        <v>0.24424724292537292</v>
      </c>
    </row>
    <row r="222" spans="2:35">
      <c r="B222" s="39">
        <f t="shared" si="90"/>
        <v>194</v>
      </c>
      <c r="C222" s="45">
        <f t="shared" si="91"/>
        <v>5.6990407673858288</v>
      </c>
      <c r="D222" s="10">
        <f t="shared" si="92"/>
        <v>9.7509592326143331</v>
      </c>
      <c r="E222" s="40">
        <f t="shared" si="93"/>
        <v>28.838081534771337</v>
      </c>
      <c r="F222" s="40">
        <f t="shared" si="94"/>
        <v>48.34</v>
      </c>
      <c r="G222" s="3">
        <f t="shared" si="95"/>
        <v>105.40383693045732</v>
      </c>
      <c r="H222" s="3">
        <f t="shared" si="96"/>
        <v>148.0155219248214</v>
      </c>
      <c r="I222">
        <f t="shared" si="108"/>
        <v>1.4801552192482141E-4</v>
      </c>
      <c r="J222" s="4">
        <f t="shared" si="97"/>
        <v>657.72332478120506</v>
      </c>
      <c r="K222" s="40">
        <f t="shared" si="98"/>
        <v>4.4436104823875802</v>
      </c>
      <c r="L222" s="40">
        <f t="shared" si="109"/>
        <v>1.5563895176124198</v>
      </c>
      <c r="M222" s="10">
        <f t="shared" si="99"/>
        <v>1.5778941103082884</v>
      </c>
      <c r="N222" s="10">
        <f t="shared" si="110"/>
        <v>8.26</v>
      </c>
      <c r="O222" s="10">
        <f t="shared" si="111"/>
        <v>0.31900000000000001</v>
      </c>
      <c r="P222" s="10">
        <f t="shared" si="100"/>
        <v>9.5535962441573545</v>
      </c>
      <c r="Q222" s="45">
        <f t="shared" si="101"/>
        <v>0.72943256919791699</v>
      </c>
      <c r="R222" s="4">
        <f t="shared" si="102"/>
        <v>124599.87797817783</v>
      </c>
      <c r="S222">
        <f t="shared" si="112"/>
        <v>1.2459987797817782E-4</v>
      </c>
      <c r="T222" s="44">
        <f t="shared" si="113"/>
        <v>1.1126790765713759E-4</v>
      </c>
      <c r="U222" s="45">
        <f t="shared" si="103"/>
        <v>0.223600711025739</v>
      </c>
      <c r="V222" s="45">
        <f t="shared" si="104"/>
        <v>0.24479996794278688</v>
      </c>
      <c r="W222" s="45">
        <f t="shared" si="105"/>
        <v>0.24420587280038922</v>
      </c>
      <c r="X222" s="45">
        <f t="shared" si="106"/>
        <v>5.9409514239766592E-4</v>
      </c>
      <c r="Y222" s="45">
        <f t="shared" ref="Y222:Y285" si="119">IF((X222*(Q222-Q221)+Y221)&lt;0,0,X222*(Q222-Q221)+Y221)</f>
        <v>5.0820260807517043E-4</v>
      </c>
      <c r="Z222" s="10">
        <f t="shared" si="107"/>
        <v>4.5673781306390042</v>
      </c>
      <c r="AA222">
        <f t="shared" si="114"/>
        <v>1577634.4365889765</v>
      </c>
      <c r="AB222" s="10">
        <f t="shared" si="115"/>
        <v>1.5776344365889765</v>
      </c>
      <c r="AC222" s="10">
        <f t="shared" si="116"/>
        <v>1.4766344365889765</v>
      </c>
      <c r="AD222" s="3">
        <f t="shared" si="117"/>
        <v>214.16017934575439</v>
      </c>
      <c r="AI222" s="100">
        <f t="shared" si="118"/>
        <v>0.24420587280038922</v>
      </c>
    </row>
    <row r="223" spans="2:35">
      <c r="B223" s="39">
        <f t="shared" si="90"/>
        <v>195</v>
      </c>
      <c r="C223" s="45">
        <f t="shared" si="91"/>
        <v>5.7284172661867867</v>
      </c>
      <c r="D223" s="10">
        <f t="shared" si="92"/>
        <v>9.721582733813376</v>
      </c>
      <c r="E223" s="40">
        <f t="shared" si="93"/>
        <v>28.896834532373251</v>
      </c>
      <c r="F223" s="40">
        <f t="shared" si="94"/>
        <v>48.34</v>
      </c>
      <c r="G223" s="3">
        <f t="shared" si="95"/>
        <v>105.28633093525349</v>
      </c>
      <c r="H223" s="3">
        <f t="shared" si="96"/>
        <v>148.0155219248214</v>
      </c>
      <c r="I223">
        <f t="shared" si="108"/>
        <v>1.4801552192482141E-4</v>
      </c>
      <c r="J223" s="4">
        <f t="shared" si="97"/>
        <v>660.38747340843383</v>
      </c>
      <c r="K223" s="40">
        <f t="shared" si="98"/>
        <v>4.4616095989166018</v>
      </c>
      <c r="L223" s="40">
        <f t="shared" si="109"/>
        <v>1.5383904010833982</v>
      </c>
      <c r="M223" s="10">
        <f t="shared" si="99"/>
        <v>1.5776344365889765</v>
      </c>
      <c r="N223" s="10">
        <f t="shared" si="110"/>
        <v>8.26</v>
      </c>
      <c r="O223" s="10">
        <f t="shared" si="111"/>
        <v>0.31900000000000001</v>
      </c>
      <c r="P223" s="10">
        <f t="shared" si="100"/>
        <v>9.5530946735860898</v>
      </c>
      <c r="Q223" s="45">
        <f t="shared" si="101"/>
        <v>0.73250764589344919</v>
      </c>
      <c r="R223" s="4">
        <f t="shared" si="102"/>
        <v>124180.4734749745</v>
      </c>
      <c r="S223">
        <f t="shared" si="112"/>
        <v>1.241804734749745E-4</v>
      </c>
      <c r="T223" s="44">
        <f t="shared" si="113"/>
        <v>1.1168731216034091E-4</v>
      </c>
      <c r="U223" s="45">
        <f t="shared" si="103"/>
        <v>0.22284806867451545</v>
      </c>
      <c r="V223" s="45">
        <f t="shared" si="104"/>
        <v>0.24475563562920818</v>
      </c>
      <c r="W223" s="45">
        <f t="shared" si="105"/>
        <v>0.24416293549918039</v>
      </c>
      <c r="X223" s="45">
        <f t="shared" si="106"/>
        <v>5.9270013002779565E-4</v>
      </c>
      <c r="Y223" s="45">
        <f t="shared" si="119"/>
        <v>5.1002520643245782E-4</v>
      </c>
      <c r="Z223" s="10">
        <f t="shared" si="107"/>
        <v>4.5665456224808576</v>
      </c>
      <c r="AA223">
        <f t="shared" si="114"/>
        <v>1577365.2865033261</v>
      </c>
      <c r="AB223" s="10">
        <f t="shared" si="115"/>
        <v>1.5773652865033261</v>
      </c>
      <c r="AC223" s="10">
        <f t="shared" si="116"/>
        <v>1.4763652865033261</v>
      </c>
      <c r="AD223" s="3">
        <f t="shared" si="117"/>
        <v>214.12114380033736</v>
      </c>
      <c r="AI223" s="100">
        <f t="shared" si="118"/>
        <v>0.24416293549918039</v>
      </c>
    </row>
    <row r="224" spans="2:35">
      <c r="B224" s="39">
        <f t="shared" si="90"/>
        <v>196</v>
      </c>
      <c r="C224" s="45">
        <f t="shared" si="91"/>
        <v>5.7577937649877446</v>
      </c>
      <c r="D224" s="10">
        <f t="shared" si="92"/>
        <v>9.692206235012419</v>
      </c>
      <c r="E224" s="40">
        <f t="shared" si="93"/>
        <v>28.955587529975165</v>
      </c>
      <c r="F224" s="40">
        <f t="shared" si="94"/>
        <v>48.34</v>
      </c>
      <c r="G224" s="3">
        <f t="shared" si="95"/>
        <v>105.16882494004966</v>
      </c>
      <c r="H224" s="3">
        <f t="shared" si="96"/>
        <v>148.0155219248214</v>
      </c>
      <c r="I224">
        <f t="shared" si="108"/>
        <v>1.4801552192482141E-4</v>
      </c>
      <c r="J224" s="4">
        <f t="shared" si="97"/>
        <v>663.05704429063667</v>
      </c>
      <c r="K224" s="40">
        <f t="shared" si="98"/>
        <v>4.4796453484615633</v>
      </c>
      <c r="L224" s="40">
        <f t="shared" si="109"/>
        <v>1.5203546515384367</v>
      </c>
      <c r="M224" s="10">
        <f t="shared" si="99"/>
        <v>1.5773652865033261</v>
      </c>
      <c r="N224" s="10">
        <f t="shared" si="110"/>
        <v>8.26</v>
      </c>
      <c r="O224" s="10">
        <f t="shared" si="111"/>
        <v>0.31900000000000001</v>
      </c>
      <c r="P224" s="10">
        <f t="shared" si="100"/>
        <v>9.5525747396799527</v>
      </c>
      <c r="Q224" s="45">
        <f t="shared" si="101"/>
        <v>0.73558288996130583</v>
      </c>
      <c r="R224" s="4">
        <f t="shared" si="102"/>
        <v>123761.12482645865</v>
      </c>
      <c r="S224">
        <f t="shared" si="112"/>
        <v>1.2376112482645864E-4</v>
      </c>
      <c r="T224" s="44">
        <f t="shared" si="113"/>
        <v>1.1210666080885677E-4</v>
      </c>
      <c r="U224" s="45">
        <f t="shared" si="103"/>
        <v>0.22209552655732134</v>
      </c>
      <c r="V224" s="45">
        <f t="shared" si="104"/>
        <v>0.2447097207860354</v>
      </c>
      <c r="W224" s="45">
        <f t="shared" si="105"/>
        <v>0.24411843127161134</v>
      </c>
      <c r="X224" s="45">
        <f t="shared" si="106"/>
        <v>5.9128951442405375E-4</v>
      </c>
      <c r="Y224" s="45">
        <f t="shared" si="119"/>
        <v>5.1184356600407618E-4</v>
      </c>
      <c r="Z224" s="10">
        <f t="shared" si="107"/>
        <v>4.5656838078227642</v>
      </c>
      <c r="AA224">
        <f t="shared" si="114"/>
        <v>1577086.6616192679</v>
      </c>
      <c r="AB224" s="10">
        <f t="shared" si="115"/>
        <v>1.5770866616192678</v>
      </c>
      <c r="AC224" s="10">
        <f t="shared" si="116"/>
        <v>1.4760866616192678</v>
      </c>
      <c r="AD224" s="3">
        <f t="shared" si="117"/>
        <v>214.08073409996635</v>
      </c>
      <c r="AI224" s="100">
        <f t="shared" si="118"/>
        <v>0.24411843127161134</v>
      </c>
    </row>
    <row r="225" spans="2:35">
      <c r="B225" s="39">
        <f t="shared" si="90"/>
        <v>197</v>
      </c>
      <c r="C225" s="45">
        <f t="shared" si="91"/>
        <v>5.7871702637887026</v>
      </c>
      <c r="D225" s="10">
        <f t="shared" si="92"/>
        <v>9.6628297362114619</v>
      </c>
      <c r="E225" s="40">
        <f t="shared" si="93"/>
        <v>29.01434052757708</v>
      </c>
      <c r="F225" s="40">
        <f t="shared" si="94"/>
        <v>48.34</v>
      </c>
      <c r="G225" s="3">
        <f t="shared" si="95"/>
        <v>105.05131894484583</v>
      </c>
      <c r="H225" s="3">
        <f t="shared" si="96"/>
        <v>148.0155219248214</v>
      </c>
      <c r="I225">
        <f t="shared" si="108"/>
        <v>1.4801552192482141E-4</v>
      </c>
      <c r="J225" s="4">
        <f t="shared" si="97"/>
        <v>665.73203742781311</v>
      </c>
      <c r="K225" s="40">
        <f t="shared" si="98"/>
        <v>4.4977177310224619</v>
      </c>
      <c r="L225" s="40">
        <f t="shared" si="109"/>
        <v>1.5022822689775381</v>
      </c>
      <c r="M225" s="10">
        <f t="shared" si="99"/>
        <v>1.5770866616192678</v>
      </c>
      <c r="N225" s="10">
        <f t="shared" si="110"/>
        <v>8.26</v>
      </c>
      <c r="O225" s="10">
        <f t="shared" si="111"/>
        <v>0.31900000000000001</v>
      </c>
      <c r="P225" s="10">
        <f t="shared" si="100"/>
        <v>9.552036439069985</v>
      </c>
      <c r="Q225" s="45">
        <f t="shared" si="101"/>
        <v>0.73865830733312421</v>
      </c>
      <c r="R225" s="4">
        <f t="shared" si="102"/>
        <v>123341.83394407273</v>
      </c>
      <c r="S225">
        <f t="shared" si="112"/>
        <v>1.2334183394407272E-4</v>
      </c>
      <c r="T225" s="44">
        <f t="shared" si="113"/>
        <v>1.125259516912427E-4</v>
      </c>
      <c r="U225" s="45">
        <f t="shared" si="103"/>
        <v>0.2213430881043357</v>
      </c>
      <c r="V225" s="45">
        <f t="shared" si="104"/>
        <v>0.24466222369705695</v>
      </c>
      <c r="W225" s="45">
        <f t="shared" si="105"/>
        <v>0.24407236037694091</v>
      </c>
      <c r="X225" s="45">
        <f t="shared" si="106"/>
        <v>5.8986332011604081E-4</v>
      </c>
      <c r="Y225" s="45">
        <f t="shared" si="119"/>
        <v>5.136576419057595E-4</v>
      </c>
      <c r="Z225" s="10">
        <f t="shared" si="107"/>
        <v>4.5647926916910029</v>
      </c>
      <c r="AA225">
        <f t="shared" si="114"/>
        <v>1576798.5635618002</v>
      </c>
      <c r="AB225" s="10">
        <f t="shared" si="115"/>
        <v>1.5767985635618003</v>
      </c>
      <c r="AC225" s="10">
        <f t="shared" si="116"/>
        <v>1.4757985635618003</v>
      </c>
      <c r="AD225" s="3">
        <f t="shared" si="117"/>
        <v>214.0389504803191</v>
      </c>
      <c r="AI225" s="100">
        <f t="shared" si="118"/>
        <v>0.24407236037694091</v>
      </c>
    </row>
    <row r="226" spans="2:35">
      <c r="B226" s="39">
        <f t="shared" si="90"/>
        <v>198</v>
      </c>
      <c r="C226" s="45">
        <f t="shared" si="91"/>
        <v>5.8165467625896605</v>
      </c>
      <c r="D226" s="10">
        <f t="shared" si="92"/>
        <v>9.6334532374105049</v>
      </c>
      <c r="E226" s="40">
        <f t="shared" si="93"/>
        <v>29.073093525178994</v>
      </c>
      <c r="F226" s="40">
        <f t="shared" si="94"/>
        <v>48.34</v>
      </c>
      <c r="G226" s="3">
        <f t="shared" si="95"/>
        <v>104.933812949642</v>
      </c>
      <c r="H226" s="3">
        <f t="shared" si="96"/>
        <v>148.0155219248214</v>
      </c>
      <c r="I226">
        <f t="shared" si="108"/>
        <v>1.4801552192482141E-4</v>
      </c>
      <c r="J226" s="4">
        <f t="shared" si="97"/>
        <v>668.41245281996385</v>
      </c>
      <c r="K226" s="40">
        <f t="shared" si="98"/>
        <v>4.5158267465993021</v>
      </c>
      <c r="L226" s="40">
        <f t="shared" si="109"/>
        <v>1.4841732534006979</v>
      </c>
      <c r="M226" s="10">
        <f t="shared" si="99"/>
        <v>1.5767985635618003</v>
      </c>
      <c r="N226" s="10">
        <f t="shared" si="110"/>
        <v>8.26</v>
      </c>
      <c r="O226" s="10">
        <f t="shared" si="111"/>
        <v>0.31900000000000001</v>
      </c>
      <c r="P226" s="10">
        <f t="shared" si="100"/>
        <v>9.5514797682705215</v>
      </c>
      <c r="Q226" s="45">
        <f t="shared" si="101"/>
        <v>0.74173390394366667</v>
      </c>
      <c r="R226" s="4">
        <f t="shared" si="102"/>
        <v>122922.60273925906</v>
      </c>
      <c r="S226">
        <f t="shared" si="112"/>
        <v>1.2292260273925906E-4</v>
      </c>
      <c r="T226" s="44">
        <f t="shared" si="113"/>
        <v>1.1294518289605636E-4</v>
      </c>
      <c r="U226" s="45">
        <f t="shared" si="103"/>
        <v>0.22059075674573733</v>
      </c>
      <c r="V226" s="45">
        <f t="shared" si="104"/>
        <v>0.24461314465607845</v>
      </c>
      <c r="W226" s="45">
        <f t="shared" si="105"/>
        <v>0.24402472308386422</v>
      </c>
      <c r="X226" s="45">
        <f t="shared" si="106"/>
        <v>5.8842157221422609E-4</v>
      </c>
      <c r="Y226" s="45">
        <f t="shared" si="119"/>
        <v>5.1546738929883159E-4</v>
      </c>
      <c r="Z226" s="10">
        <f t="shared" si="107"/>
        <v>4.5638722792916022</v>
      </c>
      <c r="AA226">
        <f t="shared" si="114"/>
        <v>1576500.9940140324</v>
      </c>
      <c r="AB226" s="10">
        <f t="shared" si="115"/>
        <v>1.5765009940140324</v>
      </c>
      <c r="AC226" s="10">
        <f t="shared" si="116"/>
        <v>1.4755009940140325</v>
      </c>
      <c r="AD226" s="3">
        <f t="shared" si="117"/>
        <v>213.99579318550144</v>
      </c>
      <c r="AI226" s="100">
        <f t="shared" si="118"/>
        <v>0.24402472308386422</v>
      </c>
    </row>
    <row r="227" spans="2:35">
      <c r="B227" s="39">
        <f t="shared" si="90"/>
        <v>199</v>
      </c>
      <c r="C227" s="45">
        <f t="shared" si="91"/>
        <v>5.8459232613906185</v>
      </c>
      <c r="D227" s="10">
        <f t="shared" si="92"/>
        <v>9.6040767386095478</v>
      </c>
      <c r="E227" s="40">
        <f t="shared" si="93"/>
        <v>29.131846522780908</v>
      </c>
      <c r="F227" s="40">
        <f t="shared" si="94"/>
        <v>48.34</v>
      </c>
      <c r="G227" s="3">
        <f t="shared" si="95"/>
        <v>104.81630695443818</v>
      </c>
      <c r="H227" s="3">
        <f t="shared" si="96"/>
        <v>148.0155219248214</v>
      </c>
      <c r="I227">
        <f t="shared" si="108"/>
        <v>1.4801552192482141E-4</v>
      </c>
      <c r="J227" s="4">
        <f t="shared" si="97"/>
        <v>671.09829046708819</v>
      </c>
      <c r="K227" s="40">
        <f t="shared" si="98"/>
        <v>4.5339723951920794</v>
      </c>
      <c r="L227" s="40">
        <f t="shared" si="109"/>
        <v>1.4660276048079206</v>
      </c>
      <c r="M227" s="10">
        <f t="shared" si="99"/>
        <v>1.5765009940140324</v>
      </c>
      <c r="N227" s="10">
        <f t="shared" si="110"/>
        <v>8.26</v>
      </c>
      <c r="O227" s="10">
        <f t="shared" si="111"/>
        <v>0.31900000000000001</v>
      </c>
      <c r="P227" s="10">
        <f t="shared" si="100"/>
        <v>9.5509047236810467</v>
      </c>
      <c r="Q227" s="45">
        <f t="shared" si="101"/>
        <v>0.7448096857309271</v>
      </c>
      <c r="R227" s="4">
        <f t="shared" si="102"/>
        <v>122503.43312346011</v>
      </c>
      <c r="S227">
        <f t="shared" si="112"/>
        <v>1.225034331234601E-4</v>
      </c>
      <c r="T227" s="44">
        <f t="shared" si="113"/>
        <v>1.1336435251185531E-4</v>
      </c>
      <c r="U227" s="45">
        <f t="shared" si="103"/>
        <v>0.21983853591170532</v>
      </c>
      <c r="V227" s="45">
        <f t="shared" si="104"/>
        <v>0.24456248396672045</v>
      </c>
      <c r="W227" s="45">
        <f t="shared" si="105"/>
        <v>0.24397551967068504</v>
      </c>
      <c r="X227" s="45">
        <f t="shared" si="106"/>
        <v>5.8696429603541378E-4</v>
      </c>
      <c r="Y227" s="45">
        <f t="shared" si="119"/>
        <v>5.1727276339034946E-4</v>
      </c>
      <c r="Z227" s="10">
        <f t="shared" si="107"/>
        <v>4.5629225760033743</v>
      </c>
      <c r="AA227">
        <f t="shared" si="114"/>
        <v>1576193.954714936</v>
      </c>
      <c r="AB227" s="10">
        <f t="shared" si="115"/>
        <v>1.576193954714936</v>
      </c>
      <c r="AC227" s="10">
        <f t="shared" si="116"/>
        <v>1.475193954714936</v>
      </c>
      <c r="AD227" s="3">
        <f t="shared" si="117"/>
        <v>213.95126246772097</v>
      </c>
      <c r="AI227" s="100">
        <f t="shared" si="118"/>
        <v>0.24397551967068504</v>
      </c>
    </row>
    <row r="228" spans="2:35">
      <c r="B228" s="39">
        <f t="shared" si="90"/>
        <v>200</v>
      </c>
      <c r="C228" s="45">
        <f t="shared" si="91"/>
        <v>5.8752997601915764</v>
      </c>
      <c r="D228" s="10">
        <f t="shared" si="92"/>
        <v>9.5747002398085908</v>
      </c>
      <c r="E228" s="40">
        <f t="shared" si="93"/>
        <v>29.190599520382822</v>
      </c>
      <c r="F228" s="40">
        <f t="shared" si="94"/>
        <v>48.34</v>
      </c>
      <c r="G228" s="3">
        <f t="shared" si="95"/>
        <v>104.69880095923435</v>
      </c>
      <c r="H228" s="3">
        <f t="shared" si="96"/>
        <v>148.0155219248214</v>
      </c>
      <c r="I228">
        <f t="shared" si="108"/>
        <v>1.4801552192482141E-4</v>
      </c>
      <c r="J228" s="4">
        <f t="shared" si="97"/>
        <v>673.7895503691866</v>
      </c>
      <c r="K228" s="40">
        <f t="shared" si="98"/>
        <v>4.5521546768007966</v>
      </c>
      <c r="L228" s="40">
        <f t="shared" si="109"/>
        <v>1.4478453231992034</v>
      </c>
      <c r="M228" s="10">
        <f t="shared" si="99"/>
        <v>1.576193954714936</v>
      </c>
      <c r="N228" s="10">
        <f t="shared" si="110"/>
        <v>8.26</v>
      </c>
      <c r="O228" s="10">
        <f t="shared" si="111"/>
        <v>0.31900000000000001</v>
      </c>
      <c r="P228" s="10">
        <f t="shared" si="100"/>
        <v>9.5503113015817149</v>
      </c>
      <c r="Q228" s="45">
        <f t="shared" si="101"/>
        <v>0.74788565863623879</v>
      </c>
      <c r="R228" s="4">
        <f t="shared" si="102"/>
        <v>122084.32700811827</v>
      </c>
      <c r="S228">
        <f t="shared" si="112"/>
        <v>1.2208432700811826E-4</v>
      </c>
      <c r="T228" s="44">
        <f t="shared" si="113"/>
        <v>1.1378345862719715E-4</v>
      </c>
      <c r="U228" s="45">
        <f t="shared" si="103"/>
        <v>0.21908642903241862</v>
      </c>
      <c r="V228" s="45">
        <f t="shared" si="104"/>
        <v>0.24451024194261825</v>
      </c>
      <c r="W228" s="45">
        <f t="shared" si="105"/>
        <v>0.24392475042494391</v>
      </c>
      <c r="X228" s="45">
        <f t="shared" si="106"/>
        <v>5.8549151767434138E-4</v>
      </c>
      <c r="Y228" s="45">
        <f t="shared" si="119"/>
        <v>5.190737194350056E-4</v>
      </c>
      <c r="Z228" s="10">
        <f t="shared" si="107"/>
        <v>4.5619435873865566</v>
      </c>
      <c r="AA228">
        <f t="shared" si="114"/>
        <v>1575877.4474621373</v>
      </c>
      <c r="AB228" s="10">
        <f t="shared" si="115"/>
        <v>1.5758774474621373</v>
      </c>
      <c r="AC228" s="10">
        <f t="shared" si="116"/>
        <v>1.4748774474621373</v>
      </c>
      <c r="AD228" s="3">
        <f t="shared" si="117"/>
        <v>213.90535858769215</v>
      </c>
      <c r="AI228" s="100">
        <f t="shared" si="118"/>
        <v>0.24392475042494391</v>
      </c>
    </row>
    <row r="229" spans="2:35">
      <c r="B229" s="39">
        <f t="shared" si="90"/>
        <v>201</v>
      </c>
      <c r="C229" s="45">
        <f t="shared" si="91"/>
        <v>5.9046762589925343</v>
      </c>
      <c r="D229" s="10">
        <f t="shared" si="92"/>
        <v>9.5453237410076337</v>
      </c>
      <c r="E229" s="40">
        <f t="shared" si="93"/>
        <v>29.249352517984736</v>
      </c>
      <c r="F229" s="40">
        <f t="shared" si="94"/>
        <v>48.34</v>
      </c>
      <c r="G229" s="3">
        <f t="shared" si="95"/>
        <v>104.58129496403052</v>
      </c>
      <c r="H229" s="3">
        <f t="shared" si="96"/>
        <v>148.0155219248214</v>
      </c>
      <c r="I229">
        <f t="shared" si="108"/>
        <v>1.4801552192482141E-4</v>
      </c>
      <c r="J229" s="4">
        <f t="shared" si="97"/>
        <v>676.48623252625907</v>
      </c>
      <c r="K229" s="40">
        <f t="shared" si="98"/>
        <v>4.5703735914254544</v>
      </c>
      <c r="L229" s="40">
        <f t="shared" si="109"/>
        <v>1.4296264085745456</v>
      </c>
      <c r="M229" s="10">
        <f t="shared" si="99"/>
        <v>1.5758774474621373</v>
      </c>
      <c r="N229" s="10">
        <f t="shared" si="110"/>
        <v>8.26</v>
      </c>
      <c r="O229" s="10">
        <f t="shared" si="111"/>
        <v>0.31900000000000001</v>
      </c>
      <c r="P229" s="10">
        <f t="shared" si="100"/>
        <v>9.5496994981385992</v>
      </c>
      <c r="Q229" s="45">
        <f t="shared" si="101"/>
        <v>0.7509618286043811</v>
      </c>
      <c r="R229" s="4">
        <f t="shared" si="102"/>
        <v>121665.28630467589</v>
      </c>
      <c r="S229">
        <f t="shared" si="112"/>
        <v>1.2166528630467588E-4</v>
      </c>
      <c r="T229" s="44">
        <f t="shared" si="113"/>
        <v>1.1420249933063953E-4</v>
      </c>
      <c r="U229" s="45">
        <f t="shared" si="103"/>
        <v>0.21833443953805609</v>
      </c>
      <c r="V229" s="45">
        <f t="shared" si="104"/>
        <v>0.24445641890739114</v>
      </c>
      <c r="W229" s="45">
        <f t="shared" si="105"/>
        <v>0.24387241564388012</v>
      </c>
      <c r="X229" s="45">
        <f t="shared" si="106"/>
        <v>5.8400326351101817E-4</v>
      </c>
      <c r="Y229" s="45">
        <f t="shared" si="119"/>
        <v>5.2087021273551528E-4</v>
      </c>
      <c r="Z229" s="10">
        <f t="shared" si="107"/>
        <v>4.5609353191779958</v>
      </c>
      <c r="AA229">
        <f t="shared" si="114"/>
        <v>1575551.47411036</v>
      </c>
      <c r="AB229" s="10">
        <f t="shared" si="115"/>
        <v>1.57555147411036</v>
      </c>
      <c r="AC229" s="10">
        <f t="shared" si="116"/>
        <v>1.47455147411036</v>
      </c>
      <c r="AD229" s="3">
        <f t="shared" si="117"/>
        <v>213.85808181441044</v>
      </c>
      <c r="AI229" s="100">
        <f t="shared" si="118"/>
        <v>0.24387241564388012</v>
      </c>
    </row>
    <row r="230" spans="2:35">
      <c r="B230" s="39">
        <f t="shared" si="90"/>
        <v>202</v>
      </c>
      <c r="C230" s="45">
        <f t="shared" si="91"/>
        <v>5.9340527577934923</v>
      </c>
      <c r="D230" s="10">
        <f t="shared" si="92"/>
        <v>9.5159472422066766</v>
      </c>
      <c r="E230" s="40">
        <f t="shared" si="93"/>
        <v>29.30810551558665</v>
      </c>
      <c r="F230" s="40">
        <f t="shared" si="94"/>
        <v>48.34</v>
      </c>
      <c r="G230" s="3">
        <f t="shared" si="95"/>
        <v>104.46378896882669</v>
      </c>
      <c r="H230" s="3">
        <f t="shared" si="96"/>
        <v>148.0155219248214</v>
      </c>
      <c r="I230">
        <f t="shared" si="108"/>
        <v>1.4801552192482141E-4</v>
      </c>
      <c r="J230" s="4">
        <f t="shared" si="97"/>
        <v>679.18833693830538</v>
      </c>
      <c r="K230" s="40">
        <f t="shared" si="98"/>
        <v>4.5886291390660512</v>
      </c>
      <c r="L230" s="40">
        <f t="shared" si="109"/>
        <v>1.4113708609339488</v>
      </c>
      <c r="M230" s="10">
        <f t="shared" si="99"/>
        <v>1.57555147411036</v>
      </c>
      <c r="N230" s="10">
        <f t="shared" si="110"/>
        <v>8.26</v>
      </c>
      <c r="O230" s="10">
        <f t="shared" si="111"/>
        <v>0.31900000000000001</v>
      </c>
      <c r="P230" s="10">
        <f t="shared" si="100"/>
        <v>9.549069309400517</v>
      </c>
      <c r="Q230" s="45">
        <f t="shared" si="101"/>
        <v>0.75403820158368684</v>
      </c>
      <c r="R230" s="4">
        <f t="shared" si="102"/>
        <v>121246.31292457542</v>
      </c>
      <c r="S230">
        <f t="shared" si="112"/>
        <v>1.2124631292457542E-4</v>
      </c>
      <c r="T230" s="44">
        <f t="shared" si="113"/>
        <v>1.1462147271073999E-4</v>
      </c>
      <c r="U230" s="45">
        <f t="shared" si="103"/>
        <v>0.21758257085879681</v>
      </c>
      <c r="V230" s="45">
        <f t="shared" si="104"/>
        <v>0.24440101519450808</v>
      </c>
      <c r="W230" s="45">
        <f t="shared" si="105"/>
        <v>0.24381851563417409</v>
      </c>
      <c r="X230" s="45">
        <f t="shared" si="106"/>
        <v>5.8249956033398775E-4</v>
      </c>
      <c r="Y230" s="45">
        <f t="shared" si="119"/>
        <v>5.226621986433842E-4</v>
      </c>
      <c r="Z230" s="10">
        <f t="shared" si="107"/>
        <v>4.5598977772897777</v>
      </c>
      <c r="AA230">
        <f t="shared" si="114"/>
        <v>1575216.036570983</v>
      </c>
      <c r="AB230" s="10">
        <f t="shared" si="115"/>
        <v>1.5752160365709831</v>
      </c>
      <c r="AC230" s="10">
        <f t="shared" si="116"/>
        <v>1.4742160365709831</v>
      </c>
      <c r="AD230" s="3">
        <f t="shared" si="117"/>
        <v>213.80943242508818</v>
      </c>
      <c r="AI230" s="100">
        <f t="shared" si="118"/>
        <v>0.24381851563417409</v>
      </c>
    </row>
    <row r="231" spans="2:35">
      <c r="B231" s="39">
        <f t="shared" si="90"/>
        <v>203</v>
      </c>
      <c r="C231" s="45">
        <f t="shared" si="91"/>
        <v>5.9634292565944502</v>
      </c>
      <c r="D231" s="10">
        <f t="shared" si="92"/>
        <v>9.4865707434057196</v>
      </c>
      <c r="E231" s="40">
        <f t="shared" si="93"/>
        <v>29.366858513188564</v>
      </c>
      <c r="F231" s="40">
        <f t="shared" si="94"/>
        <v>48.34</v>
      </c>
      <c r="G231" s="3">
        <f t="shared" si="95"/>
        <v>104.34628297362286</v>
      </c>
      <c r="H231" s="3">
        <f t="shared" si="96"/>
        <v>148.0155219248214</v>
      </c>
      <c r="I231">
        <f t="shared" ref="I231:I294" si="120">H231/1000^2</f>
        <v>1.4801552192482141E-4</v>
      </c>
      <c r="J231" s="4">
        <f t="shared" si="97"/>
        <v>681.8958636053253</v>
      </c>
      <c r="K231" s="40">
        <f t="shared" si="98"/>
        <v>4.6069213197225842</v>
      </c>
      <c r="L231" s="40">
        <f t="shared" ref="L231:L294" si="121">IF((gstar-K231)&lt;0,0,gstar-K231)</f>
        <v>1.3930786802774158</v>
      </c>
      <c r="M231" s="10">
        <f t="shared" si="99"/>
        <v>1.5752160365709831</v>
      </c>
      <c r="N231" s="10">
        <f t="shared" si="110"/>
        <v>8.26</v>
      </c>
      <c r="O231" s="10">
        <f t="shared" si="111"/>
        <v>0.31900000000000001</v>
      </c>
      <c r="P231" s="10">
        <f t="shared" si="100"/>
        <v>9.5484207312980232</v>
      </c>
      <c r="Q231" s="45">
        <f t="shared" si="101"/>
        <v>0.75711478352615058</v>
      </c>
      <c r="R231" s="4">
        <f t="shared" si="102"/>
        <v>120827.40877925931</v>
      </c>
      <c r="S231">
        <f t="shared" ref="S231:S294" si="122">R231/1000^3</f>
        <v>1.208274087792593E-4</v>
      </c>
      <c r="T231" s="44">
        <f t="shared" ref="T231:T294" si="123">(vc/1000^3-S231)</f>
        <v>1.1504037685605611E-4</v>
      </c>
      <c r="U231" s="45">
        <f t="shared" si="103"/>
        <v>0.21683082642481977</v>
      </c>
      <c r="V231" s="45">
        <f t="shared" si="104"/>
        <v>0.24434403114745157</v>
      </c>
      <c r="W231" s="45">
        <f t="shared" si="105"/>
        <v>0.24376305071187404</v>
      </c>
      <c r="X231" s="45">
        <f t="shared" si="106"/>
        <v>5.8098043557752721E-4</v>
      </c>
      <c r="Y231" s="45">
        <f t="shared" si="119"/>
        <v>5.2444963256040669E-4</v>
      </c>
      <c r="Z231" s="10">
        <f t="shared" si="107"/>
        <v>4.5588309678142185</v>
      </c>
      <c r="AA231">
        <f t="shared" ref="AA231:AA294" si="124">Z231*rat*to+patm*1000000</f>
        <v>1574871.1368136534</v>
      </c>
      <c r="AB231" s="10">
        <f t="shared" ref="AB231:AB294" si="125">AA231/1000000</f>
        <v>1.5748711368136534</v>
      </c>
      <c r="AC231" s="10">
        <f t="shared" ref="AC231:AC294" si="126">AB231-patm</f>
        <v>1.4738711368136534</v>
      </c>
      <c r="AD231" s="3">
        <f t="shared" ref="AD231:AD294" si="127">AC231*1000000/6895</f>
        <v>213.75941070538846</v>
      </c>
      <c r="AI231" s="100">
        <f t="shared" ref="AI231:AI294" si="128">($M231-patm)*1000000*$I231/SQRT(rat*to)*SQRT(k)*(2/(k+1))^((k+1)/2/(k-1))</f>
        <v>0.24376305071187404</v>
      </c>
    </row>
    <row r="232" spans="2:35">
      <c r="B232" s="39">
        <f t="shared" ref="B232:B295" si="129">1+B231</f>
        <v>204</v>
      </c>
      <c r="C232" s="45">
        <f t="shared" ref="C232:C295" si="130">xincp+C231</f>
        <v>5.9928057553954082</v>
      </c>
      <c r="D232" s="10">
        <f t="shared" ref="D232:D295" si="131">(F232-E232)/2</f>
        <v>9.4571942446047625</v>
      </c>
      <c r="E232" s="40">
        <f t="shared" ref="E232:E295" si="132">E231+ci*2*xincp</f>
        <v>29.425611510790478</v>
      </c>
      <c r="F232" s="40">
        <f t="shared" ref="F232:F295" si="133">F231-osi*2*xincp</f>
        <v>48.34</v>
      </c>
      <c r="G232" s="3">
        <f t="shared" ref="G232:G295" si="134">G231-ei*n*2*xincp</f>
        <v>104.22877697841903</v>
      </c>
      <c r="H232" s="3">
        <f t="shared" ref="H232:H295" si="135">PI()/4*(dto+erate*(two-D232)/two)^2</f>
        <v>148.0155219248214</v>
      </c>
      <c r="I232">
        <f t="shared" si="120"/>
        <v>1.4801552192482141E-4</v>
      </c>
      <c r="J232" s="4">
        <f t="shared" ref="J232:J295" si="136">PI()/4*dc^2-PI()/4*(F232^2-E232^2)</f>
        <v>684.60881252731951</v>
      </c>
      <c r="K232" s="40">
        <f t="shared" ref="K232:K295" si="137">J232/H232</f>
        <v>4.6252501333950597</v>
      </c>
      <c r="L232" s="40">
        <f t="shared" si="121"/>
        <v>1.3747498666049403</v>
      </c>
      <c r="M232" s="10">
        <f t="shared" ref="M232:M295" si="138">AB231</f>
        <v>1.5748711368136534</v>
      </c>
      <c r="N232" s="10">
        <f t="shared" si="110"/>
        <v>8.26</v>
      </c>
      <c r="O232" s="10">
        <f t="shared" si="111"/>
        <v>0.31900000000000001</v>
      </c>
      <c r="P232" s="10">
        <f t="shared" ref="P232:P295" si="139">(1+kv*L232)*N232*M232^O232</f>
        <v>9.5477537596463637</v>
      </c>
      <c r="Q232" s="45">
        <f t="shared" ref="Q232:Q295" si="140">xincp/P232+Q231</f>
        <v>0.76019158038753565</v>
      </c>
      <c r="R232" s="4">
        <f t="shared" ref="R232:R295" si="141">PI()/4*(F232^2-E232^2)*G232</f>
        <v>120408.57578016983</v>
      </c>
      <c r="S232">
        <f t="shared" si="122"/>
        <v>1.2040857578016983E-4</v>
      </c>
      <c r="T232" s="44">
        <f t="shared" si="123"/>
        <v>1.1545920985514558E-4</v>
      </c>
      <c r="U232" s="45">
        <f t="shared" ref="U232:U295" si="142">rhopgrain*R232/1000^2</f>
        <v>0.21607920966630376</v>
      </c>
      <c r="V232" s="45">
        <f t="shared" ref="V232:V295" si="143">(U231-U232)/(Q232-Q231)</f>
        <v>0.24428546711974308</v>
      </c>
      <c r="W232" s="45">
        <f t="shared" ref="W232:W295" si="144">IF(V232&lt;AI232,IF(AB231&gt;pbd,AI232,0),AI232)</f>
        <v>0.24370602120266321</v>
      </c>
      <c r="X232" s="45">
        <f t="shared" ref="X232:X295" si="145">V232-W232</f>
        <v>5.7944591707986826E-4</v>
      </c>
      <c r="Y232" s="45">
        <f t="shared" si="119"/>
        <v>5.2623246993942045E-4</v>
      </c>
      <c r="Z232" s="10">
        <f t="shared" ref="Z232:Z295" si="146">Y232/T232</f>
        <v>4.5577348970223204</v>
      </c>
      <c r="AA232">
        <f t="shared" si="124"/>
        <v>1574516.7768657876</v>
      </c>
      <c r="AB232" s="10">
        <f t="shared" si="125"/>
        <v>1.5745167768657875</v>
      </c>
      <c r="AC232" s="10">
        <f t="shared" si="126"/>
        <v>1.4735167768657875</v>
      </c>
      <c r="AD232" s="3">
        <f t="shared" si="127"/>
        <v>213.70801694935281</v>
      </c>
      <c r="AI232" s="100">
        <f t="shared" si="128"/>
        <v>0.24370602120266321</v>
      </c>
    </row>
    <row r="233" spans="2:35">
      <c r="B233" s="39">
        <f t="shared" si="129"/>
        <v>205</v>
      </c>
      <c r="C233" s="45">
        <f t="shared" si="130"/>
        <v>6.0221822541963661</v>
      </c>
      <c r="D233" s="10">
        <f t="shared" si="131"/>
        <v>9.4278177458038055</v>
      </c>
      <c r="E233" s="40">
        <f t="shared" si="132"/>
        <v>29.484364508392392</v>
      </c>
      <c r="F233" s="40">
        <f t="shared" si="133"/>
        <v>48.34</v>
      </c>
      <c r="G233" s="3">
        <f t="shared" si="134"/>
        <v>104.11127098321521</v>
      </c>
      <c r="H233" s="3">
        <f t="shared" si="135"/>
        <v>148.0155219248214</v>
      </c>
      <c r="I233">
        <f t="shared" si="120"/>
        <v>1.4801552192482141E-4</v>
      </c>
      <c r="J233" s="4">
        <f t="shared" si="136"/>
        <v>687.32718370428734</v>
      </c>
      <c r="K233" s="40">
        <f t="shared" si="137"/>
        <v>4.6436155800834715</v>
      </c>
      <c r="L233" s="40">
        <f t="shared" si="121"/>
        <v>1.3563844199165285</v>
      </c>
      <c r="M233" s="10">
        <f t="shared" si="138"/>
        <v>1.5745167768657875</v>
      </c>
      <c r="N233" s="10">
        <f t="shared" si="110"/>
        <v>8.26</v>
      </c>
      <c r="O233" s="10">
        <f t="shared" si="111"/>
        <v>0.31900000000000001</v>
      </c>
      <c r="P233" s="10">
        <f t="shared" si="139"/>
        <v>9.5470683901443358</v>
      </c>
      <c r="Q233" s="45">
        <f t="shared" si="140"/>
        <v>0.76326859812748227</v>
      </c>
      <c r="R233" s="4">
        <f t="shared" si="141"/>
        <v>119989.81583874949</v>
      </c>
      <c r="S233">
        <f t="shared" si="122"/>
        <v>1.199898158387495E-4</v>
      </c>
      <c r="T233" s="44">
        <f t="shared" si="123"/>
        <v>1.1587796979656592E-4</v>
      </c>
      <c r="U233" s="45">
        <f t="shared" si="142"/>
        <v>0.2153277240134279</v>
      </c>
      <c r="V233" s="45">
        <f t="shared" si="143"/>
        <v>0.24422532347470235</v>
      </c>
      <c r="W233" s="45">
        <f t="shared" si="144"/>
        <v>0.24364742744177667</v>
      </c>
      <c r="X233" s="45">
        <f t="shared" si="145"/>
        <v>5.7789603292568437E-4</v>
      </c>
      <c r="Y233" s="45">
        <f t="shared" si="119"/>
        <v>5.2801066628457751E-4</v>
      </c>
      <c r="Z233" s="10">
        <f t="shared" si="146"/>
        <v>4.5566095713581038</v>
      </c>
      <c r="AA233">
        <f t="shared" si="124"/>
        <v>1574152.9588107392</v>
      </c>
      <c r="AB233" s="10">
        <f t="shared" si="125"/>
        <v>1.5741529588107392</v>
      </c>
      <c r="AC233" s="10">
        <f t="shared" si="126"/>
        <v>1.4731529588107393</v>
      </c>
      <c r="AD233" s="3">
        <f t="shared" si="127"/>
        <v>213.65525145913548</v>
      </c>
      <c r="AI233" s="100">
        <f t="shared" si="128"/>
        <v>0.24364742744177667</v>
      </c>
    </row>
    <row r="234" spans="2:35">
      <c r="B234" s="39">
        <f t="shared" si="129"/>
        <v>206</v>
      </c>
      <c r="C234" s="45">
        <f t="shared" si="130"/>
        <v>6.051558752997324</v>
      </c>
      <c r="D234" s="10">
        <f t="shared" si="131"/>
        <v>9.3984412470028484</v>
      </c>
      <c r="E234" s="40">
        <f t="shared" si="132"/>
        <v>29.543117505994307</v>
      </c>
      <c r="F234" s="40">
        <f t="shared" si="133"/>
        <v>48.34</v>
      </c>
      <c r="G234" s="3">
        <f t="shared" si="134"/>
        <v>103.99376498801138</v>
      </c>
      <c r="H234" s="3">
        <f t="shared" si="135"/>
        <v>148.0155219248214</v>
      </c>
      <c r="I234">
        <f t="shared" si="120"/>
        <v>1.4801552192482141E-4</v>
      </c>
      <c r="J234" s="4">
        <f t="shared" si="136"/>
        <v>690.05097713622922</v>
      </c>
      <c r="K234" s="40">
        <f t="shared" si="137"/>
        <v>4.662017659787824</v>
      </c>
      <c r="L234" s="40">
        <f t="shared" si="121"/>
        <v>1.337982340212176</v>
      </c>
      <c r="M234" s="10">
        <f t="shared" si="138"/>
        <v>1.5741529588107392</v>
      </c>
      <c r="N234" s="10">
        <f t="shared" si="110"/>
        <v>8.26</v>
      </c>
      <c r="O234" s="10">
        <f t="shared" si="111"/>
        <v>0.31900000000000001</v>
      </c>
      <c r="P234" s="10">
        <f t="shared" si="139"/>
        <v>9.5463646183705873</v>
      </c>
      <c r="Q234" s="45">
        <f t="shared" si="140"/>
        <v>0.76634584270961636</v>
      </c>
      <c r="R234" s="4">
        <f t="shared" si="141"/>
        <v>119571.13086644065</v>
      </c>
      <c r="S234">
        <f t="shared" si="122"/>
        <v>1.1957113086644065E-4</v>
      </c>
      <c r="T234" s="44">
        <f t="shared" si="123"/>
        <v>1.1629665476887477E-4</v>
      </c>
      <c r="U234" s="45">
        <f t="shared" si="142"/>
        <v>0.21457637289637105</v>
      </c>
      <c r="V234" s="45">
        <f t="shared" si="143"/>
        <v>0.24416360058574826</v>
      </c>
      <c r="W234" s="45">
        <f t="shared" si="144"/>
        <v>0.24358726977369913</v>
      </c>
      <c r="X234" s="45">
        <f t="shared" si="145"/>
        <v>5.7633081204913617E-4</v>
      </c>
      <c r="Y234" s="45">
        <f t="shared" si="119"/>
        <v>5.2978417715347271E-4</v>
      </c>
      <c r="Z234" s="10">
        <f t="shared" si="146"/>
        <v>4.5554549974490097</v>
      </c>
      <c r="AA234">
        <f t="shared" si="124"/>
        <v>1573779.6847911614</v>
      </c>
      <c r="AB234" s="10">
        <f t="shared" si="125"/>
        <v>1.5737796847911614</v>
      </c>
      <c r="AC234" s="10">
        <f t="shared" si="126"/>
        <v>1.4727796847911614</v>
      </c>
      <c r="AD234" s="3">
        <f t="shared" si="127"/>
        <v>213.60111454549116</v>
      </c>
      <c r="AI234" s="100">
        <f t="shared" si="128"/>
        <v>0.24358726977369913</v>
      </c>
    </row>
    <row r="235" spans="2:35">
      <c r="B235" s="39">
        <f t="shared" si="129"/>
        <v>207</v>
      </c>
      <c r="C235" s="45">
        <f t="shared" si="130"/>
        <v>6.080935251798282</v>
      </c>
      <c r="D235" s="10">
        <f t="shared" si="131"/>
        <v>9.3690647482018914</v>
      </c>
      <c r="E235" s="40">
        <f t="shared" si="132"/>
        <v>29.601870503596221</v>
      </c>
      <c r="F235" s="40">
        <f t="shared" si="133"/>
        <v>48.34</v>
      </c>
      <c r="G235" s="3">
        <f t="shared" si="134"/>
        <v>103.87625899280755</v>
      </c>
      <c r="H235" s="3">
        <f t="shared" si="135"/>
        <v>148.0155219248214</v>
      </c>
      <c r="I235">
        <f t="shared" si="120"/>
        <v>1.4801552192482141E-4</v>
      </c>
      <c r="J235" s="4">
        <f t="shared" si="136"/>
        <v>692.78019282314517</v>
      </c>
      <c r="K235" s="40">
        <f t="shared" si="137"/>
        <v>4.6804563725081163</v>
      </c>
      <c r="L235" s="40">
        <f t="shared" si="121"/>
        <v>1.3195436274918837</v>
      </c>
      <c r="M235" s="10">
        <f t="shared" si="138"/>
        <v>1.5737796847911614</v>
      </c>
      <c r="N235" s="10">
        <f t="shared" si="110"/>
        <v>8.26</v>
      </c>
      <c r="O235" s="10">
        <f t="shared" si="111"/>
        <v>0.31900000000000001</v>
      </c>
      <c r="P235" s="10">
        <f t="shared" si="139"/>
        <v>9.5456424397899156</v>
      </c>
      <c r="Q235" s="45">
        <f t="shared" si="140"/>
        <v>0.76942332010165704</v>
      </c>
      <c r="R235" s="4">
        <f t="shared" si="141"/>
        <v>119152.5227746857</v>
      </c>
      <c r="S235">
        <f t="shared" si="122"/>
        <v>1.191525227746857E-4</v>
      </c>
      <c r="T235" s="44">
        <f t="shared" si="123"/>
        <v>1.1671526286062972E-4</v>
      </c>
      <c r="U235" s="45">
        <f t="shared" si="142"/>
        <v>0.21382515974531222</v>
      </c>
      <c r="V235" s="45">
        <f t="shared" si="143"/>
        <v>0.24410029883621787</v>
      </c>
      <c r="W235" s="45">
        <f t="shared" si="144"/>
        <v>0.24352554855272029</v>
      </c>
      <c r="X235" s="45">
        <f t="shared" si="145"/>
        <v>5.7475028349757151E-4</v>
      </c>
      <c r="Y235" s="45">
        <f t="shared" si="119"/>
        <v>5.3155295815700547E-4</v>
      </c>
      <c r="Z235" s="10">
        <f t="shared" si="146"/>
        <v>4.5542711820966852</v>
      </c>
      <c r="AA235">
        <f t="shared" si="124"/>
        <v>1573396.9570060282</v>
      </c>
      <c r="AB235" s="10">
        <f t="shared" si="125"/>
        <v>1.5733969570060282</v>
      </c>
      <c r="AC235" s="10">
        <f t="shared" si="126"/>
        <v>1.4723969570060282</v>
      </c>
      <c r="AD235" s="3">
        <f t="shared" si="127"/>
        <v>213.54560652734273</v>
      </c>
      <c r="AI235" s="100">
        <f t="shared" si="128"/>
        <v>0.24352554855272029</v>
      </c>
    </row>
    <row r="236" spans="2:35">
      <c r="B236" s="39">
        <f t="shared" si="129"/>
        <v>208</v>
      </c>
      <c r="C236" s="45">
        <f t="shared" si="130"/>
        <v>6.1103117505992399</v>
      </c>
      <c r="D236" s="10">
        <f t="shared" si="131"/>
        <v>9.3396882494009343</v>
      </c>
      <c r="E236" s="40">
        <f t="shared" si="132"/>
        <v>29.660623501198135</v>
      </c>
      <c r="F236" s="40">
        <f t="shared" si="133"/>
        <v>48.34</v>
      </c>
      <c r="G236" s="3">
        <f t="shared" si="134"/>
        <v>103.75875299760372</v>
      </c>
      <c r="H236" s="3">
        <f t="shared" si="135"/>
        <v>148.0155219248214</v>
      </c>
      <c r="I236">
        <f t="shared" si="120"/>
        <v>1.4801552192482141E-4</v>
      </c>
      <c r="J236" s="4">
        <f t="shared" si="136"/>
        <v>695.51483076503473</v>
      </c>
      <c r="K236" s="40">
        <f t="shared" si="137"/>
        <v>4.6989317182443466</v>
      </c>
      <c r="L236" s="40">
        <f t="shared" si="121"/>
        <v>1.3010682817556534</v>
      </c>
      <c r="M236" s="10">
        <f t="shared" si="138"/>
        <v>1.5733969570060282</v>
      </c>
      <c r="N236" s="10">
        <f t="shared" si="110"/>
        <v>8.26</v>
      </c>
      <c r="O236" s="10">
        <f t="shared" si="111"/>
        <v>0.31900000000000001</v>
      </c>
      <c r="P236" s="10">
        <f t="shared" si="139"/>
        <v>9.5449018497473475</v>
      </c>
      <c r="Q236" s="45">
        <f t="shared" si="140"/>
        <v>0.77250103627552591</v>
      </c>
      <c r="R236" s="4">
        <f t="shared" si="141"/>
        <v>118733.99347492708</v>
      </c>
      <c r="S236">
        <f t="shared" si="122"/>
        <v>1.1873399347492707E-4</v>
      </c>
      <c r="T236" s="44">
        <f t="shared" si="123"/>
        <v>1.1713379216038834E-4</v>
      </c>
      <c r="U236" s="45">
        <f t="shared" si="142"/>
        <v>0.21307408799043037</v>
      </c>
      <c r="V236" s="45">
        <f t="shared" si="143"/>
        <v>0.24403541861941797</v>
      </c>
      <c r="W236" s="45">
        <f t="shared" si="144"/>
        <v>0.2434622641424426</v>
      </c>
      <c r="X236" s="45">
        <f t="shared" si="145"/>
        <v>5.7315447697536825E-4</v>
      </c>
      <c r="Y236" s="45">
        <f t="shared" si="119"/>
        <v>5.3331696496091796E-4</v>
      </c>
      <c r="Z236" s="10">
        <f t="shared" si="146"/>
        <v>4.553058132282275</v>
      </c>
      <c r="AA236">
        <f t="shared" si="124"/>
        <v>1573004.7777123456</v>
      </c>
      <c r="AB236" s="10">
        <f t="shared" si="125"/>
        <v>1.5730047777123455</v>
      </c>
      <c r="AC236" s="10">
        <f t="shared" si="126"/>
        <v>1.4720047777123455</v>
      </c>
      <c r="AD236" s="3">
        <f t="shared" si="127"/>
        <v>213.48872773202982</v>
      </c>
      <c r="AI236" s="100">
        <f t="shared" si="128"/>
        <v>0.2434622641424426</v>
      </c>
    </row>
    <row r="237" spans="2:35">
      <c r="B237" s="39">
        <f t="shared" si="129"/>
        <v>209</v>
      </c>
      <c r="C237" s="45">
        <f t="shared" si="130"/>
        <v>6.1396882494001979</v>
      </c>
      <c r="D237" s="10">
        <f t="shared" si="131"/>
        <v>9.3103117505999773</v>
      </c>
      <c r="E237" s="40">
        <f t="shared" si="132"/>
        <v>29.719376498800049</v>
      </c>
      <c r="F237" s="40">
        <f t="shared" si="133"/>
        <v>48.34</v>
      </c>
      <c r="G237" s="3">
        <f t="shared" si="134"/>
        <v>103.64124700239989</v>
      </c>
      <c r="H237" s="3">
        <f t="shared" si="135"/>
        <v>148.0155219248214</v>
      </c>
      <c r="I237">
        <f t="shared" si="120"/>
        <v>1.4801552192482141E-4</v>
      </c>
      <c r="J237" s="4">
        <f t="shared" si="136"/>
        <v>698.25489096189813</v>
      </c>
      <c r="K237" s="40">
        <f t="shared" si="137"/>
        <v>4.717443696996515</v>
      </c>
      <c r="L237" s="40">
        <f t="shared" si="121"/>
        <v>1.282556303003485</v>
      </c>
      <c r="M237" s="10">
        <f t="shared" si="138"/>
        <v>1.5730047777123455</v>
      </c>
      <c r="N237" s="10">
        <f t="shared" si="110"/>
        <v>8.26</v>
      </c>
      <c r="O237" s="10">
        <f t="shared" si="111"/>
        <v>0.31900000000000001</v>
      </c>
      <c r="P237" s="10">
        <f t="shared" si="139"/>
        <v>9.5441428434712403</v>
      </c>
      <c r="Q237" s="45">
        <f t="shared" si="140"/>
        <v>0.77557899720745527</v>
      </c>
      <c r="R237" s="4">
        <f t="shared" si="141"/>
        <v>118315.54487860718</v>
      </c>
      <c r="S237">
        <f t="shared" si="122"/>
        <v>1.1831554487860718E-4</v>
      </c>
      <c r="T237" s="44">
        <f t="shared" si="123"/>
        <v>1.1755224075670823E-4</v>
      </c>
      <c r="U237" s="45">
        <f t="shared" si="142"/>
        <v>0.21232316106190452</v>
      </c>
      <c r="V237" s="45">
        <f t="shared" si="143"/>
        <v>0.24396896033867105</v>
      </c>
      <c r="W237" s="45">
        <f t="shared" si="144"/>
        <v>0.24339741691606426</v>
      </c>
      <c r="X237" s="45">
        <f t="shared" si="145"/>
        <v>5.7154342260679059E-4</v>
      </c>
      <c r="Y237" s="45">
        <f t="shared" si="119"/>
        <v>5.3507615328660281E-4</v>
      </c>
      <c r="Z237" s="10">
        <f t="shared" si="146"/>
        <v>4.5518158551653825</v>
      </c>
      <c r="AA237">
        <f t="shared" si="124"/>
        <v>1572603.1492248145</v>
      </c>
      <c r="AB237" s="10">
        <f t="shared" si="125"/>
        <v>1.5726031492248145</v>
      </c>
      <c r="AC237" s="10">
        <f t="shared" si="126"/>
        <v>1.4716031492248145</v>
      </c>
      <c r="AD237" s="3">
        <f t="shared" si="127"/>
        <v>213.43047849525954</v>
      </c>
      <c r="AI237" s="100">
        <f t="shared" si="128"/>
        <v>0.24339741691606426</v>
      </c>
    </row>
    <row r="238" spans="2:35">
      <c r="B238" s="39">
        <f t="shared" si="129"/>
        <v>210</v>
      </c>
      <c r="C238" s="45">
        <f t="shared" si="130"/>
        <v>6.1690647482011558</v>
      </c>
      <c r="D238" s="10">
        <f t="shared" si="131"/>
        <v>9.2809352517990202</v>
      </c>
      <c r="E238" s="40">
        <f t="shared" si="132"/>
        <v>29.778129496401963</v>
      </c>
      <c r="F238" s="40">
        <f t="shared" si="133"/>
        <v>48.34</v>
      </c>
      <c r="G238" s="3">
        <f t="shared" si="134"/>
        <v>103.52374100719607</v>
      </c>
      <c r="H238" s="3">
        <f t="shared" si="135"/>
        <v>148.0155219248214</v>
      </c>
      <c r="I238">
        <f t="shared" si="120"/>
        <v>1.4801552192482141E-4</v>
      </c>
      <c r="J238" s="4">
        <f t="shared" si="136"/>
        <v>701.00037341373582</v>
      </c>
      <c r="K238" s="40">
        <f t="shared" si="137"/>
        <v>4.735992308764625</v>
      </c>
      <c r="L238" s="40">
        <f t="shared" si="121"/>
        <v>1.264007691235375</v>
      </c>
      <c r="M238" s="10">
        <f t="shared" si="138"/>
        <v>1.5726031492248145</v>
      </c>
      <c r="N238" s="10">
        <f t="shared" si="110"/>
        <v>8.26</v>
      </c>
      <c r="O238" s="10">
        <f t="shared" si="111"/>
        <v>0.31900000000000001</v>
      </c>
      <c r="P238" s="10">
        <f t="shared" si="139"/>
        <v>9.5433654160724579</v>
      </c>
      <c r="Q238" s="45">
        <f t="shared" si="140"/>
        <v>0.77865720887809753</v>
      </c>
      <c r="R238" s="4">
        <f t="shared" si="141"/>
        <v>117897.17889716834</v>
      </c>
      <c r="S238">
        <f t="shared" si="122"/>
        <v>1.1789717889716835E-4</v>
      </c>
      <c r="T238" s="44">
        <f t="shared" si="123"/>
        <v>1.1797060673814707E-4</v>
      </c>
      <c r="U238" s="45">
        <f t="shared" si="142"/>
        <v>0.21157238238991344</v>
      </c>
      <c r="V238" s="45">
        <f t="shared" si="143"/>
        <v>0.24390092440733072</v>
      </c>
      <c r="W238" s="45">
        <f t="shared" si="144"/>
        <v>0.24333100725632328</v>
      </c>
      <c r="X238" s="45">
        <f t="shared" si="145"/>
        <v>5.699171510074319E-4</v>
      </c>
      <c r="Y238" s="45">
        <f t="shared" si="119"/>
        <v>5.3683047891213312E-4</v>
      </c>
      <c r="Z238" s="10">
        <f t="shared" si="146"/>
        <v>4.5505443580849469</v>
      </c>
      <c r="AA238">
        <f t="shared" si="124"/>
        <v>1572192.0739161165</v>
      </c>
      <c r="AB238" s="10">
        <f t="shared" si="125"/>
        <v>1.5721920739161166</v>
      </c>
      <c r="AC238" s="10">
        <f t="shared" si="126"/>
        <v>1.4711920739161166</v>
      </c>
      <c r="AD238" s="3">
        <f t="shared" si="127"/>
        <v>213.37085916114819</v>
      </c>
      <c r="AI238" s="100">
        <f t="shared" si="128"/>
        <v>0.24333100725632328</v>
      </c>
    </row>
    <row r="239" spans="2:35">
      <c r="B239" s="39">
        <f t="shared" si="129"/>
        <v>211</v>
      </c>
      <c r="C239" s="45">
        <f t="shared" si="130"/>
        <v>6.1984412470021137</v>
      </c>
      <c r="D239" s="10">
        <f t="shared" si="131"/>
        <v>9.2515587529980632</v>
      </c>
      <c r="E239" s="40">
        <f t="shared" si="132"/>
        <v>29.836882494003877</v>
      </c>
      <c r="F239" s="40">
        <f t="shared" si="133"/>
        <v>48.34</v>
      </c>
      <c r="G239" s="3">
        <f t="shared" si="134"/>
        <v>103.40623501199224</v>
      </c>
      <c r="H239" s="3">
        <f t="shared" si="135"/>
        <v>148.0155219248214</v>
      </c>
      <c r="I239">
        <f t="shared" si="120"/>
        <v>1.4801552192482141E-4</v>
      </c>
      <c r="J239" s="4">
        <f t="shared" si="136"/>
        <v>703.75127812054734</v>
      </c>
      <c r="K239" s="40">
        <f t="shared" si="137"/>
        <v>4.754577553548673</v>
      </c>
      <c r="L239" s="40">
        <f t="shared" si="121"/>
        <v>1.245422446451327</v>
      </c>
      <c r="M239" s="10">
        <f t="shared" si="138"/>
        <v>1.5721920739161166</v>
      </c>
      <c r="N239" s="10">
        <f t="shared" si="110"/>
        <v>8.26</v>
      </c>
      <c r="O239" s="10">
        <f t="shared" si="111"/>
        <v>0.31900000000000001</v>
      </c>
      <c r="P239" s="10">
        <f t="shared" si="139"/>
        <v>9.5425695625447062</v>
      </c>
      <c r="Q239" s="45">
        <f t="shared" si="140"/>
        <v>0.78173567727263382</v>
      </c>
      <c r="R239" s="4">
        <f t="shared" si="141"/>
        <v>117478.89744205301</v>
      </c>
      <c r="S239">
        <f t="shared" si="122"/>
        <v>1.1747889744205302E-4</v>
      </c>
      <c r="T239" s="44">
        <f t="shared" si="123"/>
        <v>1.1838888819326239E-4</v>
      </c>
      <c r="U239" s="45">
        <f t="shared" si="142"/>
        <v>0.21082175540463624</v>
      </c>
      <c r="V239" s="45">
        <f t="shared" si="143"/>
        <v>0.24383131124861315</v>
      </c>
      <c r="W239" s="45">
        <f t="shared" si="144"/>
        <v>0.2432630355555449</v>
      </c>
      <c r="X239" s="45">
        <f t="shared" si="145"/>
        <v>5.6827569306824866E-4</v>
      </c>
      <c r="Y239" s="45">
        <f t="shared" si="119"/>
        <v>5.3857989767262695E-4</v>
      </c>
      <c r="Z239" s="10">
        <f t="shared" si="146"/>
        <v>4.5492436485544934</v>
      </c>
      <c r="AA239">
        <f t="shared" si="124"/>
        <v>1571771.5542153756</v>
      </c>
      <c r="AB239" s="10">
        <f t="shared" si="125"/>
        <v>1.5717715542153756</v>
      </c>
      <c r="AC239" s="10">
        <f t="shared" si="126"/>
        <v>1.4707715542153756</v>
      </c>
      <c r="AD239" s="3">
        <f t="shared" si="127"/>
        <v>213.3098700819979</v>
      </c>
      <c r="AI239" s="100">
        <f t="shared" si="128"/>
        <v>0.2432630355555449</v>
      </c>
    </row>
    <row r="240" spans="2:35">
      <c r="B240" s="39">
        <f t="shared" si="129"/>
        <v>212</v>
      </c>
      <c r="C240" s="45">
        <f t="shared" si="130"/>
        <v>6.2278177458030717</v>
      </c>
      <c r="D240" s="10">
        <f t="shared" si="131"/>
        <v>9.2221822541971061</v>
      </c>
      <c r="E240" s="40">
        <f t="shared" si="132"/>
        <v>29.895635491605791</v>
      </c>
      <c r="F240" s="40">
        <f t="shared" si="133"/>
        <v>48.34</v>
      </c>
      <c r="G240" s="3">
        <f t="shared" si="134"/>
        <v>103.28872901678841</v>
      </c>
      <c r="H240" s="3">
        <f t="shared" si="135"/>
        <v>148.0155219248214</v>
      </c>
      <c r="I240">
        <f t="shared" si="120"/>
        <v>1.4801552192482141E-4</v>
      </c>
      <c r="J240" s="4">
        <f t="shared" si="136"/>
        <v>706.5076050823327</v>
      </c>
      <c r="K240" s="40">
        <f t="shared" si="137"/>
        <v>4.7731994313486608</v>
      </c>
      <c r="L240" s="40">
        <f t="shared" si="121"/>
        <v>1.2268005686513392</v>
      </c>
      <c r="M240" s="10">
        <f t="shared" si="138"/>
        <v>1.5717715542153756</v>
      </c>
      <c r="N240" s="10">
        <f t="shared" si="110"/>
        <v>8.26</v>
      </c>
      <c r="O240" s="10">
        <f t="shared" si="111"/>
        <v>0.31900000000000001</v>
      </c>
      <c r="P240" s="10">
        <f t="shared" si="139"/>
        <v>9.5417552777613679</v>
      </c>
      <c r="Q240" s="45">
        <f t="shared" si="140"/>
        <v>0.78481440838088434</v>
      </c>
      <c r="R240" s="4">
        <f t="shared" si="141"/>
        <v>117060.70242470362</v>
      </c>
      <c r="S240">
        <f t="shared" si="122"/>
        <v>1.1706070242470362E-4</v>
      </c>
      <c r="T240" s="44">
        <f t="shared" si="123"/>
        <v>1.188070832106118E-4</v>
      </c>
      <c r="U240" s="45">
        <f t="shared" si="142"/>
        <v>0.21007128353625187</v>
      </c>
      <c r="V240" s="45">
        <f t="shared" si="143"/>
        <v>0.24376012129582184</v>
      </c>
      <c r="W240" s="45">
        <f t="shared" si="144"/>
        <v>0.24319350221538702</v>
      </c>
      <c r="X240" s="45">
        <f t="shared" si="145"/>
        <v>5.666190804348159E-4</v>
      </c>
      <c r="Y240" s="45">
        <f t="shared" si="119"/>
        <v>5.4032436546208997E-4</v>
      </c>
      <c r="Z240" s="10">
        <f t="shared" si="146"/>
        <v>4.5479137342699145</v>
      </c>
      <c r="AA240">
        <f t="shared" si="124"/>
        <v>1571341.5926106758</v>
      </c>
      <c r="AB240" s="10">
        <f t="shared" si="125"/>
        <v>1.5713415926106757</v>
      </c>
      <c r="AC240" s="10">
        <f t="shared" si="126"/>
        <v>1.4703415926106758</v>
      </c>
      <c r="AD240" s="3">
        <f t="shared" si="127"/>
        <v>213.2475116186622</v>
      </c>
      <c r="AI240" s="100">
        <f t="shared" si="128"/>
        <v>0.24319350221538702</v>
      </c>
    </row>
    <row r="241" spans="2:35">
      <c r="B241" s="39">
        <f t="shared" si="129"/>
        <v>213</v>
      </c>
      <c r="C241" s="45">
        <f t="shared" si="130"/>
        <v>6.2571942446040296</v>
      </c>
      <c r="D241" s="10">
        <f t="shared" si="131"/>
        <v>9.1928057553961491</v>
      </c>
      <c r="E241" s="40">
        <f t="shared" si="132"/>
        <v>29.954388489207705</v>
      </c>
      <c r="F241" s="40">
        <f t="shared" si="133"/>
        <v>48.34</v>
      </c>
      <c r="G241" s="3">
        <f t="shared" si="134"/>
        <v>103.17122302158458</v>
      </c>
      <c r="H241" s="3">
        <f t="shared" si="135"/>
        <v>148.0155219248214</v>
      </c>
      <c r="I241">
        <f t="shared" si="120"/>
        <v>1.4801552192482141E-4</v>
      </c>
      <c r="J241" s="4">
        <f t="shared" si="136"/>
        <v>709.2693542990919</v>
      </c>
      <c r="K241" s="40">
        <f t="shared" si="137"/>
        <v>4.7918579421645866</v>
      </c>
      <c r="L241" s="40">
        <f t="shared" si="121"/>
        <v>1.2081420578354134</v>
      </c>
      <c r="M241" s="10">
        <f t="shared" si="138"/>
        <v>1.5713415926106757</v>
      </c>
      <c r="N241" s="10">
        <f t="shared" si="110"/>
        <v>8.26</v>
      </c>
      <c r="O241" s="10">
        <f t="shared" si="111"/>
        <v>0.31900000000000001</v>
      </c>
      <c r="P241" s="10">
        <f t="shared" si="139"/>
        <v>9.5409225564801527</v>
      </c>
      <c r="Q241" s="45">
        <f t="shared" si="140"/>
        <v>0.78789340819741738</v>
      </c>
      <c r="R241" s="4">
        <f t="shared" si="141"/>
        <v>116642.59575656253</v>
      </c>
      <c r="S241">
        <f t="shared" si="122"/>
        <v>1.1664259575656253E-4</v>
      </c>
      <c r="T241" s="44">
        <f t="shared" si="123"/>
        <v>1.1922518987875288E-4</v>
      </c>
      <c r="U241" s="45">
        <f t="shared" si="142"/>
        <v>0.20932097021493926</v>
      </c>
      <c r="V241" s="45">
        <f t="shared" si="143"/>
        <v>0.24368735499226937</v>
      </c>
      <c r="W241" s="45">
        <f t="shared" si="144"/>
        <v>0.24312240764725687</v>
      </c>
      <c r="X241" s="45">
        <f t="shared" si="145"/>
        <v>5.6494734501250088E-4</v>
      </c>
      <c r="Y241" s="45">
        <f t="shared" si="119"/>
        <v>5.4206383823373423E-4</v>
      </c>
      <c r="Z241" s="10">
        <f t="shared" si="146"/>
        <v>4.5465546231043197</v>
      </c>
      <c r="AA241">
        <f t="shared" si="124"/>
        <v>1570902.191647395</v>
      </c>
      <c r="AB241" s="10">
        <f t="shared" si="125"/>
        <v>1.5709021916473951</v>
      </c>
      <c r="AC241" s="10">
        <f t="shared" si="126"/>
        <v>1.4699021916473951</v>
      </c>
      <c r="AD241" s="3">
        <f t="shared" si="127"/>
        <v>213.18378414030386</v>
      </c>
      <c r="AI241" s="100">
        <f t="shared" si="128"/>
        <v>0.24312240764725687</v>
      </c>
    </row>
    <row r="242" spans="2:35">
      <c r="B242" s="39">
        <f t="shared" si="129"/>
        <v>214</v>
      </c>
      <c r="C242" s="45">
        <f t="shared" si="130"/>
        <v>6.2865707434049876</v>
      </c>
      <c r="D242" s="10">
        <f t="shared" si="131"/>
        <v>9.163429256595192</v>
      </c>
      <c r="E242" s="40">
        <f t="shared" si="132"/>
        <v>30.013141486809619</v>
      </c>
      <c r="F242" s="40">
        <f t="shared" si="133"/>
        <v>48.34</v>
      </c>
      <c r="G242" s="3">
        <f t="shared" si="134"/>
        <v>103.05371702638075</v>
      </c>
      <c r="H242" s="3">
        <f t="shared" si="135"/>
        <v>148.0155219248214</v>
      </c>
      <c r="I242">
        <f t="shared" si="120"/>
        <v>1.4801552192482141E-4</v>
      </c>
      <c r="J242" s="4">
        <f t="shared" si="136"/>
        <v>712.03652577082516</v>
      </c>
      <c r="K242" s="40">
        <f t="shared" si="137"/>
        <v>4.8105530859964523</v>
      </c>
      <c r="L242" s="40">
        <f t="shared" si="121"/>
        <v>1.1894469140035477</v>
      </c>
      <c r="M242" s="10">
        <f t="shared" si="138"/>
        <v>1.5709021916473951</v>
      </c>
      <c r="N242" s="10">
        <f t="shared" si="110"/>
        <v>8.26</v>
      </c>
      <c r="O242" s="10">
        <f t="shared" si="111"/>
        <v>0.31900000000000001</v>
      </c>
      <c r="P242" s="10">
        <f t="shared" si="139"/>
        <v>9.5400713933396766</v>
      </c>
      <c r="Q242" s="45">
        <f t="shared" si="140"/>
        <v>0.7909726827216591</v>
      </c>
      <c r="R242" s="4">
        <f t="shared" si="141"/>
        <v>116224.57934907214</v>
      </c>
      <c r="S242">
        <f t="shared" si="122"/>
        <v>1.1622457934907214E-4</v>
      </c>
      <c r="T242" s="44">
        <f t="shared" si="123"/>
        <v>1.1964320628624327E-4</v>
      </c>
      <c r="U242" s="45">
        <f t="shared" si="142"/>
        <v>0.20857081887087739</v>
      </c>
      <c r="V242" s="45">
        <f t="shared" si="143"/>
        <v>0.24361301279124897</v>
      </c>
      <c r="W242" s="45">
        <f t="shared" si="144"/>
        <v>0.24304975227203504</v>
      </c>
      <c r="X242" s="45">
        <f t="shared" si="145"/>
        <v>5.6326051921393172E-4</v>
      </c>
      <c r="Y242" s="45">
        <f t="shared" si="119"/>
        <v>5.4379827200106085E-4</v>
      </c>
      <c r="Z242" s="10">
        <f t="shared" si="146"/>
        <v>4.5451663231093757</v>
      </c>
      <c r="AA242">
        <f t="shared" si="124"/>
        <v>1570453.3539286393</v>
      </c>
      <c r="AB242" s="10">
        <f t="shared" si="125"/>
        <v>1.5704533539286394</v>
      </c>
      <c r="AC242" s="10">
        <f t="shared" si="126"/>
        <v>1.4694533539286394</v>
      </c>
      <c r="AD242" s="3">
        <f t="shared" si="127"/>
        <v>213.11868802445821</v>
      </c>
      <c r="AI242" s="100">
        <f t="shared" si="128"/>
        <v>0.24304975227203504</v>
      </c>
    </row>
    <row r="243" spans="2:35">
      <c r="B243" s="39">
        <f t="shared" si="129"/>
        <v>215</v>
      </c>
      <c r="C243" s="45">
        <f t="shared" si="130"/>
        <v>6.3159472422059455</v>
      </c>
      <c r="D243" s="10">
        <f t="shared" si="131"/>
        <v>9.134052757794235</v>
      </c>
      <c r="E243" s="40">
        <f t="shared" si="132"/>
        <v>30.071894484411533</v>
      </c>
      <c r="F243" s="40">
        <f t="shared" si="133"/>
        <v>48.34</v>
      </c>
      <c r="G243" s="3">
        <f t="shared" si="134"/>
        <v>102.93621103117692</v>
      </c>
      <c r="H243" s="3">
        <f t="shared" si="135"/>
        <v>148.0155219248214</v>
      </c>
      <c r="I243">
        <f t="shared" si="120"/>
        <v>1.4801552192482141E-4</v>
      </c>
      <c r="J243" s="4">
        <f t="shared" si="136"/>
        <v>714.80911949753204</v>
      </c>
      <c r="K243" s="40">
        <f t="shared" si="137"/>
        <v>4.829284862844256</v>
      </c>
      <c r="L243" s="40">
        <f t="shared" si="121"/>
        <v>1.170715137155744</v>
      </c>
      <c r="M243" s="10">
        <f t="shared" si="138"/>
        <v>1.5704533539286394</v>
      </c>
      <c r="N243" s="10">
        <f t="shared" si="110"/>
        <v>8.26</v>
      </c>
      <c r="O243" s="10">
        <f t="shared" si="111"/>
        <v>0.31900000000000001</v>
      </c>
      <c r="P243" s="10">
        <f t="shared" si="139"/>
        <v>9.5392017828600775</v>
      </c>
      <c r="Q243" s="45">
        <f t="shared" si="140"/>
        <v>0.79405223795800406</v>
      </c>
      <c r="R243" s="4">
        <f t="shared" si="141"/>
        <v>115806.65511367489</v>
      </c>
      <c r="S243">
        <f t="shared" si="122"/>
        <v>1.1580665511367489E-4</v>
      </c>
      <c r="T243" s="44">
        <f t="shared" si="123"/>
        <v>1.2006113052164052E-4</v>
      </c>
      <c r="U243" s="45">
        <f t="shared" si="142"/>
        <v>0.20782083293424528</v>
      </c>
      <c r="V243" s="45">
        <f t="shared" si="143"/>
        <v>0.24353709515606961</v>
      </c>
      <c r="W243" s="45">
        <f t="shared" si="144"/>
        <v>0.24297553652014772</v>
      </c>
      <c r="X243" s="45">
        <f t="shared" si="145"/>
        <v>5.6155863592188826E-4</v>
      </c>
      <c r="Y243" s="45">
        <f t="shared" si="119"/>
        <v>5.4552762283882888E-4</v>
      </c>
      <c r="Z243" s="10">
        <f t="shared" si="146"/>
        <v>4.5437488425156864</v>
      </c>
      <c r="AA243">
        <f t="shared" si="124"/>
        <v>1569995.0821153647</v>
      </c>
      <c r="AB243" s="10">
        <f t="shared" si="125"/>
        <v>1.5699950821153648</v>
      </c>
      <c r="AC243" s="10">
        <f t="shared" si="126"/>
        <v>1.4689950821153648</v>
      </c>
      <c r="AD243" s="3">
        <f t="shared" si="127"/>
        <v>213.05222365705072</v>
      </c>
      <c r="AI243" s="100">
        <f t="shared" si="128"/>
        <v>0.24297553652014772</v>
      </c>
    </row>
    <row r="244" spans="2:35">
      <c r="B244" s="39">
        <f t="shared" si="129"/>
        <v>216</v>
      </c>
      <c r="C244" s="45">
        <f t="shared" si="130"/>
        <v>6.3453237410069034</v>
      </c>
      <c r="D244" s="10">
        <f t="shared" si="131"/>
        <v>9.1046762589932779</v>
      </c>
      <c r="E244" s="40">
        <f t="shared" si="132"/>
        <v>30.130647482013448</v>
      </c>
      <c r="F244" s="40">
        <f t="shared" si="133"/>
        <v>48.34</v>
      </c>
      <c r="G244" s="3">
        <f t="shared" si="134"/>
        <v>102.8187050359731</v>
      </c>
      <c r="H244" s="3">
        <f t="shared" si="135"/>
        <v>148.0155219248214</v>
      </c>
      <c r="I244">
        <f t="shared" si="120"/>
        <v>1.4801552192482141E-4</v>
      </c>
      <c r="J244" s="4">
        <f t="shared" si="136"/>
        <v>717.58713547921298</v>
      </c>
      <c r="K244" s="40">
        <f t="shared" si="137"/>
        <v>4.8480532727079995</v>
      </c>
      <c r="L244" s="40">
        <f t="shared" si="121"/>
        <v>1.1519467272920005</v>
      </c>
      <c r="M244" s="10">
        <f t="shared" si="138"/>
        <v>1.5699950821153648</v>
      </c>
      <c r="N244" s="10">
        <f t="shared" si="110"/>
        <v>8.26</v>
      </c>
      <c r="O244" s="10">
        <f t="shared" si="111"/>
        <v>0.31900000000000001</v>
      </c>
      <c r="P244" s="10">
        <f t="shared" si="139"/>
        <v>9.5383137194430194</v>
      </c>
      <c r="Q244" s="45">
        <f t="shared" si="140"/>
        <v>0.7971320799159255</v>
      </c>
      <c r="R244" s="4">
        <f t="shared" si="141"/>
        <v>115388.82496181314</v>
      </c>
      <c r="S244">
        <f t="shared" si="122"/>
        <v>1.1538882496181314E-4</v>
      </c>
      <c r="T244" s="44">
        <f t="shared" si="123"/>
        <v>1.2047896067350228E-4</v>
      </c>
      <c r="U244" s="45">
        <f t="shared" si="142"/>
        <v>0.20707101583522175</v>
      </c>
      <c r="V244" s="45">
        <f t="shared" si="143"/>
        <v>0.24345960256011695</v>
      </c>
      <c r="W244" s="45">
        <f t="shared" si="144"/>
        <v>0.2428997608315866</v>
      </c>
      <c r="X244" s="45">
        <f t="shared" si="145"/>
        <v>5.5984172853035252E-4</v>
      </c>
      <c r="Y244" s="45">
        <f t="shared" si="119"/>
        <v>5.472518468841519E-4</v>
      </c>
      <c r="Z244" s="10">
        <f t="shared" si="146"/>
        <v>4.5423021897342162</v>
      </c>
      <c r="AA244">
        <f t="shared" si="124"/>
        <v>1569527.3789268383</v>
      </c>
      <c r="AB244" s="10">
        <f t="shared" si="125"/>
        <v>1.5695273789268382</v>
      </c>
      <c r="AC244" s="10">
        <f t="shared" si="126"/>
        <v>1.4685273789268383</v>
      </c>
      <c r="AD244" s="3">
        <f t="shared" si="127"/>
        <v>212.98439143246387</v>
      </c>
      <c r="AI244" s="100">
        <f t="shared" si="128"/>
        <v>0.2428997608315866</v>
      </c>
    </row>
    <row r="245" spans="2:35">
      <c r="B245" s="39">
        <f t="shared" si="129"/>
        <v>217</v>
      </c>
      <c r="C245" s="45">
        <f t="shared" si="130"/>
        <v>6.3747002398078614</v>
      </c>
      <c r="D245" s="10">
        <f t="shared" si="131"/>
        <v>9.0752997601923209</v>
      </c>
      <c r="E245" s="40">
        <f t="shared" si="132"/>
        <v>30.189400479615362</v>
      </c>
      <c r="F245" s="40">
        <f t="shared" si="133"/>
        <v>48.34</v>
      </c>
      <c r="G245" s="3">
        <f t="shared" si="134"/>
        <v>102.70119904076927</v>
      </c>
      <c r="H245" s="3">
        <f t="shared" si="135"/>
        <v>148.0155219248214</v>
      </c>
      <c r="I245">
        <f t="shared" si="120"/>
        <v>1.4801552192482141E-4</v>
      </c>
      <c r="J245" s="4">
        <f t="shared" si="136"/>
        <v>720.37057371586798</v>
      </c>
      <c r="K245" s="40">
        <f t="shared" si="137"/>
        <v>4.8668583155876828</v>
      </c>
      <c r="L245" s="40">
        <f t="shared" si="121"/>
        <v>1.1331416844123172</v>
      </c>
      <c r="M245" s="10">
        <f t="shared" si="138"/>
        <v>1.5695273789268382</v>
      </c>
      <c r="N245" s="10">
        <f t="shared" si="110"/>
        <v>8.26</v>
      </c>
      <c r="O245" s="10">
        <f t="shared" si="111"/>
        <v>0.31900000000000001</v>
      </c>
      <c r="P245" s="10">
        <f t="shared" si="139"/>
        <v>9.537407197372378</v>
      </c>
      <c r="Q245" s="45">
        <f t="shared" si="140"/>
        <v>0.80021221461008551</v>
      </c>
      <c r="R245" s="4">
        <f t="shared" si="141"/>
        <v>114971.09080492929</v>
      </c>
      <c r="S245">
        <f t="shared" si="122"/>
        <v>1.149710908049293E-4</v>
      </c>
      <c r="T245" s="44">
        <f t="shared" si="123"/>
        <v>1.2089669483038611E-4</v>
      </c>
      <c r="U245" s="45">
        <f t="shared" si="142"/>
        <v>0.20632137100398584</v>
      </c>
      <c r="V245" s="45">
        <f t="shared" si="143"/>
        <v>0.24338053548672556</v>
      </c>
      <c r="W245" s="45">
        <f t="shared" si="144"/>
        <v>0.242822425655985</v>
      </c>
      <c r="X245" s="45">
        <f t="shared" si="145"/>
        <v>5.5810983074056075E-4</v>
      </c>
      <c r="Y245" s="45">
        <f t="shared" si="119"/>
        <v>5.4897090033696771E-4</v>
      </c>
      <c r="Z245" s="10">
        <f t="shared" si="146"/>
        <v>4.5408263733525134</v>
      </c>
      <c r="AA245">
        <f t="shared" si="124"/>
        <v>1569050.2471394162</v>
      </c>
      <c r="AB245" s="10">
        <f t="shared" si="125"/>
        <v>1.5690502471394161</v>
      </c>
      <c r="AC245" s="10">
        <f t="shared" si="126"/>
        <v>1.4680502471394161</v>
      </c>
      <c r="AD245" s="3">
        <f t="shared" si="127"/>
        <v>212.91519175335986</v>
      </c>
      <c r="AI245" s="100">
        <f t="shared" si="128"/>
        <v>0.242822425655985</v>
      </c>
    </row>
    <row r="246" spans="2:35">
      <c r="B246" s="39">
        <f t="shared" si="129"/>
        <v>218</v>
      </c>
      <c r="C246" s="45">
        <f t="shared" si="130"/>
        <v>6.4040767386088193</v>
      </c>
      <c r="D246" s="10">
        <f t="shared" si="131"/>
        <v>9.0459232613913638</v>
      </c>
      <c r="E246" s="40">
        <f t="shared" si="132"/>
        <v>30.248153477217276</v>
      </c>
      <c r="F246" s="40">
        <f t="shared" si="133"/>
        <v>48.34</v>
      </c>
      <c r="G246" s="3">
        <f t="shared" si="134"/>
        <v>102.58369304556544</v>
      </c>
      <c r="H246" s="3">
        <f t="shared" si="135"/>
        <v>148.0155219248214</v>
      </c>
      <c r="I246">
        <f t="shared" si="120"/>
        <v>1.4801552192482141E-4</v>
      </c>
      <c r="J246" s="4">
        <f t="shared" si="136"/>
        <v>723.15943420749682</v>
      </c>
      <c r="K246" s="40">
        <f t="shared" si="137"/>
        <v>4.885699991483305</v>
      </c>
      <c r="L246" s="40">
        <f t="shared" si="121"/>
        <v>1.114300008516695</v>
      </c>
      <c r="M246" s="10">
        <f t="shared" si="138"/>
        <v>1.5690502471394161</v>
      </c>
      <c r="N246" s="10">
        <f t="shared" si="110"/>
        <v>8.26</v>
      </c>
      <c r="O246" s="10">
        <f t="shared" si="111"/>
        <v>0.31900000000000001</v>
      </c>
      <c r="P246" s="10">
        <f t="shared" si="139"/>
        <v>9.5364822108116236</v>
      </c>
      <c r="Q246" s="45">
        <f t="shared" si="140"/>
        <v>0.80329264806044665</v>
      </c>
      <c r="R246" s="4">
        <f t="shared" si="141"/>
        <v>114553.45455446576</v>
      </c>
      <c r="S246">
        <f t="shared" si="122"/>
        <v>1.1455345455446576E-4</v>
      </c>
      <c r="T246" s="44">
        <f t="shared" si="123"/>
        <v>1.2131433108084965E-4</v>
      </c>
      <c r="U246" s="45">
        <f t="shared" si="142"/>
        <v>0.2055719018707165</v>
      </c>
      <c r="V246" s="45">
        <f t="shared" si="143"/>
        <v>0.24329989442929842</v>
      </c>
      <c r="W246" s="45">
        <f t="shared" si="144"/>
        <v>0.24274353145241623</v>
      </c>
      <c r="X246" s="45">
        <f t="shared" si="145"/>
        <v>5.5636297688219094E-4</v>
      </c>
      <c r="Y246" s="45">
        <f t="shared" si="119"/>
        <v>5.5068473946149807E-4</v>
      </c>
      <c r="Z246" s="10">
        <f t="shared" si="146"/>
        <v>4.539321402139171</v>
      </c>
      <c r="AA246">
        <f t="shared" si="124"/>
        <v>1568563.6895879866</v>
      </c>
      <c r="AB246" s="10">
        <f t="shared" si="125"/>
        <v>1.5685636895879866</v>
      </c>
      <c r="AC246" s="10">
        <f t="shared" si="126"/>
        <v>1.4675636895879867</v>
      </c>
      <c r="AD246" s="3">
        <f t="shared" si="127"/>
        <v>212.84462503089</v>
      </c>
      <c r="AI246" s="100">
        <f t="shared" si="128"/>
        <v>0.24274353145241623</v>
      </c>
    </row>
    <row r="247" spans="2:35">
      <c r="B247" s="39">
        <f t="shared" si="129"/>
        <v>219</v>
      </c>
      <c r="C247" s="45">
        <f t="shared" si="130"/>
        <v>6.4334532374097773</v>
      </c>
      <c r="D247" s="10">
        <f t="shared" si="131"/>
        <v>9.0165467625904068</v>
      </c>
      <c r="E247" s="40">
        <f t="shared" si="132"/>
        <v>30.30690647481919</v>
      </c>
      <c r="F247" s="40">
        <f t="shared" si="133"/>
        <v>48.34</v>
      </c>
      <c r="G247" s="3">
        <f t="shared" si="134"/>
        <v>102.46618705036161</v>
      </c>
      <c r="H247" s="3">
        <f t="shared" si="135"/>
        <v>148.0155219248214</v>
      </c>
      <c r="I247">
        <f t="shared" si="120"/>
        <v>1.4801552192482141E-4</v>
      </c>
      <c r="J247" s="4">
        <f t="shared" si="136"/>
        <v>725.95371695409949</v>
      </c>
      <c r="K247" s="40">
        <f t="shared" si="137"/>
        <v>4.9045783003948653</v>
      </c>
      <c r="L247" s="40">
        <f t="shared" si="121"/>
        <v>1.0954216996051347</v>
      </c>
      <c r="M247" s="10">
        <f t="shared" si="138"/>
        <v>1.5685636895879866</v>
      </c>
      <c r="N247" s="10">
        <f t="shared" si="110"/>
        <v>8.26</v>
      </c>
      <c r="O247" s="10">
        <f t="shared" si="111"/>
        <v>0.31900000000000001</v>
      </c>
      <c r="P247" s="10">
        <f t="shared" si="139"/>
        <v>9.5355387538063887</v>
      </c>
      <c r="Q247" s="45">
        <f t="shared" si="140"/>
        <v>0.80637338629238253</v>
      </c>
      <c r="R247" s="4">
        <f t="shared" si="141"/>
        <v>114135.91812186495</v>
      </c>
      <c r="S247">
        <f t="shared" si="122"/>
        <v>1.1413591812186494E-4</v>
      </c>
      <c r="T247" s="44">
        <f t="shared" si="123"/>
        <v>1.2173186751345047E-4</v>
      </c>
      <c r="U247" s="45">
        <f t="shared" si="142"/>
        <v>0.20482261186559272</v>
      </c>
      <c r="V247" s="45">
        <f t="shared" si="143"/>
        <v>0.24321767989126886</v>
      </c>
      <c r="W247" s="45">
        <f t="shared" si="144"/>
        <v>0.24266307868963166</v>
      </c>
      <c r="X247" s="45">
        <f t="shared" si="145"/>
        <v>5.5460120163719484E-4</v>
      </c>
      <c r="Y247" s="45">
        <f t="shared" si="119"/>
        <v>5.5239332058685934E-4</v>
      </c>
      <c r="Z247" s="10">
        <f t="shared" si="146"/>
        <v>4.5377872850412322</v>
      </c>
      <c r="AA247">
        <f t="shared" si="124"/>
        <v>1568067.709165131</v>
      </c>
      <c r="AB247" s="10">
        <f t="shared" si="125"/>
        <v>1.5680677091651309</v>
      </c>
      <c r="AC247" s="10">
        <f t="shared" si="126"/>
        <v>1.467067709165131</v>
      </c>
      <c r="AD247" s="3">
        <f t="shared" si="127"/>
        <v>212.77269168457303</v>
      </c>
      <c r="AI247" s="100">
        <f t="shared" si="128"/>
        <v>0.24266307868963166</v>
      </c>
    </row>
    <row r="248" spans="2:35">
      <c r="B248" s="39">
        <f t="shared" si="129"/>
        <v>220</v>
      </c>
      <c r="C248" s="45">
        <f t="shared" si="130"/>
        <v>6.4628297362107352</v>
      </c>
      <c r="D248" s="10">
        <f t="shared" si="131"/>
        <v>8.9871702637894497</v>
      </c>
      <c r="E248" s="40">
        <f t="shared" si="132"/>
        <v>30.365659472421104</v>
      </c>
      <c r="F248" s="40">
        <f t="shared" si="133"/>
        <v>48.34</v>
      </c>
      <c r="G248" s="3">
        <f t="shared" si="134"/>
        <v>102.34868105515778</v>
      </c>
      <c r="H248" s="3">
        <f t="shared" si="135"/>
        <v>148.0155219248214</v>
      </c>
      <c r="I248">
        <f t="shared" si="120"/>
        <v>1.4801552192482141E-4</v>
      </c>
      <c r="J248" s="4">
        <f t="shared" si="136"/>
        <v>728.753421955676</v>
      </c>
      <c r="K248" s="40">
        <f t="shared" si="137"/>
        <v>4.9234932423223645</v>
      </c>
      <c r="L248" s="40">
        <f t="shared" si="121"/>
        <v>1.0765067576776355</v>
      </c>
      <c r="M248" s="10">
        <f t="shared" si="138"/>
        <v>1.5680677091651309</v>
      </c>
      <c r="N248" s="10">
        <f t="shared" si="110"/>
        <v>8.26</v>
      </c>
      <c r="O248" s="10">
        <f t="shared" si="111"/>
        <v>0.31900000000000001</v>
      </c>
      <c r="P248" s="10">
        <f t="shared" si="139"/>
        <v>9.5345768202825987</v>
      </c>
      <c r="Q248" s="45">
        <f t="shared" si="140"/>
        <v>0.80945443533678962</v>
      </c>
      <c r="R248" s="4">
        <f t="shared" si="141"/>
        <v>113718.48341856927</v>
      </c>
      <c r="S248">
        <f t="shared" si="122"/>
        <v>1.1371848341856928E-4</v>
      </c>
      <c r="T248" s="44">
        <f t="shared" si="123"/>
        <v>1.2214930221674615E-4</v>
      </c>
      <c r="U248" s="45">
        <f t="shared" si="142"/>
        <v>0.20407350441879349</v>
      </c>
      <c r="V248" s="45">
        <f t="shared" si="143"/>
        <v>0.24313389238612121</v>
      </c>
      <c r="W248" s="45">
        <f t="shared" si="144"/>
        <v>0.24258106784592259</v>
      </c>
      <c r="X248" s="45">
        <f t="shared" si="145"/>
        <v>5.5282454019861538E-4</v>
      </c>
      <c r="Y248" s="45">
        <f t="shared" si="119"/>
        <v>5.5409660010816305E-4</v>
      </c>
      <c r="Z248" s="10">
        <f t="shared" si="146"/>
        <v>4.5362240311856548</v>
      </c>
      <c r="AA248">
        <f t="shared" si="124"/>
        <v>1567562.3088215964</v>
      </c>
      <c r="AB248" s="10">
        <f t="shared" si="125"/>
        <v>1.5675623088215964</v>
      </c>
      <c r="AC248" s="10">
        <f t="shared" si="126"/>
        <v>1.4665623088215964</v>
      </c>
      <c r="AD248" s="3">
        <f t="shared" si="127"/>
        <v>212.69939214236351</v>
      </c>
      <c r="AI248" s="100">
        <f t="shared" si="128"/>
        <v>0.24258106784592259</v>
      </c>
    </row>
    <row r="249" spans="2:35">
      <c r="B249" s="39">
        <f t="shared" si="129"/>
        <v>221</v>
      </c>
      <c r="C249" s="45">
        <f t="shared" si="130"/>
        <v>6.4922062350116931</v>
      </c>
      <c r="D249" s="10">
        <f t="shared" si="131"/>
        <v>8.9577937649884927</v>
      </c>
      <c r="E249" s="40">
        <f t="shared" si="132"/>
        <v>30.424412470023018</v>
      </c>
      <c r="F249" s="40">
        <f t="shared" si="133"/>
        <v>48.34</v>
      </c>
      <c r="G249" s="3">
        <f t="shared" si="134"/>
        <v>102.23117505995396</v>
      </c>
      <c r="H249" s="3">
        <f t="shared" si="135"/>
        <v>148.0155219248214</v>
      </c>
      <c r="I249">
        <f t="shared" si="120"/>
        <v>1.4801552192482141E-4</v>
      </c>
      <c r="J249" s="4">
        <f t="shared" si="136"/>
        <v>731.55854921222658</v>
      </c>
      <c r="K249" s="40">
        <f t="shared" si="137"/>
        <v>4.9424448172658044</v>
      </c>
      <c r="L249" s="40">
        <f t="shared" si="121"/>
        <v>1.0575551827341956</v>
      </c>
      <c r="M249" s="10">
        <f t="shared" si="138"/>
        <v>1.5675623088215964</v>
      </c>
      <c r="N249" s="10">
        <f t="shared" si="110"/>
        <v>8.26</v>
      </c>
      <c r="O249" s="10">
        <f t="shared" si="111"/>
        <v>0.31900000000000001</v>
      </c>
      <c r="P249" s="10">
        <f t="shared" si="139"/>
        <v>9.5335964040471417</v>
      </c>
      <c r="Q249" s="45">
        <f t="shared" si="140"/>
        <v>0.81253580123019864</v>
      </c>
      <c r="R249" s="4">
        <f t="shared" si="141"/>
        <v>113301.15235602109</v>
      </c>
      <c r="S249">
        <f t="shared" si="122"/>
        <v>1.1330115235602109E-4</v>
      </c>
      <c r="T249" s="44">
        <f t="shared" si="123"/>
        <v>1.2256663327929433E-4</v>
      </c>
      <c r="U249" s="45">
        <f t="shared" si="142"/>
        <v>0.20332458296049766</v>
      </c>
      <c r="V249" s="45">
        <f t="shared" si="143"/>
        <v>0.2430485324374364</v>
      </c>
      <c r="W249" s="45">
        <f t="shared" si="144"/>
        <v>0.24249749940919782</v>
      </c>
      <c r="X249" s="45">
        <f t="shared" si="145"/>
        <v>5.5103302823858447E-4</v>
      </c>
      <c r="Y249" s="45">
        <f t="shared" si="119"/>
        <v>5.5579453448751932E-4</v>
      </c>
      <c r="Z249" s="10">
        <f t="shared" si="146"/>
        <v>4.5346316498799668</v>
      </c>
      <c r="AA249">
        <f t="shared" si="124"/>
        <v>1567047.4915665097</v>
      </c>
      <c r="AB249" s="10">
        <f t="shared" si="125"/>
        <v>1.5670474915665098</v>
      </c>
      <c r="AC249" s="10">
        <f t="shared" si="126"/>
        <v>1.4660474915665098</v>
      </c>
      <c r="AD249" s="3">
        <f t="shared" si="127"/>
        <v>212.62472684068305</v>
      </c>
      <c r="AI249" s="100">
        <f t="shared" si="128"/>
        <v>0.24249749940919782</v>
      </c>
    </row>
    <row r="250" spans="2:35">
      <c r="B250" s="39">
        <f t="shared" si="129"/>
        <v>222</v>
      </c>
      <c r="C250" s="45">
        <f t="shared" si="130"/>
        <v>6.5215827338126511</v>
      </c>
      <c r="D250" s="10">
        <f t="shared" si="131"/>
        <v>8.9284172661875356</v>
      </c>
      <c r="E250" s="40">
        <f t="shared" si="132"/>
        <v>30.483165467624932</v>
      </c>
      <c r="F250" s="40">
        <f t="shared" si="133"/>
        <v>48.34</v>
      </c>
      <c r="G250" s="3">
        <f t="shared" si="134"/>
        <v>102.11366906475013</v>
      </c>
      <c r="H250" s="3">
        <f t="shared" si="135"/>
        <v>148.0155219248214</v>
      </c>
      <c r="I250">
        <f t="shared" si="120"/>
        <v>1.4801552192482141E-4</v>
      </c>
      <c r="J250" s="4">
        <f t="shared" si="136"/>
        <v>734.36909872375122</v>
      </c>
      <c r="K250" s="40">
        <f t="shared" si="137"/>
        <v>4.9614330252251841</v>
      </c>
      <c r="L250" s="40">
        <f t="shared" si="121"/>
        <v>1.0385669747748159</v>
      </c>
      <c r="M250" s="10">
        <f t="shared" si="138"/>
        <v>1.5670474915665098</v>
      </c>
      <c r="N250" s="10">
        <f t="shared" si="110"/>
        <v>8.26</v>
      </c>
      <c r="O250" s="10">
        <f t="shared" si="111"/>
        <v>0.31900000000000001</v>
      </c>
      <c r="P250" s="10">
        <f t="shared" si="139"/>
        <v>9.5325974987880269</v>
      </c>
      <c r="Q250" s="45">
        <f t="shared" si="140"/>
        <v>0.81561749001488637</v>
      </c>
      <c r="R250" s="4">
        <f t="shared" si="141"/>
        <v>112883.92684566281</v>
      </c>
      <c r="S250">
        <f t="shared" si="122"/>
        <v>1.1288392684566281E-4</v>
      </c>
      <c r="T250" s="44">
        <f t="shared" si="123"/>
        <v>1.229838587896526E-4</v>
      </c>
      <c r="U250" s="45">
        <f t="shared" si="142"/>
        <v>0.20257585092088418</v>
      </c>
      <c r="V250" s="45">
        <f t="shared" si="143"/>
        <v>0.24296160057880425</v>
      </c>
      <c r="W250" s="45">
        <f t="shared" si="144"/>
        <v>0.24241237387701944</v>
      </c>
      <c r="X250" s="45">
        <f t="shared" si="145"/>
        <v>5.492267017848107E-4</v>
      </c>
      <c r="Y250" s="45">
        <f t="shared" si="119"/>
        <v>5.5748708025466062E-4</v>
      </c>
      <c r="Z250" s="10">
        <f t="shared" si="146"/>
        <v>4.533010150609825</v>
      </c>
      <c r="AA250">
        <f t="shared" si="124"/>
        <v>1566523.2604665854</v>
      </c>
      <c r="AB250" s="10">
        <f t="shared" si="125"/>
        <v>1.5665232604665853</v>
      </c>
      <c r="AC250" s="10">
        <f t="shared" si="126"/>
        <v>1.4655232604665853</v>
      </c>
      <c r="AD250" s="3">
        <f t="shared" si="127"/>
        <v>212.54869622430536</v>
      </c>
      <c r="AI250" s="100">
        <f t="shared" si="128"/>
        <v>0.24241237387701944</v>
      </c>
    </row>
    <row r="251" spans="2:35">
      <c r="B251" s="39">
        <f t="shared" si="129"/>
        <v>223</v>
      </c>
      <c r="C251" s="45">
        <f t="shared" si="130"/>
        <v>6.550959232613609</v>
      </c>
      <c r="D251" s="10">
        <f t="shared" si="131"/>
        <v>8.8990407673865786</v>
      </c>
      <c r="E251" s="40">
        <f t="shared" si="132"/>
        <v>30.541918465226846</v>
      </c>
      <c r="F251" s="40">
        <f t="shared" si="133"/>
        <v>48.34</v>
      </c>
      <c r="G251" s="3">
        <f t="shared" si="134"/>
        <v>101.9961630695463</v>
      </c>
      <c r="H251" s="3">
        <f t="shared" si="135"/>
        <v>148.0155219248214</v>
      </c>
      <c r="I251">
        <f t="shared" si="120"/>
        <v>1.4801552192482141E-4</v>
      </c>
      <c r="J251" s="4">
        <f t="shared" si="136"/>
        <v>737.18507049024947</v>
      </c>
      <c r="K251" s="40">
        <f t="shared" si="137"/>
        <v>4.980457866200501</v>
      </c>
      <c r="L251" s="40">
        <f t="shared" si="121"/>
        <v>1.019542133799499</v>
      </c>
      <c r="M251" s="10">
        <f t="shared" si="138"/>
        <v>1.5665232604665853</v>
      </c>
      <c r="N251" s="10">
        <f t="shared" si="110"/>
        <v>8.26</v>
      </c>
      <c r="O251" s="10">
        <f t="shared" si="111"/>
        <v>0.31900000000000001</v>
      </c>
      <c r="P251" s="10">
        <f t="shared" si="139"/>
        <v>9.5315800980725989</v>
      </c>
      <c r="Q251" s="45">
        <f t="shared" si="140"/>
        <v>0.81869950773898836</v>
      </c>
      <c r="R251" s="4">
        <f t="shared" si="141"/>
        <v>112466.80879893688</v>
      </c>
      <c r="S251">
        <f t="shared" si="122"/>
        <v>1.1246680879893689E-4</v>
      </c>
      <c r="T251" s="44">
        <f t="shared" si="123"/>
        <v>1.2340097683637851E-4</v>
      </c>
      <c r="U251" s="45">
        <f t="shared" si="142"/>
        <v>0.20182731173013219</v>
      </c>
      <c r="V251" s="45">
        <f t="shared" si="143"/>
        <v>0.2428730973538096</v>
      </c>
      <c r="W251" s="45">
        <f t="shared" si="144"/>
        <v>0.24232569175647159</v>
      </c>
      <c r="X251" s="45">
        <f t="shared" si="145"/>
        <v>5.4740559733801319E-4</v>
      </c>
      <c r="Y251" s="45">
        <f t="shared" si="119"/>
        <v>5.5917419400792904E-4</v>
      </c>
      <c r="Z251" s="10">
        <f t="shared" si="146"/>
        <v>4.5313595430395726</v>
      </c>
      <c r="AA251">
        <f t="shared" si="124"/>
        <v>1565989.6186463081</v>
      </c>
      <c r="AB251" s="10">
        <f t="shared" si="125"/>
        <v>1.565989618646308</v>
      </c>
      <c r="AC251" s="10">
        <f t="shared" si="126"/>
        <v>1.4649896186463081</v>
      </c>
      <c r="AD251" s="3">
        <f t="shared" si="127"/>
        <v>212.47130074638261</v>
      </c>
      <c r="AI251" s="100">
        <f t="shared" si="128"/>
        <v>0.24232569175647159</v>
      </c>
    </row>
    <row r="252" spans="2:35">
      <c r="B252" s="39">
        <f t="shared" si="129"/>
        <v>224</v>
      </c>
      <c r="C252" s="45">
        <f t="shared" si="130"/>
        <v>6.580335731414567</v>
      </c>
      <c r="D252" s="10">
        <f t="shared" si="131"/>
        <v>8.8696642685856215</v>
      </c>
      <c r="E252" s="40">
        <f t="shared" si="132"/>
        <v>30.60067146282876</v>
      </c>
      <c r="F252" s="40">
        <f t="shared" si="133"/>
        <v>48.34</v>
      </c>
      <c r="G252" s="3">
        <f t="shared" si="134"/>
        <v>101.87865707434247</v>
      </c>
      <c r="H252" s="3">
        <f t="shared" si="135"/>
        <v>148.0155219248214</v>
      </c>
      <c r="I252">
        <f t="shared" si="120"/>
        <v>1.4801552192482141E-4</v>
      </c>
      <c r="J252" s="4">
        <f t="shared" si="136"/>
        <v>740.00646451172156</v>
      </c>
      <c r="K252" s="40">
        <f t="shared" si="137"/>
        <v>4.9995193401917568</v>
      </c>
      <c r="L252" s="40">
        <f t="shared" si="121"/>
        <v>1.0004806598082432</v>
      </c>
      <c r="M252" s="10">
        <f t="shared" si="138"/>
        <v>1.565989618646308</v>
      </c>
      <c r="N252" s="10">
        <f t="shared" si="110"/>
        <v>8.26</v>
      </c>
      <c r="O252" s="10">
        <f t="shared" si="111"/>
        <v>0.31900000000000001</v>
      </c>
      <c r="P252" s="10">
        <f t="shared" si="139"/>
        <v>9.530544195347618</v>
      </c>
      <c r="Q252" s="45">
        <f t="shared" si="140"/>
        <v>0.82178186045661161</v>
      </c>
      <c r="R252" s="4">
        <f t="shared" si="141"/>
        <v>112049.80012728568</v>
      </c>
      <c r="S252">
        <f t="shared" si="122"/>
        <v>1.1204980012728567E-4</v>
      </c>
      <c r="T252" s="44">
        <f t="shared" si="123"/>
        <v>1.2381798550802975E-4</v>
      </c>
      <c r="U252" s="45">
        <f t="shared" si="142"/>
        <v>0.20107896881842049</v>
      </c>
      <c r="V252" s="45">
        <f t="shared" si="143"/>
        <v>0.2427830233162693</v>
      </c>
      <c r="W252" s="45">
        <f t="shared" si="144"/>
        <v>0.24223745356419088</v>
      </c>
      <c r="X252" s="45">
        <f t="shared" si="145"/>
        <v>5.4556975207842306E-4</v>
      </c>
      <c r="Y252" s="45">
        <f t="shared" si="119"/>
        <v>5.6085583241590104E-4</v>
      </c>
      <c r="Z252" s="10">
        <f t="shared" si="146"/>
        <v>4.529679837017933</v>
      </c>
      <c r="AA252">
        <f t="shared" si="124"/>
        <v>1565446.5692897723</v>
      </c>
      <c r="AB252" s="10">
        <f t="shared" si="125"/>
        <v>1.5654465692897723</v>
      </c>
      <c r="AC252" s="10">
        <f t="shared" si="126"/>
        <v>1.4644465692897723</v>
      </c>
      <c r="AD252" s="3">
        <f t="shared" si="127"/>
        <v>212.39254086871244</v>
      </c>
      <c r="AI252" s="100">
        <f t="shared" si="128"/>
        <v>0.24223745356419088</v>
      </c>
    </row>
    <row r="253" spans="2:35">
      <c r="B253" s="39">
        <f t="shared" si="129"/>
        <v>225</v>
      </c>
      <c r="C253" s="45">
        <f t="shared" si="130"/>
        <v>6.6097122302155249</v>
      </c>
      <c r="D253" s="10">
        <f t="shared" si="131"/>
        <v>8.8402877697846645</v>
      </c>
      <c r="E253" s="40">
        <f t="shared" si="132"/>
        <v>30.659424460430674</v>
      </c>
      <c r="F253" s="40">
        <f t="shared" si="133"/>
        <v>48.34</v>
      </c>
      <c r="G253" s="3">
        <f t="shared" si="134"/>
        <v>101.76115107913864</v>
      </c>
      <c r="H253" s="3">
        <f t="shared" si="135"/>
        <v>148.0155219248214</v>
      </c>
      <c r="I253">
        <f t="shared" si="120"/>
        <v>1.4801552192482141E-4</v>
      </c>
      <c r="J253" s="4">
        <f t="shared" si="136"/>
        <v>742.83328078816794</v>
      </c>
      <c r="K253" s="40">
        <f t="shared" si="137"/>
        <v>5.0186174471989533</v>
      </c>
      <c r="L253" s="40">
        <f t="shared" si="121"/>
        <v>0.98138255280104669</v>
      </c>
      <c r="M253" s="10">
        <f t="shared" si="138"/>
        <v>1.5654465692897723</v>
      </c>
      <c r="N253" s="10">
        <f t="shared" si="110"/>
        <v>8.26</v>
      </c>
      <c r="O253" s="10">
        <f t="shared" si="111"/>
        <v>0.31900000000000001</v>
      </c>
      <c r="P253" s="10">
        <f t="shared" si="139"/>
        <v>9.5294897839425818</v>
      </c>
      <c r="Q253" s="45">
        <f t="shared" si="140"/>
        <v>0.82486455422794636</v>
      </c>
      <c r="R253" s="4">
        <f t="shared" si="141"/>
        <v>111632.90274215155</v>
      </c>
      <c r="S253">
        <f t="shared" si="122"/>
        <v>1.1163290274215154E-4</v>
      </c>
      <c r="T253" s="44">
        <f t="shared" si="123"/>
        <v>1.2423488289316388E-4</v>
      </c>
      <c r="U253" s="45">
        <f t="shared" si="142"/>
        <v>0.20033082561592805</v>
      </c>
      <c r="V253" s="45">
        <f t="shared" si="143"/>
        <v>0.24269137903000834</v>
      </c>
      <c r="W253" s="45">
        <f t="shared" si="144"/>
        <v>0.24214765982667047</v>
      </c>
      <c r="X253" s="45">
        <f t="shared" si="145"/>
        <v>5.4371920333787238E-4</v>
      </c>
      <c r="Y253" s="45">
        <f t="shared" si="119"/>
        <v>5.6253195221738579E-4</v>
      </c>
      <c r="Z253" s="10">
        <f t="shared" si="146"/>
        <v>4.5279710425705204</v>
      </c>
      <c r="AA253">
        <f t="shared" si="124"/>
        <v>1564894.1156382617</v>
      </c>
      <c r="AB253" s="10">
        <f t="shared" si="125"/>
        <v>1.5648941156382616</v>
      </c>
      <c r="AC253" s="10">
        <f t="shared" si="126"/>
        <v>1.4638941156382617</v>
      </c>
      <c r="AD253" s="3">
        <f t="shared" si="127"/>
        <v>212.31241706138675</v>
      </c>
      <c r="AI253" s="100">
        <f t="shared" si="128"/>
        <v>0.24214765982667047</v>
      </c>
    </row>
    <row r="254" spans="2:35">
      <c r="B254" s="39">
        <f t="shared" si="129"/>
        <v>226</v>
      </c>
      <c r="C254" s="45">
        <f t="shared" si="130"/>
        <v>6.6390887290164828</v>
      </c>
      <c r="D254" s="10">
        <f t="shared" si="131"/>
        <v>8.8109112709837074</v>
      </c>
      <c r="E254" s="40">
        <f t="shared" si="132"/>
        <v>30.718177458032589</v>
      </c>
      <c r="F254" s="40">
        <f t="shared" si="133"/>
        <v>48.34</v>
      </c>
      <c r="G254" s="3">
        <f t="shared" si="134"/>
        <v>101.64364508393481</v>
      </c>
      <c r="H254" s="3">
        <f t="shared" si="135"/>
        <v>148.0155219248214</v>
      </c>
      <c r="I254">
        <f t="shared" si="120"/>
        <v>1.4801552192482141E-4</v>
      </c>
      <c r="J254" s="4">
        <f t="shared" si="136"/>
        <v>745.66551931958793</v>
      </c>
      <c r="K254" s="40">
        <f t="shared" si="137"/>
        <v>5.0377521872220878</v>
      </c>
      <c r="L254" s="40">
        <f t="shared" si="121"/>
        <v>0.96224781277791216</v>
      </c>
      <c r="M254" s="10">
        <f t="shared" si="138"/>
        <v>1.5648941156382616</v>
      </c>
      <c r="N254" s="10">
        <f t="shared" si="110"/>
        <v>8.26</v>
      </c>
      <c r="O254" s="10">
        <f t="shared" si="111"/>
        <v>0.31900000000000001</v>
      </c>
      <c r="P254" s="10">
        <f t="shared" si="139"/>
        <v>9.5284168570647356</v>
      </c>
      <c r="Q254" s="45">
        <f t="shared" si="140"/>
        <v>0.82794759511938021</v>
      </c>
      <c r="R254" s="4">
        <f t="shared" si="141"/>
        <v>111216.11855497699</v>
      </c>
      <c r="S254">
        <f t="shared" si="122"/>
        <v>1.1121611855497699E-4</v>
      </c>
      <c r="T254" s="44">
        <f t="shared" si="123"/>
        <v>1.2465166708033843E-4</v>
      </c>
      <c r="U254" s="45">
        <f t="shared" si="142"/>
        <v>0.19958288555283393</v>
      </c>
      <c r="V254" s="45">
        <f t="shared" si="143"/>
        <v>0.24259816506886023</v>
      </c>
      <c r="W254" s="45">
        <f t="shared" si="144"/>
        <v>0.24205631107985964</v>
      </c>
      <c r="X254" s="45">
        <f t="shared" si="145"/>
        <v>5.4185398900058468E-4</v>
      </c>
      <c r="Y254" s="45">
        <f t="shared" si="119"/>
        <v>5.6420251022266119E-4</v>
      </c>
      <c r="Z254" s="10">
        <f t="shared" si="146"/>
        <v>4.5262331699024188</v>
      </c>
      <c r="AA254">
        <f t="shared" si="124"/>
        <v>1564332.2609910821</v>
      </c>
      <c r="AB254" s="10">
        <f t="shared" si="125"/>
        <v>1.5643322609910821</v>
      </c>
      <c r="AC254" s="10">
        <f t="shared" si="126"/>
        <v>1.4633322609910822</v>
      </c>
      <c r="AD254" s="3">
        <f t="shared" si="127"/>
        <v>212.23092980291256</v>
      </c>
      <c r="AI254" s="100">
        <f t="shared" si="128"/>
        <v>0.24205631107985964</v>
      </c>
    </row>
    <row r="255" spans="2:35">
      <c r="B255" s="39">
        <f t="shared" si="129"/>
        <v>227</v>
      </c>
      <c r="C255" s="45">
        <f t="shared" si="130"/>
        <v>6.6684652278174408</v>
      </c>
      <c r="D255" s="10">
        <f t="shared" si="131"/>
        <v>8.7815347721827504</v>
      </c>
      <c r="E255" s="40">
        <f t="shared" si="132"/>
        <v>30.776930455634503</v>
      </c>
      <c r="F255" s="40">
        <f t="shared" si="133"/>
        <v>48.34</v>
      </c>
      <c r="G255" s="3">
        <f t="shared" si="134"/>
        <v>101.52613908873099</v>
      </c>
      <c r="H255" s="3">
        <f t="shared" si="135"/>
        <v>148.0155219248214</v>
      </c>
      <c r="I255">
        <f t="shared" si="120"/>
        <v>1.4801552192482141E-4</v>
      </c>
      <c r="J255" s="4">
        <f t="shared" si="136"/>
        <v>748.50318010598198</v>
      </c>
      <c r="K255" s="40">
        <f t="shared" si="137"/>
        <v>5.0569235602611622</v>
      </c>
      <c r="L255" s="40">
        <f t="shared" si="121"/>
        <v>0.94307643973883781</v>
      </c>
      <c r="M255" s="10">
        <f t="shared" si="138"/>
        <v>1.5643322609910821</v>
      </c>
      <c r="N255" s="10">
        <f t="shared" si="110"/>
        <v>8.26</v>
      </c>
      <c r="O255" s="10">
        <f t="shared" si="111"/>
        <v>0.31900000000000001</v>
      </c>
      <c r="P255" s="10">
        <f t="shared" si="139"/>
        <v>9.5273254078004186</v>
      </c>
      <c r="Q255" s="45">
        <f t="shared" si="140"/>
        <v>0.8310309892036114</v>
      </c>
      <c r="R255" s="4">
        <f t="shared" si="141"/>
        <v>110799.44947720433</v>
      </c>
      <c r="S255">
        <f t="shared" si="122"/>
        <v>1.1079944947720432E-4</v>
      </c>
      <c r="T255" s="44">
        <f t="shared" si="123"/>
        <v>1.250683361581111E-4</v>
      </c>
      <c r="U255" s="45">
        <f t="shared" si="142"/>
        <v>0.19883515205931701</v>
      </c>
      <c r="V255" s="45">
        <f t="shared" si="143"/>
        <v>0.24250338201688548</v>
      </c>
      <c r="W255" s="45">
        <f t="shared" si="144"/>
        <v>0.2419634078693019</v>
      </c>
      <c r="X255" s="45">
        <f t="shared" si="145"/>
        <v>5.3997414758358286E-4</v>
      </c>
      <c r="Y255" s="45">
        <f t="shared" si="119"/>
        <v>5.6586746331495818E-4</v>
      </c>
      <c r="Z255" s="10">
        <f t="shared" si="146"/>
        <v>4.5244662294026989</v>
      </c>
      <c r="AA255">
        <f t="shared" si="124"/>
        <v>1563761.0087070228</v>
      </c>
      <c r="AB255" s="10">
        <f t="shared" si="125"/>
        <v>1.5637610087070228</v>
      </c>
      <c r="AC255" s="10">
        <f t="shared" si="126"/>
        <v>1.4627610087070229</v>
      </c>
      <c r="AD255" s="3">
        <f t="shared" si="127"/>
        <v>212.14807958042388</v>
      </c>
      <c r="AI255" s="100">
        <f t="shared" si="128"/>
        <v>0.2419634078693019</v>
      </c>
    </row>
    <row r="256" spans="2:35">
      <c r="B256" s="39">
        <f t="shared" si="129"/>
        <v>228</v>
      </c>
      <c r="C256" s="45">
        <f t="shared" si="130"/>
        <v>6.6978417266183987</v>
      </c>
      <c r="D256" s="10">
        <f t="shared" si="131"/>
        <v>8.7521582733817933</v>
      </c>
      <c r="E256" s="40">
        <f t="shared" si="132"/>
        <v>30.835683453236417</v>
      </c>
      <c r="F256" s="40">
        <f t="shared" si="133"/>
        <v>48.34</v>
      </c>
      <c r="G256" s="3">
        <f t="shared" si="134"/>
        <v>101.40863309352716</v>
      </c>
      <c r="H256" s="3">
        <f t="shared" si="135"/>
        <v>148.0155219248214</v>
      </c>
      <c r="I256">
        <f t="shared" si="120"/>
        <v>1.4801552192482141E-4</v>
      </c>
      <c r="J256" s="4">
        <f t="shared" si="136"/>
        <v>751.34626314734987</v>
      </c>
      <c r="K256" s="40">
        <f t="shared" si="137"/>
        <v>5.0761315663161755</v>
      </c>
      <c r="L256" s="40">
        <f t="shared" si="121"/>
        <v>0.92386843368382454</v>
      </c>
      <c r="M256" s="10">
        <f t="shared" si="138"/>
        <v>1.5637610087070228</v>
      </c>
      <c r="N256" s="10">
        <f t="shared" si="110"/>
        <v>8.26</v>
      </c>
      <c r="O256" s="10">
        <f t="shared" si="111"/>
        <v>0.31900000000000001</v>
      </c>
      <c r="P256" s="10">
        <f t="shared" si="139"/>
        <v>9.5262154291176255</v>
      </c>
      <c r="Q256" s="45">
        <f t="shared" si="140"/>
        <v>0.83411474255976226</v>
      </c>
      <c r="R256" s="4">
        <f t="shared" si="141"/>
        <v>110382.897420276</v>
      </c>
      <c r="S256">
        <f t="shared" si="122"/>
        <v>1.1038289742027601E-4</v>
      </c>
      <c r="T256" s="44">
        <f t="shared" si="123"/>
        <v>1.2548488821503942E-4</v>
      </c>
      <c r="U256" s="45">
        <f t="shared" si="142"/>
        <v>0.19808762856555628</v>
      </c>
      <c r="V256" s="45">
        <f t="shared" si="143"/>
        <v>0.24240703046815226</v>
      </c>
      <c r="W256" s="45">
        <f t="shared" si="144"/>
        <v>0.24186895075037634</v>
      </c>
      <c r="X256" s="45">
        <f t="shared" si="145"/>
        <v>5.380797177759189E-4</v>
      </c>
      <c r="Y256" s="45">
        <f t="shared" si="119"/>
        <v>5.6752676845052636E-4</v>
      </c>
      <c r="Z256" s="10">
        <f t="shared" si="146"/>
        <v>4.5226702316375658</v>
      </c>
      <c r="AA256">
        <f t="shared" si="124"/>
        <v>1563180.3622021403</v>
      </c>
      <c r="AB256" s="10">
        <f t="shared" si="125"/>
        <v>1.5631803622021403</v>
      </c>
      <c r="AC256" s="10">
        <f t="shared" si="126"/>
        <v>1.4621803622021403</v>
      </c>
      <c r="AD256" s="3">
        <f t="shared" si="127"/>
        <v>212.06386688936044</v>
      </c>
      <c r="AI256" s="100">
        <f t="shared" si="128"/>
        <v>0.24186895075037634</v>
      </c>
    </row>
    <row r="257" spans="2:35">
      <c r="B257" s="39">
        <f t="shared" si="129"/>
        <v>229</v>
      </c>
      <c r="C257" s="45">
        <f t="shared" si="130"/>
        <v>6.7272182254193567</v>
      </c>
      <c r="D257" s="10">
        <f t="shared" si="131"/>
        <v>8.7227817745808363</v>
      </c>
      <c r="E257" s="40">
        <f t="shared" si="132"/>
        <v>30.894436450838331</v>
      </c>
      <c r="F257" s="40">
        <f t="shared" si="133"/>
        <v>48.34</v>
      </c>
      <c r="G257" s="3">
        <f t="shared" si="134"/>
        <v>101.29112709832333</v>
      </c>
      <c r="H257" s="3">
        <f t="shared" si="135"/>
        <v>148.0155219248214</v>
      </c>
      <c r="I257">
        <f t="shared" si="120"/>
        <v>1.4801552192482141E-4</v>
      </c>
      <c r="J257" s="4">
        <f t="shared" si="136"/>
        <v>754.19476844369183</v>
      </c>
      <c r="K257" s="40">
        <f t="shared" si="137"/>
        <v>5.0953762053871285</v>
      </c>
      <c r="L257" s="40">
        <f t="shared" si="121"/>
        <v>0.90462379461287146</v>
      </c>
      <c r="M257" s="10">
        <f t="shared" si="138"/>
        <v>1.5631803622021403</v>
      </c>
      <c r="N257" s="10">
        <f t="shared" si="110"/>
        <v>8.26</v>
      </c>
      <c r="O257" s="10">
        <f t="shared" si="111"/>
        <v>0.31900000000000001</v>
      </c>
      <c r="P257" s="10">
        <f t="shared" si="139"/>
        <v>9.5250869138614096</v>
      </c>
      <c r="Q257" s="45">
        <f t="shared" si="140"/>
        <v>0.83719886127349363</v>
      </c>
      <c r="R257" s="4">
        <f t="shared" si="141"/>
        <v>109966.46429563437</v>
      </c>
      <c r="S257">
        <f t="shared" si="122"/>
        <v>1.0996646429563438E-4</v>
      </c>
      <c r="T257" s="44">
        <f t="shared" si="123"/>
        <v>1.2590132133968103E-4</v>
      </c>
      <c r="U257" s="45">
        <f t="shared" si="142"/>
        <v>0.19734031850173064</v>
      </c>
      <c r="V257" s="45">
        <f t="shared" si="143"/>
        <v>0.24230911102688837</v>
      </c>
      <c r="W257" s="45">
        <f t="shared" si="144"/>
        <v>0.24177294028793112</v>
      </c>
      <c r="X257" s="45">
        <f t="shared" si="145"/>
        <v>5.3617073895725897E-4</v>
      </c>
      <c r="Y257" s="45">
        <f t="shared" si="119"/>
        <v>5.6918038266029957E-4</v>
      </c>
      <c r="Z257" s="10">
        <f t="shared" si="146"/>
        <v>4.5208451873563282</v>
      </c>
      <c r="AA257">
        <f t="shared" si="124"/>
        <v>1562590.3249516888</v>
      </c>
      <c r="AB257" s="10">
        <f t="shared" si="125"/>
        <v>1.5625903249516888</v>
      </c>
      <c r="AC257" s="10">
        <f t="shared" si="126"/>
        <v>1.4615903249516888</v>
      </c>
      <c r="AD257" s="3">
        <f t="shared" si="127"/>
        <v>211.97829223374745</v>
      </c>
      <c r="AI257" s="100">
        <f t="shared" si="128"/>
        <v>0.24177294028793112</v>
      </c>
    </row>
    <row r="258" spans="2:35">
      <c r="B258" s="39">
        <f t="shared" si="129"/>
        <v>230</v>
      </c>
      <c r="C258" s="45">
        <f t="shared" si="130"/>
        <v>6.7565947242203146</v>
      </c>
      <c r="D258" s="10">
        <f t="shared" si="131"/>
        <v>8.6934052757798792</v>
      </c>
      <c r="E258" s="40">
        <f t="shared" si="132"/>
        <v>30.953189448440245</v>
      </c>
      <c r="F258" s="40">
        <f t="shared" si="133"/>
        <v>48.34</v>
      </c>
      <c r="G258" s="3">
        <f t="shared" si="134"/>
        <v>101.1736211031195</v>
      </c>
      <c r="H258" s="3">
        <f t="shared" si="135"/>
        <v>148.0155219248214</v>
      </c>
      <c r="I258">
        <f t="shared" si="120"/>
        <v>1.4801552192482141E-4</v>
      </c>
      <c r="J258" s="4">
        <f t="shared" si="136"/>
        <v>757.04869599500739</v>
      </c>
      <c r="K258" s="40">
        <f t="shared" si="137"/>
        <v>5.1146574774740188</v>
      </c>
      <c r="L258" s="40">
        <f t="shared" si="121"/>
        <v>0.88534252252598122</v>
      </c>
      <c r="M258" s="10">
        <f t="shared" si="138"/>
        <v>1.5625903249516888</v>
      </c>
      <c r="N258" s="10">
        <f t="shared" si="110"/>
        <v>8.26</v>
      </c>
      <c r="O258" s="10">
        <f t="shared" si="111"/>
        <v>0.31900000000000001</v>
      </c>
      <c r="P258" s="10">
        <f t="shared" si="139"/>
        <v>9.5239398547573391</v>
      </c>
      <c r="Q258" s="45">
        <f t="shared" si="140"/>
        <v>0.84028335143711896</v>
      </c>
      <c r="R258" s="4">
        <f t="shared" si="141"/>
        <v>109550.15201472191</v>
      </c>
      <c r="S258">
        <f t="shared" si="122"/>
        <v>1.0955015201472192E-4</v>
      </c>
      <c r="T258" s="44">
        <f t="shared" si="123"/>
        <v>1.263176336205935E-4</v>
      </c>
      <c r="U258" s="45">
        <f t="shared" si="142"/>
        <v>0.19659322529801918</v>
      </c>
      <c r="V258" s="45">
        <f t="shared" si="143"/>
        <v>0.24220962430736967</v>
      </c>
      <c r="W258" s="45">
        <f t="shared" si="144"/>
        <v>0.24167537705660291</v>
      </c>
      <c r="X258" s="45">
        <f t="shared" si="145"/>
        <v>5.3424725076675617E-4</v>
      </c>
      <c r="Y258" s="45">
        <f t="shared" si="119"/>
        <v>5.7082826305023351E-4</v>
      </c>
      <c r="Z258" s="10">
        <f t="shared" si="146"/>
        <v>4.5189911074867668</v>
      </c>
      <c r="AA258">
        <f t="shared" si="124"/>
        <v>1561990.900488622</v>
      </c>
      <c r="AB258" s="10">
        <f t="shared" si="125"/>
        <v>1.5619909004886221</v>
      </c>
      <c r="AC258" s="10">
        <f t="shared" si="126"/>
        <v>1.4609909004886221</v>
      </c>
      <c r="AD258" s="3">
        <f t="shared" si="127"/>
        <v>211.89135612597855</v>
      </c>
      <c r="AI258" s="100">
        <f t="shared" si="128"/>
        <v>0.24167537705660291</v>
      </c>
    </row>
    <row r="259" spans="2:35">
      <c r="B259" s="39">
        <f t="shared" si="129"/>
        <v>231</v>
      </c>
      <c r="C259" s="45">
        <f t="shared" si="130"/>
        <v>6.7859712230212725</v>
      </c>
      <c r="D259" s="10">
        <f t="shared" si="131"/>
        <v>8.6640287769789222</v>
      </c>
      <c r="E259" s="40">
        <f t="shared" si="132"/>
        <v>31.011942446042159</v>
      </c>
      <c r="F259" s="40">
        <f t="shared" si="133"/>
        <v>48.34</v>
      </c>
      <c r="G259" s="3">
        <f t="shared" si="134"/>
        <v>101.05611510791567</v>
      </c>
      <c r="H259" s="3">
        <f t="shared" si="135"/>
        <v>148.0155219248214</v>
      </c>
      <c r="I259">
        <f t="shared" si="120"/>
        <v>1.4801552192482141E-4</v>
      </c>
      <c r="J259" s="4">
        <f t="shared" si="136"/>
        <v>759.90804580129725</v>
      </c>
      <c r="K259" s="40">
        <f t="shared" si="137"/>
        <v>5.1339753825768515</v>
      </c>
      <c r="L259" s="40">
        <f t="shared" si="121"/>
        <v>0.86602461742314851</v>
      </c>
      <c r="M259" s="10">
        <f t="shared" si="138"/>
        <v>1.5619909004886221</v>
      </c>
      <c r="N259" s="10">
        <f t="shared" si="110"/>
        <v>8.26</v>
      </c>
      <c r="O259" s="10">
        <f t="shared" si="111"/>
        <v>0.31900000000000001</v>
      </c>
      <c r="P259" s="10">
        <f t="shared" si="139"/>
        <v>9.5227742444082875</v>
      </c>
      <c r="Q259" s="45">
        <f t="shared" si="140"/>
        <v>0.84336821914971938</v>
      </c>
      <c r="R259" s="4">
        <f t="shared" si="141"/>
        <v>109133.96248898093</v>
      </c>
      <c r="S259">
        <f t="shared" si="122"/>
        <v>1.0913396248898093E-4</v>
      </c>
      <c r="T259" s="44">
        <f t="shared" si="123"/>
        <v>1.2673382314633448E-4</v>
      </c>
      <c r="U259" s="45">
        <f t="shared" si="142"/>
        <v>0.19584635238460074</v>
      </c>
      <c r="V259" s="45">
        <f t="shared" si="143"/>
        <v>0.24210857093410051</v>
      </c>
      <c r="W259" s="45">
        <f t="shared" si="144"/>
        <v>0.24157626164056903</v>
      </c>
      <c r="X259" s="45">
        <f t="shared" si="145"/>
        <v>5.3230929353148548E-4</v>
      </c>
      <c r="Y259" s="45">
        <f t="shared" si="119"/>
        <v>5.7247036680296588E-4</v>
      </c>
      <c r="Z259" s="10">
        <f t="shared" si="146"/>
        <v>4.5171080031410176</v>
      </c>
      <c r="AA259">
        <f t="shared" si="124"/>
        <v>1561382.0924054964</v>
      </c>
      <c r="AB259" s="10">
        <f t="shared" si="125"/>
        <v>1.5613820924054964</v>
      </c>
      <c r="AC259" s="10">
        <f t="shared" si="126"/>
        <v>1.4603820924054964</v>
      </c>
      <c r="AD259" s="3">
        <f t="shared" si="127"/>
        <v>211.80305908709158</v>
      </c>
      <c r="AI259" s="100">
        <f t="shared" si="128"/>
        <v>0.24157626164056903</v>
      </c>
    </row>
    <row r="260" spans="2:35">
      <c r="B260" s="39">
        <f t="shared" si="129"/>
        <v>232</v>
      </c>
      <c r="C260" s="45">
        <f t="shared" si="130"/>
        <v>6.8153477218222305</v>
      </c>
      <c r="D260" s="10">
        <f t="shared" si="131"/>
        <v>8.6346522781779651</v>
      </c>
      <c r="E260" s="40">
        <f t="shared" si="132"/>
        <v>31.070695443644073</v>
      </c>
      <c r="F260" s="40">
        <f t="shared" si="133"/>
        <v>48.34</v>
      </c>
      <c r="G260" s="3">
        <f t="shared" si="134"/>
        <v>100.93860911271184</v>
      </c>
      <c r="H260" s="3">
        <f t="shared" si="135"/>
        <v>148.0155219248214</v>
      </c>
      <c r="I260">
        <f t="shared" si="120"/>
        <v>1.4801552192482141E-4</v>
      </c>
      <c r="J260" s="4">
        <f t="shared" si="136"/>
        <v>762.77281786256071</v>
      </c>
      <c r="K260" s="40">
        <f t="shared" si="137"/>
        <v>5.1533299206956205</v>
      </c>
      <c r="L260" s="40">
        <f t="shared" si="121"/>
        <v>0.84667007930437954</v>
      </c>
      <c r="M260" s="10">
        <f t="shared" si="138"/>
        <v>1.5613820924054964</v>
      </c>
      <c r="N260" s="10">
        <f t="shared" si="110"/>
        <v>8.26</v>
      </c>
      <c r="O260" s="10">
        <f t="shared" si="111"/>
        <v>0.31900000000000001</v>
      </c>
      <c r="P260" s="10">
        <f t="shared" si="139"/>
        <v>9.5215900752978353</v>
      </c>
      <c r="Q260" s="45">
        <f t="shared" si="140"/>
        <v>0.84645347051725828</v>
      </c>
      <c r="R260" s="4">
        <f t="shared" si="141"/>
        <v>108717.89762985391</v>
      </c>
      <c r="S260">
        <f t="shared" si="122"/>
        <v>1.0871789762985391E-4</v>
      </c>
      <c r="T260" s="44">
        <f t="shared" si="123"/>
        <v>1.2714988800546149E-4</v>
      </c>
      <c r="U260" s="45">
        <f t="shared" si="142"/>
        <v>0.19509970319165432</v>
      </c>
      <c r="V260" s="45">
        <f t="shared" si="143"/>
        <v>0.24200595154164886</v>
      </c>
      <c r="W260" s="45">
        <f t="shared" si="144"/>
        <v>0.24147559463386226</v>
      </c>
      <c r="X260" s="45">
        <f t="shared" si="145"/>
        <v>5.3035690778660549E-4</v>
      </c>
      <c r="Y260" s="45">
        <f t="shared" si="119"/>
        <v>5.7410665117799825E-4</v>
      </c>
      <c r="Z260" s="10">
        <f t="shared" si="146"/>
        <v>4.5151958856097343</v>
      </c>
      <c r="AA260">
        <f t="shared" si="124"/>
        <v>1560763.9043525832</v>
      </c>
      <c r="AB260" s="10">
        <f t="shared" si="125"/>
        <v>1.5607639043525832</v>
      </c>
      <c r="AC260" s="10">
        <f t="shared" si="126"/>
        <v>1.4597639043525832</v>
      </c>
      <c r="AD260" s="3">
        <f t="shared" si="127"/>
        <v>211.71340164649502</v>
      </c>
      <c r="AI260" s="100">
        <f t="shared" si="128"/>
        <v>0.24147559463386226</v>
      </c>
    </row>
    <row r="261" spans="2:35">
      <c r="B261" s="39">
        <f t="shared" si="129"/>
        <v>233</v>
      </c>
      <c r="C261" s="45">
        <f t="shared" si="130"/>
        <v>6.8447242206231884</v>
      </c>
      <c r="D261" s="10">
        <f t="shared" si="131"/>
        <v>8.605275779377008</v>
      </c>
      <c r="E261" s="40">
        <f t="shared" si="132"/>
        <v>31.129448441245987</v>
      </c>
      <c r="F261" s="40">
        <f t="shared" si="133"/>
        <v>48.34</v>
      </c>
      <c r="G261" s="3">
        <f t="shared" si="134"/>
        <v>100.82110311750802</v>
      </c>
      <c r="H261" s="3">
        <f t="shared" si="135"/>
        <v>148.0155219248214</v>
      </c>
      <c r="I261">
        <f t="shared" si="120"/>
        <v>1.4801552192482141E-4</v>
      </c>
      <c r="J261" s="4">
        <f t="shared" si="136"/>
        <v>765.64301217879824</v>
      </c>
      <c r="K261" s="40">
        <f t="shared" si="137"/>
        <v>5.1727210918303292</v>
      </c>
      <c r="L261" s="40">
        <f t="shared" si="121"/>
        <v>0.82727890816967076</v>
      </c>
      <c r="M261" s="10">
        <f t="shared" si="138"/>
        <v>1.5607639043525832</v>
      </c>
      <c r="N261" s="10">
        <f t="shared" si="110"/>
        <v>8.26</v>
      </c>
      <c r="O261" s="10">
        <f t="shared" si="111"/>
        <v>0.31900000000000001</v>
      </c>
      <c r="P261" s="10">
        <f t="shared" si="139"/>
        <v>9.520387339786291</v>
      </c>
      <c r="Q261" s="45">
        <f t="shared" si="140"/>
        <v>0.84953911165269735</v>
      </c>
      <c r="R261" s="4">
        <f t="shared" si="141"/>
        <v>108301.9593487832</v>
      </c>
      <c r="S261">
        <f t="shared" si="122"/>
        <v>1.083019593487832E-4</v>
      </c>
      <c r="T261" s="44">
        <f t="shared" si="123"/>
        <v>1.275658262865322E-4</v>
      </c>
      <c r="U261" s="45">
        <f t="shared" si="142"/>
        <v>0.1943532811493589</v>
      </c>
      <c r="V261" s="45">
        <f t="shared" si="143"/>
        <v>0.24190176677470315</v>
      </c>
      <c r="W261" s="45">
        <f t="shared" si="144"/>
        <v>0.24137337664005842</v>
      </c>
      <c r="X261" s="45">
        <f t="shared" si="145"/>
        <v>5.283901346447295E-4</v>
      </c>
      <c r="Y261" s="45">
        <f t="shared" si="119"/>
        <v>5.7573707351301826E-4</v>
      </c>
      <c r="Z261" s="10">
        <f t="shared" si="146"/>
        <v>4.513254766365292</v>
      </c>
      <c r="AA261">
        <f t="shared" si="124"/>
        <v>1560136.3400389038</v>
      </c>
      <c r="AB261" s="10">
        <f t="shared" si="125"/>
        <v>1.5601363400389037</v>
      </c>
      <c r="AC261" s="10">
        <f t="shared" si="126"/>
        <v>1.4591363400389037</v>
      </c>
      <c r="AD261" s="3">
        <f t="shared" si="127"/>
        <v>211.62238434211801</v>
      </c>
      <c r="AI261" s="100">
        <f t="shared" si="128"/>
        <v>0.24137337664005842</v>
      </c>
    </row>
    <row r="262" spans="2:35">
      <c r="B262" s="39">
        <f t="shared" si="129"/>
        <v>234</v>
      </c>
      <c r="C262" s="45">
        <f t="shared" si="130"/>
        <v>6.8741007194241464</v>
      </c>
      <c r="D262" s="10">
        <f t="shared" si="131"/>
        <v>8.575899280576051</v>
      </c>
      <c r="E262" s="40">
        <f t="shared" si="132"/>
        <v>31.188201438847901</v>
      </c>
      <c r="F262" s="40">
        <f t="shared" si="133"/>
        <v>48.34</v>
      </c>
      <c r="G262" s="3">
        <f t="shared" si="134"/>
        <v>100.70359712230419</v>
      </c>
      <c r="H262" s="3">
        <f t="shared" si="135"/>
        <v>148.0155219248214</v>
      </c>
      <c r="I262">
        <f t="shared" si="120"/>
        <v>1.4801552192482141E-4</v>
      </c>
      <c r="J262" s="4">
        <f t="shared" si="136"/>
        <v>768.51862875000961</v>
      </c>
      <c r="K262" s="40">
        <f t="shared" si="137"/>
        <v>5.1921488959809778</v>
      </c>
      <c r="L262" s="40">
        <f t="shared" si="121"/>
        <v>0.80785110401902216</v>
      </c>
      <c r="M262" s="10">
        <f t="shared" si="138"/>
        <v>1.5601363400389037</v>
      </c>
      <c r="N262" s="10">
        <f t="shared" si="110"/>
        <v>8.26</v>
      </c>
      <c r="O262" s="10">
        <f t="shared" si="111"/>
        <v>0.31900000000000001</v>
      </c>
      <c r="P262" s="10">
        <f t="shared" si="139"/>
        <v>9.5191660301123839</v>
      </c>
      <c r="Q262" s="45">
        <f t="shared" si="140"/>
        <v>0.85262514867611194</v>
      </c>
      <c r="R262" s="4">
        <f t="shared" si="141"/>
        <v>107886.14955721122</v>
      </c>
      <c r="S262">
        <f t="shared" si="122"/>
        <v>1.0788614955721122E-4</v>
      </c>
      <c r="T262" s="44">
        <f t="shared" si="123"/>
        <v>1.2798163607810419E-4</v>
      </c>
      <c r="U262" s="45">
        <f t="shared" si="142"/>
        <v>0.19360708968789336</v>
      </c>
      <c r="V262" s="45">
        <f t="shared" si="143"/>
        <v>0.24179601728818712</v>
      </c>
      <c r="W262" s="45">
        <f t="shared" si="144"/>
        <v>0.24126960827244778</v>
      </c>
      <c r="X262" s="45">
        <f t="shared" si="145"/>
        <v>5.2640901573933196E-4</v>
      </c>
      <c r="Y262" s="45">
        <f t="shared" si="119"/>
        <v>5.7736159122504904E-4</v>
      </c>
      <c r="Z262" s="10">
        <f t="shared" si="146"/>
        <v>4.5112846570636025</v>
      </c>
      <c r="AA262">
        <f t="shared" si="124"/>
        <v>1559499.4032328171</v>
      </c>
      <c r="AB262" s="10">
        <f t="shared" si="125"/>
        <v>1.5594994032328171</v>
      </c>
      <c r="AC262" s="10">
        <f t="shared" si="126"/>
        <v>1.4584994032328171</v>
      </c>
      <c r="AD262" s="3">
        <f t="shared" si="127"/>
        <v>211.53000772049558</v>
      </c>
      <c r="AI262" s="100">
        <f t="shared" si="128"/>
        <v>0.24126960827244778</v>
      </c>
    </row>
    <row r="263" spans="2:35">
      <c r="B263" s="39">
        <f t="shared" si="129"/>
        <v>235</v>
      </c>
      <c r="C263" s="45">
        <f t="shared" si="130"/>
        <v>6.9034772182251043</v>
      </c>
      <c r="D263" s="10">
        <f t="shared" si="131"/>
        <v>8.5465227817750939</v>
      </c>
      <c r="E263" s="40">
        <f t="shared" si="132"/>
        <v>31.246954436449816</v>
      </c>
      <c r="F263" s="40">
        <f t="shared" si="133"/>
        <v>48.34</v>
      </c>
      <c r="G263" s="3">
        <f t="shared" si="134"/>
        <v>100.58609112710036</v>
      </c>
      <c r="H263" s="3">
        <f t="shared" si="135"/>
        <v>148.0155219248214</v>
      </c>
      <c r="I263">
        <f t="shared" si="120"/>
        <v>1.4801552192482141E-4</v>
      </c>
      <c r="J263" s="4">
        <f t="shared" si="136"/>
        <v>771.39966757619482</v>
      </c>
      <c r="K263" s="40">
        <f t="shared" si="137"/>
        <v>5.2116133331475645</v>
      </c>
      <c r="L263" s="40">
        <f t="shared" si="121"/>
        <v>0.78838666685243552</v>
      </c>
      <c r="M263" s="10">
        <f t="shared" si="138"/>
        <v>1.5594994032328171</v>
      </c>
      <c r="N263" s="10">
        <f t="shared" si="110"/>
        <v>8.26</v>
      </c>
      <c r="O263" s="10">
        <f t="shared" si="111"/>
        <v>0.31900000000000001</v>
      </c>
      <c r="P263" s="10">
        <f t="shared" si="139"/>
        <v>9.517926138394099</v>
      </c>
      <c r="Q263" s="45">
        <f t="shared" si="140"/>
        <v>0.85571158771480726</v>
      </c>
      <c r="R263" s="4">
        <f t="shared" si="141"/>
        <v>107470.47016658039</v>
      </c>
      <c r="S263">
        <f t="shared" si="122"/>
        <v>1.0747047016658039E-4</v>
      </c>
      <c r="T263" s="44">
        <f t="shared" si="123"/>
        <v>1.2839731546873502E-4</v>
      </c>
      <c r="U263" s="45">
        <f t="shared" si="142"/>
        <v>0.19286113223743684</v>
      </c>
      <c r="V263" s="45">
        <f t="shared" si="143"/>
        <v>0.24168870374703752</v>
      </c>
      <c r="W263" s="45">
        <f t="shared" si="144"/>
        <v>0.24116429015413215</v>
      </c>
      <c r="X263" s="45">
        <f t="shared" si="145"/>
        <v>5.2441359290536504E-4</v>
      </c>
      <c r="Y263" s="45">
        <f t="shared" si="119"/>
        <v>5.7898016181061459E-4</v>
      </c>
      <c r="Z263" s="10">
        <f t="shared" si="146"/>
        <v>4.5092855695382301</v>
      </c>
      <c r="AA263">
        <f t="shared" si="124"/>
        <v>1558853.0977601176</v>
      </c>
      <c r="AB263" s="10">
        <f t="shared" si="125"/>
        <v>1.5588530977601176</v>
      </c>
      <c r="AC263" s="10">
        <f t="shared" si="126"/>
        <v>1.4578530977601176</v>
      </c>
      <c r="AD263" s="3">
        <f t="shared" si="127"/>
        <v>211.43627233649278</v>
      </c>
      <c r="AI263" s="100">
        <f t="shared" si="128"/>
        <v>0.24116429015413215</v>
      </c>
    </row>
    <row r="264" spans="2:35">
      <c r="B264" s="39">
        <f t="shared" si="129"/>
        <v>236</v>
      </c>
      <c r="C264" s="45">
        <f t="shared" si="130"/>
        <v>6.9328537170260622</v>
      </c>
      <c r="D264" s="10">
        <f t="shared" si="131"/>
        <v>8.5171462829741369</v>
      </c>
      <c r="E264" s="40">
        <f t="shared" si="132"/>
        <v>31.30570743405173</v>
      </c>
      <c r="F264" s="40">
        <f t="shared" si="133"/>
        <v>48.34</v>
      </c>
      <c r="G264" s="3">
        <f t="shared" si="134"/>
        <v>100.46858513189653</v>
      </c>
      <c r="H264" s="3">
        <f t="shared" si="135"/>
        <v>148.0155219248214</v>
      </c>
      <c r="I264">
        <f t="shared" si="120"/>
        <v>1.4801552192482141E-4</v>
      </c>
      <c r="J264" s="4">
        <f t="shared" si="136"/>
        <v>774.28612865735408</v>
      </c>
      <c r="K264" s="40">
        <f t="shared" si="137"/>
        <v>5.2311144033300909</v>
      </c>
      <c r="L264" s="40">
        <f t="shared" si="121"/>
        <v>0.76888559666990908</v>
      </c>
      <c r="M264" s="10">
        <f t="shared" si="138"/>
        <v>1.5588530977601176</v>
      </c>
      <c r="N264" s="10">
        <f t="shared" si="110"/>
        <v>8.26</v>
      </c>
      <c r="O264" s="10">
        <f t="shared" si="111"/>
        <v>0.31900000000000001</v>
      </c>
      <c r="P264" s="10">
        <f t="shared" si="139"/>
        <v>9.5166676566246426</v>
      </c>
      <c r="Q264" s="45">
        <f t="shared" si="140"/>
        <v>0.85879843490343521</v>
      </c>
      <c r="R264" s="4">
        <f t="shared" si="141"/>
        <v>107054.92308833306</v>
      </c>
      <c r="S264">
        <f t="shared" si="122"/>
        <v>1.0705492308833306E-4</v>
      </c>
      <c r="T264" s="44">
        <f t="shared" si="123"/>
        <v>1.2881286254698236E-4</v>
      </c>
      <c r="U264" s="45">
        <f t="shared" si="142"/>
        <v>0.19211541222816808</v>
      </c>
      <c r="V264" s="45">
        <f t="shared" si="143"/>
        <v>0.2415798268265483</v>
      </c>
      <c r="W264" s="45">
        <f t="shared" si="144"/>
        <v>0.24105742291771037</v>
      </c>
      <c r="X264" s="45">
        <f t="shared" si="145"/>
        <v>5.224039088379262E-4</v>
      </c>
      <c r="Y264" s="45">
        <f t="shared" si="119"/>
        <v>5.8059274284793919E-4</v>
      </c>
      <c r="Z264" s="10">
        <f t="shared" si="146"/>
        <v>4.5072575158104069</v>
      </c>
      <c r="AA264">
        <f t="shared" si="124"/>
        <v>1558197.4275072722</v>
      </c>
      <c r="AB264" s="10">
        <f t="shared" si="125"/>
        <v>1.5581974275072723</v>
      </c>
      <c r="AC264" s="10">
        <f t="shared" si="126"/>
        <v>1.4571974275072723</v>
      </c>
      <c r="AD264" s="3">
        <f t="shared" si="127"/>
        <v>211.34117875377407</v>
      </c>
      <c r="AI264" s="100">
        <f t="shared" si="128"/>
        <v>0.24105742291771037</v>
      </c>
    </row>
    <row r="265" spans="2:35">
      <c r="B265" s="39">
        <f t="shared" si="129"/>
        <v>237</v>
      </c>
      <c r="C265" s="45">
        <f t="shared" si="130"/>
        <v>6.9622302158270202</v>
      </c>
      <c r="D265" s="10">
        <f t="shared" si="131"/>
        <v>8.4877697841731798</v>
      </c>
      <c r="E265" s="40">
        <f t="shared" si="132"/>
        <v>31.364460431653644</v>
      </c>
      <c r="F265" s="40">
        <f t="shared" si="133"/>
        <v>48.34</v>
      </c>
      <c r="G265" s="3">
        <f t="shared" si="134"/>
        <v>100.3510791366927</v>
      </c>
      <c r="H265" s="3">
        <f t="shared" si="135"/>
        <v>148.0155219248214</v>
      </c>
      <c r="I265">
        <f t="shared" si="120"/>
        <v>1.4801552192482141E-4</v>
      </c>
      <c r="J265" s="4">
        <f t="shared" si="136"/>
        <v>777.17801199348742</v>
      </c>
      <c r="K265" s="40">
        <f t="shared" si="137"/>
        <v>5.2506521065285581</v>
      </c>
      <c r="L265" s="40">
        <f t="shared" si="121"/>
        <v>0.74934789347144193</v>
      </c>
      <c r="M265" s="10">
        <f t="shared" si="138"/>
        <v>1.5581974275072723</v>
      </c>
      <c r="N265" s="10">
        <f t="shared" si="110"/>
        <v>8.26</v>
      </c>
      <c r="O265" s="10">
        <f t="shared" si="111"/>
        <v>0.31900000000000001</v>
      </c>
      <c r="P265" s="10">
        <f t="shared" si="139"/>
        <v>9.5153905766784188</v>
      </c>
      <c r="Q265" s="45">
        <f t="shared" si="140"/>
        <v>0.86188569638411028</v>
      </c>
      <c r="R265" s="4">
        <f t="shared" si="141"/>
        <v>106639.51023391166</v>
      </c>
      <c r="S265">
        <f t="shared" si="122"/>
        <v>1.0663951023391166E-4</v>
      </c>
      <c r="T265" s="44">
        <f t="shared" si="123"/>
        <v>1.2922827540140375E-4</v>
      </c>
      <c r="U265" s="45">
        <f t="shared" si="142"/>
        <v>0.19136993309026615</v>
      </c>
      <c r="V265" s="45">
        <f t="shared" si="143"/>
        <v>0.2414693872120369</v>
      </c>
      <c r="W265" s="45">
        <f t="shared" si="144"/>
        <v>0.2409490072058135</v>
      </c>
      <c r="X265" s="45">
        <f t="shared" si="145"/>
        <v>5.2038000622339764E-4</v>
      </c>
      <c r="Y265" s="45">
        <f t="shared" si="119"/>
        <v>5.8219929199646611E-4</v>
      </c>
      <c r="Z265" s="10">
        <f t="shared" si="146"/>
        <v>4.5052005080781408</v>
      </c>
      <c r="AA265">
        <f t="shared" si="124"/>
        <v>1557532.3964178998</v>
      </c>
      <c r="AB265" s="10">
        <f t="shared" si="125"/>
        <v>1.5575323964178998</v>
      </c>
      <c r="AC265" s="10">
        <f t="shared" si="126"/>
        <v>1.4565323964178998</v>
      </c>
      <c r="AD265" s="3">
        <f t="shared" si="127"/>
        <v>211.24472754429294</v>
      </c>
      <c r="AI265" s="100">
        <f t="shared" si="128"/>
        <v>0.2409490072058135</v>
      </c>
    </row>
    <row r="266" spans="2:35">
      <c r="B266" s="39">
        <f t="shared" si="129"/>
        <v>238</v>
      </c>
      <c r="C266" s="45">
        <f t="shared" si="130"/>
        <v>6.9916067146279781</v>
      </c>
      <c r="D266" s="10">
        <f t="shared" si="131"/>
        <v>8.4583932853722228</v>
      </c>
      <c r="E266" s="40">
        <f t="shared" si="132"/>
        <v>31.423213429255558</v>
      </c>
      <c r="F266" s="40">
        <f t="shared" si="133"/>
        <v>48.34</v>
      </c>
      <c r="G266" s="3">
        <f t="shared" si="134"/>
        <v>100.23357314148888</v>
      </c>
      <c r="H266" s="3">
        <f t="shared" si="135"/>
        <v>148.0155219248214</v>
      </c>
      <c r="I266">
        <f t="shared" si="120"/>
        <v>1.4801552192482141E-4</v>
      </c>
      <c r="J266" s="4">
        <f t="shared" si="136"/>
        <v>780.07531758459436</v>
      </c>
      <c r="K266" s="40">
        <f t="shared" si="137"/>
        <v>5.2702264427429615</v>
      </c>
      <c r="L266" s="40">
        <f t="shared" si="121"/>
        <v>0.72977355725703852</v>
      </c>
      <c r="M266" s="10">
        <f t="shared" si="138"/>
        <v>1.5575323964178998</v>
      </c>
      <c r="N266" s="10">
        <f t="shared" si="110"/>
        <v>8.26</v>
      </c>
      <c r="O266" s="10">
        <f t="shared" si="111"/>
        <v>0.31900000000000001</v>
      </c>
      <c r="P266" s="10">
        <f t="shared" si="139"/>
        <v>9.5140948903038449</v>
      </c>
      <c r="Q266" s="45">
        <f t="shared" si="140"/>
        <v>0.86497337830652798</v>
      </c>
      <c r="R266" s="4">
        <f t="shared" si="141"/>
        <v>106224.23351475861</v>
      </c>
      <c r="S266">
        <f t="shared" si="122"/>
        <v>1.0622423351475861E-4</v>
      </c>
      <c r="T266" s="44">
        <f t="shared" si="123"/>
        <v>1.296435521205568E-4</v>
      </c>
      <c r="U266" s="45">
        <f t="shared" si="142"/>
        <v>0.19062469825391007</v>
      </c>
      <c r="V266" s="45">
        <f t="shared" si="143"/>
        <v>0.24135738559901523</v>
      </c>
      <c r="W266" s="45">
        <f t="shared" si="144"/>
        <v>0.24083904367052275</v>
      </c>
      <c r="X266" s="45">
        <f t="shared" si="145"/>
        <v>5.1834192849248284E-4</v>
      </c>
      <c r="Y266" s="45">
        <f t="shared" si="119"/>
        <v>5.8379976699870345E-4</v>
      </c>
      <c r="Z266" s="10">
        <f t="shared" si="146"/>
        <v>4.5031145587234631</v>
      </c>
      <c r="AA266">
        <f t="shared" si="124"/>
        <v>1556858.0084951143</v>
      </c>
      <c r="AB266" s="10">
        <f t="shared" si="125"/>
        <v>1.5568580084951142</v>
      </c>
      <c r="AC266" s="10">
        <f t="shared" si="126"/>
        <v>1.4558580084951143</v>
      </c>
      <c r="AD266" s="3">
        <f t="shared" si="127"/>
        <v>211.14691928863152</v>
      </c>
      <c r="AI266" s="100">
        <f t="shared" si="128"/>
        <v>0.24083904367052275</v>
      </c>
    </row>
    <row r="267" spans="2:35">
      <c r="B267" s="39">
        <f t="shared" si="129"/>
        <v>239</v>
      </c>
      <c r="C267" s="45">
        <f t="shared" si="130"/>
        <v>7.0209832134289361</v>
      </c>
      <c r="D267" s="10">
        <f t="shared" si="131"/>
        <v>8.4290167865712657</v>
      </c>
      <c r="E267" s="40">
        <f t="shared" si="132"/>
        <v>31.481966426857472</v>
      </c>
      <c r="F267" s="40">
        <f t="shared" si="133"/>
        <v>48.34</v>
      </c>
      <c r="G267" s="3">
        <f t="shared" si="134"/>
        <v>100.11606714628505</v>
      </c>
      <c r="H267" s="3">
        <f t="shared" si="135"/>
        <v>148.0155219248214</v>
      </c>
      <c r="I267">
        <f t="shared" si="120"/>
        <v>1.4801552192482141E-4</v>
      </c>
      <c r="J267" s="4">
        <f t="shared" si="136"/>
        <v>782.97804543067514</v>
      </c>
      <c r="K267" s="40">
        <f t="shared" si="137"/>
        <v>5.2898374119733047</v>
      </c>
      <c r="L267" s="40">
        <f t="shared" si="121"/>
        <v>0.7101625880266953</v>
      </c>
      <c r="M267" s="10">
        <f t="shared" si="138"/>
        <v>1.5568580084951142</v>
      </c>
      <c r="N267" s="10">
        <f t="shared" si="110"/>
        <v>8.26</v>
      </c>
      <c r="O267" s="10">
        <f t="shared" si="111"/>
        <v>0.31900000000000001</v>
      </c>
      <c r="P267" s="10">
        <f t="shared" si="139"/>
        <v>9.5127805891275656</v>
      </c>
      <c r="Q267" s="45">
        <f t="shared" si="140"/>
        <v>0.86806148682808193</v>
      </c>
      <c r="R267" s="4">
        <f t="shared" si="141"/>
        <v>105809.09484231632</v>
      </c>
      <c r="S267">
        <f t="shared" si="122"/>
        <v>1.0580909484231632E-4</v>
      </c>
      <c r="T267" s="44">
        <f t="shared" si="123"/>
        <v>1.3005869079299909E-4</v>
      </c>
      <c r="U267" s="45">
        <f t="shared" si="142"/>
        <v>0.18987971114927873</v>
      </c>
      <c r="V267" s="45">
        <f t="shared" si="143"/>
        <v>0.2412438226932693</v>
      </c>
      <c r="W267" s="45">
        <f t="shared" si="144"/>
        <v>0.2407275329737569</v>
      </c>
      <c r="X267" s="45">
        <f t="shared" si="145"/>
        <v>5.1628971951239722E-4</v>
      </c>
      <c r="Y267" s="45">
        <f t="shared" si="119"/>
        <v>5.8539412568112039E-4</v>
      </c>
      <c r="Z267" s="10">
        <f t="shared" si="146"/>
        <v>4.5009996803122627</v>
      </c>
      <c r="AA267">
        <f t="shared" si="124"/>
        <v>1556174.2678014706</v>
      </c>
      <c r="AB267" s="10">
        <f t="shared" si="125"/>
        <v>1.5561742678014705</v>
      </c>
      <c r="AC267" s="10">
        <f t="shared" si="126"/>
        <v>1.4551742678014705</v>
      </c>
      <c r="AD267" s="3">
        <f t="shared" si="127"/>
        <v>211.04775457599283</v>
      </c>
      <c r="AI267" s="100">
        <f t="shared" si="128"/>
        <v>0.2407275329737569</v>
      </c>
    </row>
    <row r="268" spans="2:35">
      <c r="B268" s="39">
        <f t="shared" si="129"/>
        <v>240</v>
      </c>
      <c r="C268" s="45">
        <f t="shared" si="130"/>
        <v>7.050359712229894</v>
      </c>
      <c r="D268" s="10">
        <f t="shared" si="131"/>
        <v>8.3996402877703087</v>
      </c>
      <c r="E268" s="40">
        <f t="shared" si="132"/>
        <v>31.540719424459386</v>
      </c>
      <c r="F268" s="40">
        <f t="shared" si="133"/>
        <v>48.34</v>
      </c>
      <c r="G268" s="3">
        <f t="shared" si="134"/>
        <v>99.998561151081219</v>
      </c>
      <c r="H268" s="3">
        <f t="shared" si="135"/>
        <v>148.0155219248214</v>
      </c>
      <c r="I268">
        <f t="shared" si="120"/>
        <v>1.4801552192482141E-4</v>
      </c>
      <c r="J268" s="4">
        <f t="shared" si="136"/>
        <v>785.88619553173021</v>
      </c>
      <c r="K268" s="40">
        <f t="shared" si="137"/>
        <v>5.3094850142195886</v>
      </c>
      <c r="L268" s="40">
        <f t="shared" si="121"/>
        <v>0.69051498578041137</v>
      </c>
      <c r="M268" s="10">
        <f t="shared" si="138"/>
        <v>1.5561742678014705</v>
      </c>
      <c r="N268" s="10">
        <f t="shared" si="110"/>
        <v>8.26</v>
      </c>
      <c r="O268" s="10">
        <f t="shared" si="111"/>
        <v>0.31900000000000001</v>
      </c>
      <c r="P268" s="10">
        <f t="shared" si="139"/>
        <v>9.5114476646540123</v>
      </c>
      <c r="Q268" s="45">
        <f t="shared" si="140"/>
        <v>0.87115002811398157</v>
      </c>
      <c r="R268" s="4">
        <f t="shared" si="141"/>
        <v>105394.0961280271</v>
      </c>
      <c r="S268">
        <f t="shared" si="122"/>
        <v>1.053940961280271E-4</v>
      </c>
      <c r="T268" s="44">
        <f t="shared" si="123"/>
        <v>1.3047368950728832E-4</v>
      </c>
      <c r="U268" s="45">
        <f t="shared" si="142"/>
        <v>0.18913497520655104</v>
      </c>
      <c r="V268" s="45">
        <f t="shared" si="143"/>
        <v>0.24112869921075683</v>
      </c>
      <c r="W268" s="45">
        <f t="shared" si="144"/>
        <v>0.2406144757872633</v>
      </c>
      <c r="X268" s="45">
        <f t="shared" si="145"/>
        <v>5.1422342349352612E-4</v>
      </c>
      <c r="Y268" s="45">
        <f t="shared" si="119"/>
        <v>5.8698232595475678E-4</v>
      </c>
      <c r="Z268" s="10">
        <f t="shared" si="146"/>
        <v>4.4988558855919196</v>
      </c>
      <c r="AA268">
        <f t="shared" si="124"/>
        <v>1555481.1784581994</v>
      </c>
      <c r="AB268" s="10">
        <f t="shared" si="125"/>
        <v>1.5554811784581994</v>
      </c>
      <c r="AC268" s="10">
        <f t="shared" si="126"/>
        <v>1.4544811784581995</v>
      </c>
      <c r="AD268" s="3">
        <f t="shared" si="127"/>
        <v>210.94723400408984</v>
      </c>
      <c r="AI268" s="100">
        <f t="shared" si="128"/>
        <v>0.2406144757872633</v>
      </c>
    </row>
    <row r="269" spans="2:35">
      <c r="B269" s="39">
        <f t="shared" si="129"/>
        <v>241</v>
      </c>
      <c r="C269" s="45">
        <f t="shared" si="130"/>
        <v>7.0797362110308519</v>
      </c>
      <c r="D269" s="10">
        <f t="shared" si="131"/>
        <v>8.3702637889693516</v>
      </c>
      <c r="E269" s="40">
        <f t="shared" si="132"/>
        <v>31.5994724220613</v>
      </c>
      <c r="F269" s="40">
        <f t="shared" si="133"/>
        <v>48.34</v>
      </c>
      <c r="G269" s="3">
        <f t="shared" si="134"/>
        <v>99.881055155877391</v>
      </c>
      <c r="H269" s="3">
        <f t="shared" si="135"/>
        <v>148.0155219248214</v>
      </c>
      <c r="I269">
        <f t="shared" si="120"/>
        <v>1.4801552192482141E-4</v>
      </c>
      <c r="J269" s="4">
        <f t="shared" si="136"/>
        <v>788.79976788775889</v>
      </c>
      <c r="K269" s="40">
        <f t="shared" si="137"/>
        <v>5.3291692494818106</v>
      </c>
      <c r="L269" s="40">
        <f t="shared" si="121"/>
        <v>0.67083075051818941</v>
      </c>
      <c r="M269" s="10">
        <f t="shared" si="138"/>
        <v>1.5554811784581994</v>
      </c>
      <c r="N269" s="10">
        <f t="shared" si="110"/>
        <v>8.26</v>
      </c>
      <c r="O269" s="10">
        <f t="shared" si="111"/>
        <v>0.31900000000000001</v>
      </c>
      <c r="P269" s="10">
        <f t="shared" si="139"/>
        <v>9.5100961082635536</v>
      </c>
      <c r="Q269" s="45">
        <f t="shared" si="140"/>
        <v>0.87423900833737089</v>
      </c>
      <c r="R269" s="4">
        <f t="shared" si="141"/>
        <v>104979.23928333346</v>
      </c>
      <c r="S269">
        <f t="shared" si="122"/>
        <v>1.0497923928333346E-4</v>
      </c>
      <c r="T269" s="44">
        <f t="shared" si="123"/>
        <v>1.3088854635198195E-4</v>
      </c>
      <c r="U269" s="45">
        <f t="shared" si="142"/>
        <v>0.18839049385590603</v>
      </c>
      <c r="V269" s="45">
        <f t="shared" si="143"/>
        <v>0.24101201587756882</v>
      </c>
      <c r="W269" s="45">
        <f t="shared" si="144"/>
        <v>0.24049987279249149</v>
      </c>
      <c r="X269" s="45">
        <f t="shared" si="145"/>
        <v>5.1214308507732675E-4</v>
      </c>
      <c r="Y269" s="45">
        <f t="shared" si="119"/>
        <v>5.8856432581610627E-4</v>
      </c>
      <c r="Z269" s="10">
        <f t="shared" si="146"/>
        <v>4.4966831874910964</v>
      </c>
      <c r="AA269">
        <f t="shared" si="124"/>
        <v>1554778.7446451401</v>
      </c>
      <c r="AB269" s="10">
        <f t="shared" si="125"/>
        <v>1.5547787446451402</v>
      </c>
      <c r="AC269" s="10">
        <f t="shared" si="126"/>
        <v>1.4537787446451402</v>
      </c>
      <c r="AD269" s="3">
        <f t="shared" si="127"/>
        <v>210.84535817913562</v>
      </c>
      <c r="AI269" s="100">
        <f t="shared" si="128"/>
        <v>0.24049987279249149</v>
      </c>
    </row>
    <row r="270" spans="2:35">
      <c r="B270" s="39">
        <f t="shared" si="129"/>
        <v>242</v>
      </c>
      <c r="C270" s="45">
        <f t="shared" si="130"/>
        <v>7.1091127098318099</v>
      </c>
      <c r="D270" s="10">
        <f t="shared" si="131"/>
        <v>8.3408872901683946</v>
      </c>
      <c r="E270" s="40">
        <f t="shared" si="132"/>
        <v>31.658225419663214</v>
      </c>
      <c r="F270" s="40">
        <f t="shared" si="133"/>
        <v>48.34</v>
      </c>
      <c r="G270" s="3">
        <f t="shared" si="134"/>
        <v>99.763549160673563</v>
      </c>
      <c r="H270" s="3">
        <f t="shared" si="135"/>
        <v>148.0155219248214</v>
      </c>
      <c r="I270">
        <f t="shared" si="120"/>
        <v>1.4801552192482141E-4</v>
      </c>
      <c r="J270" s="4">
        <f t="shared" si="136"/>
        <v>791.71876249876141</v>
      </c>
      <c r="K270" s="40">
        <f t="shared" si="137"/>
        <v>5.3488901177599706</v>
      </c>
      <c r="L270" s="40">
        <f t="shared" si="121"/>
        <v>0.65110988224002941</v>
      </c>
      <c r="M270" s="10">
        <f t="shared" si="138"/>
        <v>1.5547787446451402</v>
      </c>
      <c r="N270" s="10">
        <f t="shared" si="110"/>
        <v>8.26</v>
      </c>
      <c r="O270" s="10">
        <f t="shared" si="111"/>
        <v>0.31900000000000001</v>
      </c>
      <c r="P270" s="10">
        <f t="shared" si="139"/>
        <v>9.5087259112120179</v>
      </c>
      <c r="Q270" s="45">
        <f t="shared" si="140"/>
        <v>0.87732843367944735</v>
      </c>
      <c r="R270" s="4">
        <f t="shared" si="141"/>
        <v>104564.52621967776</v>
      </c>
      <c r="S270">
        <f t="shared" si="122"/>
        <v>1.0456452621967776E-4</v>
      </c>
      <c r="T270" s="44">
        <f t="shared" si="123"/>
        <v>1.3130325941563767E-4</v>
      </c>
      <c r="U270" s="45">
        <f t="shared" si="142"/>
        <v>0.18764627052752272</v>
      </c>
      <c r="V270" s="45">
        <f t="shared" si="143"/>
        <v>0.24089377343007851</v>
      </c>
      <c r="W270" s="45">
        <f t="shared" si="144"/>
        <v>0.24038372468058194</v>
      </c>
      <c r="X270" s="45">
        <f t="shared" si="145"/>
        <v>5.1004874949656109E-4</v>
      </c>
      <c r="Y270" s="45">
        <f t="shared" si="119"/>
        <v>5.9014008334849538E-4</v>
      </c>
      <c r="Z270" s="10">
        <f t="shared" si="146"/>
        <v>4.49448159912329</v>
      </c>
      <c r="AA270">
        <f t="shared" si="124"/>
        <v>1554066.9706018902</v>
      </c>
      <c r="AB270" s="10">
        <f t="shared" si="125"/>
        <v>1.5540669706018901</v>
      </c>
      <c r="AC270" s="10">
        <f t="shared" si="126"/>
        <v>1.4530669706018902</v>
      </c>
      <c r="AD270" s="3">
        <f t="shared" si="127"/>
        <v>210.74212771601017</v>
      </c>
      <c r="AI270" s="100">
        <f t="shared" si="128"/>
        <v>0.24038372468058194</v>
      </c>
    </row>
    <row r="271" spans="2:35">
      <c r="B271" s="39">
        <f t="shared" si="129"/>
        <v>243</v>
      </c>
      <c r="C271" s="45">
        <f t="shared" si="130"/>
        <v>7.1384892086327678</v>
      </c>
      <c r="D271" s="10">
        <f t="shared" si="131"/>
        <v>8.3115107913674375</v>
      </c>
      <c r="E271" s="40">
        <f t="shared" si="132"/>
        <v>31.716978417265128</v>
      </c>
      <c r="F271" s="40">
        <f t="shared" si="133"/>
        <v>48.34</v>
      </c>
      <c r="G271" s="3">
        <f t="shared" si="134"/>
        <v>99.646043165469735</v>
      </c>
      <c r="H271" s="3">
        <f t="shared" si="135"/>
        <v>148.0155219248214</v>
      </c>
      <c r="I271">
        <f t="shared" si="120"/>
        <v>1.4801552192482141E-4</v>
      </c>
      <c r="J271" s="4">
        <f t="shared" si="136"/>
        <v>794.64317936473822</v>
      </c>
      <c r="K271" s="40">
        <f t="shared" si="137"/>
        <v>5.3686476190540722</v>
      </c>
      <c r="L271" s="40">
        <f t="shared" si="121"/>
        <v>0.63135238094592783</v>
      </c>
      <c r="M271" s="10">
        <f t="shared" si="138"/>
        <v>1.5540669706018901</v>
      </c>
      <c r="N271" s="10">
        <f t="shared" si="110"/>
        <v>8.26</v>
      </c>
      <c r="O271" s="10">
        <f t="shared" si="111"/>
        <v>0.31900000000000001</v>
      </c>
      <c r="P271" s="10">
        <f t="shared" si="139"/>
        <v>9.5073370646325692</v>
      </c>
      <c r="Q271" s="45">
        <f t="shared" si="140"/>
        <v>0.88041831032958096</v>
      </c>
      <c r="R271" s="4">
        <f t="shared" si="141"/>
        <v>104149.95884850237</v>
      </c>
      <c r="S271">
        <f t="shared" si="122"/>
        <v>1.0414995884850237E-4</v>
      </c>
      <c r="T271" s="44">
        <f t="shared" si="123"/>
        <v>1.3171782678681306E-4</v>
      </c>
      <c r="U271" s="45">
        <f t="shared" si="142"/>
        <v>0.18690230865157992</v>
      </c>
      <c r="V271" s="45">
        <f t="shared" si="143"/>
        <v>0.24077397261493824</v>
      </c>
      <c r="W271" s="45">
        <f t="shared" si="144"/>
        <v>0.24026603215255618</v>
      </c>
      <c r="X271" s="45">
        <f t="shared" si="145"/>
        <v>5.0794046238206159E-4</v>
      </c>
      <c r="Y271" s="45">
        <f t="shared" si="119"/>
        <v>5.9170955672286773E-4</v>
      </c>
      <c r="Z271" s="10">
        <f t="shared" si="146"/>
        <v>4.4922511337858388</v>
      </c>
      <c r="AA271">
        <f t="shared" si="124"/>
        <v>1553345.8606274819</v>
      </c>
      <c r="AB271" s="10">
        <f t="shared" si="125"/>
        <v>1.5533458606274819</v>
      </c>
      <c r="AC271" s="10">
        <f t="shared" si="126"/>
        <v>1.4523458606274819</v>
      </c>
      <c r="AD271" s="3">
        <f t="shared" si="127"/>
        <v>210.63754323821348</v>
      </c>
      <c r="AI271" s="100">
        <f t="shared" si="128"/>
        <v>0.24026603215255618</v>
      </c>
    </row>
    <row r="272" spans="2:35">
      <c r="B272" s="39">
        <f t="shared" si="129"/>
        <v>244</v>
      </c>
      <c r="C272" s="45">
        <f t="shared" si="130"/>
        <v>7.1678657074337258</v>
      </c>
      <c r="D272" s="10">
        <f t="shared" si="131"/>
        <v>8.2821342925664805</v>
      </c>
      <c r="E272" s="40">
        <f t="shared" si="132"/>
        <v>31.775731414867042</v>
      </c>
      <c r="F272" s="40">
        <f t="shared" si="133"/>
        <v>48.34</v>
      </c>
      <c r="G272" s="3">
        <f t="shared" si="134"/>
        <v>99.528537170265906</v>
      </c>
      <c r="H272" s="3">
        <f t="shared" si="135"/>
        <v>148.0155219248214</v>
      </c>
      <c r="I272">
        <f t="shared" si="120"/>
        <v>1.4801552192482141E-4</v>
      </c>
      <c r="J272" s="4">
        <f t="shared" si="136"/>
        <v>797.57301848568841</v>
      </c>
      <c r="K272" s="40">
        <f t="shared" si="137"/>
        <v>5.3884417533641091</v>
      </c>
      <c r="L272" s="40">
        <f t="shared" si="121"/>
        <v>0.61155824663589087</v>
      </c>
      <c r="M272" s="10">
        <f t="shared" si="138"/>
        <v>1.5533458606274819</v>
      </c>
      <c r="N272" s="10">
        <f t="shared" si="110"/>
        <v>8.26</v>
      </c>
      <c r="O272" s="10">
        <f t="shared" si="111"/>
        <v>0.31900000000000001</v>
      </c>
      <c r="P272" s="10">
        <f t="shared" si="139"/>
        <v>9.5059295595347049</v>
      </c>
      <c r="Q272" s="45">
        <f t="shared" si="140"/>
        <v>0.88350864448543343</v>
      </c>
      <c r="R272" s="4">
        <f t="shared" si="141"/>
        <v>103735.53908124975</v>
      </c>
      <c r="S272">
        <f t="shared" si="122"/>
        <v>1.0373553908124975E-4</v>
      </c>
      <c r="T272" s="44">
        <f t="shared" si="123"/>
        <v>1.3213224655406566E-4</v>
      </c>
      <c r="U272" s="45">
        <f t="shared" si="142"/>
        <v>0.18615861165825673</v>
      </c>
      <c r="V272" s="45">
        <f t="shared" si="143"/>
        <v>0.24065261418891462</v>
      </c>
      <c r="W272" s="45">
        <f t="shared" si="144"/>
        <v>0.24014679591926347</v>
      </c>
      <c r="X272" s="45">
        <f t="shared" si="145"/>
        <v>5.0581826965115373E-4</v>
      </c>
      <c r="Y272" s="45">
        <f t="shared" si="119"/>
        <v>5.9327270419822485E-4</v>
      </c>
      <c r="Z272" s="10">
        <f t="shared" si="146"/>
        <v>4.4899918049563361</v>
      </c>
      <c r="AA272">
        <f t="shared" si="124"/>
        <v>1552615.4190792241</v>
      </c>
      <c r="AB272" s="10">
        <f t="shared" si="125"/>
        <v>1.5526154190792241</v>
      </c>
      <c r="AC272" s="10">
        <f t="shared" si="126"/>
        <v>1.4516154190792241</v>
      </c>
      <c r="AD272" s="3">
        <f t="shared" si="127"/>
        <v>210.53160537769747</v>
      </c>
      <c r="AI272" s="100">
        <f t="shared" si="128"/>
        <v>0.24014679591926347</v>
      </c>
    </row>
    <row r="273" spans="2:35">
      <c r="B273" s="39">
        <f t="shared" si="129"/>
        <v>245</v>
      </c>
      <c r="C273" s="45">
        <f t="shared" si="130"/>
        <v>7.1972422062346837</v>
      </c>
      <c r="D273" s="10">
        <f t="shared" si="131"/>
        <v>8.2527577937655234</v>
      </c>
      <c r="E273" s="40">
        <f t="shared" si="132"/>
        <v>31.834484412468957</v>
      </c>
      <c r="F273" s="40">
        <f t="shared" si="133"/>
        <v>48.34</v>
      </c>
      <c r="G273" s="3">
        <f t="shared" si="134"/>
        <v>99.411031175062078</v>
      </c>
      <c r="H273" s="3">
        <f t="shared" si="135"/>
        <v>148.0155219248214</v>
      </c>
      <c r="I273">
        <f t="shared" si="120"/>
        <v>1.4801552192482141E-4</v>
      </c>
      <c r="J273" s="4">
        <f t="shared" si="136"/>
        <v>800.50827986161312</v>
      </c>
      <c r="K273" s="40">
        <f t="shared" si="137"/>
        <v>5.4082725206900903</v>
      </c>
      <c r="L273" s="40">
        <f t="shared" si="121"/>
        <v>0.59172747930990965</v>
      </c>
      <c r="M273" s="10">
        <f t="shared" si="138"/>
        <v>1.5526154190792241</v>
      </c>
      <c r="N273" s="10">
        <f t="shared" si="110"/>
        <v>8.26</v>
      </c>
      <c r="O273" s="10">
        <f t="shared" si="111"/>
        <v>0.31900000000000001</v>
      </c>
      <c r="P273" s="10">
        <f t="shared" si="139"/>
        <v>9.5045033868016375</v>
      </c>
      <c r="Q273" s="45">
        <f t="shared" si="140"/>
        <v>0.88659944235307908</v>
      </c>
      <c r="R273" s="4">
        <f t="shared" si="141"/>
        <v>103321.26882936222</v>
      </c>
      <c r="S273">
        <f t="shared" si="122"/>
        <v>1.0332126882936222E-4</v>
      </c>
      <c r="T273" s="44">
        <f t="shared" si="123"/>
        <v>1.3254651680595319E-4</v>
      </c>
      <c r="U273" s="45">
        <f t="shared" si="142"/>
        <v>0.18541518297773196</v>
      </c>
      <c r="V273" s="45">
        <f t="shared" si="143"/>
        <v>0.24052969891915174</v>
      </c>
      <c r="W273" s="45">
        <f t="shared" si="144"/>
        <v>0.24002601670118887</v>
      </c>
      <c r="X273" s="45">
        <f t="shared" si="145"/>
        <v>5.0368221796287527E-4</v>
      </c>
      <c r="Y273" s="45">
        <f t="shared" si="119"/>
        <v>5.9482948412347553E-4</v>
      </c>
      <c r="Z273" s="10">
        <f t="shared" si="146"/>
        <v>4.4877036262997398</v>
      </c>
      <c r="AA273">
        <f t="shared" si="124"/>
        <v>1551875.6503750014</v>
      </c>
      <c r="AB273" s="10">
        <f t="shared" si="125"/>
        <v>1.5518756503750013</v>
      </c>
      <c r="AC273" s="10">
        <f t="shared" si="126"/>
        <v>1.4508756503750013</v>
      </c>
      <c r="AD273" s="3">
        <f t="shared" si="127"/>
        <v>210.4243147751996</v>
      </c>
      <c r="AI273" s="100">
        <f t="shared" si="128"/>
        <v>0.24002601670118887</v>
      </c>
    </row>
    <row r="274" spans="2:35">
      <c r="B274" s="39">
        <f t="shared" si="129"/>
        <v>246</v>
      </c>
      <c r="C274" s="45">
        <f t="shared" si="130"/>
        <v>7.2266187050356416</v>
      </c>
      <c r="D274" s="10">
        <f t="shared" si="131"/>
        <v>8.2233812949645664</v>
      </c>
      <c r="E274" s="40">
        <f t="shared" si="132"/>
        <v>31.893237410070871</v>
      </c>
      <c r="F274" s="40">
        <f t="shared" si="133"/>
        <v>48.34</v>
      </c>
      <c r="G274" s="3">
        <f t="shared" si="134"/>
        <v>99.29352517985825</v>
      </c>
      <c r="H274" s="3">
        <f t="shared" si="135"/>
        <v>148.0155219248214</v>
      </c>
      <c r="I274">
        <f t="shared" si="120"/>
        <v>1.4801552192482141E-4</v>
      </c>
      <c r="J274" s="4">
        <f t="shared" si="136"/>
        <v>803.44896349251144</v>
      </c>
      <c r="K274" s="40">
        <f t="shared" si="137"/>
        <v>5.4281399210320078</v>
      </c>
      <c r="L274" s="40">
        <f t="shared" si="121"/>
        <v>0.57186007896799218</v>
      </c>
      <c r="M274" s="10">
        <f t="shared" si="138"/>
        <v>1.5518756503750013</v>
      </c>
      <c r="N274" s="10">
        <f t="shared" si="110"/>
        <v>8.26</v>
      </c>
      <c r="O274" s="10">
        <f t="shared" si="111"/>
        <v>0.31900000000000001</v>
      </c>
      <c r="P274" s="10">
        <f t="shared" si="139"/>
        <v>9.5030585371943967</v>
      </c>
      <c r="Q274" s="45">
        <f t="shared" si="140"/>
        <v>0.88969071014712453</v>
      </c>
      <c r="R274" s="4">
        <f t="shared" si="141"/>
        <v>102907.15000428226</v>
      </c>
      <c r="S274">
        <f t="shared" si="122"/>
        <v>1.0290715000428225E-4</v>
      </c>
      <c r="T274" s="44">
        <f t="shared" si="123"/>
        <v>1.3296063563103316E-4</v>
      </c>
      <c r="U274" s="45">
        <f t="shared" si="142"/>
        <v>0.18467202604018471</v>
      </c>
      <c r="V274" s="45">
        <f t="shared" si="143"/>
        <v>0.2404052275829231</v>
      </c>
      <c r="W274" s="45">
        <f t="shared" si="144"/>
        <v>0.23990369522883398</v>
      </c>
      <c r="X274" s="45">
        <f t="shared" si="145"/>
        <v>5.0153235408911812E-4</v>
      </c>
      <c r="Y274" s="45">
        <f t="shared" si="119"/>
        <v>5.96379854937343E-4</v>
      </c>
      <c r="Z274" s="10">
        <f t="shared" si="146"/>
        <v>4.4853866116607772</v>
      </c>
      <c r="AA274">
        <f t="shared" si="124"/>
        <v>1551126.5589908173</v>
      </c>
      <c r="AB274" s="10">
        <f t="shared" si="125"/>
        <v>1.5511265589908172</v>
      </c>
      <c r="AC274" s="10">
        <f t="shared" si="126"/>
        <v>1.4501265589908172</v>
      </c>
      <c r="AD274" s="3">
        <f t="shared" si="127"/>
        <v>210.31567207988647</v>
      </c>
      <c r="AI274" s="100">
        <f t="shared" si="128"/>
        <v>0.23990369522883398</v>
      </c>
    </row>
    <row r="275" spans="2:35">
      <c r="B275" s="39">
        <f t="shared" si="129"/>
        <v>247</v>
      </c>
      <c r="C275" s="45">
        <f t="shared" si="130"/>
        <v>7.2559952038365996</v>
      </c>
      <c r="D275" s="10">
        <f t="shared" si="131"/>
        <v>8.1940047961636093</v>
      </c>
      <c r="E275" s="40">
        <f t="shared" si="132"/>
        <v>31.951990407672785</v>
      </c>
      <c r="F275" s="40">
        <f t="shared" si="133"/>
        <v>48.34</v>
      </c>
      <c r="G275" s="3">
        <f t="shared" si="134"/>
        <v>99.176019184654422</v>
      </c>
      <c r="H275" s="3">
        <f t="shared" si="135"/>
        <v>148.0155219248214</v>
      </c>
      <c r="I275">
        <f t="shared" si="120"/>
        <v>1.4801552192482141E-4</v>
      </c>
      <c r="J275" s="4">
        <f t="shared" si="136"/>
        <v>806.3950693783836</v>
      </c>
      <c r="K275" s="40">
        <f t="shared" si="137"/>
        <v>5.4480439543898642</v>
      </c>
      <c r="L275" s="40">
        <f t="shared" si="121"/>
        <v>0.55195604561013578</v>
      </c>
      <c r="M275" s="10">
        <f t="shared" si="138"/>
        <v>1.5511265589908172</v>
      </c>
      <c r="N275" s="10">
        <f t="shared" si="110"/>
        <v>8.26</v>
      </c>
      <c r="O275" s="10">
        <f t="shared" si="111"/>
        <v>0.31900000000000001</v>
      </c>
      <c r="P275" s="10">
        <f t="shared" si="139"/>
        <v>9.5015950013466455</v>
      </c>
      <c r="Q275" s="45">
        <f t="shared" si="140"/>
        <v>0.89278245409083024</v>
      </c>
      <c r="R275" s="4">
        <f t="shared" si="141"/>
        <v>102493.18451745225</v>
      </c>
      <c r="S275">
        <f t="shared" si="122"/>
        <v>1.0249318451745224E-4</v>
      </c>
      <c r="T275" s="44">
        <f t="shared" si="123"/>
        <v>1.3337460111786318E-4</v>
      </c>
      <c r="U275" s="45">
        <f t="shared" si="142"/>
        <v>0.18392914427579393</v>
      </c>
      <c r="V275" s="45">
        <f t="shared" si="143"/>
        <v>0.24027920096784272</v>
      </c>
      <c r="W275" s="45">
        <f t="shared" si="144"/>
        <v>0.23977983224231036</v>
      </c>
      <c r="X275" s="45">
        <f t="shared" si="145"/>
        <v>4.9936872553235645E-4</v>
      </c>
      <c r="Y275" s="45">
        <f t="shared" si="119"/>
        <v>5.9792377517018367E-4</v>
      </c>
      <c r="Z275" s="10">
        <f t="shared" si="146"/>
        <v>4.4830407750707968</v>
      </c>
      <c r="AA275">
        <f t="shared" si="124"/>
        <v>1550368.14946301</v>
      </c>
      <c r="AB275" s="10">
        <f t="shared" si="125"/>
        <v>1.5503681494630099</v>
      </c>
      <c r="AC275" s="10">
        <f t="shared" si="126"/>
        <v>1.44936814946301</v>
      </c>
      <c r="AD275" s="3">
        <f t="shared" si="127"/>
        <v>210.20567794967513</v>
      </c>
      <c r="AI275" s="100">
        <f t="shared" si="128"/>
        <v>0.23977983224231036</v>
      </c>
    </row>
    <row r="276" spans="2:35">
      <c r="B276" s="39">
        <f t="shared" si="129"/>
        <v>248</v>
      </c>
      <c r="C276" s="45">
        <f t="shared" si="130"/>
        <v>7.2853717026375575</v>
      </c>
      <c r="D276" s="10">
        <f t="shared" si="131"/>
        <v>8.1646282973626505</v>
      </c>
      <c r="E276" s="40">
        <f t="shared" si="132"/>
        <v>32.010743405274702</v>
      </c>
      <c r="F276" s="40">
        <f t="shared" si="133"/>
        <v>48.34</v>
      </c>
      <c r="G276" s="3">
        <f t="shared" si="134"/>
        <v>99.058513189450593</v>
      </c>
      <c r="H276" s="3">
        <f t="shared" si="135"/>
        <v>148.0155219248214</v>
      </c>
      <c r="I276">
        <f t="shared" si="120"/>
        <v>1.4801552192482141E-4</v>
      </c>
      <c r="J276" s="4">
        <f t="shared" si="136"/>
        <v>809.34659751922982</v>
      </c>
      <c r="K276" s="40">
        <f t="shared" si="137"/>
        <v>5.4679846207636604</v>
      </c>
      <c r="L276" s="40">
        <f t="shared" si="121"/>
        <v>0.53201537923633957</v>
      </c>
      <c r="M276" s="10">
        <f t="shared" si="138"/>
        <v>1.5503681494630099</v>
      </c>
      <c r="N276" s="10">
        <f t="shared" si="110"/>
        <v>8.26</v>
      </c>
      <c r="O276" s="10">
        <f t="shared" si="111"/>
        <v>0.31900000000000001</v>
      </c>
      <c r="P276" s="10">
        <f t="shared" si="139"/>
        <v>9.500112769768629</v>
      </c>
      <c r="Q276" s="45">
        <f t="shared" si="140"/>
        <v>0.89587468041623131</v>
      </c>
      <c r="R276" s="4">
        <f t="shared" si="141"/>
        <v>102079.37428031454</v>
      </c>
      <c r="S276">
        <f t="shared" si="122"/>
        <v>1.0207937428031454E-4</v>
      </c>
      <c r="T276" s="44">
        <f t="shared" si="123"/>
        <v>1.3378841135500087E-4</v>
      </c>
      <c r="U276" s="45">
        <f t="shared" si="142"/>
        <v>0.18318654111473845</v>
      </c>
      <c r="V276" s="45">
        <f t="shared" si="143"/>
        <v>0.24015161987186209</v>
      </c>
      <c r="W276" s="45">
        <f t="shared" si="144"/>
        <v>0.23965442849170593</v>
      </c>
      <c r="X276" s="45">
        <f t="shared" si="145"/>
        <v>4.9719138015616449E-4</v>
      </c>
      <c r="Y276" s="45">
        <f t="shared" si="119"/>
        <v>5.99461203444665E-4</v>
      </c>
      <c r="Z276" s="10">
        <f t="shared" si="146"/>
        <v>4.480666130745993</v>
      </c>
      <c r="AA276">
        <f t="shared" si="124"/>
        <v>1549600.4263876784</v>
      </c>
      <c r="AB276" s="10">
        <f t="shared" si="125"/>
        <v>1.5496004263876784</v>
      </c>
      <c r="AC276" s="10">
        <f t="shared" si="126"/>
        <v>1.4486004263876784</v>
      </c>
      <c r="AD276" s="3">
        <f t="shared" si="127"/>
        <v>210.09433305114987</v>
      </c>
      <c r="AI276" s="100">
        <f t="shared" si="128"/>
        <v>0.23965442849170593</v>
      </c>
    </row>
    <row r="277" spans="2:35">
      <c r="B277" s="39">
        <f t="shared" si="129"/>
        <v>249</v>
      </c>
      <c r="C277" s="45">
        <f t="shared" si="130"/>
        <v>7.3147482014385155</v>
      </c>
      <c r="D277" s="10">
        <f t="shared" si="131"/>
        <v>8.1352517985616934</v>
      </c>
      <c r="E277" s="40">
        <f t="shared" si="132"/>
        <v>32.069496402876617</v>
      </c>
      <c r="F277" s="40">
        <f t="shared" si="133"/>
        <v>48.34</v>
      </c>
      <c r="G277" s="3">
        <f t="shared" si="134"/>
        <v>98.941007194246765</v>
      </c>
      <c r="H277" s="3">
        <f t="shared" si="135"/>
        <v>148.0155219248214</v>
      </c>
      <c r="I277">
        <f t="shared" si="120"/>
        <v>1.4801552192482141E-4</v>
      </c>
      <c r="J277" s="4">
        <f t="shared" si="136"/>
        <v>812.30354791504988</v>
      </c>
      <c r="K277" s="40">
        <f t="shared" si="137"/>
        <v>5.4879619201533956</v>
      </c>
      <c r="L277" s="40">
        <f t="shared" si="121"/>
        <v>0.51203807984660443</v>
      </c>
      <c r="M277" s="10">
        <f t="shared" si="138"/>
        <v>1.5496004263876784</v>
      </c>
      <c r="N277" s="10">
        <f t="shared" si="110"/>
        <v>8.26</v>
      </c>
      <c r="O277" s="10">
        <f t="shared" si="111"/>
        <v>0.31900000000000001</v>
      </c>
      <c r="P277" s="10">
        <f t="shared" si="139"/>
        <v>9.4986118328456595</v>
      </c>
      <c r="Q277" s="45">
        <f t="shared" si="140"/>
        <v>0.8989673953642594</v>
      </c>
      <c r="R277" s="4">
        <f t="shared" si="141"/>
        <v>101665.7212043116</v>
      </c>
      <c r="S277">
        <f t="shared" si="122"/>
        <v>1.016657212043116E-4</v>
      </c>
      <c r="T277" s="44">
        <f t="shared" si="123"/>
        <v>1.3420206443100381E-4</v>
      </c>
      <c r="U277" s="45">
        <f t="shared" si="142"/>
        <v>0.18244421998719737</v>
      </c>
      <c r="V277" s="45">
        <f t="shared" si="143"/>
        <v>0.24002248510305813</v>
      </c>
      <c r="W277" s="45">
        <f t="shared" si="144"/>
        <v>0.23952748473699001</v>
      </c>
      <c r="X277" s="45">
        <f t="shared" si="145"/>
        <v>4.950003660681157E-4</v>
      </c>
      <c r="Y277" s="45">
        <f t="shared" si="119"/>
        <v>6.0099209847608325E-4</v>
      </c>
      <c r="Z277" s="10">
        <f t="shared" si="146"/>
        <v>4.4782626930829839</v>
      </c>
      <c r="AA277">
        <f t="shared" si="124"/>
        <v>1548823.3944192529</v>
      </c>
      <c r="AB277" s="10">
        <f t="shared" si="125"/>
        <v>1.5488233944192529</v>
      </c>
      <c r="AC277" s="10">
        <f t="shared" si="126"/>
        <v>1.4478233944192529</v>
      </c>
      <c r="AD277" s="3">
        <f t="shared" si="127"/>
        <v>209.98163805935502</v>
      </c>
      <c r="AI277" s="100">
        <f t="shared" si="128"/>
        <v>0.23952748473699001</v>
      </c>
    </row>
    <row r="278" spans="2:35">
      <c r="B278" s="39">
        <f t="shared" si="129"/>
        <v>250</v>
      </c>
      <c r="C278" s="45">
        <f t="shared" si="130"/>
        <v>7.3441247002394734</v>
      </c>
      <c r="D278" s="10">
        <f t="shared" si="131"/>
        <v>8.1058752997607364</v>
      </c>
      <c r="E278" s="40">
        <f t="shared" si="132"/>
        <v>32.128249400478531</v>
      </c>
      <c r="F278" s="40">
        <f t="shared" si="133"/>
        <v>48.34</v>
      </c>
      <c r="G278" s="3">
        <f t="shared" si="134"/>
        <v>98.823501199042937</v>
      </c>
      <c r="H278" s="3">
        <f t="shared" si="135"/>
        <v>148.0155219248214</v>
      </c>
      <c r="I278">
        <f t="shared" si="120"/>
        <v>1.4801552192482141E-4</v>
      </c>
      <c r="J278" s="4">
        <f t="shared" si="136"/>
        <v>815.265920565844</v>
      </c>
      <c r="K278" s="40">
        <f t="shared" si="137"/>
        <v>5.5079758525590705</v>
      </c>
      <c r="L278" s="40">
        <f t="shared" si="121"/>
        <v>0.49202414744092948</v>
      </c>
      <c r="M278" s="10">
        <f t="shared" si="138"/>
        <v>1.5488233944192529</v>
      </c>
      <c r="N278" s="10">
        <f t="shared" si="110"/>
        <v>8.26</v>
      </c>
      <c r="O278" s="10">
        <f t="shared" si="111"/>
        <v>0.31900000000000001</v>
      </c>
      <c r="P278" s="10">
        <f t="shared" si="139"/>
        <v>9.4970921808349171</v>
      </c>
      <c r="Q278" s="45">
        <f t="shared" si="140"/>
        <v>0.90206060518486531</v>
      </c>
      <c r="R278" s="4">
        <f t="shared" si="141"/>
        <v>101252.22720088578</v>
      </c>
      <c r="S278">
        <f t="shared" si="122"/>
        <v>1.0125222720088579E-4</v>
      </c>
      <c r="T278" s="44">
        <f t="shared" si="123"/>
        <v>1.3461555843442962E-4</v>
      </c>
      <c r="U278" s="45">
        <f t="shared" si="142"/>
        <v>0.18170218432334956</v>
      </c>
      <c r="V278" s="45">
        <f t="shared" si="143"/>
        <v>0.2398917974799592</v>
      </c>
      <c r="W278" s="45">
        <f t="shared" si="144"/>
        <v>0.23939900174777723</v>
      </c>
      <c r="X278" s="45">
        <f t="shared" si="145"/>
        <v>4.9279573218197203E-4</v>
      </c>
      <c r="Y278" s="45">
        <f t="shared" si="119"/>
        <v>6.025164190744212E-4</v>
      </c>
      <c r="Z278" s="10">
        <f t="shared" si="146"/>
        <v>4.4758304766673991</v>
      </c>
      <c r="AA278">
        <f t="shared" si="124"/>
        <v>1548037.058273271</v>
      </c>
      <c r="AB278" s="10">
        <f t="shared" si="125"/>
        <v>1.548037058273271</v>
      </c>
      <c r="AC278" s="10">
        <f t="shared" si="126"/>
        <v>1.447037058273271</v>
      </c>
      <c r="AD278" s="3">
        <f t="shared" si="127"/>
        <v>209.86759365819739</v>
      </c>
      <c r="AI278" s="100">
        <f t="shared" si="128"/>
        <v>0.23939900174777723</v>
      </c>
    </row>
    <row r="279" spans="2:35">
      <c r="B279" s="39">
        <f t="shared" si="129"/>
        <v>251</v>
      </c>
      <c r="C279" s="45">
        <f t="shared" si="130"/>
        <v>7.3735011990404313</v>
      </c>
      <c r="D279" s="10">
        <f t="shared" si="131"/>
        <v>8.0764988009597793</v>
      </c>
      <c r="E279" s="40">
        <f t="shared" si="132"/>
        <v>32.187002398080445</v>
      </c>
      <c r="F279" s="40">
        <f t="shared" si="133"/>
        <v>48.34</v>
      </c>
      <c r="G279" s="3">
        <f t="shared" si="134"/>
        <v>98.705995203839109</v>
      </c>
      <c r="H279" s="3">
        <f t="shared" si="135"/>
        <v>148.0155219248214</v>
      </c>
      <c r="I279">
        <f t="shared" si="120"/>
        <v>1.4801552192482141E-4</v>
      </c>
      <c r="J279" s="4">
        <f t="shared" si="136"/>
        <v>818.23371547161184</v>
      </c>
      <c r="K279" s="40">
        <f t="shared" si="137"/>
        <v>5.5280264179806844</v>
      </c>
      <c r="L279" s="40">
        <f t="shared" si="121"/>
        <v>0.47197358201931561</v>
      </c>
      <c r="M279" s="10">
        <f t="shared" si="138"/>
        <v>1.548037058273271</v>
      </c>
      <c r="N279" s="10">
        <f t="shared" si="110"/>
        <v>8.26</v>
      </c>
      <c r="O279" s="10">
        <f t="shared" si="111"/>
        <v>0.31900000000000001</v>
      </c>
      <c r="P279" s="10">
        <f t="shared" si="139"/>
        <v>9.4955538038704752</v>
      </c>
      <c r="Q279" s="45">
        <f t="shared" si="140"/>
        <v>0.90515431613714104</v>
      </c>
      <c r="R279" s="4">
        <f t="shared" si="141"/>
        <v>100838.89418147954</v>
      </c>
      <c r="S279">
        <f t="shared" si="122"/>
        <v>1.0083889418147954E-4</v>
      </c>
      <c r="T279" s="44">
        <f t="shared" si="123"/>
        <v>1.3502889145383586E-4</v>
      </c>
      <c r="U279" s="45">
        <f t="shared" si="142"/>
        <v>0.1809604375533741</v>
      </c>
      <c r="V279" s="45">
        <f t="shared" si="143"/>
        <v>0.2397595578312938</v>
      </c>
      <c r="W279" s="45">
        <f t="shared" si="144"/>
        <v>0.23926898030378627</v>
      </c>
      <c r="X279" s="45">
        <f t="shared" si="145"/>
        <v>4.905775275075297E-4</v>
      </c>
      <c r="Y279" s="45">
        <f t="shared" si="119"/>
        <v>6.0403412414421155E-4</v>
      </c>
      <c r="Z279" s="10">
        <f t="shared" si="146"/>
        <v>4.4733694962660699</v>
      </c>
      <c r="AA279">
        <f t="shared" si="124"/>
        <v>1547241.4227238523</v>
      </c>
      <c r="AB279" s="10">
        <f t="shared" si="125"/>
        <v>1.5472414227238522</v>
      </c>
      <c r="AC279" s="10">
        <f t="shared" si="126"/>
        <v>1.4462414227238523</v>
      </c>
      <c r="AD279" s="3">
        <f t="shared" si="127"/>
        <v>209.75220054008011</v>
      </c>
      <c r="AI279" s="100">
        <f t="shared" si="128"/>
        <v>0.23926898030378627</v>
      </c>
    </row>
    <row r="280" spans="2:35">
      <c r="B280" s="39">
        <f t="shared" si="129"/>
        <v>252</v>
      </c>
      <c r="C280" s="45">
        <f t="shared" si="130"/>
        <v>7.4028776978413893</v>
      </c>
      <c r="D280" s="10">
        <f t="shared" si="131"/>
        <v>8.0471223021588223</v>
      </c>
      <c r="E280" s="40">
        <f t="shared" si="132"/>
        <v>32.245755395682359</v>
      </c>
      <c r="F280" s="40">
        <f t="shared" si="133"/>
        <v>48.34</v>
      </c>
      <c r="G280" s="3">
        <f t="shared" si="134"/>
        <v>98.588489208635281</v>
      </c>
      <c r="H280" s="3">
        <f t="shared" si="135"/>
        <v>148.0155219248214</v>
      </c>
      <c r="I280">
        <f t="shared" si="120"/>
        <v>1.4801552192482141E-4</v>
      </c>
      <c r="J280" s="4">
        <f t="shared" si="136"/>
        <v>821.20693263235364</v>
      </c>
      <c r="K280" s="40">
        <f t="shared" si="137"/>
        <v>5.5481136164182363</v>
      </c>
      <c r="L280" s="40">
        <f t="shared" si="121"/>
        <v>0.4518863835817637</v>
      </c>
      <c r="M280" s="10">
        <f t="shared" si="138"/>
        <v>1.5472414227238522</v>
      </c>
      <c r="N280" s="10">
        <f t="shared" si="110"/>
        <v>8.26</v>
      </c>
      <c r="O280" s="10">
        <f t="shared" si="111"/>
        <v>0.31900000000000001</v>
      </c>
      <c r="P280" s="10">
        <f t="shared" si="139"/>
        <v>9.4939966919579515</v>
      </c>
      <c r="Q280" s="45">
        <f t="shared" si="140"/>
        <v>0.90824853448944376</v>
      </c>
      <c r="R280" s="4">
        <f t="shared" si="141"/>
        <v>100425.72405753522</v>
      </c>
      <c r="S280">
        <f t="shared" si="122"/>
        <v>1.0042572405753522E-4</v>
      </c>
      <c r="T280" s="44">
        <f t="shared" si="123"/>
        <v>1.354420615777802E-4</v>
      </c>
      <c r="U280" s="45">
        <f t="shared" si="142"/>
        <v>0.1802189831074498</v>
      </c>
      <c r="V280" s="45">
        <f t="shared" si="143"/>
        <v>0.23962576699621341</v>
      </c>
      <c r="W280" s="45">
        <f t="shared" si="144"/>
        <v>0.23913742119442249</v>
      </c>
      <c r="X280" s="45">
        <f t="shared" si="145"/>
        <v>4.8834580179091258E-4</v>
      </c>
      <c r="Y280" s="45">
        <f t="shared" si="119"/>
        <v>6.0554517268638296E-4</v>
      </c>
      <c r="Z280" s="10">
        <f t="shared" si="146"/>
        <v>4.4708797668340061</v>
      </c>
      <c r="AA280">
        <f t="shared" si="124"/>
        <v>1546436.4926059553</v>
      </c>
      <c r="AB280" s="10">
        <f t="shared" si="125"/>
        <v>1.5464364926059553</v>
      </c>
      <c r="AC280" s="10">
        <f t="shared" si="126"/>
        <v>1.4454364926059553</v>
      </c>
      <c r="AD280" s="3">
        <f t="shared" si="127"/>
        <v>209.63545940622993</v>
      </c>
      <c r="AI280" s="100">
        <f t="shared" si="128"/>
        <v>0.23913742119442249</v>
      </c>
    </row>
    <row r="281" spans="2:35">
      <c r="B281" s="39">
        <f t="shared" si="129"/>
        <v>253</v>
      </c>
      <c r="C281" s="45">
        <f t="shared" si="130"/>
        <v>7.4322541966423472</v>
      </c>
      <c r="D281" s="10">
        <f t="shared" si="131"/>
        <v>8.0177458033578652</v>
      </c>
      <c r="E281" s="40">
        <f t="shared" si="132"/>
        <v>32.304508393284273</v>
      </c>
      <c r="F281" s="40">
        <f t="shared" si="133"/>
        <v>48.34</v>
      </c>
      <c r="G281" s="3">
        <f t="shared" si="134"/>
        <v>98.470983213431452</v>
      </c>
      <c r="H281" s="3">
        <f t="shared" si="135"/>
        <v>148.0155219248214</v>
      </c>
      <c r="I281">
        <f t="shared" si="120"/>
        <v>1.4801552192482141E-4</v>
      </c>
      <c r="J281" s="4">
        <f t="shared" si="136"/>
        <v>824.18557204806928</v>
      </c>
      <c r="K281" s="40">
        <f t="shared" si="137"/>
        <v>5.568237447871728</v>
      </c>
      <c r="L281" s="40">
        <f t="shared" si="121"/>
        <v>0.43176255212827197</v>
      </c>
      <c r="M281" s="10">
        <f t="shared" si="138"/>
        <v>1.5464364926059553</v>
      </c>
      <c r="N281" s="10">
        <f t="shared" si="110"/>
        <v>8.26</v>
      </c>
      <c r="O281" s="10">
        <f t="shared" si="111"/>
        <v>0.31900000000000001</v>
      </c>
      <c r="P281" s="10">
        <f t="shared" si="139"/>
        <v>9.4924208349785122</v>
      </c>
      <c r="Q281" s="45">
        <f t="shared" si="140"/>
        <v>0.91134326651951858</v>
      </c>
      <c r="R281" s="4">
        <f t="shared" si="141"/>
        <v>100012.71874049527</v>
      </c>
      <c r="S281">
        <f t="shared" si="122"/>
        <v>1.0001271874049527E-4</v>
      </c>
      <c r="T281" s="44">
        <f t="shared" si="123"/>
        <v>1.3585506689482013E-4</v>
      </c>
      <c r="U281" s="45">
        <f t="shared" si="142"/>
        <v>0.17947782441575577</v>
      </c>
      <c r="V281" s="45">
        <f t="shared" si="143"/>
        <v>0.2394904258240764</v>
      </c>
      <c r="W281" s="45">
        <f t="shared" si="144"/>
        <v>0.23900432521915085</v>
      </c>
      <c r="X281" s="45">
        <f t="shared" si="145"/>
        <v>4.8610060492554341E-4</v>
      </c>
      <c r="Y281" s="45">
        <f t="shared" si="119"/>
        <v>6.0704952379828482E-4</v>
      </c>
      <c r="Z281" s="10">
        <f t="shared" si="146"/>
        <v>4.4683613035078515</v>
      </c>
      <c r="AA281">
        <f t="shared" si="124"/>
        <v>1545622.272813261</v>
      </c>
      <c r="AB281" s="10">
        <f t="shared" si="125"/>
        <v>1.5456222728132609</v>
      </c>
      <c r="AC281" s="10">
        <f t="shared" si="126"/>
        <v>1.4446222728132609</v>
      </c>
      <c r="AD281" s="3">
        <f t="shared" si="127"/>
        <v>209.51737096639027</v>
      </c>
      <c r="AI281" s="100">
        <f t="shared" si="128"/>
        <v>0.23900432521915085</v>
      </c>
    </row>
    <row r="282" spans="2:35">
      <c r="B282" s="39">
        <f t="shared" si="129"/>
        <v>254</v>
      </c>
      <c r="C282" s="45">
        <f t="shared" si="130"/>
        <v>7.4616306954433052</v>
      </c>
      <c r="D282" s="10">
        <f t="shared" si="131"/>
        <v>7.9883693045569082</v>
      </c>
      <c r="E282" s="40">
        <f t="shared" si="132"/>
        <v>32.363261390886187</v>
      </c>
      <c r="F282" s="40">
        <f t="shared" si="133"/>
        <v>48.34</v>
      </c>
      <c r="G282" s="3">
        <f t="shared" si="134"/>
        <v>98.353477218227624</v>
      </c>
      <c r="H282" s="3">
        <f t="shared" si="135"/>
        <v>148.0155219248214</v>
      </c>
      <c r="I282">
        <f t="shared" si="120"/>
        <v>1.4801552192482141E-4</v>
      </c>
      <c r="J282" s="4">
        <f t="shared" si="136"/>
        <v>827.16963371875897</v>
      </c>
      <c r="K282" s="40">
        <f t="shared" si="137"/>
        <v>5.5883979123411587</v>
      </c>
      <c r="L282" s="40">
        <f t="shared" si="121"/>
        <v>0.41160208765884132</v>
      </c>
      <c r="M282" s="10">
        <f t="shared" si="138"/>
        <v>1.5456222728132609</v>
      </c>
      <c r="N282" s="10">
        <f t="shared" si="110"/>
        <v>8.26</v>
      </c>
      <c r="O282" s="10">
        <f t="shared" si="111"/>
        <v>0.31900000000000001</v>
      </c>
      <c r="P282" s="10">
        <f t="shared" si="139"/>
        <v>9.490826222684305</v>
      </c>
      <c r="Q282" s="45">
        <f t="shared" si="140"/>
        <v>0.91443851851462354</v>
      </c>
      <c r="R282" s="4">
        <f t="shared" si="141"/>
        <v>99599.88014180203</v>
      </c>
      <c r="S282">
        <f t="shared" si="122"/>
        <v>9.959988014180203E-5</v>
      </c>
      <c r="T282" s="44">
        <f t="shared" si="123"/>
        <v>1.3626790549351337E-4</v>
      </c>
      <c r="U282" s="45">
        <f t="shared" si="142"/>
        <v>0.1787369649084708</v>
      </c>
      <c r="V282" s="45">
        <f t="shared" si="143"/>
        <v>0.23935353517471875</v>
      </c>
      <c r="W282" s="45">
        <f t="shared" si="144"/>
        <v>0.23886969318714638</v>
      </c>
      <c r="X282" s="45">
        <f t="shared" si="145"/>
        <v>4.8384198757236985E-4</v>
      </c>
      <c r="Y282" s="45">
        <f t="shared" si="119"/>
        <v>6.0854713667563378E-4</v>
      </c>
      <c r="Z282" s="10">
        <f t="shared" si="146"/>
        <v>4.4658141216135583</v>
      </c>
      <c r="AA282">
        <f t="shared" si="124"/>
        <v>1544798.768300653</v>
      </c>
      <c r="AB282" s="10">
        <f t="shared" si="125"/>
        <v>1.544798768300653</v>
      </c>
      <c r="AC282" s="10">
        <f t="shared" si="126"/>
        <v>1.443798768300653</v>
      </c>
      <c r="AD282" s="3">
        <f t="shared" si="127"/>
        <v>209.397935939181</v>
      </c>
      <c r="AI282" s="100">
        <f t="shared" si="128"/>
        <v>0.23886969318714638</v>
      </c>
    </row>
    <row r="283" spans="2:35">
      <c r="B283" s="39">
        <f t="shared" si="129"/>
        <v>255</v>
      </c>
      <c r="C283" s="45">
        <f t="shared" si="130"/>
        <v>7.4910071942442631</v>
      </c>
      <c r="D283" s="10">
        <f t="shared" si="131"/>
        <v>7.9589928057559511</v>
      </c>
      <c r="E283" s="40">
        <f t="shared" si="132"/>
        <v>32.422014388488101</v>
      </c>
      <c r="F283" s="40">
        <f t="shared" si="133"/>
        <v>48.34</v>
      </c>
      <c r="G283" s="3">
        <f t="shared" si="134"/>
        <v>98.235971223023796</v>
      </c>
      <c r="H283" s="3">
        <f t="shared" si="135"/>
        <v>148.0155219248214</v>
      </c>
      <c r="I283">
        <f t="shared" si="120"/>
        <v>1.4801552192482141E-4</v>
      </c>
      <c r="J283" s="4">
        <f t="shared" si="136"/>
        <v>830.15911764442239</v>
      </c>
      <c r="K283" s="40">
        <f t="shared" si="137"/>
        <v>5.6085950098265283</v>
      </c>
      <c r="L283" s="40">
        <f t="shared" si="121"/>
        <v>0.39140499017347175</v>
      </c>
      <c r="M283" s="10">
        <f t="shared" si="138"/>
        <v>1.544798768300653</v>
      </c>
      <c r="N283" s="10">
        <f t="shared" si="110"/>
        <v>8.26</v>
      </c>
      <c r="O283" s="10">
        <f t="shared" si="111"/>
        <v>0.31900000000000001</v>
      </c>
      <c r="P283" s="10">
        <f t="shared" si="139"/>
        <v>9.4892128447028856</v>
      </c>
      <c r="Q283" s="45">
        <f t="shared" si="140"/>
        <v>0.91753429677165321</v>
      </c>
      <c r="R283" s="4">
        <f t="shared" si="141"/>
        <v>99187.210172897976</v>
      </c>
      <c r="S283">
        <f t="shared" si="122"/>
        <v>9.9187210172897977E-5</v>
      </c>
      <c r="T283" s="44">
        <f t="shared" si="123"/>
        <v>1.3668057546241744E-4</v>
      </c>
      <c r="U283" s="45">
        <f t="shared" si="142"/>
        <v>0.17799640801577404</v>
      </c>
      <c r="V283" s="45">
        <f t="shared" si="143"/>
        <v>0.23921509591817511</v>
      </c>
      <c r="W283" s="45">
        <f t="shared" si="144"/>
        <v>0.23873352591770383</v>
      </c>
      <c r="X283" s="45">
        <f t="shared" si="145"/>
        <v>4.815700004712764E-4</v>
      </c>
      <c r="Y283" s="45">
        <f t="shared" si="119"/>
        <v>6.1003797061233054E-4</v>
      </c>
      <c r="Z283" s="10">
        <f t="shared" si="146"/>
        <v>4.4632382366583645</v>
      </c>
      <c r="AA283">
        <f t="shared" si="124"/>
        <v>1543965.9840816245</v>
      </c>
      <c r="AB283" s="10">
        <f t="shared" si="125"/>
        <v>1.5439659840816244</v>
      </c>
      <c r="AC283" s="10">
        <f t="shared" si="126"/>
        <v>1.4429659840816245</v>
      </c>
      <c r="AD283" s="3">
        <f t="shared" si="127"/>
        <v>209.27715505172219</v>
      </c>
      <c r="AI283" s="100">
        <f t="shared" si="128"/>
        <v>0.23873352591770383</v>
      </c>
    </row>
    <row r="284" spans="2:35">
      <c r="B284" s="39">
        <f t="shared" si="129"/>
        <v>256</v>
      </c>
      <c r="C284" s="45">
        <f t="shared" si="130"/>
        <v>7.520383693045221</v>
      </c>
      <c r="D284" s="10">
        <f t="shared" si="131"/>
        <v>7.9296163069549941</v>
      </c>
      <c r="E284" s="40">
        <f t="shared" si="132"/>
        <v>32.480767386090015</v>
      </c>
      <c r="F284" s="40">
        <f t="shared" si="133"/>
        <v>48.34</v>
      </c>
      <c r="G284" s="3">
        <f t="shared" si="134"/>
        <v>98.118465227819968</v>
      </c>
      <c r="H284" s="3">
        <f t="shared" si="135"/>
        <v>148.0155219248214</v>
      </c>
      <c r="I284">
        <f t="shared" si="120"/>
        <v>1.4801552192482141E-4</v>
      </c>
      <c r="J284" s="4">
        <f t="shared" si="136"/>
        <v>833.15402382505988</v>
      </c>
      <c r="K284" s="40">
        <f t="shared" si="137"/>
        <v>5.6288287403278376</v>
      </c>
      <c r="L284" s="40">
        <f t="shared" si="121"/>
        <v>0.37117125967216236</v>
      </c>
      <c r="M284" s="10">
        <f t="shared" si="138"/>
        <v>1.5439659840816244</v>
      </c>
      <c r="N284" s="10">
        <f t="shared" ref="N284:N347" si="147">IF(fueltype=1,VLOOKUP($M284,kndxbn_,4),IF(fueltype=2,VLOOKUP($M284,knsobn_,4),IF(fueltype=3,VLOOKUP($M284,knsbcobn_,4),IF(fueltype=4,VLOOKUP($M284,knsubn_,4),IF(fueltype=5,am_1,IF(fueltype=6,am_0,IF(fueltype=7,am_3,am_4)))))))</f>
        <v>8.26</v>
      </c>
      <c r="O284" s="10">
        <f t="shared" ref="O284:O347" si="148">IF(fueltype=1,VLOOKUP($M284,kndxbn_,5),IF(fueltype=2,VLOOKUP($M284,knsobn_,5),IF(fueltype=3,VLOOKUP($M284,knsbcobn_,5),IF(fueltype=4,VLOOKUP($M284,knsubn_,5),IF(fueltype=5,nm_1,IF(fueltype=6,an_0,IF(fueltype=7,nm_3,nm_4)))))))</f>
        <v>0.31900000000000001</v>
      </c>
      <c r="P284" s="10">
        <f t="shared" si="139"/>
        <v>9.4875806905317059</v>
      </c>
      <c r="Q284" s="45">
        <f t="shared" si="140"/>
        <v>0.92063060759726489</v>
      </c>
      <c r="R284" s="4">
        <f t="shared" si="141"/>
        <v>98774.710745225442</v>
      </c>
      <c r="S284">
        <f t="shared" si="122"/>
        <v>9.8774710745225437E-5</v>
      </c>
      <c r="T284" s="44">
        <f t="shared" si="123"/>
        <v>1.3709307489008998E-4</v>
      </c>
      <c r="U284" s="45">
        <f t="shared" si="142"/>
        <v>0.17725615716784429</v>
      </c>
      <c r="V284" s="45">
        <f t="shared" si="143"/>
        <v>0.23907510893500633</v>
      </c>
      <c r="W284" s="45">
        <f t="shared" si="144"/>
        <v>0.23859582423980913</v>
      </c>
      <c r="X284" s="45">
        <f t="shared" si="145"/>
        <v>4.7928469519720185E-4</v>
      </c>
      <c r="Y284" s="45">
        <f t="shared" si="119"/>
        <v>6.1152198500261958E-4</v>
      </c>
      <c r="Z284" s="10">
        <f t="shared" si="146"/>
        <v>4.460633664339996</v>
      </c>
      <c r="AA284">
        <f t="shared" si="124"/>
        <v>1543123.9252312549</v>
      </c>
      <c r="AB284" s="10">
        <f t="shared" si="125"/>
        <v>1.543123925231255</v>
      </c>
      <c r="AC284" s="10">
        <f t="shared" si="126"/>
        <v>1.442123925231255</v>
      </c>
      <c r="AD284" s="3">
        <f t="shared" si="127"/>
        <v>209.15502904006598</v>
      </c>
      <c r="AI284" s="100">
        <f t="shared" si="128"/>
        <v>0.23859582423980913</v>
      </c>
    </row>
    <row r="285" spans="2:35">
      <c r="B285" s="39">
        <f t="shared" si="129"/>
        <v>257</v>
      </c>
      <c r="C285" s="45">
        <f t="shared" si="130"/>
        <v>7.549760191846179</v>
      </c>
      <c r="D285" s="10">
        <f t="shared" si="131"/>
        <v>7.900239808154037</v>
      </c>
      <c r="E285" s="40">
        <f t="shared" si="132"/>
        <v>32.539520383691929</v>
      </c>
      <c r="F285" s="40">
        <f t="shared" si="133"/>
        <v>48.34</v>
      </c>
      <c r="G285" s="3">
        <f t="shared" si="134"/>
        <v>98.00095923261614</v>
      </c>
      <c r="H285" s="3">
        <f t="shared" si="135"/>
        <v>148.0155219248214</v>
      </c>
      <c r="I285">
        <f t="shared" si="120"/>
        <v>1.4801552192482141E-4</v>
      </c>
      <c r="J285" s="4">
        <f t="shared" si="136"/>
        <v>836.15435226067132</v>
      </c>
      <c r="K285" s="40">
        <f t="shared" si="137"/>
        <v>5.6490991038450868</v>
      </c>
      <c r="L285" s="40">
        <f t="shared" si="121"/>
        <v>0.35090089615491316</v>
      </c>
      <c r="M285" s="10">
        <f t="shared" si="138"/>
        <v>1.543123925231255</v>
      </c>
      <c r="N285" s="10">
        <f t="shared" si="147"/>
        <v>8.26</v>
      </c>
      <c r="O285" s="10">
        <f t="shared" si="148"/>
        <v>0.31900000000000001</v>
      </c>
      <c r="P285" s="10">
        <f t="shared" si="139"/>
        <v>9.485929749543514</v>
      </c>
      <c r="Q285" s="45">
        <f t="shared" si="140"/>
        <v>0.92372745730800321</v>
      </c>
      <c r="R285" s="4">
        <f t="shared" si="141"/>
        <v>98362.38377022685</v>
      </c>
      <c r="S285">
        <f t="shared" si="122"/>
        <v>9.8362383770226851E-5</v>
      </c>
      <c r="T285" s="44">
        <f t="shared" si="123"/>
        <v>1.3750540186508858E-4</v>
      </c>
      <c r="U285" s="45">
        <f t="shared" si="142"/>
        <v>0.1765162157948606</v>
      </c>
      <c r="V285" s="45">
        <f t="shared" si="143"/>
        <v>0.23893357511601213</v>
      </c>
      <c r="W285" s="45">
        <f t="shared" si="144"/>
        <v>0.23845658899263161</v>
      </c>
      <c r="X285" s="45">
        <f t="shared" si="145"/>
        <v>4.7698612338051283E-4</v>
      </c>
      <c r="Y285" s="45">
        <f t="shared" si="119"/>
        <v>6.1299913934083675E-4</v>
      </c>
      <c r="Z285" s="10">
        <f t="shared" si="146"/>
        <v>4.4580004205381831</v>
      </c>
      <c r="AA285">
        <f t="shared" si="124"/>
        <v>1542272.5968834644</v>
      </c>
      <c r="AB285" s="10">
        <f t="shared" si="125"/>
        <v>1.5422725968834643</v>
      </c>
      <c r="AC285" s="10">
        <f t="shared" si="126"/>
        <v>1.4412725968834643</v>
      </c>
      <c r="AD285" s="3">
        <f t="shared" si="127"/>
        <v>209.03155864879832</v>
      </c>
      <c r="AI285" s="100">
        <f t="shared" si="128"/>
        <v>0.23845658899263161</v>
      </c>
    </row>
    <row r="286" spans="2:35">
      <c r="B286" s="39">
        <f t="shared" si="129"/>
        <v>258</v>
      </c>
      <c r="C286" s="45">
        <f t="shared" si="130"/>
        <v>7.5791366906471369</v>
      </c>
      <c r="D286" s="10">
        <f t="shared" si="131"/>
        <v>7.87086330935308</v>
      </c>
      <c r="E286" s="40">
        <f t="shared" si="132"/>
        <v>32.598273381293843</v>
      </c>
      <c r="F286" s="40">
        <f t="shared" si="133"/>
        <v>48.34</v>
      </c>
      <c r="G286" s="3">
        <f t="shared" si="134"/>
        <v>97.883453237412311</v>
      </c>
      <c r="H286" s="3">
        <f t="shared" si="135"/>
        <v>148.0155219248214</v>
      </c>
      <c r="I286">
        <f t="shared" si="120"/>
        <v>1.4801552192482141E-4</v>
      </c>
      <c r="J286" s="4">
        <f t="shared" si="136"/>
        <v>839.16010295125648</v>
      </c>
      <c r="K286" s="40">
        <f t="shared" si="137"/>
        <v>5.6694061003782732</v>
      </c>
      <c r="L286" s="40">
        <f t="shared" si="121"/>
        <v>0.33059389962172681</v>
      </c>
      <c r="M286" s="10">
        <f t="shared" si="138"/>
        <v>1.5422725968834643</v>
      </c>
      <c r="N286" s="10">
        <f t="shared" si="147"/>
        <v>8.26</v>
      </c>
      <c r="O286" s="10">
        <f t="shared" si="148"/>
        <v>0.31900000000000001</v>
      </c>
      <c r="P286" s="10">
        <f t="shared" si="139"/>
        <v>9.4842600109805275</v>
      </c>
      <c r="Q286" s="45">
        <f t="shared" si="140"/>
        <v>0.92682485223042699</v>
      </c>
      <c r="R286" s="4">
        <f t="shared" si="141"/>
        <v>97950.231159344636</v>
      </c>
      <c r="S286">
        <f t="shared" si="122"/>
        <v>9.7950231159344632E-5</v>
      </c>
      <c r="T286" s="44">
        <f t="shared" si="123"/>
        <v>1.3791755447597077E-4</v>
      </c>
      <c r="U286" s="45">
        <f t="shared" si="142"/>
        <v>0.17577658732700191</v>
      </c>
      <c r="V286" s="45">
        <f t="shared" si="143"/>
        <v>0.23879049536244248</v>
      </c>
      <c r="W286" s="45">
        <f t="shared" si="144"/>
        <v>0.23831582102506993</v>
      </c>
      <c r="X286" s="45">
        <f t="shared" si="145"/>
        <v>4.7467433737255482E-4</v>
      </c>
      <c r="Y286" s="45">
        <f t="shared" ref="Y286:Y349" si="149">IF((X286*(Q286-Q285)+Y285)&lt;0,0,X286*(Q286-Q285)+Y285)</f>
        <v>6.1446939322321937E-4</v>
      </c>
      <c r="Z286" s="10">
        <f t="shared" si="146"/>
        <v>4.4553385213212851</v>
      </c>
      <c r="AA286">
        <f t="shared" si="124"/>
        <v>1541412.0042331575</v>
      </c>
      <c r="AB286" s="10">
        <f t="shared" si="125"/>
        <v>1.5414120042331574</v>
      </c>
      <c r="AC286" s="10">
        <f t="shared" si="126"/>
        <v>1.4404120042331574</v>
      </c>
      <c r="AD286" s="3">
        <f t="shared" si="127"/>
        <v>208.90674463134988</v>
      </c>
      <c r="AI286" s="100">
        <f t="shared" si="128"/>
        <v>0.23831582102506993</v>
      </c>
    </row>
    <row r="287" spans="2:35">
      <c r="B287" s="39">
        <f t="shared" si="129"/>
        <v>259</v>
      </c>
      <c r="C287" s="45">
        <f t="shared" si="130"/>
        <v>7.6085131894480948</v>
      </c>
      <c r="D287" s="10">
        <f t="shared" si="131"/>
        <v>7.8414868105521229</v>
      </c>
      <c r="E287" s="40">
        <f t="shared" si="132"/>
        <v>32.657026378895758</v>
      </c>
      <c r="F287" s="40">
        <f t="shared" si="133"/>
        <v>48.34</v>
      </c>
      <c r="G287" s="3">
        <f t="shared" si="134"/>
        <v>97.765947242208483</v>
      </c>
      <c r="H287" s="3">
        <f t="shared" si="135"/>
        <v>148.0155219248214</v>
      </c>
      <c r="I287">
        <f t="shared" si="120"/>
        <v>1.4801552192482141E-4</v>
      </c>
      <c r="J287" s="4">
        <f t="shared" si="136"/>
        <v>842.1712758968157</v>
      </c>
      <c r="K287" s="40">
        <f t="shared" si="137"/>
        <v>5.6897497299274002</v>
      </c>
      <c r="L287" s="40">
        <f t="shared" si="121"/>
        <v>0.31025027007259975</v>
      </c>
      <c r="M287" s="10">
        <f t="shared" si="138"/>
        <v>1.5414120042331574</v>
      </c>
      <c r="N287" s="10">
        <f t="shared" si="147"/>
        <v>8.26</v>
      </c>
      <c r="O287" s="10">
        <f t="shared" si="148"/>
        <v>0.31900000000000001</v>
      </c>
      <c r="P287" s="10">
        <f t="shared" si="139"/>
        <v>9.4825714639581786</v>
      </c>
      <c r="Q287" s="45">
        <f t="shared" si="140"/>
        <v>0.9299227987012354</v>
      </c>
      <c r="R287" s="4">
        <f t="shared" si="141"/>
        <v>97538.254824021147</v>
      </c>
      <c r="S287">
        <f t="shared" si="122"/>
        <v>9.7538254824021151E-5</v>
      </c>
      <c r="T287" s="44">
        <f t="shared" si="123"/>
        <v>1.3832953081129425E-4</v>
      </c>
      <c r="U287" s="45">
        <f t="shared" si="142"/>
        <v>0.17503727519444714</v>
      </c>
      <c r="V287" s="45">
        <f t="shared" si="143"/>
        <v>0.23864587058595654</v>
      </c>
      <c r="W287" s="45">
        <f t="shared" si="144"/>
        <v>0.2381735211961066</v>
      </c>
      <c r="X287" s="45">
        <f t="shared" si="145"/>
        <v>4.723493898499409E-4</v>
      </c>
      <c r="Y287" s="45">
        <f t="shared" si="149"/>
        <v>6.159327063484935E-4</v>
      </c>
      <c r="Z287" s="10">
        <f t="shared" si="146"/>
        <v>4.4526479829439589</v>
      </c>
      <c r="AA287">
        <f t="shared" si="124"/>
        <v>1540542.1525354686</v>
      </c>
      <c r="AB287" s="10">
        <f t="shared" si="125"/>
        <v>1.5405421525354686</v>
      </c>
      <c r="AC287" s="10">
        <f t="shared" si="126"/>
        <v>1.4395421525354686</v>
      </c>
      <c r="AD287" s="3">
        <f t="shared" si="127"/>
        <v>208.78058774988668</v>
      </c>
      <c r="AI287" s="100">
        <f t="shared" si="128"/>
        <v>0.2381735211961066</v>
      </c>
    </row>
    <row r="288" spans="2:35">
      <c r="B288" s="39">
        <f t="shared" si="129"/>
        <v>260</v>
      </c>
      <c r="C288" s="45">
        <f t="shared" si="130"/>
        <v>7.6378896882490528</v>
      </c>
      <c r="D288" s="10">
        <f t="shared" si="131"/>
        <v>7.8121103117511659</v>
      </c>
      <c r="E288" s="40">
        <f t="shared" si="132"/>
        <v>32.715779376497672</v>
      </c>
      <c r="F288" s="40">
        <f t="shared" si="133"/>
        <v>48.34</v>
      </c>
      <c r="G288" s="3">
        <f t="shared" si="134"/>
        <v>97.648441247004655</v>
      </c>
      <c r="H288" s="3">
        <f t="shared" si="135"/>
        <v>148.0155219248214</v>
      </c>
      <c r="I288">
        <f t="shared" si="120"/>
        <v>1.4801552192482141E-4</v>
      </c>
      <c r="J288" s="4">
        <f t="shared" si="136"/>
        <v>845.18787109734876</v>
      </c>
      <c r="K288" s="40">
        <f t="shared" si="137"/>
        <v>5.7101299924924653</v>
      </c>
      <c r="L288" s="40">
        <f t="shared" si="121"/>
        <v>0.28987000750753467</v>
      </c>
      <c r="M288" s="10">
        <f t="shared" si="138"/>
        <v>1.5405421525354686</v>
      </c>
      <c r="N288" s="10">
        <f t="shared" si="147"/>
        <v>8.26</v>
      </c>
      <c r="O288" s="10">
        <f t="shared" si="148"/>
        <v>0.31900000000000001</v>
      </c>
      <c r="P288" s="10">
        <f t="shared" si="139"/>
        <v>9.4808640974631881</v>
      </c>
      <c r="Q288" s="45">
        <f t="shared" si="140"/>
        <v>0.93302130306739528</v>
      </c>
      <c r="R288" s="4">
        <f t="shared" si="141"/>
        <v>97126.456675698835</v>
      </c>
      <c r="S288">
        <f t="shared" si="122"/>
        <v>9.7126456675698835E-5</v>
      </c>
      <c r="T288" s="44">
        <f t="shared" si="123"/>
        <v>1.3874132895961658E-4</v>
      </c>
      <c r="U288" s="45">
        <f t="shared" si="142"/>
        <v>0.17429828282737533</v>
      </c>
      <c r="V288" s="45">
        <f t="shared" si="143"/>
        <v>0.23849970170856277</v>
      </c>
      <c r="W288" s="45">
        <f t="shared" si="144"/>
        <v>0.23802969037468324</v>
      </c>
      <c r="X288" s="45">
        <f t="shared" si="145"/>
        <v>4.7001133387952754E-4</v>
      </c>
      <c r="Y288" s="45">
        <f t="shared" si="149"/>
        <v>6.1738903851866382E-4</v>
      </c>
      <c r="Z288" s="10">
        <f t="shared" si="146"/>
        <v>4.4499288218463526</v>
      </c>
      <c r="AA288">
        <f t="shared" si="124"/>
        <v>1539663.0471055012</v>
      </c>
      <c r="AB288" s="10">
        <f t="shared" si="125"/>
        <v>1.5396630471055013</v>
      </c>
      <c r="AC288" s="10">
        <f t="shared" si="126"/>
        <v>1.4386630471055013</v>
      </c>
      <c r="AD288" s="3">
        <f t="shared" si="127"/>
        <v>208.65308877527215</v>
      </c>
      <c r="AI288" s="100">
        <f t="shared" si="128"/>
        <v>0.23802969037468324</v>
      </c>
    </row>
    <row r="289" spans="2:35">
      <c r="B289" s="39">
        <f t="shared" si="129"/>
        <v>261</v>
      </c>
      <c r="C289" s="45">
        <f t="shared" si="130"/>
        <v>7.6672661870500107</v>
      </c>
      <c r="D289" s="10">
        <f t="shared" si="131"/>
        <v>7.7827338129502088</v>
      </c>
      <c r="E289" s="40">
        <f t="shared" si="132"/>
        <v>32.774532374099586</v>
      </c>
      <c r="F289" s="40">
        <f t="shared" si="133"/>
        <v>48.34</v>
      </c>
      <c r="G289" s="3">
        <f t="shared" si="134"/>
        <v>97.530935251800827</v>
      </c>
      <c r="H289" s="3">
        <f t="shared" si="135"/>
        <v>148.0155219248214</v>
      </c>
      <c r="I289">
        <f t="shared" si="120"/>
        <v>1.4801552192482141E-4</v>
      </c>
      <c r="J289" s="4">
        <f t="shared" si="136"/>
        <v>848.20988855285577</v>
      </c>
      <c r="K289" s="40">
        <f t="shared" si="137"/>
        <v>5.7305468880734702</v>
      </c>
      <c r="L289" s="40">
        <f t="shared" si="121"/>
        <v>0.26945311192652976</v>
      </c>
      <c r="M289" s="10">
        <f t="shared" si="138"/>
        <v>1.5396630471055013</v>
      </c>
      <c r="N289" s="10">
        <f t="shared" si="147"/>
        <v>8.26</v>
      </c>
      <c r="O289" s="10">
        <f t="shared" si="148"/>
        <v>0.31900000000000001</v>
      </c>
      <c r="P289" s="10">
        <f t="shared" si="139"/>
        <v>9.4791379003525851</v>
      </c>
      <c r="Q289" s="45">
        <f t="shared" si="140"/>
        <v>0.93612037168626883</v>
      </c>
      <c r="R289" s="4">
        <f t="shared" si="141"/>
        <v>96714.838625820048</v>
      </c>
      <c r="S289">
        <f t="shared" si="122"/>
        <v>9.6714838625820042E-5</v>
      </c>
      <c r="T289" s="44">
        <f t="shared" si="123"/>
        <v>1.3915294700949537E-4</v>
      </c>
      <c r="U289" s="45">
        <f t="shared" si="142"/>
        <v>0.17355961365596537</v>
      </c>
      <c r="V289" s="45">
        <f t="shared" si="143"/>
        <v>0.23835198966277146</v>
      </c>
      <c r="W289" s="45">
        <f t="shared" si="144"/>
        <v>0.23788432943965729</v>
      </c>
      <c r="X289" s="45">
        <f t="shared" si="145"/>
        <v>4.6766022311417466E-4</v>
      </c>
      <c r="Y289" s="45">
        <f t="shared" si="149"/>
        <v>6.1883834964041235E-4</v>
      </c>
      <c r="Z289" s="10">
        <f t="shared" si="146"/>
        <v>4.4471810546576833</v>
      </c>
      <c r="AA289">
        <f t="shared" si="124"/>
        <v>1538774.6933194855</v>
      </c>
      <c r="AB289" s="10">
        <f t="shared" si="125"/>
        <v>1.5387746933194855</v>
      </c>
      <c r="AC289" s="10">
        <f t="shared" si="126"/>
        <v>1.4377746933194855</v>
      </c>
      <c r="AD289" s="3">
        <f t="shared" si="127"/>
        <v>208.52424848723504</v>
      </c>
      <c r="AI289" s="100">
        <f t="shared" si="128"/>
        <v>0.23788432943965729</v>
      </c>
    </row>
    <row r="290" spans="2:35">
      <c r="B290" s="39">
        <f t="shared" si="129"/>
        <v>262</v>
      </c>
      <c r="C290" s="45">
        <f t="shared" si="130"/>
        <v>7.6966426858509687</v>
      </c>
      <c r="D290" s="10">
        <f t="shared" si="131"/>
        <v>7.7533573141492518</v>
      </c>
      <c r="E290" s="40">
        <f t="shared" si="132"/>
        <v>32.8332853717015</v>
      </c>
      <c r="F290" s="40">
        <f t="shared" si="133"/>
        <v>48.34</v>
      </c>
      <c r="G290" s="3">
        <f t="shared" si="134"/>
        <v>97.413429256596999</v>
      </c>
      <c r="H290" s="3">
        <f t="shared" si="135"/>
        <v>148.0155219248214</v>
      </c>
      <c r="I290">
        <f t="shared" si="120"/>
        <v>1.4801552192482141E-4</v>
      </c>
      <c r="J290" s="4">
        <f t="shared" si="136"/>
        <v>851.23732826333674</v>
      </c>
      <c r="K290" s="40">
        <f t="shared" si="137"/>
        <v>5.7510004166704141</v>
      </c>
      <c r="L290" s="40">
        <f t="shared" si="121"/>
        <v>0.24899958332958594</v>
      </c>
      <c r="M290" s="10">
        <f t="shared" si="138"/>
        <v>1.5387746933194855</v>
      </c>
      <c r="N290" s="10">
        <f t="shared" si="147"/>
        <v>8.26</v>
      </c>
      <c r="O290" s="10">
        <f t="shared" si="148"/>
        <v>0.31900000000000001</v>
      </c>
      <c r="P290" s="10">
        <f t="shared" si="139"/>
        <v>9.4773928613555221</v>
      </c>
      <c r="Q290" s="45">
        <f t="shared" si="140"/>
        <v>0.9392200109257417</v>
      </c>
      <c r="R290" s="4">
        <f t="shared" si="141"/>
        <v>96303.402585827222</v>
      </c>
      <c r="S290">
        <f t="shared" si="122"/>
        <v>9.6303402585827227E-5</v>
      </c>
      <c r="T290" s="44">
        <f t="shared" si="123"/>
        <v>1.3956438304948819E-4</v>
      </c>
      <c r="U290" s="45">
        <f t="shared" si="142"/>
        <v>0.17282127111039622</v>
      </c>
      <c r="V290" s="45">
        <f t="shared" si="143"/>
        <v>0.23820273539146167</v>
      </c>
      <c r="W290" s="45">
        <f t="shared" si="144"/>
        <v>0.23773743927999363</v>
      </c>
      <c r="X290" s="45">
        <f t="shared" si="145"/>
        <v>4.6529611146803318E-4</v>
      </c>
      <c r="Y290" s="45">
        <f t="shared" si="149"/>
        <v>6.2028059972549286E-4</v>
      </c>
      <c r="Z290" s="10">
        <f t="shared" si="146"/>
        <v>4.4444046981925709</v>
      </c>
      <c r="AA290">
        <f t="shared" si="124"/>
        <v>1537877.096613592</v>
      </c>
      <c r="AB290" s="10">
        <f t="shared" si="125"/>
        <v>1.537877096613592</v>
      </c>
      <c r="AC290" s="10">
        <f t="shared" si="126"/>
        <v>1.436877096613592</v>
      </c>
      <c r="AD290" s="3">
        <f t="shared" si="127"/>
        <v>208.39406767419754</v>
      </c>
      <c r="AI290" s="100">
        <f t="shared" si="128"/>
        <v>0.23773743927999363</v>
      </c>
    </row>
    <row r="291" spans="2:35">
      <c r="B291" s="39">
        <f t="shared" si="129"/>
        <v>263</v>
      </c>
      <c r="C291" s="45">
        <f t="shared" si="130"/>
        <v>7.7260191846519266</v>
      </c>
      <c r="D291" s="10">
        <f t="shared" si="131"/>
        <v>7.7239808153482947</v>
      </c>
      <c r="E291" s="40">
        <f t="shared" si="132"/>
        <v>32.892038369303414</v>
      </c>
      <c r="F291" s="40">
        <f t="shared" si="133"/>
        <v>48.34</v>
      </c>
      <c r="G291" s="3">
        <f t="shared" si="134"/>
        <v>97.29592326139317</v>
      </c>
      <c r="H291" s="3">
        <f t="shared" si="135"/>
        <v>148.0155219248214</v>
      </c>
      <c r="I291">
        <f t="shared" si="120"/>
        <v>1.4801552192482141E-4</v>
      </c>
      <c r="J291" s="4">
        <f t="shared" si="136"/>
        <v>854.27019022879153</v>
      </c>
      <c r="K291" s="40">
        <f t="shared" si="137"/>
        <v>5.7714905782832977</v>
      </c>
      <c r="L291" s="40">
        <f t="shared" si="121"/>
        <v>0.2285094217167023</v>
      </c>
      <c r="M291" s="10">
        <f t="shared" si="138"/>
        <v>1.537877096613592</v>
      </c>
      <c r="N291" s="10">
        <f t="shared" si="147"/>
        <v>8.26</v>
      </c>
      <c r="O291" s="10">
        <f t="shared" si="148"/>
        <v>0.31900000000000001</v>
      </c>
      <c r="P291" s="10">
        <f t="shared" si="139"/>
        <v>9.4756289690704598</v>
      </c>
      <c r="Q291" s="45">
        <f t="shared" si="140"/>
        <v>0.94232022716435193</v>
      </c>
      <c r="R291" s="4">
        <f t="shared" si="141"/>
        <v>95892.150467162763</v>
      </c>
      <c r="S291">
        <f t="shared" si="122"/>
        <v>9.589215046716276E-5</v>
      </c>
      <c r="T291" s="44">
        <f t="shared" si="123"/>
        <v>1.3997563516815264E-4</v>
      </c>
      <c r="U291" s="45">
        <f t="shared" si="142"/>
        <v>0.17208325862084692</v>
      </c>
      <c r="V291" s="45">
        <f t="shared" si="143"/>
        <v>0.23805193984795628</v>
      </c>
      <c r="W291" s="45">
        <f t="shared" si="144"/>
        <v>0.23758902079456837</v>
      </c>
      <c r="X291" s="45">
        <f t="shared" si="145"/>
        <v>4.6291905338791128E-4</v>
      </c>
      <c r="Y291" s="45">
        <f t="shared" si="149"/>
        <v>6.2171574889196819E-4</v>
      </c>
      <c r="Z291" s="10">
        <f t="shared" si="146"/>
        <v>4.4415997694534584</v>
      </c>
      <c r="AA291">
        <f t="shared" si="124"/>
        <v>1536970.2624847146</v>
      </c>
      <c r="AB291" s="10">
        <f t="shared" si="125"/>
        <v>1.5369702624847146</v>
      </c>
      <c r="AC291" s="10">
        <f t="shared" si="126"/>
        <v>1.4359702624847146</v>
      </c>
      <c r="AD291" s="3">
        <f t="shared" si="127"/>
        <v>208.26254713338864</v>
      </c>
      <c r="AI291" s="100">
        <f t="shared" si="128"/>
        <v>0.23758902079456837</v>
      </c>
    </row>
    <row r="292" spans="2:35">
      <c r="B292" s="39">
        <f t="shared" si="129"/>
        <v>264</v>
      </c>
      <c r="C292" s="45">
        <f t="shared" si="130"/>
        <v>7.7553956834528845</v>
      </c>
      <c r="D292" s="10">
        <f t="shared" si="131"/>
        <v>7.6946043165473377</v>
      </c>
      <c r="E292" s="40">
        <f t="shared" si="132"/>
        <v>32.950791366905328</v>
      </c>
      <c r="F292" s="40">
        <f t="shared" si="133"/>
        <v>48.34</v>
      </c>
      <c r="G292" s="3">
        <f t="shared" si="134"/>
        <v>97.178417266189342</v>
      </c>
      <c r="H292" s="3">
        <f t="shared" si="135"/>
        <v>148.0155219248214</v>
      </c>
      <c r="I292">
        <f t="shared" si="120"/>
        <v>1.4801552192482141E-4</v>
      </c>
      <c r="J292" s="4">
        <f t="shared" si="136"/>
        <v>857.30847444922028</v>
      </c>
      <c r="K292" s="40">
        <f t="shared" si="137"/>
        <v>5.7920173729121194</v>
      </c>
      <c r="L292" s="40">
        <f t="shared" si="121"/>
        <v>0.20798262708788062</v>
      </c>
      <c r="M292" s="10">
        <f t="shared" si="138"/>
        <v>1.5369702624847146</v>
      </c>
      <c r="N292" s="10">
        <f t="shared" si="147"/>
        <v>8.26</v>
      </c>
      <c r="O292" s="10">
        <f t="shared" si="148"/>
        <v>0.31900000000000001</v>
      </c>
      <c r="P292" s="10">
        <f t="shared" si="139"/>
        <v>9.4738462119662312</v>
      </c>
      <c r="Q292" s="45">
        <f t="shared" si="140"/>
        <v>0.94542102679141926</v>
      </c>
      <c r="R292" s="4">
        <f t="shared" si="141"/>
        <v>95481.084181269049</v>
      </c>
      <c r="S292">
        <f t="shared" si="122"/>
        <v>9.5481084181269055E-5</v>
      </c>
      <c r="T292" s="44">
        <f t="shared" si="123"/>
        <v>1.4038670145404637E-4</v>
      </c>
      <c r="U292" s="45">
        <f t="shared" si="142"/>
        <v>0.17134557961749636</v>
      </c>
      <c r="V292" s="45">
        <f t="shared" si="143"/>
        <v>0.2378996039960963</v>
      </c>
      <c r="W292" s="45">
        <f t="shared" si="144"/>
        <v>0.23743907489229815</v>
      </c>
      <c r="X292" s="45">
        <f t="shared" si="145"/>
        <v>4.6052910379815182E-4</v>
      </c>
      <c r="Y292" s="45">
        <f t="shared" si="149"/>
        <v>6.2314375736527915E-4</v>
      </c>
      <c r="Z292" s="10">
        <f t="shared" si="146"/>
        <v>4.4387662856318091</v>
      </c>
      <c r="AA292">
        <f t="shared" si="124"/>
        <v>1536054.1964908575</v>
      </c>
      <c r="AB292" s="10">
        <f t="shared" si="125"/>
        <v>1.5360541964908576</v>
      </c>
      <c r="AC292" s="10">
        <f t="shared" si="126"/>
        <v>1.4350541964908576</v>
      </c>
      <c r="AD292" s="3">
        <f t="shared" si="127"/>
        <v>208.12968767090032</v>
      </c>
      <c r="AI292" s="100">
        <f t="shared" si="128"/>
        <v>0.23743907489229815</v>
      </c>
    </row>
    <row r="293" spans="2:35">
      <c r="B293" s="39">
        <f t="shared" si="129"/>
        <v>265</v>
      </c>
      <c r="C293" s="45">
        <f t="shared" si="130"/>
        <v>7.7847721822538425</v>
      </c>
      <c r="D293" s="10">
        <f t="shared" si="131"/>
        <v>7.6652278177463806</v>
      </c>
      <c r="E293" s="40">
        <f t="shared" si="132"/>
        <v>33.009544364507242</v>
      </c>
      <c r="F293" s="40">
        <f t="shared" si="133"/>
        <v>48.34</v>
      </c>
      <c r="G293" s="3">
        <f t="shared" si="134"/>
        <v>97.060911270985514</v>
      </c>
      <c r="H293" s="3">
        <f t="shared" si="135"/>
        <v>148.0155219248214</v>
      </c>
      <c r="I293">
        <f t="shared" si="120"/>
        <v>1.4801552192482141E-4</v>
      </c>
      <c r="J293" s="4">
        <f t="shared" si="136"/>
        <v>860.35218092462299</v>
      </c>
      <c r="K293" s="40">
        <f t="shared" si="137"/>
        <v>5.8125808005568809</v>
      </c>
      <c r="L293" s="40">
        <f t="shared" si="121"/>
        <v>0.18741919944311913</v>
      </c>
      <c r="M293" s="10">
        <f t="shared" si="138"/>
        <v>1.5360541964908576</v>
      </c>
      <c r="N293" s="10">
        <f t="shared" si="147"/>
        <v>8.26</v>
      </c>
      <c r="O293" s="10">
        <f t="shared" si="148"/>
        <v>0.31900000000000001</v>
      </c>
      <c r="P293" s="10">
        <f t="shared" si="139"/>
        <v>9.4720445783823184</v>
      </c>
      <c r="Q293" s="45">
        <f t="shared" si="140"/>
        <v>0.94852241620717459</v>
      </c>
      <c r="R293" s="4">
        <f t="shared" si="141"/>
        <v>95070.205639588487</v>
      </c>
      <c r="S293">
        <f t="shared" si="122"/>
        <v>9.5070205639588483E-5</v>
      </c>
      <c r="T293" s="44">
        <f t="shared" si="123"/>
        <v>1.4079757999572692E-4</v>
      </c>
      <c r="U293" s="45">
        <f t="shared" si="142"/>
        <v>0.17060823753052351</v>
      </c>
      <c r="V293" s="45">
        <f t="shared" si="143"/>
        <v>0.23774572881015371</v>
      </c>
      <c r="W293" s="45">
        <f t="shared" si="144"/>
        <v>0.23728760249220451</v>
      </c>
      <c r="X293" s="45">
        <f t="shared" si="145"/>
        <v>4.5812631794919789E-4</v>
      </c>
      <c r="Y293" s="45">
        <f t="shared" si="149"/>
        <v>6.2456458547884572E-4</v>
      </c>
      <c r="Z293" s="10">
        <f t="shared" si="146"/>
        <v>4.4359042641059645</v>
      </c>
      <c r="AA293">
        <f t="shared" si="124"/>
        <v>1535128.9042504427</v>
      </c>
      <c r="AB293" s="10">
        <f t="shared" si="125"/>
        <v>1.5351289042504428</v>
      </c>
      <c r="AC293" s="10">
        <f t="shared" si="126"/>
        <v>1.4341289042504428</v>
      </c>
      <c r="AD293" s="3">
        <f t="shared" si="127"/>
        <v>207.99549010158705</v>
      </c>
      <c r="AI293" s="100">
        <f t="shared" si="128"/>
        <v>0.23728760249220451</v>
      </c>
    </row>
    <row r="294" spans="2:35">
      <c r="B294" s="39">
        <f t="shared" si="129"/>
        <v>266</v>
      </c>
      <c r="C294" s="45">
        <f t="shared" si="130"/>
        <v>7.8141486810548004</v>
      </c>
      <c r="D294" s="10">
        <f t="shared" si="131"/>
        <v>7.6358513189454236</v>
      </c>
      <c r="E294" s="40">
        <f t="shared" si="132"/>
        <v>33.068297362109156</v>
      </c>
      <c r="F294" s="40">
        <f t="shared" si="133"/>
        <v>48.34</v>
      </c>
      <c r="G294" s="3">
        <f t="shared" si="134"/>
        <v>96.943405275781686</v>
      </c>
      <c r="H294" s="3">
        <f t="shared" si="135"/>
        <v>148.0155219248214</v>
      </c>
      <c r="I294">
        <f t="shared" si="120"/>
        <v>1.4801552192482141E-4</v>
      </c>
      <c r="J294" s="4">
        <f t="shared" si="136"/>
        <v>863.40130965499941</v>
      </c>
      <c r="K294" s="40">
        <f t="shared" si="137"/>
        <v>5.8331808612175804</v>
      </c>
      <c r="L294" s="40">
        <f t="shared" si="121"/>
        <v>0.16681913878241961</v>
      </c>
      <c r="M294" s="10">
        <f t="shared" si="138"/>
        <v>1.5351289042504428</v>
      </c>
      <c r="N294" s="10">
        <f t="shared" si="147"/>
        <v>8.26</v>
      </c>
      <c r="O294" s="10">
        <f t="shared" si="148"/>
        <v>0.31900000000000001</v>
      </c>
      <c r="P294" s="10">
        <f t="shared" si="139"/>
        <v>9.4702240565270071</v>
      </c>
      <c r="Q294" s="45">
        <f t="shared" si="140"/>
        <v>0.95162440182289099</v>
      </c>
      <c r="R294" s="4">
        <f t="shared" si="141"/>
        <v>94659.516753563497</v>
      </c>
      <c r="S294">
        <f t="shared" si="122"/>
        <v>9.46595167535635E-5</v>
      </c>
      <c r="T294" s="44">
        <f t="shared" si="123"/>
        <v>1.4120826888175191E-4</v>
      </c>
      <c r="U294" s="45">
        <f t="shared" si="142"/>
        <v>0.16987123579010738</v>
      </c>
      <c r="V294" s="45">
        <f t="shared" si="143"/>
        <v>0.23759031527485772</v>
      </c>
      <c r="W294" s="45">
        <f t="shared" si="144"/>
        <v>0.23713460452329882</v>
      </c>
      <c r="X294" s="45">
        <f t="shared" si="145"/>
        <v>4.5571075155889651E-4</v>
      </c>
      <c r="Y294" s="45">
        <f t="shared" si="149"/>
        <v>6.2597819367510874E-4</v>
      </c>
      <c r="Z294" s="10">
        <f t="shared" si="146"/>
        <v>4.433013722442162</v>
      </c>
      <c r="AA294">
        <f t="shared" si="124"/>
        <v>1534194.3914426386</v>
      </c>
      <c r="AB294" s="10">
        <f t="shared" si="125"/>
        <v>1.5341943914426386</v>
      </c>
      <c r="AC294" s="10">
        <f t="shared" si="126"/>
        <v>1.4331943914426386</v>
      </c>
      <c r="AD294" s="3">
        <f t="shared" si="127"/>
        <v>207.85995524911365</v>
      </c>
      <c r="AI294" s="100">
        <f t="shared" si="128"/>
        <v>0.23713460452329882</v>
      </c>
    </row>
    <row r="295" spans="2:35">
      <c r="B295" s="39">
        <f t="shared" si="129"/>
        <v>267</v>
      </c>
      <c r="C295" s="45">
        <f t="shared" si="130"/>
        <v>7.8435251798557584</v>
      </c>
      <c r="D295" s="10">
        <f t="shared" si="131"/>
        <v>7.6064748201444665</v>
      </c>
      <c r="E295" s="40">
        <f t="shared" si="132"/>
        <v>33.12705035971107</v>
      </c>
      <c r="F295" s="40">
        <f t="shared" si="133"/>
        <v>48.34</v>
      </c>
      <c r="G295" s="3">
        <f t="shared" si="134"/>
        <v>96.825899280577858</v>
      </c>
      <c r="H295" s="3">
        <f t="shared" si="135"/>
        <v>148.0155219248214</v>
      </c>
      <c r="I295">
        <f t="shared" ref="I295:I358" si="150">H295/1000^2</f>
        <v>1.4801552192482141E-4</v>
      </c>
      <c r="J295" s="4">
        <f t="shared" si="136"/>
        <v>866.4558606403499</v>
      </c>
      <c r="K295" s="40">
        <f t="shared" si="137"/>
        <v>5.8538175548942206</v>
      </c>
      <c r="L295" s="40">
        <f t="shared" ref="L295:L358" si="151">IF((gstar-K295)&lt;0,0,gstar-K295)</f>
        <v>0.14618244510577938</v>
      </c>
      <c r="M295" s="10">
        <f t="shared" si="138"/>
        <v>1.5341943914426386</v>
      </c>
      <c r="N295" s="10">
        <f t="shared" si="147"/>
        <v>8.26</v>
      </c>
      <c r="O295" s="10">
        <f t="shared" si="148"/>
        <v>0.31900000000000001</v>
      </c>
      <c r="P295" s="10">
        <f t="shared" si="139"/>
        <v>9.4683846344775162</v>
      </c>
      <c r="Q295" s="45">
        <f t="shared" si="140"/>
        <v>0.95472699006101436</v>
      </c>
      <c r="R295" s="4">
        <f t="shared" si="141"/>
        <v>94249.019434636459</v>
      </c>
      <c r="S295">
        <f t="shared" ref="S295:S358" si="152">R295/1000^3</f>
        <v>9.4249019434636461E-5</v>
      </c>
      <c r="T295" s="44">
        <f t="shared" ref="T295:T358" si="153">(vc/1000^3-S295)</f>
        <v>1.4161876620067895E-4</v>
      </c>
      <c r="U295" s="45">
        <f t="shared" si="142"/>
        <v>0.16913457782642682</v>
      </c>
      <c r="V295" s="45">
        <f t="shared" si="143"/>
        <v>0.23743336438551313</v>
      </c>
      <c r="W295" s="45">
        <f t="shared" si="144"/>
        <v>0.23698008192463715</v>
      </c>
      <c r="X295" s="45">
        <f t="shared" si="145"/>
        <v>4.5328246087597557E-4</v>
      </c>
      <c r="Y295" s="45">
        <f t="shared" si="149"/>
        <v>6.2738454250677012E-4</v>
      </c>
      <c r="Z295" s="10">
        <f t="shared" si="146"/>
        <v>4.4300946783969533</v>
      </c>
      <c r="AA295">
        <f t="shared" ref="AA295:AA358" si="154">Z295*rat*to+patm*1000000</f>
        <v>1533250.6638081428</v>
      </c>
      <c r="AB295" s="10">
        <f t="shared" ref="AB295:AB358" si="155">AA295/1000000</f>
        <v>1.5332506638081427</v>
      </c>
      <c r="AC295" s="10">
        <f t="shared" ref="AC295:AC358" si="156">AB295-patm</f>
        <v>1.4322506638081427</v>
      </c>
      <c r="AD295" s="3">
        <f t="shared" ref="AD295:AD358" si="157">AC295*1000000/6895</f>
        <v>207.72308394606856</v>
      </c>
      <c r="AI295" s="100">
        <f t="shared" ref="AI295:AI358" si="158">($M295-patm)*1000000*$I295/SQRT(rat*to)*SQRT(k)*(2/(k+1))^((k+1)/2/(k-1))</f>
        <v>0.23698008192463715</v>
      </c>
    </row>
    <row r="296" spans="2:35">
      <c r="B296" s="39">
        <f t="shared" ref="B296:B359" si="159">1+B295</f>
        <v>268</v>
      </c>
      <c r="C296" s="45">
        <f t="shared" ref="C296:C359" si="160">xincp+C295</f>
        <v>7.8729016786567163</v>
      </c>
      <c r="D296" s="10">
        <f t="shared" ref="D296:D359" si="161">(F296-E296)/2</f>
        <v>7.5770983213435095</v>
      </c>
      <c r="E296" s="40">
        <f t="shared" ref="E296:E359" si="162">E295+ci*2*xincp</f>
        <v>33.185803357312984</v>
      </c>
      <c r="F296" s="40">
        <f t="shared" ref="F296:F359" si="163">F295-osi*2*xincp</f>
        <v>48.34</v>
      </c>
      <c r="G296" s="3">
        <f t="shared" ref="G296:G359" si="164">G295-ei*n*2*xincp</f>
        <v>96.708393285374029</v>
      </c>
      <c r="H296" s="3">
        <f t="shared" ref="H296:H359" si="165">PI()/4*(dto+erate*(two-D296)/two)^2</f>
        <v>148.0155219248214</v>
      </c>
      <c r="I296">
        <f t="shared" si="150"/>
        <v>1.4801552192482141E-4</v>
      </c>
      <c r="J296" s="4">
        <f t="shared" ref="J296:J359" si="166">PI()/4*dc^2-PI()/4*(F296^2-E296^2)</f>
        <v>869.51583388067445</v>
      </c>
      <c r="K296" s="40">
        <f t="shared" ref="K296:K359" si="167">J296/H296</f>
        <v>5.8744908815868007</v>
      </c>
      <c r="L296" s="40">
        <f t="shared" si="151"/>
        <v>0.12550911841319934</v>
      </c>
      <c r="M296" s="10">
        <f t="shared" ref="M296:M359" si="168">AB295</f>
        <v>1.5332506638081427</v>
      </c>
      <c r="N296" s="10">
        <f t="shared" si="147"/>
        <v>8.26</v>
      </c>
      <c r="O296" s="10">
        <f t="shared" si="148"/>
        <v>0.31900000000000001</v>
      </c>
      <c r="P296" s="10">
        <f t="shared" ref="P296:P359" si="169">(1+kv*L296)*N296*M296^O296</f>
        <v>9.4665263001810533</v>
      </c>
      <c r="Q296" s="45">
        <f t="shared" ref="Q296:Q359" si="170">xincp/P296+Q295</f>
        <v>0.9578301873552949</v>
      </c>
      <c r="R296" s="4">
        <f t="shared" ref="R296:R359" si="171">PI()/4*(F296^2-E296^2)*G296</f>
        <v>93838.715594249748</v>
      </c>
      <c r="S296">
        <f t="shared" si="152"/>
        <v>9.3838715594249755E-5</v>
      </c>
      <c r="T296" s="44">
        <f t="shared" si="153"/>
        <v>1.4202907004106567E-4</v>
      </c>
      <c r="U296" s="45">
        <f t="shared" ref="U296:U359" si="172">rhopgrain*R296/1000^2</f>
        <v>0.16839826706966088</v>
      </c>
      <c r="V296" s="45">
        <f t="shared" ref="V296:V359" si="173">(U295-U296)/(Q296-Q295)</f>
        <v>0.23727487714784623</v>
      </c>
      <c r="W296" s="45">
        <f t="shared" ref="W296:W359" si="174">IF(V296&lt;AI296,IF(AB295&gt;pbd,AI296,0),AI296)</f>
        <v>0.23682403564544938</v>
      </c>
      <c r="X296" s="45">
        <f t="shared" ref="X296:X359" si="175">V296-W296</f>
        <v>4.5084150239685372E-4</v>
      </c>
      <c r="Y296" s="45">
        <f t="shared" si="149"/>
        <v>6.2878359263715739E-4</v>
      </c>
      <c r="Z296" s="10">
        <f t="shared" ref="Z296:Z359" si="176">Y296/T296</f>
        <v>4.4271471499134201</v>
      </c>
      <c r="AA296">
        <f t="shared" si="154"/>
        <v>1532297.7271479582</v>
      </c>
      <c r="AB296" s="10">
        <f t="shared" si="155"/>
        <v>1.5322977271479583</v>
      </c>
      <c r="AC296" s="10">
        <f t="shared" si="156"/>
        <v>1.4312977271479583</v>
      </c>
      <c r="AD296" s="3">
        <f t="shared" si="157"/>
        <v>207.58487703378654</v>
      </c>
      <c r="AI296" s="100">
        <f t="shared" si="158"/>
        <v>0.23682403564544938</v>
      </c>
    </row>
    <row r="297" spans="2:35">
      <c r="B297" s="39">
        <f t="shared" si="159"/>
        <v>269</v>
      </c>
      <c r="C297" s="45">
        <f t="shared" si="160"/>
        <v>7.9022781774576742</v>
      </c>
      <c r="D297" s="10">
        <f t="shared" si="161"/>
        <v>7.5477218225425524</v>
      </c>
      <c r="E297" s="40">
        <f t="shared" si="162"/>
        <v>33.244556354914899</v>
      </c>
      <c r="F297" s="40">
        <f t="shared" si="163"/>
        <v>48.34</v>
      </c>
      <c r="G297" s="3">
        <f t="shared" si="164"/>
        <v>96.590887290170201</v>
      </c>
      <c r="H297" s="3">
        <f t="shared" si="165"/>
        <v>148.0155219248214</v>
      </c>
      <c r="I297">
        <f t="shared" si="150"/>
        <v>1.4801552192482141E-4</v>
      </c>
      <c r="J297" s="4">
        <f t="shared" si="166"/>
        <v>872.58122937597261</v>
      </c>
      <c r="K297" s="40">
        <f t="shared" si="167"/>
        <v>5.895200841295317</v>
      </c>
      <c r="L297" s="40">
        <f t="shared" si="151"/>
        <v>0.10479915870468304</v>
      </c>
      <c r="M297" s="10">
        <f t="shared" si="168"/>
        <v>1.5322977271479583</v>
      </c>
      <c r="N297" s="10">
        <f t="shared" si="147"/>
        <v>8.26</v>
      </c>
      <c r="O297" s="10">
        <f t="shared" si="148"/>
        <v>0.31900000000000001</v>
      </c>
      <c r="P297" s="10">
        <f t="shared" si="169"/>
        <v>9.4646490414518905</v>
      </c>
      <c r="Q297" s="45">
        <f t="shared" si="170"/>
        <v>0.9609340001509199</v>
      </c>
      <c r="R297" s="4">
        <f t="shared" si="171"/>
        <v>93428.607143845831</v>
      </c>
      <c r="S297">
        <f t="shared" si="152"/>
        <v>9.3428607143845833E-5</v>
      </c>
      <c r="T297" s="44">
        <f t="shared" si="153"/>
        <v>1.4243917849146958E-4</v>
      </c>
      <c r="U297" s="45">
        <f t="shared" si="172"/>
        <v>0.16766230694998854</v>
      </c>
      <c r="V297" s="45">
        <f t="shared" si="173"/>
        <v>0.2371148545781222</v>
      </c>
      <c r="W297" s="45">
        <f t="shared" si="174"/>
        <v>0.23666646664493704</v>
      </c>
      <c r="X297" s="45">
        <f t="shared" si="175"/>
        <v>4.4838793318516257E-4</v>
      </c>
      <c r="Y297" s="45">
        <f t="shared" si="149"/>
        <v>6.301753048415813E-4</v>
      </c>
      <c r="Z297" s="10">
        <f t="shared" si="176"/>
        <v>4.4241711551244407</v>
      </c>
      <c r="AA297">
        <f t="shared" si="154"/>
        <v>1531335.5873244484</v>
      </c>
      <c r="AB297" s="10">
        <f t="shared" si="155"/>
        <v>1.5313355873244483</v>
      </c>
      <c r="AC297" s="10">
        <f t="shared" si="156"/>
        <v>1.4303355873244483</v>
      </c>
      <c r="AD297" s="3">
        <f t="shared" si="157"/>
        <v>207.44533536250157</v>
      </c>
      <c r="AI297" s="100">
        <f t="shared" si="158"/>
        <v>0.23666646664493704</v>
      </c>
    </row>
    <row r="298" spans="2:35">
      <c r="B298" s="39">
        <f t="shared" si="159"/>
        <v>270</v>
      </c>
      <c r="C298" s="45">
        <f t="shared" si="160"/>
        <v>7.9316546762586322</v>
      </c>
      <c r="D298" s="10">
        <f t="shared" si="161"/>
        <v>7.5183453237415954</v>
      </c>
      <c r="E298" s="40">
        <f t="shared" si="162"/>
        <v>33.303309352516813</v>
      </c>
      <c r="F298" s="40">
        <f t="shared" si="163"/>
        <v>48.34</v>
      </c>
      <c r="G298" s="3">
        <f t="shared" si="164"/>
        <v>96.473381294966373</v>
      </c>
      <c r="H298" s="3">
        <f t="shared" si="165"/>
        <v>148.0155219248214</v>
      </c>
      <c r="I298">
        <f t="shared" si="150"/>
        <v>1.4801552192482141E-4</v>
      </c>
      <c r="J298" s="4">
        <f t="shared" si="166"/>
        <v>875.65204712624484</v>
      </c>
      <c r="K298" s="40">
        <f t="shared" si="167"/>
        <v>5.9159474340197749</v>
      </c>
      <c r="L298" s="40">
        <f t="shared" si="151"/>
        <v>8.4052565980225147E-2</v>
      </c>
      <c r="M298" s="10">
        <f t="shared" si="168"/>
        <v>1.5313355873244483</v>
      </c>
      <c r="N298" s="10">
        <f t="shared" si="147"/>
        <v>8.26</v>
      </c>
      <c r="O298" s="10">
        <f t="shared" si="148"/>
        <v>0.31900000000000001</v>
      </c>
      <c r="P298" s="10">
        <f t="shared" si="169"/>
        <v>9.4627528459729238</v>
      </c>
      <c r="Q298" s="45">
        <f t="shared" si="170"/>
        <v>0.96403843490464591</v>
      </c>
      <c r="R298" s="4">
        <f t="shared" si="171"/>
        <v>93018.69599486707</v>
      </c>
      <c r="S298">
        <f t="shared" si="152"/>
        <v>9.3018695994867068E-5</v>
      </c>
      <c r="T298" s="44">
        <f t="shared" si="153"/>
        <v>1.4284908964044834E-4</v>
      </c>
      <c r="U298" s="45">
        <f t="shared" si="172"/>
        <v>0.16692670089758868</v>
      </c>
      <c r="V298" s="45">
        <f t="shared" si="173"/>
        <v>0.23695329770321968</v>
      </c>
      <c r="W298" s="45">
        <f t="shared" si="174"/>
        <v>0.23650737589244752</v>
      </c>
      <c r="X298" s="45">
        <f t="shared" si="175"/>
        <v>4.4592181077215964E-4</v>
      </c>
      <c r="Y298" s="45">
        <f t="shared" si="149"/>
        <v>6.3155964000838685E-4</v>
      </c>
      <c r="Z298" s="10">
        <f t="shared" si="176"/>
        <v>4.4211667123537479</v>
      </c>
      <c r="AA298">
        <f t="shared" si="154"/>
        <v>1530364.2502616802</v>
      </c>
      <c r="AB298" s="10">
        <f t="shared" si="155"/>
        <v>1.5303642502616803</v>
      </c>
      <c r="AC298" s="10">
        <f t="shared" si="156"/>
        <v>1.4293642502616803</v>
      </c>
      <c r="AD298" s="3">
        <f t="shared" si="157"/>
        <v>207.30445979139674</v>
      </c>
      <c r="AI298" s="100">
        <f t="shared" si="158"/>
        <v>0.23650737589244752</v>
      </c>
    </row>
    <row r="299" spans="2:35">
      <c r="B299" s="39">
        <f t="shared" si="159"/>
        <v>271</v>
      </c>
      <c r="C299" s="45">
        <f t="shared" si="160"/>
        <v>7.9610311750595901</v>
      </c>
      <c r="D299" s="10">
        <f t="shared" si="161"/>
        <v>7.4889688249406383</v>
      </c>
      <c r="E299" s="40">
        <f t="shared" si="162"/>
        <v>33.362062350118727</v>
      </c>
      <c r="F299" s="40">
        <f t="shared" si="163"/>
        <v>48.34</v>
      </c>
      <c r="G299" s="3">
        <f t="shared" si="164"/>
        <v>96.355875299762545</v>
      </c>
      <c r="H299" s="3">
        <f t="shared" si="165"/>
        <v>148.0155219248214</v>
      </c>
      <c r="I299">
        <f t="shared" si="150"/>
        <v>1.4801552192482141E-4</v>
      </c>
      <c r="J299" s="4">
        <f t="shared" si="166"/>
        <v>878.7282871314909</v>
      </c>
      <c r="K299" s="40">
        <f t="shared" si="167"/>
        <v>5.9367306597601699</v>
      </c>
      <c r="L299" s="40">
        <f t="shared" si="151"/>
        <v>6.3269340239830107E-2</v>
      </c>
      <c r="M299" s="10">
        <f t="shared" si="168"/>
        <v>1.5303642502616803</v>
      </c>
      <c r="N299" s="10">
        <f t="shared" si="147"/>
        <v>8.26</v>
      </c>
      <c r="O299" s="10">
        <f t="shared" si="148"/>
        <v>0.31900000000000001</v>
      </c>
      <c r="P299" s="10">
        <f t="shared" si="169"/>
        <v>9.4608377012958389</v>
      </c>
      <c r="Q299" s="45">
        <f t="shared" si="170"/>
        <v>0.96714349808493216</v>
      </c>
      <c r="R299" s="4">
        <f t="shared" si="171"/>
        <v>92608.984058755872</v>
      </c>
      <c r="S299">
        <f t="shared" si="152"/>
        <v>9.2608984058755874E-5</v>
      </c>
      <c r="T299" s="44">
        <f t="shared" si="153"/>
        <v>1.4325880157655953E-4</v>
      </c>
      <c r="U299" s="45">
        <f t="shared" si="172"/>
        <v>0.16619145234264035</v>
      </c>
      <c r="V299" s="45">
        <f t="shared" si="173"/>
        <v>0.23679020756046262</v>
      </c>
      <c r="W299" s="45">
        <f t="shared" si="174"/>
        <v>0.23634676436753116</v>
      </c>
      <c r="X299" s="45">
        <f t="shared" si="175"/>
        <v>4.4344319293146417E-4</v>
      </c>
      <c r="Y299" s="45">
        <f t="shared" si="149"/>
        <v>6.3293655913930686E-4</v>
      </c>
      <c r="Z299" s="10">
        <f t="shared" si="176"/>
        <v>4.4181338401121319</v>
      </c>
      <c r="AA299">
        <f t="shared" si="154"/>
        <v>1529383.7219441971</v>
      </c>
      <c r="AB299" s="10">
        <f t="shared" si="155"/>
        <v>1.529383721944197</v>
      </c>
      <c r="AC299" s="10">
        <f t="shared" si="156"/>
        <v>1.428383721944197</v>
      </c>
      <c r="AD299" s="3">
        <f t="shared" si="157"/>
        <v>207.16225118842598</v>
      </c>
      <c r="AI299" s="100">
        <f t="shared" si="158"/>
        <v>0.23634676436753116</v>
      </c>
    </row>
    <row r="300" spans="2:35">
      <c r="B300" s="39">
        <f t="shared" si="159"/>
        <v>272</v>
      </c>
      <c r="C300" s="45">
        <f t="shared" si="160"/>
        <v>7.9904076738605481</v>
      </c>
      <c r="D300" s="10">
        <f t="shared" si="161"/>
        <v>7.4595923261396813</v>
      </c>
      <c r="E300" s="40">
        <f t="shared" si="162"/>
        <v>33.420815347720641</v>
      </c>
      <c r="F300" s="40">
        <f t="shared" si="163"/>
        <v>48.34</v>
      </c>
      <c r="G300" s="3">
        <f t="shared" si="164"/>
        <v>96.238369304558717</v>
      </c>
      <c r="H300" s="3">
        <f t="shared" si="165"/>
        <v>148.0155219248214</v>
      </c>
      <c r="I300">
        <f t="shared" si="150"/>
        <v>1.4801552192482141E-4</v>
      </c>
      <c r="J300" s="4">
        <f t="shared" si="166"/>
        <v>881.80994939171092</v>
      </c>
      <c r="K300" s="40">
        <f t="shared" si="167"/>
        <v>5.9575505185165056</v>
      </c>
      <c r="L300" s="40">
        <f t="shared" si="151"/>
        <v>4.2449481483494367E-2</v>
      </c>
      <c r="M300" s="10">
        <f t="shared" si="168"/>
        <v>1.529383721944197</v>
      </c>
      <c r="N300" s="10">
        <f t="shared" si="147"/>
        <v>8.26</v>
      </c>
      <c r="O300" s="10">
        <f t="shared" si="148"/>
        <v>0.31900000000000001</v>
      </c>
      <c r="P300" s="10">
        <f t="shared" si="169"/>
        <v>9.4589035948381426</v>
      </c>
      <c r="Q300" s="45">
        <f t="shared" si="170"/>
        <v>0.97024919617207506</v>
      </c>
      <c r="R300" s="4">
        <f t="shared" si="171"/>
        <v>92199.473246954629</v>
      </c>
      <c r="S300">
        <f t="shared" si="152"/>
        <v>9.2199473246954634E-5</v>
      </c>
      <c r="T300" s="44">
        <f t="shared" si="153"/>
        <v>1.4366831238836079E-4</v>
      </c>
      <c r="U300" s="45">
        <f t="shared" si="172"/>
        <v>0.16545656471532244</v>
      </c>
      <c r="V300" s="45">
        <f t="shared" si="173"/>
        <v>0.23662558519781099</v>
      </c>
      <c r="W300" s="45">
        <f t="shared" si="174"/>
        <v>0.23618463305973783</v>
      </c>
      <c r="X300" s="45">
        <f t="shared" si="175"/>
        <v>4.4095213807315847E-4</v>
      </c>
      <c r="Y300" s="45">
        <f t="shared" si="149"/>
        <v>6.3430602335104219E-4</v>
      </c>
      <c r="Z300" s="10">
        <f t="shared" si="176"/>
        <v>4.4150725571022305</v>
      </c>
      <c r="AA300">
        <f t="shared" si="154"/>
        <v>1528394.0084185658</v>
      </c>
      <c r="AB300" s="10">
        <f t="shared" si="155"/>
        <v>1.5283940084185659</v>
      </c>
      <c r="AC300" s="10">
        <f t="shared" si="156"/>
        <v>1.4273940084185659</v>
      </c>
      <c r="AD300" s="3">
        <f t="shared" si="157"/>
        <v>207.01871043053893</v>
      </c>
      <c r="AI300" s="100">
        <f t="shared" si="158"/>
        <v>0.23618463305973783</v>
      </c>
    </row>
    <row r="301" spans="2:35">
      <c r="B301" s="39">
        <f t="shared" si="159"/>
        <v>273</v>
      </c>
      <c r="C301" s="45">
        <f t="shared" si="160"/>
        <v>8.019784172661506</v>
      </c>
      <c r="D301" s="10">
        <f t="shared" si="161"/>
        <v>7.4302158273387242</v>
      </c>
      <c r="E301" s="40">
        <f t="shared" si="162"/>
        <v>33.479568345322555</v>
      </c>
      <c r="F301" s="40">
        <f t="shared" si="163"/>
        <v>48.34</v>
      </c>
      <c r="G301" s="3">
        <f t="shared" si="164"/>
        <v>96.120863309354888</v>
      </c>
      <c r="H301" s="3">
        <f t="shared" si="165"/>
        <v>148.0155219248214</v>
      </c>
      <c r="I301">
        <f t="shared" si="150"/>
        <v>1.4801552192482141E-4</v>
      </c>
      <c r="J301" s="4">
        <f t="shared" si="166"/>
        <v>884.89703390690488</v>
      </c>
      <c r="K301" s="40">
        <f t="shared" si="167"/>
        <v>5.9784070102887803</v>
      </c>
      <c r="L301" s="40">
        <f t="shared" si="151"/>
        <v>2.1592989711219701E-2</v>
      </c>
      <c r="M301" s="10">
        <f t="shared" si="168"/>
        <v>1.5283940084185659</v>
      </c>
      <c r="N301" s="10">
        <f t="shared" si="147"/>
        <v>8.26</v>
      </c>
      <c r="O301" s="10">
        <f t="shared" si="148"/>
        <v>0.31900000000000001</v>
      </c>
      <c r="P301" s="10">
        <f t="shared" si="169"/>
        <v>9.4569505138857046</v>
      </c>
      <c r="Q301" s="45">
        <f t="shared" si="170"/>
        <v>0.97335553565834221</v>
      </c>
      <c r="R301" s="4">
        <f t="shared" si="171"/>
        <v>91790.165470905747</v>
      </c>
      <c r="S301">
        <f t="shared" si="152"/>
        <v>9.179016547090575E-5</v>
      </c>
      <c r="T301" s="44">
        <f t="shared" si="153"/>
        <v>1.4407762016440968E-4</v>
      </c>
      <c r="U301" s="45">
        <f t="shared" si="172"/>
        <v>0.1647220414458139</v>
      </c>
      <c r="V301" s="45">
        <f t="shared" si="173"/>
        <v>0.23645943167377645</v>
      </c>
      <c r="W301" s="45">
        <f t="shared" si="174"/>
        <v>0.23602098296887344</v>
      </c>
      <c r="X301" s="45">
        <f t="shared" si="175"/>
        <v>4.3844870490300503E-4</v>
      </c>
      <c r="Y301" s="45">
        <f t="shared" si="149"/>
        <v>6.3566799387578508E-4</v>
      </c>
      <c r="Z301" s="10">
        <f t="shared" si="176"/>
        <v>4.4119828822159359</v>
      </c>
      <c r="AA301">
        <f t="shared" si="154"/>
        <v>1527395.1157925401</v>
      </c>
      <c r="AB301" s="10">
        <f t="shared" si="155"/>
        <v>1.5273951157925401</v>
      </c>
      <c r="AC301" s="10">
        <f t="shared" si="156"/>
        <v>1.4263951157925401</v>
      </c>
      <c r="AD301" s="3">
        <f t="shared" si="157"/>
        <v>206.87383840355912</v>
      </c>
      <c r="AI301" s="100">
        <f t="shared" si="158"/>
        <v>0.23602098296887344</v>
      </c>
    </row>
    <row r="302" spans="2:35">
      <c r="B302" s="39">
        <f t="shared" si="159"/>
        <v>274</v>
      </c>
      <c r="C302" s="45">
        <f t="shared" si="160"/>
        <v>8.0491606714624631</v>
      </c>
      <c r="D302" s="10">
        <f t="shared" si="161"/>
        <v>7.4008393285377672</v>
      </c>
      <c r="E302" s="40">
        <f t="shared" si="162"/>
        <v>33.538321342924469</v>
      </c>
      <c r="F302" s="40">
        <f t="shared" si="163"/>
        <v>48.34</v>
      </c>
      <c r="G302" s="3">
        <f t="shared" si="164"/>
        <v>96.00335731415106</v>
      </c>
      <c r="H302" s="3">
        <f t="shared" si="165"/>
        <v>148.0155219248214</v>
      </c>
      <c r="I302">
        <f t="shared" si="150"/>
        <v>1.4801552192482141E-4</v>
      </c>
      <c r="J302" s="4">
        <f t="shared" si="166"/>
        <v>887.9895406770728</v>
      </c>
      <c r="K302" s="40">
        <f t="shared" si="167"/>
        <v>5.9993001350769939</v>
      </c>
      <c r="L302" s="40">
        <f t="shared" si="151"/>
        <v>6.9986492300611047E-4</v>
      </c>
      <c r="M302" s="10">
        <f t="shared" si="168"/>
        <v>1.5273951157925401</v>
      </c>
      <c r="N302" s="10">
        <f t="shared" si="147"/>
        <v>8.26</v>
      </c>
      <c r="O302" s="10">
        <f t="shared" si="148"/>
        <v>0.31900000000000001</v>
      </c>
      <c r="P302" s="10">
        <f t="shared" si="169"/>
        <v>9.4549784455905588</v>
      </c>
      <c r="Q302" s="45">
        <f t="shared" si="170"/>
        <v>0.9764625230481081</v>
      </c>
      <c r="R302" s="4">
        <f t="shared" si="171"/>
        <v>91381.06264205162</v>
      </c>
      <c r="S302">
        <f t="shared" si="152"/>
        <v>9.1381062642051619E-5</v>
      </c>
      <c r="T302" s="44">
        <f t="shared" si="153"/>
        <v>1.4448672299326379E-4</v>
      </c>
      <c r="U302" s="45">
        <f t="shared" si="172"/>
        <v>0.16398788596429373</v>
      </c>
      <c r="V302" s="45">
        <f t="shared" si="173"/>
        <v>0.23629174805742906</v>
      </c>
      <c r="W302" s="45">
        <f t="shared" si="174"/>
        <v>0.23585581510486076</v>
      </c>
      <c r="X302" s="45">
        <f t="shared" si="175"/>
        <v>4.35932952568302E-4</v>
      </c>
      <c r="Y302" s="45">
        <f t="shared" si="149"/>
        <v>6.3702243206219819E-4</v>
      </c>
      <c r="Z302" s="10">
        <f t="shared" si="176"/>
        <v>4.4088648345349855</v>
      </c>
      <c r="AA302">
        <f t="shared" si="154"/>
        <v>1526387.0502352498</v>
      </c>
      <c r="AB302" s="10">
        <f t="shared" si="155"/>
        <v>1.5263870502352499</v>
      </c>
      <c r="AC302" s="10">
        <f t="shared" si="156"/>
        <v>1.4253870502352499</v>
      </c>
      <c r="AD302" s="3">
        <f t="shared" si="157"/>
        <v>206.72763600221174</v>
      </c>
      <c r="AI302" s="100">
        <f t="shared" si="158"/>
        <v>0.23585581510486076</v>
      </c>
    </row>
    <row r="303" spans="2:35">
      <c r="B303" s="39">
        <f t="shared" si="159"/>
        <v>275</v>
      </c>
      <c r="C303" s="45">
        <f t="shared" si="160"/>
        <v>8.0785371702634201</v>
      </c>
      <c r="D303" s="10">
        <f t="shared" si="161"/>
        <v>7.3714628297368101</v>
      </c>
      <c r="E303" s="40">
        <f t="shared" si="162"/>
        <v>33.597074340526383</v>
      </c>
      <c r="F303" s="40">
        <f t="shared" si="163"/>
        <v>48.34</v>
      </c>
      <c r="G303" s="3">
        <f t="shared" si="164"/>
        <v>95.885851318947232</v>
      </c>
      <c r="H303" s="3">
        <f t="shared" si="165"/>
        <v>148.0155219248214</v>
      </c>
      <c r="I303">
        <f t="shared" si="150"/>
        <v>1.4801552192482141E-4</v>
      </c>
      <c r="J303" s="4">
        <f t="shared" si="166"/>
        <v>891.08746970221455</v>
      </c>
      <c r="K303" s="40">
        <f t="shared" si="167"/>
        <v>6.0202298928811464</v>
      </c>
      <c r="L303" s="40">
        <f t="shared" si="151"/>
        <v>0</v>
      </c>
      <c r="M303" s="10">
        <f t="shared" si="168"/>
        <v>1.5263870502352499</v>
      </c>
      <c r="N303" s="10">
        <f t="shared" si="147"/>
        <v>8.26</v>
      </c>
      <c r="O303" s="10">
        <f t="shared" si="148"/>
        <v>0.31900000000000001</v>
      </c>
      <c r="P303" s="10">
        <f t="shared" si="169"/>
        <v>9.4529873769707198</v>
      </c>
      <c r="Q303" s="45">
        <f t="shared" si="170"/>
        <v>0.97957016485798976</v>
      </c>
      <c r="R303" s="4">
        <f t="shared" si="171"/>
        <v>90972.166671834668</v>
      </c>
      <c r="S303">
        <f t="shared" si="152"/>
        <v>9.0972166671834668E-5</v>
      </c>
      <c r="T303" s="44">
        <f t="shared" si="153"/>
        <v>1.4489561896348076E-4</v>
      </c>
      <c r="U303" s="45">
        <f t="shared" si="172"/>
        <v>0.1632541017009409</v>
      </c>
      <c r="V303" s="45">
        <f t="shared" si="173"/>
        <v>0.23612253542848638</v>
      </c>
      <c r="W303" s="45">
        <f t="shared" si="174"/>
        <v>0.23568913048777157</v>
      </c>
      <c r="X303" s="45">
        <f t="shared" si="175"/>
        <v>4.3340494071480995E-4</v>
      </c>
      <c r="Y303" s="45">
        <f t="shared" si="149"/>
        <v>6.3836929937657286E-4</v>
      </c>
      <c r="Z303" s="10">
        <f t="shared" si="176"/>
        <v>4.4057184333328001</v>
      </c>
      <c r="AA303">
        <f t="shared" si="154"/>
        <v>1525369.8179777968</v>
      </c>
      <c r="AB303" s="10">
        <f t="shared" si="155"/>
        <v>1.5253698179777968</v>
      </c>
      <c r="AC303" s="10">
        <f t="shared" si="156"/>
        <v>1.4243698179777968</v>
      </c>
      <c r="AD303" s="3">
        <f t="shared" si="157"/>
        <v>206.58010413020983</v>
      </c>
      <c r="AI303" s="100">
        <f t="shared" si="158"/>
        <v>0.23568913048777157</v>
      </c>
    </row>
    <row r="304" spans="2:35">
      <c r="B304" s="39">
        <f t="shared" si="159"/>
        <v>276</v>
      </c>
      <c r="C304" s="45">
        <f t="shared" si="160"/>
        <v>8.1079136690643772</v>
      </c>
      <c r="D304" s="10">
        <f t="shared" si="161"/>
        <v>7.3420863309358531</v>
      </c>
      <c r="E304" s="40">
        <f t="shared" si="162"/>
        <v>33.655827338128297</v>
      </c>
      <c r="F304" s="40">
        <f t="shared" si="163"/>
        <v>48.34</v>
      </c>
      <c r="G304" s="3">
        <f t="shared" si="164"/>
        <v>95.768345323743404</v>
      </c>
      <c r="H304" s="3">
        <f t="shared" si="165"/>
        <v>148.0155219248214</v>
      </c>
      <c r="I304">
        <f t="shared" si="150"/>
        <v>1.4801552192482141E-4</v>
      </c>
      <c r="J304" s="4">
        <f t="shared" si="166"/>
        <v>894.19082098233025</v>
      </c>
      <c r="K304" s="40">
        <f t="shared" si="167"/>
        <v>6.0411962837012387</v>
      </c>
      <c r="L304" s="40">
        <f t="shared" si="151"/>
        <v>0</v>
      </c>
      <c r="M304" s="10">
        <f t="shared" si="168"/>
        <v>1.5253698179777968</v>
      </c>
      <c r="N304" s="10">
        <f t="shared" si="147"/>
        <v>8.26</v>
      </c>
      <c r="O304" s="10">
        <f t="shared" si="148"/>
        <v>0.31900000000000001</v>
      </c>
      <c r="P304" s="10">
        <f t="shared" si="169"/>
        <v>9.4509772949108211</v>
      </c>
      <c r="Q304" s="45">
        <f t="shared" si="170"/>
        <v>0.98267846761698341</v>
      </c>
      <c r="R304" s="4">
        <f t="shared" si="171"/>
        <v>90563.479471697283</v>
      </c>
      <c r="S304">
        <f t="shared" si="152"/>
        <v>9.0563479471697284E-5</v>
      </c>
      <c r="T304" s="44">
        <f t="shared" si="153"/>
        <v>1.4530430616361813E-4</v>
      </c>
      <c r="U304" s="45">
        <f t="shared" si="172"/>
        <v>0.16252069208593434</v>
      </c>
      <c r="V304" s="45">
        <f t="shared" si="173"/>
        <v>0.23595179487728321</v>
      </c>
      <c r="W304" s="45">
        <f t="shared" si="174"/>
        <v>0.23552093014792444</v>
      </c>
      <c r="X304" s="45">
        <f t="shared" si="175"/>
        <v>4.3086472935877085E-4</v>
      </c>
      <c r="Y304" s="45">
        <f t="shared" si="149"/>
        <v>6.3970855740359182E-4</v>
      </c>
      <c r="Z304" s="10">
        <f t="shared" si="176"/>
        <v>4.4025436980735853</v>
      </c>
      <c r="AA304">
        <f t="shared" si="154"/>
        <v>1524343.4253129631</v>
      </c>
      <c r="AB304" s="10">
        <f t="shared" si="155"/>
        <v>1.5243434253129631</v>
      </c>
      <c r="AC304" s="10">
        <f t="shared" si="156"/>
        <v>1.4233434253129631</v>
      </c>
      <c r="AD304" s="3">
        <f t="shared" si="157"/>
        <v>206.43124370021221</v>
      </c>
      <c r="AI304" s="100">
        <f t="shared" si="158"/>
        <v>0.23552093014792444</v>
      </c>
    </row>
    <row r="305" spans="2:35">
      <c r="B305" s="39">
        <f t="shared" si="159"/>
        <v>277</v>
      </c>
      <c r="C305" s="45">
        <f t="shared" si="160"/>
        <v>8.1372901678653342</v>
      </c>
      <c r="D305" s="10">
        <f t="shared" si="161"/>
        <v>7.312709832134896</v>
      </c>
      <c r="E305" s="40">
        <f t="shared" si="162"/>
        <v>33.714580335730211</v>
      </c>
      <c r="F305" s="40">
        <f t="shared" si="163"/>
        <v>48.34</v>
      </c>
      <c r="G305" s="3">
        <f t="shared" si="164"/>
        <v>95.650839328539575</v>
      </c>
      <c r="H305" s="3">
        <f t="shared" si="165"/>
        <v>148.0155219248214</v>
      </c>
      <c r="I305">
        <f t="shared" si="150"/>
        <v>1.4801552192482141E-4</v>
      </c>
      <c r="J305" s="4">
        <f t="shared" si="166"/>
        <v>897.29959451741968</v>
      </c>
      <c r="K305" s="40">
        <f t="shared" si="167"/>
        <v>6.0621993075372682</v>
      </c>
      <c r="L305" s="40">
        <f t="shared" si="151"/>
        <v>0</v>
      </c>
      <c r="M305" s="10">
        <f t="shared" si="168"/>
        <v>1.5243434253129631</v>
      </c>
      <c r="N305" s="10">
        <f t="shared" si="147"/>
        <v>8.26</v>
      </c>
      <c r="O305" s="10">
        <f t="shared" si="148"/>
        <v>0.31900000000000001</v>
      </c>
      <c r="P305" s="10">
        <f t="shared" si="169"/>
        <v>9.4489481861609761</v>
      </c>
      <c r="Q305" s="45">
        <f t="shared" si="170"/>
        <v>0.9857874378666015</v>
      </c>
      <c r="R305" s="4">
        <f t="shared" si="171"/>
        <v>90155.002953081872</v>
      </c>
      <c r="S305">
        <f t="shared" si="152"/>
        <v>9.0155002953081878E-5</v>
      </c>
      <c r="T305" s="44">
        <f t="shared" si="153"/>
        <v>1.4571278268223352E-4</v>
      </c>
      <c r="U305" s="45">
        <f t="shared" si="172"/>
        <v>0.16178766054945304</v>
      </c>
      <c r="V305" s="45">
        <f t="shared" si="173"/>
        <v>0.23577952750475656</v>
      </c>
      <c r="W305" s="45">
        <f t="shared" si="174"/>
        <v>0.23535121512583709</v>
      </c>
      <c r="X305" s="45">
        <f t="shared" si="175"/>
        <v>4.2831237891946539E-4</v>
      </c>
      <c r="Y305" s="45">
        <f t="shared" si="149"/>
        <v>6.4104016784719562E-4</v>
      </c>
      <c r="Z305" s="10">
        <f t="shared" si="176"/>
        <v>4.3993406484121476</v>
      </c>
      <c r="AA305">
        <f t="shared" si="154"/>
        <v>1523307.8785951524</v>
      </c>
      <c r="AB305" s="10">
        <f t="shared" si="155"/>
        <v>1.5233078785951524</v>
      </c>
      <c r="AC305" s="10">
        <f t="shared" si="156"/>
        <v>1.4223078785951524</v>
      </c>
      <c r="AD305" s="3">
        <f t="shared" si="157"/>
        <v>206.2810556338147</v>
      </c>
      <c r="AI305" s="100">
        <f t="shared" si="158"/>
        <v>0.23535121512583709</v>
      </c>
    </row>
    <row r="306" spans="2:35">
      <c r="B306" s="39">
        <f t="shared" si="159"/>
        <v>278</v>
      </c>
      <c r="C306" s="45">
        <f t="shared" si="160"/>
        <v>8.1666666666662913</v>
      </c>
      <c r="D306" s="10">
        <f t="shared" si="161"/>
        <v>7.283333333333939</v>
      </c>
      <c r="E306" s="40">
        <f t="shared" si="162"/>
        <v>33.773333333332126</v>
      </c>
      <c r="F306" s="40">
        <f t="shared" si="163"/>
        <v>48.34</v>
      </c>
      <c r="G306" s="3">
        <f t="shared" si="164"/>
        <v>95.533333333335747</v>
      </c>
      <c r="H306" s="3">
        <f t="shared" si="165"/>
        <v>148.0155219248214</v>
      </c>
      <c r="I306">
        <f t="shared" si="150"/>
        <v>1.4801552192482141E-4</v>
      </c>
      <c r="J306" s="4">
        <f t="shared" si="166"/>
        <v>900.41379030748317</v>
      </c>
      <c r="K306" s="40">
        <f t="shared" si="167"/>
        <v>6.0832389643892384</v>
      </c>
      <c r="L306" s="40">
        <f t="shared" si="151"/>
        <v>0</v>
      </c>
      <c r="M306" s="10">
        <f t="shared" si="168"/>
        <v>1.5233078785951524</v>
      </c>
      <c r="N306" s="10">
        <f t="shared" si="147"/>
        <v>8.26</v>
      </c>
      <c r="O306" s="10">
        <f t="shared" si="148"/>
        <v>0.31900000000000001</v>
      </c>
      <c r="P306" s="10">
        <f t="shared" si="169"/>
        <v>9.446900037336091</v>
      </c>
      <c r="Q306" s="45">
        <f t="shared" si="170"/>
        <v>0.98889708216101091</v>
      </c>
      <c r="R306" s="4">
        <f t="shared" si="171"/>
        <v>89746.739027430813</v>
      </c>
      <c r="S306">
        <f t="shared" si="152"/>
        <v>8.9746739027430809E-5</v>
      </c>
      <c r="T306" s="44">
        <f t="shared" si="153"/>
        <v>1.461210466078846E-4</v>
      </c>
      <c r="U306" s="45">
        <f t="shared" si="172"/>
        <v>0.16105501052167595</v>
      </c>
      <c r="V306" s="45">
        <f t="shared" si="173"/>
        <v>0.2356057344225071</v>
      </c>
      <c r="W306" s="45">
        <f t="shared" si="174"/>
        <v>0.23517998647221633</v>
      </c>
      <c r="X306" s="45">
        <f t="shared" si="175"/>
        <v>4.2574795029076684E-4</v>
      </c>
      <c r="Y306" s="45">
        <f t="shared" si="149"/>
        <v>6.4236409253167382E-4</v>
      </c>
      <c r="Z306" s="10">
        <f t="shared" si="176"/>
        <v>4.3961093041952815</v>
      </c>
      <c r="AA306">
        <f t="shared" si="154"/>
        <v>1522263.184240838</v>
      </c>
      <c r="AB306" s="10">
        <f t="shared" si="155"/>
        <v>1.5222631842408381</v>
      </c>
      <c r="AC306" s="10">
        <f t="shared" si="156"/>
        <v>1.4212631842408381</v>
      </c>
      <c r="AD306" s="3">
        <f t="shared" si="157"/>
        <v>206.12954086161537</v>
      </c>
      <c r="AI306" s="100">
        <f t="shared" si="158"/>
        <v>0.23517998647221633</v>
      </c>
    </row>
    <row r="307" spans="2:35">
      <c r="B307" s="39">
        <f t="shared" si="159"/>
        <v>279</v>
      </c>
      <c r="C307" s="45">
        <f t="shared" si="160"/>
        <v>8.1960431654672483</v>
      </c>
      <c r="D307" s="10">
        <f t="shared" si="161"/>
        <v>7.2539568345329819</v>
      </c>
      <c r="E307" s="40">
        <f t="shared" si="162"/>
        <v>33.83208633093404</v>
      </c>
      <c r="F307" s="40">
        <f t="shared" si="163"/>
        <v>48.34</v>
      </c>
      <c r="G307" s="3">
        <f t="shared" si="164"/>
        <v>95.415827338131919</v>
      </c>
      <c r="H307" s="3">
        <f t="shared" si="165"/>
        <v>148.0155219248214</v>
      </c>
      <c r="I307">
        <f t="shared" si="150"/>
        <v>1.4801552192482141E-4</v>
      </c>
      <c r="J307" s="4">
        <f t="shared" si="166"/>
        <v>903.53340835252072</v>
      </c>
      <c r="K307" s="40">
        <f t="shared" si="167"/>
        <v>6.1043152542571484</v>
      </c>
      <c r="L307" s="40">
        <f t="shared" si="151"/>
        <v>0</v>
      </c>
      <c r="M307" s="10">
        <f t="shared" si="168"/>
        <v>1.5222631842408381</v>
      </c>
      <c r="N307" s="10">
        <f t="shared" si="147"/>
        <v>8.26</v>
      </c>
      <c r="O307" s="10">
        <f t="shared" si="148"/>
        <v>0.31900000000000001</v>
      </c>
      <c r="P307" s="10">
        <f t="shared" si="169"/>
        <v>9.4448328349161876</v>
      </c>
      <c r="Q307" s="45">
        <f t="shared" si="170"/>
        <v>0.99200740706717094</v>
      </c>
      <c r="R307" s="4">
        <f t="shared" si="171"/>
        <v>89338.689606186512</v>
      </c>
      <c r="S307">
        <f t="shared" si="152"/>
        <v>8.9338689606186517E-5</v>
      </c>
      <c r="T307" s="44">
        <f t="shared" si="153"/>
        <v>1.4652909602912888E-4</v>
      </c>
      <c r="U307" s="45">
        <f t="shared" si="172"/>
        <v>0.16032274543278199</v>
      </c>
      <c r="V307" s="45">
        <f t="shared" si="173"/>
        <v>0.23543041675282805</v>
      </c>
      <c r="W307" s="45">
        <f t="shared" si="174"/>
        <v>0.23500724524803218</v>
      </c>
      <c r="X307" s="45">
        <f t="shared" si="175"/>
        <v>4.2317150479587173E-4</v>
      </c>
      <c r="Y307" s="45">
        <f t="shared" si="149"/>
        <v>6.4368029340261762E-4</v>
      </c>
      <c r="Z307" s="10">
        <f t="shared" si="176"/>
        <v>4.3928496854621883</v>
      </c>
      <c r="AA307">
        <f t="shared" si="154"/>
        <v>1521209.3487286989</v>
      </c>
      <c r="AB307" s="10">
        <f t="shared" si="155"/>
        <v>1.5212093487286988</v>
      </c>
      <c r="AC307" s="10">
        <f t="shared" si="156"/>
        <v>1.4202093487286989</v>
      </c>
      <c r="AD307" s="3">
        <f t="shared" si="157"/>
        <v>205.97670032323407</v>
      </c>
      <c r="AI307" s="100">
        <f t="shared" si="158"/>
        <v>0.23500724524803218</v>
      </c>
    </row>
    <row r="308" spans="2:35">
      <c r="B308" s="39">
        <f t="shared" si="159"/>
        <v>280</v>
      </c>
      <c r="C308" s="45">
        <f t="shared" si="160"/>
        <v>8.2254196642682054</v>
      </c>
      <c r="D308" s="10">
        <f t="shared" si="161"/>
        <v>7.2245803357320248</v>
      </c>
      <c r="E308" s="40">
        <f t="shared" si="162"/>
        <v>33.890839328535954</v>
      </c>
      <c r="F308" s="40">
        <f t="shared" si="163"/>
        <v>48.34</v>
      </c>
      <c r="G308" s="3">
        <f t="shared" si="164"/>
        <v>95.298321342928091</v>
      </c>
      <c r="H308" s="3">
        <f t="shared" si="165"/>
        <v>148.0155219248214</v>
      </c>
      <c r="I308">
        <f t="shared" si="150"/>
        <v>1.4801552192482141E-4</v>
      </c>
      <c r="J308" s="4">
        <f t="shared" si="166"/>
        <v>906.658448652532</v>
      </c>
      <c r="K308" s="40">
        <f t="shared" si="167"/>
        <v>6.1254281771409973</v>
      </c>
      <c r="L308" s="40">
        <f t="shared" si="151"/>
        <v>0</v>
      </c>
      <c r="M308" s="10">
        <f t="shared" si="168"/>
        <v>1.5212093487286988</v>
      </c>
      <c r="N308" s="10">
        <f t="shared" si="147"/>
        <v>8.26</v>
      </c>
      <c r="O308" s="10">
        <f t="shared" si="148"/>
        <v>0.31900000000000001</v>
      </c>
      <c r="P308" s="10">
        <f t="shared" si="169"/>
        <v>9.4427465652460914</v>
      </c>
      <c r="Q308" s="45">
        <f t="shared" si="170"/>
        <v>0.99511841916497279</v>
      </c>
      <c r="R308" s="4">
        <f t="shared" si="171"/>
        <v>88930.856600791405</v>
      </c>
      <c r="S308">
        <f t="shared" si="152"/>
        <v>8.8930856600791402E-5</v>
      </c>
      <c r="T308" s="44">
        <f t="shared" si="153"/>
        <v>1.4693692903452402E-4</v>
      </c>
      <c r="U308" s="45">
        <f t="shared" si="172"/>
        <v>0.1595908687129502</v>
      </c>
      <c r="V308" s="45">
        <f t="shared" si="173"/>
        <v>0.2352535756286262</v>
      </c>
      <c r="W308" s="45">
        <f t="shared" si="174"/>
        <v>0.23483299252454054</v>
      </c>
      <c r="X308" s="45">
        <f t="shared" si="175"/>
        <v>4.2058310408565891E-4</v>
      </c>
      <c r="Y308" s="45">
        <f t="shared" si="149"/>
        <v>6.4498873252755921E-4</v>
      </c>
      <c r="Z308" s="10">
        <f t="shared" si="176"/>
        <v>4.3895618124427651</v>
      </c>
      <c r="AA308">
        <f t="shared" si="154"/>
        <v>1520146.3785990649</v>
      </c>
      <c r="AB308" s="10">
        <f t="shared" si="155"/>
        <v>1.520146378599065</v>
      </c>
      <c r="AC308" s="10">
        <f t="shared" si="156"/>
        <v>1.419146378599065</v>
      </c>
      <c r="AD308" s="3">
        <f t="shared" si="157"/>
        <v>205.82253496723203</v>
      </c>
      <c r="AI308" s="100">
        <f t="shared" si="158"/>
        <v>0.23483299252454054</v>
      </c>
    </row>
    <row r="309" spans="2:35">
      <c r="B309" s="39">
        <f t="shared" si="159"/>
        <v>281</v>
      </c>
      <c r="C309" s="45">
        <f t="shared" si="160"/>
        <v>8.2547961630691624</v>
      </c>
      <c r="D309" s="10">
        <f t="shared" si="161"/>
        <v>7.1952038369310678</v>
      </c>
      <c r="E309" s="40">
        <f t="shared" si="162"/>
        <v>33.949592326137868</v>
      </c>
      <c r="F309" s="40">
        <f t="shared" si="163"/>
        <v>48.34</v>
      </c>
      <c r="G309" s="3">
        <f t="shared" si="164"/>
        <v>95.180815347724263</v>
      </c>
      <c r="H309" s="3">
        <f t="shared" si="165"/>
        <v>148.0155219248214</v>
      </c>
      <c r="I309">
        <f t="shared" si="150"/>
        <v>1.4801552192482141E-4</v>
      </c>
      <c r="J309" s="4">
        <f t="shared" si="166"/>
        <v>909.78891120751723</v>
      </c>
      <c r="K309" s="40">
        <f t="shared" si="167"/>
        <v>6.1465777330407843</v>
      </c>
      <c r="L309" s="40">
        <f t="shared" si="151"/>
        <v>0</v>
      </c>
      <c r="M309" s="10">
        <f t="shared" si="168"/>
        <v>1.520146378599065</v>
      </c>
      <c r="N309" s="10">
        <f t="shared" si="147"/>
        <v>8.26</v>
      </c>
      <c r="O309" s="10">
        <f t="shared" si="148"/>
        <v>0.31900000000000001</v>
      </c>
      <c r="P309" s="10">
        <f t="shared" si="169"/>
        <v>9.4406412145337484</v>
      </c>
      <c r="Q309" s="45">
        <f t="shared" si="170"/>
        <v>0.99823012504737973</v>
      </c>
      <c r="R309" s="4">
        <f t="shared" si="171"/>
        <v>88523.241922687856</v>
      </c>
      <c r="S309">
        <f t="shared" si="152"/>
        <v>8.8523241922687862E-5</v>
      </c>
      <c r="T309" s="44">
        <f t="shared" si="153"/>
        <v>1.4734454371262754E-4</v>
      </c>
      <c r="U309" s="45">
        <f t="shared" si="172"/>
        <v>0.15885938379235948</v>
      </c>
      <c r="V309" s="45">
        <f t="shared" si="173"/>
        <v>0.23507521219354641</v>
      </c>
      <c r="W309" s="45">
        <f t="shared" si="174"/>
        <v>0.23465722938319131</v>
      </c>
      <c r="X309" s="45">
        <f t="shared" si="175"/>
        <v>4.1798281035509977E-4</v>
      </c>
      <c r="Y309" s="45">
        <f t="shared" si="149"/>
        <v>6.4628937209728612E-4</v>
      </c>
      <c r="Z309" s="10">
        <f t="shared" si="176"/>
        <v>4.3862457055605146</v>
      </c>
      <c r="AA309">
        <f t="shared" si="154"/>
        <v>1519074.2804548598</v>
      </c>
      <c r="AB309" s="10">
        <f t="shared" si="155"/>
        <v>1.5190742804548598</v>
      </c>
      <c r="AC309" s="10">
        <f t="shared" si="156"/>
        <v>1.4180742804548598</v>
      </c>
      <c r="AD309" s="3">
        <f t="shared" si="157"/>
        <v>205.66704575124871</v>
      </c>
      <c r="AI309" s="100">
        <f t="shared" si="158"/>
        <v>0.23465722938319131</v>
      </c>
    </row>
    <row r="310" spans="2:35">
      <c r="B310" s="39">
        <f t="shared" si="159"/>
        <v>282</v>
      </c>
      <c r="C310" s="45">
        <f t="shared" si="160"/>
        <v>8.2841726618701195</v>
      </c>
      <c r="D310" s="10">
        <f t="shared" si="161"/>
        <v>7.1658273381301107</v>
      </c>
      <c r="E310" s="40">
        <f t="shared" si="162"/>
        <v>34.008345323739782</v>
      </c>
      <c r="F310" s="40">
        <f t="shared" si="163"/>
        <v>48.34</v>
      </c>
      <c r="G310" s="3">
        <f t="shared" si="164"/>
        <v>95.063309352520434</v>
      </c>
      <c r="H310" s="3">
        <f t="shared" si="165"/>
        <v>148.0155219248214</v>
      </c>
      <c r="I310">
        <f t="shared" si="150"/>
        <v>1.4801552192482141E-4</v>
      </c>
      <c r="J310" s="4">
        <f t="shared" si="166"/>
        <v>912.92479601747641</v>
      </c>
      <c r="K310" s="40">
        <f t="shared" si="167"/>
        <v>6.167763921956511</v>
      </c>
      <c r="L310" s="40">
        <f t="shared" si="151"/>
        <v>0</v>
      </c>
      <c r="M310" s="10">
        <f t="shared" si="168"/>
        <v>1.5190742804548598</v>
      </c>
      <c r="N310" s="10">
        <f t="shared" si="147"/>
        <v>8.26</v>
      </c>
      <c r="O310" s="10">
        <f t="shared" si="148"/>
        <v>0.31900000000000001</v>
      </c>
      <c r="P310" s="10">
        <f t="shared" si="169"/>
        <v>9.4385167688514997</v>
      </c>
      <c r="Q310" s="45">
        <f t="shared" si="170"/>
        <v>1.0013425313205671</v>
      </c>
      <c r="R310" s="4">
        <f t="shared" si="171"/>
        <v>88115.84748331827</v>
      </c>
      <c r="S310">
        <f t="shared" si="152"/>
        <v>8.811584748331827E-5</v>
      </c>
      <c r="T310" s="44">
        <f t="shared" si="153"/>
        <v>1.4775193815199714E-4</v>
      </c>
      <c r="U310" s="45">
        <f t="shared" si="172"/>
        <v>0.15812829410118881</v>
      </c>
      <c r="V310" s="45">
        <f t="shared" si="173"/>
        <v>0.23489532760193946</v>
      </c>
      <c r="W310" s="45">
        <f t="shared" si="174"/>
        <v>0.23447995691578424</v>
      </c>
      <c r="X310" s="45">
        <f t="shared" si="175"/>
        <v>4.1537068615521422E-4</v>
      </c>
      <c r="Y310" s="45">
        <f t="shared" si="149"/>
        <v>6.4758217442657372E-4</v>
      </c>
      <c r="Z310" s="10">
        <f t="shared" si="176"/>
        <v>4.3829013854314738</v>
      </c>
      <c r="AA310">
        <f t="shared" si="154"/>
        <v>1517993.0609612532</v>
      </c>
      <c r="AB310" s="10">
        <f t="shared" si="155"/>
        <v>1.5179930609612533</v>
      </c>
      <c r="AC310" s="10">
        <f t="shared" si="156"/>
        <v>1.4169930609612533</v>
      </c>
      <c r="AD310" s="3">
        <f t="shared" si="157"/>
        <v>205.51023364195115</v>
      </c>
      <c r="AI310" s="100">
        <f t="shared" si="158"/>
        <v>0.23447995691578424</v>
      </c>
    </row>
    <row r="311" spans="2:35">
      <c r="B311" s="39">
        <f t="shared" si="159"/>
        <v>283</v>
      </c>
      <c r="C311" s="45">
        <f t="shared" si="160"/>
        <v>8.3135491606710765</v>
      </c>
      <c r="D311" s="10">
        <f t="shared" si="161"/>
        <v>7.1364508393291537</v>
      </c>
      <c r="E311" s="40">
        <f t="shared" si="162"/>
        <v>34.067098321341696</v>
      </c>
      <c r="F311" s="40">
        <f t="shared" si="163"/>
        <v>48.34</v>
      </c>
      <c r="G311" s="3">
        <f t="shared" si="164"/>
        <v>94.945803357316606</v>
      </c>
      <c r="H311" s="3">
        <f t="shared" si="165"/>
        <v>148.0155219248214</v>
      </c>
      <c r="I311">
        <f t="shared" si="150"/>
        <v>1.4801552192482141E-4</v>
      </c>
      <c r="J311" s="4">
        <f t="shared" si="166"/>
        <v>916.06610308240931</v>
      </c>
      <c r="K311" s="40">
        <f t="shared" si="167"/>
        <v>6.1889867438881758</v>
      </c>
      <c r="L311" s="40">
        <f t="shared" si="151"/>
        <v>0</v>
      </c>
      <c r="M311" s="10">
        <f t="shared" si="168"/>
        <v>1.5179930609612533</v>
      </c>
      <c r="N311" s="10">
        <f t="shared" si="147"/>
        <v>8.26</v>
      </c>
      <c r="O311" s="10">
        <f t="shared" si="148"/>
        <v>0.31900000000000001</v>
      </c>
      <c r="P311" s="10">
        <f t="shared" si="169"/>
        <v>9.4363732141348002</v>
      </c>
      <c r="Q311" s="45">
        <f t="shared" si="170"/>
        <v>1.004455644604064</v>
      </c>
      <c r="R311" s="4">
        <f t="shared" si="171"/>
        <v>87708.675194125084</v>
      </c>
      <c r="S311">
        <f t="shared" si="152"/>
        <v>8.7708675194125079E-5</v>
      </c>
      <c r="T311" s="44">
        <f t="shared" si="153"/>
        <v>1.4815911044119035E-4</v>
      </c>
      <c r="U311" s="45">
        <f t="shared" si="172"/>
        <v>0.15739760306961714</v>
      </c>
      <c r="V311" s="45">
        <f t="shared" si="173"/>
        <v>0.23471392301885169</v>
      </c>
      <c r="W311" s="45">
        <f t="shared" si="174"/>
        <v>0.23430117622441168</v>
      </c>
      <c r="X311" s="45">
        <f t="shared" si="175"/>
        <v>4.1274679444000539E-4</v>
      </c>
      <c r="Y311" s="45">
        <f t="shared" si="149"/>
        <v>6.4886710195506572E-4</v>
      </c>
      <c r="Z311" s="10">
        <f t="shared" si="176"/>
        <v>4.3795288728641788</v>
      </c>
      <c r="AA311">
        <f t="shared" si="154"/>
        <v>1516902.7268456498</v>
      </c>
      <c r="AB311" s="10">
        <f t="shared" si="155"/>
        <v>1.5169027268456499</v>
      </c>
      <c r="AC311" s="10">
        <f t="shared" si="156"/>
        <v>1.4159027268456499</v>
      </c>
      <c r="AD311" s="3">
        <f t="shared" si="157"/>
        <v>205.35209961503259</v>
      </c>
      <c r="AI311" s="100">
        <f t="shared" si="158"/>
        <v>0.23430117622441168</v>
      </c>
    </row>
    <row r="312" spans="2:35">
      <c r="B312" s="39">
        <f t="shared" si="159"/>
        <v>284</v>
      </c>
      <c r="C312" s="45">
        <f t="shared" si="160"/>
        <v>8.3429256594720336</v>
      </c>
      <c r="D312" s="10">
        <f t="shared" si="161"/>
        <v>7.1070743405281966</v>
      </c>
      <c r="E312" s="40">
        <f t="shared" si="162"/>
        <v>34.12585131894361</v>
      </c>
      <c r="F312" s="40">
        <f t="shared" si="163"/>
        <v>48.34</v>
      </c>
      <c r="G312" s="3">
        <f t="shared" si="164"/>
        <v>94.828297362112778</v>
      </c>
      <c r="H312" s="3">
        <f t="shared" si="165"/>
        <v>148.0155219248214</v>
      </c>
      <c r="I312">
        <f t="shared" si="150"/>
        <v>1.4801552192482141E-4</v>
      </c>
      <c r="J312" s="4">
        <f t="shared" si="166"/>
        <v>919.21283240231639</v>
      </c>
      <c r="K312" s="40">
        <f t="shared" si="167"/>
        <v>6.2102461988357813</v>
      </c>
      <c r="L312" s="40">
        <f t="shared" si="151"/>
        <v>0</v>
      </c>
      <c r="M312" s="10">
        <f t="shared" si="168"/>
        <v>1.5169027268456499</v>
      </c>
      <c r="N312" s="10">
        <f t="shared" si="147"/>
        <v>8.26</v>
      </c>
      <c r="O312" s="10">
        <f t="shared" si="148"/>
        <v>0.31900000000000001</v>
      </c>
      <c r="P312" s="10">
        <f t="shared" si="169"/>
        <v>9.4342105361815864</v>
      </c>
      <c r="Q312" s="45">
        <f t="shared" si="170"/>
        <v>1.0075694715308954</v>
      </c>
      <c r="R312" s="4">
        <f t="shared" si="171"/>
        <v>87301.726966550632</v>
      </c>
      <c r="S312">
        <f t="shared" si="152"/>
        <v>8.7301726966550634E-5</v>
      </c>
      <c r="T312" s="44">
        <f t="shared" si="153"/>
        <v>1.4856605866876477E-4</v>
      </c>
      <c r="U312" s="45">
        <f t="shared" si="172"/>
        <v>0.15666731412782342</v>
      </c>
      <c r="V312" s="45">
        <f t="shared" si="173"/>
        <v>0.23453099962009211</v>
      </c>
      <c r="W312" s="45">
        <f t="shared" si="174"/>
        <v>0.23412088842145645</v>
      </c>
      <c r="X312" s="45">
        <f t="shared" si="175"/>
        <v>4.1011119863565426E-4</v>
      </c>
      <c r="Y312" s="45">
        <f t="shared" si="149"/>
        <v>6.5014411724837254E-4</v>
      </c>
      <c r="Z312" s="10">
        <f t="shared" si="176"/>
        <v>4.3761281888610934</v>
      </c>
      <c r="AA312">
        <f t="shared" si="154"/>
        <v>1515803.2848981512</v>
      </c>
      <c r="AB312" s="10">
        <f t="shared" si="155"/>
        <v>1.5158032848981511</v>
      </c>
      <c r="AC312" s="10">
        <f t="shared" si="156"/>
        <v>1.4148032848981511</v>
      </c>
      <c r="AD312" s="3">
        <f t="shared" si="157"/>
        <v>205.19264465527937</v>
      </c>
      <c r="AI312" s="100">
        <f t="shared" si="158"/>
        <v>0.23412088842145645</v>
      </c>
    </row>
    <row r="313" spans="2:35">
      <c r="B313" s="39">
        <f t="shared" si="159"/>
        <v>285</v>
      </c>
      <c r="C313" s="45">
        <f t="shared" si="160"/>
        <v>8.3723021582729906</v>
      </c>
      <c r="D313" s="10">
        <f t="shared" si="161"/>
        <v>7.0776978417272396</v>
      </c>
      <c r="E313" s="40">
        <f t="shared" si="162"/>
        <v>34.184604316545524</v>
      </c>
      <c r="F313" s="40">
        <f t="shared" si="163"/>
        <v>48.34</v>
      </c>
      <c r="G313" s="3">
        <f t="shared" si="164"/>
        <v>94.71079136690895</v>
      </c>
      <c r="H313" s="3">
        <f t="shared" si="165"/>
        <v>148.0155219248214</v>
      </c>
      <c r="I313">
        <f t="shared" si="150"/>
        <v>1.4801552192482141E-4</v>
      </c>
      <c r="J313" s="4">
        <f t="shared" si="166"/>
        <v>922.36498397719731</v>
      </c>
      <c r="K313" s="40">
        <f t="shared" si="167"/>
        <v>6.2315422867993258</v>
      </c>
      <c r="L313" s="40">
        <f t="shared" si="151"/>
        <v>0</v>
      </c>
      <c r="M313" s="10">
        <f t="shared" si="168"/>
        <v>1.5158032848981511</v>
      </c>
      <c r="N313" s="10">
        <f t="shared" si="147"/>
        <v>8.26</v>
      </c>
      <c r="O313" s="10">
        <f t="shared" si="148"/>
        <v>0.31900000000000001</v>
      </c>
      <c r="P313" s="10">
        <f t="shared" si="169"/>
        <v>9.4320287206525872</v>
      </c>
      <c r="Q313" s="45">
        <f t="shared" si="170"/>
        <v>1.0106840187477242</v>
      </c>
      <c r="R313" s="4">
        <f t="shared" si="171"/>
        <v>86895.004712037378</v>
      </c>
      <c r="S313">
        <f t="shared" si="152"/>
        <v>8.6895004712037374E-5</v>
      </c>
      <c r="T313" s="44">
        <f t="shared" si="153"/>
        <v>1.4897278092327804E-4</v>
      </c>
      <c r="U313" s="45">
        <f t="shared" si="172"/>
        <v>0.15593743070598665</v>
      </c>
      <c r="V313" s="45">
        <f t="shared" si="173"/>
        <v>0.23434655859220982</v>
      </c>
      <c r="W313" s="45">
        <f t="shared" si="174"/>
        <v>0.2339390946296685</v>
      </c>
      <c r="X313" s="45">
        <f t="shared" si="175"/>
        <v>4.0746396254132122E-4</v>
      </c>
      <c r="Y313" s="45">
        <f t="shared" si="149"/>
        <v>6.5141318299886367E-4</v>
      </c>
      <c r="Z313" s="10">
        <f t="shared" si="176"/>
        <v>4.3726993546179802</v>
      </c>
      <c r="AA313">
        <f t="shared" si="154"/>
        <v>1514694.7419713519</v>
      </c>
      <c r="AB313" s="10">
        <f t="shared" si="155"/>
        <v>1.5146947419713519</v>
      </c>
      <c r="AC313" s="10">
        <f t="shared" si="156"/>
        <v>1.4136947419713519</v>
      </c>
      <c r="AD313" s="3">
        <f t="shared" si="157"/>
        <v>205.03186975654125</v>
      </c>
      <c r="AI313" s="100">
        <f t="shared" si="158"/>
        <v>0.2339390946296685</v>
      </c>
    </row>
    <row r="314" spans="2:35">
      <c r="B314" s="39">
        <f t="shared" si="159"/>
        <v>286</v>
      </c>
      <c r="C314" s="45">
        <f t="shared" si="160"/>
        <v>8.4016786570739477</v>
      </c>
      <c r="D314" s="10">
        <f t="shared" si="161"/>
        <v>7.0483213429262825</v>
      </c>
      <c r="E314" s="40">
        <f t="shared" si="162"/>
        <v>34.243357314147438</v>
      </c>
      <c r="F314" s="40">
        <f t="shared" si="163"/>
        <v>48.34</v>
      </c>
      <c r="G314" s="3">
        <f t="shared" si="164"/>
        <v>94.593285371705122</v>
      </c>
      <c r="H314" s="3">
        <f t="shared" si="165"/>
        <v>148.0155219248214</v>
      </c>
      <c r="I314">
        <f t="shared" si="150"/>
        <v>1.4801552192482141E-4</v>
      </c>
      <c r="J314" s="4">
        <f t="shared" si="166"/>
        <v>925.52255780705207</v>
      </c>
      <c r="K314" s="40">
        <f t="shared" si="167"/>
        <v>6.2528750077788091</v>
      </c>
      <c r="L314" s="40">
        <f t="shared" si="151"/>
        <v>0</v>
      </c>
      <c r="M314" s="10">
        <f t="shared" si="168"/>
        <v>1.5146947419713519</v>
      </c>
      <c r="N314" s="10">
        <f t="shared" si="147"/>
        <v>8.26</v>
      </c>
      <c r="O314" s="10">
        <f t="shared" si="148"/>
        <v>0.31900000000000001</v>
      </c>
      <c r="P314" s="10">
        <f t="shared" si="169"/>
        <v>9.4298277530703007</v>
      </c>
      <c r="Q314" s="45">
        <f t="shared" si="170"/>
        <v>1.0137992929149955</v>
      </c>
      <c r="R314" s="4">
        <f t="shared" si="171"/>
        <v>86488.510342027686</v>
      </c>
      <c r="S314">
        <f t="shared" si="152"/>
        <v>8.6488510342027687E-5</v>
      </c>
      <c r="T314" s="44">
        <f t="shared" si="153"/>
        <v>1.4937927529328773E-4</v>
      </c>
      <c r="U314" s="45">
        <f t="shared" si="172"/>
        <v>0.15520795623428579</v>
      </c>
      <c r="V314" s="45">
        <f t="shared" si="173"/>
        <v>0.23416060113251755</v>
      </c>
      <c r="W314" s="45">
        <f t="shared" si="174"/>
        <v>0.23375579598213092</v>
      </c>
      <c r="X314" s="45">
        <f t="shared" si="175"/>
        <v>4.048051503866279E-4</v>
      </c>
      <c r="Y314" s="45">
        <f t="shared" si="149"/>
        <v>6.5267426202664149E-4</v>
      </c>
      <c r="Z314" s="10">
        <f t="shared" si="176"/>
        <v>4.3692423915245024</v>
      </c>
      <c r="AA314">
        <f t="shared" si="154"/>
        <v>1513577.1049805358</v>
      </c>
      <c r="AB314" s="10">
        <f t="shared" si="155"/>
        <v>1.5135771049805358</v>
      </c>
      <c r="AC314" s="10">
        <f t="shared" si="156"/>
        <v>1.4125771049805358</v>
      </c>
      <c r="AD314" s="3">
        <f t="shared" si="157"/>
        <v>204.86977592176009</v>
      </c>
      <c r="AI314" s="100">
        <f t="shared" si="158"/>
        <v>0.23375579598213092</v>
      </c>
    </row>
    <row r="315" spans="2:35">
      <c r="B315" s="39">
        <f t="shared" si="159"/>
        <v>287</v>
      </c>
      <c r="C315" s="45">
        <f t="shared" si="160"/>
        <v>8.4310551558749047</v>
      </c>
      <c r="D315" s="10">
        <f t="shared" si="161"/>
        <v>7.0189448441253255</v>
      </c>
      <c r="E315" s="40">
        <f t="shared" si="162"/>
        <v>34.302110311749352</v>
      </c>
      <c r="F315" s="40">
        <f t="shared" si="163"/>
        <v>48.34</v>
      </c>
      <c r="G315" s="3">
        <f t="shared" si="164"/>
        <v>94.475779376501293</v>
      </c>
      <c r="H315" s="3">
        <f t="shared" si="165"/>
        <v>148.0155219248214</v>
      </c>
      <c r="I315">
        <f t="shared" si="150"/>
        <v>1.4801552192482141E-4</v>
      </c>
      <c r="J315" s="4">
        <f t="shared" si="166"/>
        <v>928.68555389188077</v>
      </c>
      <c r="K315" s="40">
        <f t="shared" si="167"/>
        <v>6.2742443617742314</v>
      </c>
      <c r="L315" s="40">
        <f t="shared" si="151"/>
        <v>0</v>
      </c>
      <c r="M315" s="10">
        <f t="shared" si="168"/>
        <v>1.5135771049805358</v>
      </c>
      <c r="N315" s="10">
        <f t="shared" si="147"/>
        <v>8.26</v>
      </c>
      <c r="O315" s="10">
        <f t="shared" si="148"/>
        <v>0.31900000000000001</v>
      </c>
      <c r="P315" s="10">
        <f t="shared" si="169"/>
        <v>9.4276076188187563</v>
      </c>
      <c r="Q315" s="45">
        <f t="shared" si="170"/>
        <v>1.0169153007070804</v>
      </c>
      <c r="R315" s="4">
        <f t="shared" si="171"/>
        <v>86082.245767963977</v>
      </c>
      <c r="S315">
        <f t="shared" si="152"/>
        <v>8.6082245767963984E-5</v>
      </c>
      <c r="T315" s="44">
        <f t="shared" si="153"/>
        <v>1.4978553986735144E-4</v>
      </c>
      <c r="U315" s="45">
        <f t="shared" si="172"/>
        <v>0.15447889414289975</v>
      </c>
      <c r="V315" s="45">
        <f t="shared" si="173"/>
        <v>0.23397312844915438</v>
      </c>
      <c r="W315" s="45">
        <f t="shared" si="174"/>
        <v>0.23357099362229267</v>
      </c>
      <c r="X315" s="45">
        <f t="shared" si="175"/>
        <v>4.0213482686171642E-4</v>
      </c>
      <c r="Y315" s="45">
        <f t="shared" si="149"/>
        <v>6.5392731728061129E-4</v>
      </c>
      <c r="Z315" s="10">
        <f t="shared" si="176"/>
        <v>4.3657573211654652</v>
      </c>
      <c r="AA315">
        <f t="shared" si="154"/>
        <v>1512450.3809040757</v>
      </c>
      <c r="AB315" s="10">
        <f t="shared" si="155"/>
        <v>1.5124503809040757</v>
      </c>
      <c r="AC315" s="10">
        <f t="shared" si="156"/>
        <v>1.4114503809040757</v>
      </c>
      <c r="AD315" s="3">
        <f t="shared" si="157"/>
        <v>204.70636416302764</v>
      </c>
      <c r="AI315" s="100">
        <f t="shared" si="158"/>
        <v>0.23357099362229267</v>
      </c>
    </row>
    <row r="316" spans="2:35">
      <c r="B316" s="39">
        <f t="shared" si="159"/>
        <v>288</v>
      </c>
      <c r="C316" s="45">
        <f t="shared" si="160"/>
        <v>8.4604316546758618</v>
      </c>
      <c r="D316" s="10">
        <f t="shared" si="161"/>
        <v>6.9895683453243684</v>
      </c>
      <c r="E316" s="40">
        <f t="shared" si="162"/>
        <v>34.360863309351267</v>
      </c>
      <c r="F316" s="40">
        <f t="shared" si="163"/>
        <v>48.34</v>
      </c>
      <c r="G316" s="3">
        <f t="shared" si="164"/>
        <v>94.358273381297465</v>
      </c>
      <c r="H316" s="3">
        <f t="shared" si="165"/>
        <v>148.0155219248214</v>
      </c>
      <c r="I316">
        <f t="shared" si="150"/>
        <v>1.4801552192482141E-4</v>
      </c>
      <c r="J316" s="4">
        <f t="shared" si="166"/>
        <v>931.85397223168331</v>
      </c>
      <c r="K316" s="40">
        <f t="shared" si="167"/>
        <v>6.2956503487855926</v>
      </c>
      <c r="L316" s="40">
        <f t="shared" si="151"/>
        <v>0</v>
      </c>
      <c r="M316" s="10">
        <f t="shared" si="168"/>
        <v>1.5124503809040757</v>
      </c>
      <c r="N316" s="10">
        <f t="shared" si="147"/>
        <v>8.26</v>
      </c>
      <c r="O316" s="10">
        <f t="shared" si="148"/>
        <v>0.31900000000000001</v>
      </c>
      <c r="P316" s="10">
        <f t="shared" si="169"/>
        <v>9.4253683031436832</v>
      </c>
      <c r="Q316" s="45">
        <f t="shared" si="170"/>
        <v>1.0200320488124206</v>
      </c>
      <c r="R316" s="4">
        <f t="shared" si="171"/>
        <v>85676.212901288643</v>
      </c>
      <c r="S316">
        <f t="shared" si="152"/>
        <v>8.5676212901288637E-5</v>
      </c>
      <c r="T316" s="44">
        <f t="shared" si="153"/>
        <v>1.5019157273402678E-4</v>
      </c>
      <c r="U316" s="45">
        <f t="shared" si="172"/>
        <v>0.15375024786200753</v>
      </c>
      <c r="V316" s="45">
        <f t="shared" si="173"/>
        <v>0.23378414176101123</v>
      </c>
      <c r="W316" s="45">
        <f t="shared" si="174"/>
        <v>0.23338468870403431</v>
      </c>
      <c r="X316" s="45">
        <f t="shared" si="175"/>
        <v>3.9945305697691724E-4</v>
      </c>
      <c r="Y316" s="45">
        <f t="shared" si="149"/>
        <v>6.5517231183911647E-4</v>
      </c>
      <c r="Z316" s="10">
        <f t="shared" si="176"/>
        <v>4.3622441653191597</v>
      </c>
      <c r="AA316">
        <f t="shared" si="154"/>
        <v>1511314.5767828973</v>
      </c>
      <c r="AB316" s="10">
        <f t="shared" si="155"/>
        <v>1.5113145767828973</v>
      </c>
      <c r="AC316" s="10">
        <f t="shared" si="156"/>
        <v>1.4103145767828973</v>
      </c>
      <c r="AD316" s="3">
        <f t="shared" si="157"/>
        <v>204.54163550150795</v>
      </c>
      <c r="AI316" s="100">
        <f t="shared" si="158"/>
        <v>0.23338468870403431</v>
      </c>
    </row>
    <row r="317" spans="2:35">
      <c r="B317" s="39">
        <f t="shared" si="159"/>
        <v>289</v>
      </c>
      <c r="C317" s="45">
        <f t="shared" si="160"/>
        <v>8.4898081534768188</v>
      </c>
      <c r="D317" s="10">
        <f t="shared" si="161"/>
        <v>6.9601918465234114</v>
      </c>
      <c r="E317" s="40">
        <f t="shared" si="162"/>
        <v>34.419616306953181</v>
      </c>
      <c r="F317" s="40">
        <f t="shared" si="163"/>
        <v>48.34</v>
      </c>
      <c r="G317" s="3">
        <f t="shared" si="164"/>
        <v>94.240767386093637</v>
      </c>
      <c r="H317" s="3">
        <f t="shared" si="165"/>
        <v>148.0155219248214</v>
      </c>
      <c r="I317">
        <f t="shared" si="150"/>
        <v>1.4801552192482141E-4</v>
      </c>
      <c r="J317" s="4">
        <f t="shared" si="166"/>
        <v>935.02781282645981</v>
      </c>
      <c r="K317" s="40">
        <f t="shared" si="167"/>
        <v>6.3170929688128927</v>
      </c>
      <c r="L317" s="40">
        <f t="shared" si="151"/>
        <v>0</v>
      </c>
      <c r="M317" s="10">
        <f t="shared" si="168"/>
        <v>1.5113145767828973</v>
      </c>
      <c r="N317" s="10">
        <f t="shared" si="147"/>
        <v>8.26</v>
      </c>
      <c r="O317" s="10">
        <f t="shared" si="148"/>
        <v>0.31900000000000001</v>
      </c>
      <c r="P317" s="10">
        <f t="shared" si="169"/>
        <v>9.4231097911508037</v>
      </c>
      <c r="Q317" s="45">
        <f t="shared" si="170"/>
        <v>1.0231495439336751</v>
      </c>
      <c r="R317" s="4">
        <f t="shared" si="171"/>
        <v>85270.413653444091</v>
      </c>
      <c r="S317">
        <f t="shared" si="152"/>
        <v>8.5270413653444087E-5</v>
      </c>
      <c r="T317" s="44">
        <f t="shared" si="153"/>
        <v>1.5059737198187134E-4</v>
      </c>
      <c r="U317" s="45">
        <f t="shared" si="172"/>
        <v>0.15302202082178809</v>
      </c>
      <c r="V317" s="45">
        <f t="shared" si="173"/>
        <v>0.23359364229779422</v>
      </c>
      <c r="W317" s="45">
        <f t="shared" si="174"/>
        <v>0.23319688239157993</v>
      </c>
      <c r="X317" s="45">
        <f t="shared" si="175"/>
        <v>3.9675990621429458E-4</v>
      </c>
      <c r="Y317" s="45">
        <f t="shared" si="149"/>
        <v>6.5640920891104888E-4</v>
      </c>
      <c r="Z317" s="10">
        <f t="shared" si="176"/>
        <v>4.3587029459588864</v>
      </c>
      <c r="AA317">
        <f t="shared" si="154"/>
        <v>1510169.6997209748</v>
      </c>
      <c r="AB317" s="10">
        <f t="shared" si="155"/>
        <v>1.5101696997209748</v>
      </c>
      <c r="AC317" s="10">
        <f t="shared" si="156"/>
        <v>1.4091696997209748</v>
      </c>
      <c r="AD317" s="3">
        <f t="shared" si="157"/>
        <v>204.37559096750903</v>
      </c>
      <c r="AI317" s="100">
        <f t="shared" si="158"/>
        <v>0.23319688239157993</v>
      </c>
    </row>
    <row r="318" spans="2:35">
      <c r="B318" s="39">
        <f t="shared" si="159"/>
        <v>290</v>
      </c>
      <c r="C318" s="45">
        <f t="shared" si="160"/>
        <v>8.5191846522777759</v>
      </c>
      <c r="D318" s="10">
        <f t="shared" si="161"/>
        <v>6.9308153477224543</v>
      </c>
      <c r="E318" s="40">
        <f t="shared" si="162"/>
        <v>34.478369304555095</v>
      </c>
      <c r="F318" s="40">
        <f t="shared" si="163"/>
        <v>48.34</v>
      </c>
      <c r="G318" s="3">
        <f t="shared" si="164"/>
        <v>94.123261390889809</v>
      </c>
      <c r="H318" s="3">
        <f t="shared" si="165"/>
        <v>148.0155219248214</v>
      </c>
      <c r="I318">
        <f t="shared" si="150"/>
        <v>1.4801552192482141E-4</v>
      </c>
      <c r="J318" s="4">
        <f t="shared" si="166"/>
        <v>938.20707567621037</v>
      </c>
      <c r="K318" s="40">
        <f t="shared" si="167"/>
        <v>6.3385722218561336</v>
      </c>
      <c r="L318" s="40">
        <f t="shared" si="151"/>
        <v>0</v>
      </c>
      <c r="M318" s="10">
        <f t="shared" si="168"/>
        <v>1.5101696997209748</v>
      </c>
      <c r="N318" s="10">
        <f t="shared" si="147"/>
        <v>8.26</v>
      </c>
      <c r="O318" s="10">
        <f t="shared" si="148"/>
        <v>0.31900000000000001</v>
      </c>
      <c r="P318" s="10">
        <f t="shared" si="169"/>
        <v>9.4208320678061721</v>
      </c>
      <c r="Q318" s="45">
        <f t="shared" si="170"/>
        <v>1.0262677927878656</v>
      </c>
      <c r="R318" s="4">
        <f t="shared" si="171"/>
        <v>84864.849935872699</v>
      </c>
      <c r="S318">
        <f t="shared" si="152"/>
        <v>8.4864849935872692E-5</v>
      </c>
      <c r="T318" s="44">
        <f t="shared" si="153"/>
        <v>1.5100293569944272E-4</v>
      </c>
      <c r="U318" s="45">
        <f t="shared" si="172"/>
        <v>0.15229421645242033</v>
      </c>
      <c r="V318" s="45">
        <f t="shared" si="173"/>
        <v>0.23340163130010547</v>
      </c>
      <c r="W318" s="45">
        <f t="shared" si="174"/>
        <v>0.23300757585957843</v>
      </c>
      <c r="X318" s="45">
        <f t="shared" si="175"/>
        <v>3.9405544052703578E-4</v>
      </c>
      <c r="Y318" s="45">
        <f t="shared" si="149"/>
        <v>6.5763797183695984E-4</v>
      </c>
      <c r="Z318" s="10">
        <f t="shared" si="176"/>
        <v>4.3551336852544837</v>
      </c>
      <c r="AA318">
        <f t="shared" si="154"/>
        <v>1509015.7568858219</v>
      </c>
      <c r="AB318" s="10">
        <f t="shared" si="155"/>
        <v>1.509015756885822</v>
      </c>
      <c r="AC318" s="10">
        <f t="shared" si="156"/>
        <v>1.408015756885822</v>
      </c>
      <c r="AD318" s="3">
        <f t="shared" si="157"/>
        <v>204.20823160055431</v>
      </c>
      <c r="AI318" s="100">
        <f t="shared" si="158"/>
        <v>0.23300757585957843</v>
      </c>
    </row>
    <row r="319" spans="2:35">
      <c r="B319" s="39">
        <f t="shared" si="159"/>
        <v>291</v>
      </c>
      <c r="C319" s="45">
        <f t="shared" si="160"/>
        <v>8.5485611510787329</v>
      </c>
      <c r="D319" s="10">
        <f t="shared" si="161"/>
        <v>6.9014388489214973</v>
      </c>
      <c r="E319" s="40">
        <f t="shared" si="162"/>
        <v>34.537122302157009</v>
      </c>
      <c r="F319" s="40">
        <f t="shared" si="163"/>
        <v>48.34</v>
      </c>
      <c r="G319" s="3">
        <f t="shared" si="164"/>
        <v>94.005755395685981</v>
      </c>
      <c r="H319" s="3">
        <f t="shared" si="165"/>
        <v>148.0155219248214</v>
      </c>
      <c r="I319">
        <f t="shared" si="150"/>
        <v>1.4801552192482141E-4</v>
      </c>
      <c r="J319" s="4">
        <f t="shared" si="166"/>
        <v>941.39176078093465</v>
      </c>
      <c r="K319" s="40">
        <f t="shared" si="167"/>
        <v>6.3600881079153115</v>
      </c>
      <c r="L319" s="40">
        <f t="shared" si="151"/>
        <v>0</v>
      </c>
      <c r="M319" s="10">
        <f t="shared" si="168"/>
        <v>1.509015756885822</v>
      </c>
      <c r="N319" s="10">
        <f t="shared" si="147"/>
        <v>8.26</v>
      </c>
      <c r="O319" s="10">
        <f t="shared" si="148"/>
        <v>0.31900000000000001</v>
      </c>
      <c r="P319" s="10">
        <f t="shared" si="169"/>
        <v>9.4185351179365142</v>
      </c>
      <c r="Q319" s="45">
        <f t="shared" si="170"/>
        <v>1.0293868021065242</v>
      </c>
      <c r="R319" s="4">
        <f t="shared" si="171"/>
        <v>84459.523660016901</v>
      </c>
      <c r="S319">
        <f t="shared" si="152"/>
        <v>8.4459523660016905E-5</v>
      </c>
      <c r="T319" s="44">
        <f t="shared" si="153"/>
        <v>1.5140826197529851E-4</v>
      </c>
      <c r="U319" s="45">
        <f t="shared" si="172"/>
        <v>0.15156683818408331</v>
      </c>
      <c r="V319" s="45">
        <f t="shared" si="173"/>
        <v>0.23320811001931988</v>
      </c>
      <c r="W319" s="45">
        <f t="shared" si="174"/>
        <v>0.23281677029318515</v>
      </c>
      <c r="X319" s="45">
        <f t="shared" si="175"/>
        <v>3.9133972613472623E-4</v>
      </c>
      <c r="Y319" s="45">
        <f t="shared" si="149"/>
        <v>6.588585640895354E-4</v>
      </c>
      <c r="Z319" s="10">
        <f t="shared" si="176"/>
        <v>4.3515364055696306</v>
      </c>
      <c r="AA319">
        <f t="shared" si="154"/>
        <v>1507852.7555076214</v>
      </c>
      <c r="AB319" s="10">
        <f t="shared" si="155"/>
        <v>1.5078527555076215</v>
      </c>
      <c r="AC319" s="10">
        <f t="shared" si="156"/>
        <v>1.4068527555076216</v>
      </c>
      <c r="AD319" s="3">
        <f t="shared" si="157"/>
        <v>204.03955844925622</v>
      </c>
      <c r="AI319" s="100">
        <f t="shared" si="158"/>
        <v>0.23281677029318515</v>
      </c>
    </row>
    <row r="320" spans="2:35">
      <c r="B320" s="39">
        <f t="shared" si="159"/>
        <v>292</v>
      </c>
      <c r="C320" s="45">
        <f t="shared" si="160"/>
        <v>8.57793764987969</v>
      </c>
      <c r="D320" s="10">
        <f t="shared" si="161"/>
        <v>6.8720623501205402</v>
      </c>
      <c r="E320" s="40">
        <f t="shared" si="162"/>
        <v>34.595875299758923</v>
      </c>
      <c r="F320" s="40">
        <f t="shared" si="163"/>
        <v>48.34</v>
      </c>
      <c r="G320" s="3">
        <f t="shared" si="164"/>
        <v>93.888249400482152</v>
      </c>
      <c r="H320" s="3">
        <f t="shared" si="165"/>
        <v>148.0155219248214</v>
      </c>
      <c r="I320">
        <f t="shared" si="150"/>
        <v>1.4801552192482141E-4</v>
      </c>
      <c r="J320" s="4">
        <f t="shared" si="166"/>
        <v>944.58186814063288</v>
      </c>
      <c r="K320" s="40">
        <f t="shared" si="167"/>
        <v>6.3816406269904293</v>
      </c>
      <c r="L320" s="40">
        <f t="shared" si="151"/>
        <v>0</v>
      </c>
      <c r="M320" s="10">
        <f t="shared" si="168"/>
        <v>1.5078527555076215</v>
      </c>
      <c r="N320" s="10">
        <f t="shared" si="147"/>
        <v>8.26</v>
      </c>
      <c r="O320" s="10">
        <f t="shared" si="148"/>
        <v>0.31900000000000001</v>
      </c>
      <c r="P320" s="10">
        <f t="shared" si="169"/>
        <v>9.4162189262268114</v>
      </c>
      <c r="Q320" s="45">
        <f t="shared" si="170"/>
        <v>1.0325065786358418</v>
      </c>
      <c r="R320" s="4">
        <f t="shared" si="171"/>
        <v>84054.436737319076</v>
      </c>
      <c r="S320">
        <f t="shared" si="152"/>
        <v>8.4054436737319071E-5</v>
      </c>
      <c r="T320" s="44">
        <f t="shared" si="153"/>
        <v>1.5181334889799634E-4</v>
      </c>
      <c r="U320" s="45">
        <f t="shared" si="172"/>
        <v>0.15083988944695592</v>
      </c>
      <c r="V320" s="45">
        <f t="shared" si="173"/>
        <v>0.23301307971773161</v>
      </c>
      <c r="W320" s="45">
        <f t="shared" si="174"/>
        <v>0.23262446688791785</v>
      </c>
      <c r="X320" s="45">
        <f t="shared" si="175"/>
        <v>3.8861282981375589E-4</v>
      </c>
      <c r="Y320" s="45">
        <f t="shared" si="149"/>
        <v>6.6007094927498003E-4</v>
      </c>
      <c r="Z320" s="10">
        <f t="shared" si="176"/>
        <v>4.3479111294651887</v>
      </c>
      <c r="AA320">
        <f t="shared" si="154"/>
        <v>1506680.7028803052</v>
      </c>
      <c r="AB320" s="10">
        <f t="shared" si="155"/>
        <v>1.5066807028803053</v>
      </c>
      <c r="AC320" s="10">
        <f t="shared" si="156"/>
        <v>1.4056807028803053</v>
      </c>
      <c r="AD320" s="3">
        <f t="shared" si="157"/>
        <v>203.86957257147284</v>
      </c>
      <c r="AI320" s="100">
        <f t="shared" si="158"/>
        <v>0.23262446688791785</v>
      </c>
    </row>
    <row r="321" spans="2:35">
      <c r="B321" s="39">
        <f t="shared" si="159"/>
        <v>293</v>
      </c>
      <c r="C321" s="45">
        <f t="shared" si="160"/>
        <v>8.607314148680647</v>
      </c>
      <c r="D321" s="10">
        <f t="shared" si="161"/>
        <v>6.8426858513195832</v>
      </c>
      <c r="E321" s="40">
        <f t="shared" si="162"/>
        <v>34.654628297360837</v>
      </c>
      <c r="F321" s="40">
        <f t="shared" si="163"/>
        <v>48.34</v>
      </c>
      <c r="G321" s="3">
        <f t="shared" si="164"/>
        <v>93.770743405278324</v>
      </c>
      <c r="H321" s="3">
        <f t="shared" si="165"/>
        <v>148.0155219248214</v>
      </c>
      <c r="I321">
        <f t="shared" si="150"/>
        <v>1.4801552192482141E-4</v>
      </c>
      <c r="J321" s="4">
        <f t="shared" si="166"/>
        <v>947.77739775530506</v>
      </c>
      <c r="K321" s="40">
        <f t="shared" si="167"/>
        <v>6.4032297790814869</v>
      </c>
      <c r="L321" s="40">
        <f t="shared" si="151"/>
        <v>0</v>
      </c>
      <c r="M321" s="10">
        <f t="shared" si="168"/>
        <v>1.5066807028803053</v>
      </c>
      <c r="N321" s="10">
        <f t="shared" si="147"/>
        <v>8.26</v>
      </c>
      <c r="O321" s="10">
        <f t="shared" si="148"/>
        <v>0.31900000000000001</v>
      </c>
      <c r="P321" s="10">
        <f t="shared" si="169"/>
        <v>9.4138834772218125</v>
      </c>
      <c r="Q321" s="45">
        <f t="shared" si="170"/>
        <v>1.035627129136816</v>
      </c>
      <c r="R321" s="4">
        <f t="shared" si="171"/>
        <v>83649.591079221631</v>
      </c>
      <c r="S321">
        <f t="shared" si="152"/>
        <v>8.3649591079221631E-5</v>
      </c>
      <c r="T321" s="44">
        <f t="shared" si="153"/>
        <v>1.5221819455609378E-4</v>
      </c>
      <c r="U321" s="45">
        <f t="shared" si="172"/>
        <v>0.15011337367121719</v>
      </c>
      <c r="V321" s="45">
        <f t="shared" si="173"/>
        <v>0.23281654166850874</v>
      </c>
      <c r="W321" s="45">
        <f t="shared" si="174"/>
        <v>0.23243066684983524</v>
      </c>
      <c r="X321" s="45">
        <f t="shared" si="175"/>
        <v>3.8587481867349838E-4</v>
      </c>
      <c r="Y321" s="45">
        <f t="shared" si="149"/>
        <v>6.6127509113370498E-4</v>
      </c>
      <c r="Z321" s="10">
        <f t="shared" si="176"/>
        <v>4.3442578796979436</v>
      </c>
      <c r="AA321">
        <f t="shared" si="154"/>
        <v>1505499.6063611475</v>
      </c>
      <c r="AB321" s="10">
        <f t="shared" si="155"/>
        <v>1.5054996063611474</v>
      </c>
      <c r="AC321" s="10">
        <f t="shared" si="156"/>
        <v>1.4044996063611475</v>
      </c>
      <c r="AD321" s="3">
        <f t="shared" si="157"/>
        <v>203.69827503424909</v>
      </c>
      <c r="AI321" s="100">
        <f t="shared" si="158"/>
        <v>0.23243066684983524</v>
      </c>
    </row>
    <row r="322" spans="2:35">
      <c r="B322" s="39">
        <f t="shared" si="159"/>
        <v>294</v>
      </c>
      <c r="C322" s="45">
        <f t="shared" si="160"/>
        <v>8.6366906474816041</v>
      </c>
      <c r="D322" s="10">
        <f t="shared" si="161"/>
        <v>6.8133093525186261</v>
      </c>
      <c r="E322" s="40">
        <f t="shared" si="162"/>
        <v>34.713381294962751</v>
      </c>
      <c r="F322" s="40">
        <f t="shared" si="163"/>
        <v>48.34</v>
      </c>
      <c r="G322" s="3">
        <f t="shared" si="164"/>
        <v>93.653237410074496</v>
      </c>
      <c r="H322" s="3">
        <f t="shared" si="165"/>
        <v>148.0155219248214</v>
      </c>
      <c r="I322">
        <f t="shared" si="150"/>
        <v>1.4801552192482141E-4</v>
      </c>
      <c r="J322" s="4">
        <f t="shared" si="166"/>
        <v>950.97834962495119</v>
      </c>
      <c r="K322" s="40">
        <f t="shared" si="167"/>
        <v>6.4248555641884835</v>
      </c>
      <c r="L322" s="40">
        <f t="shared" si="151"/>
        <v>0</v>
      </c>
      <c r="M322" s="10">
        <f t="shared" si="168"/>
        <v>1.5054996063611474</v>
      </c>
      <c r="N322" s="10">
        <f t="shared" si="147"/>
        <v>8.26</v>
      </c>
      <c r="O322" s="10">
        <f t="shared" si="148"/>
        <v>0.31900000000000001</v>
      </c>
      <c r="P322" s="10">
        <f t="shared" si="169"/>
        <v>9.4115287553245341</v>
      </c>
      <c r="Q322" s="45">
        <f t="shared" si="170"/>
        <v>1.0387484603854018</v>
      </c>
      <c r="R322" s="4">
        <f t="shared" si="171"/>
        <v>83244.988597166972</v>
      </c>
      <c r="S322">
        <f t="shared" si="152"/>
        <v>8.324498859716697E-5</v>
      </c>
      <c r="T322" s="44">
        <f t="shared" si="153"/>
        <v>1.5262279703814844E-4</v>
      </c>
      <c r="U322" s="45">
        <f t="shared" si="172"/>
        <v>0.14938729428704597</v>
      </c>
      <c r="V322" s="45">
        <f t="shared" si="173"/>
        <v>0.23261849715571739</v>
      </c>
      <c r="W322" s="45">
        <f t="shared" si="174"/>
        <v>0.23223537139546968</v>
      </c>
      <c r="X322" s="45">
        <f t="shared" si="175"/>
        <v>3.8312576024771006E-4</v>
      </c>
      <c r="Y322" s="45">
        <f t="shared" si="149"/>
        <v>6.6247095354130437E-4</v>
      </c>
      <c r="Z322" s="10">
        <f t="shared" si="176"/>
        <v>4.3405766792212441</v>
      </c>
      <c r="AA322">
        <f t="shared" si="154"/>
        <v>1504309.4733709714</v>
      </c>
      <c r="AB322" s="10">
        <f t="shared" si="155"/>
        <v>1.5043094733709714</v>
      </c>
      <c r="AC322" s="10">
        <f t="shared" si="156"/>
        <v>1.4033094733709714</v>
      </c>
      <c r="AD322" s="3">
        <f t="shared" si="157"/>
        <v>203.52566691384646</v>
      </c>
      <c r="AI322" s="100">
        <f t="shared" si="158"/>
        <v>0.23223537139546968</v>
      </c>
    </row>
    <row r="323" spans="2:35">
      <c r="B323" s="39">
        <f t="shared" si="159"/>
        <v>295</v>
      </c>
      <c r="C323" s="45">
        <f t="shared" si="160"/>
        <v>8.6660671462825611</v>
      </c>
      <c r="D323" s="10">
        <f t="shared" si="161"/>
        <v>6.7839328537176691</v>
      </c>
      <c r="E323" s="40">
        <f t="shared" si="162"/>
        <v>34.772134292564665</v>
      </c>
      <c r="F323" s="40">
        <f t="shared" si="163"/>
        <v>48.34</v>
      </c>
      <c r="G323" s="3">
        <f t="shared" si="164"/>
        <v>93.535731414870668</v>
      </c>
      <c r="H323" s="3">
        <f t="shared" si="165"/>
        <v>148.0155219248214</v>
      </c>
      <c r="I323">
        <f t="shared" si="150"/>
        <v>1.4801552192482141E-4</v>
      </c>
      <c r="J323" s="4">
        <f t="shared" si="166"/>
        <v>954.18472374957116</v>
      </c>
      <c r="K323" s="40">
        <f t="shared" si="167"/>
        <v>6.446517982311418</v>
      </c>
      <c r="L323" s="40">
        <f t="shared" si="151"/>
        <v>0</v>
      </c>
      <c r="M323" s="10">
        <f t="shared" si="168"/>
        <v>1.5043094733709714</v>
      </c>
      <c r="N323" s="10">
        <f t="shared" si="147"/>
        <v>8.26</v>
      </c>
      <c r="O323" s="10">
        <f t="shared" si="148"/>
        <v>0.31900000000000001</v>
      </c>
      <c r="P323" s="10">
        <f t="shared" si="169"/>
        <v>9.4091547447960071</v>
      </c>
      <c r="Q323" s="45">
        <f t="shared" si="170"/>
        <v>1.0418705791726612</v>
      </c>
      <c r="R323" s="4">
        <f t="shared" si="171"/>
        <v>82840.631202597491</v>
      </c>
      <c r="S323">
        <f t="shared" si="152"/>
        <v>8.2840631202597486E-5</v>
      </c>
      <c r="T323" s="44">
        <f t="shared" si="153"/>
        <v>1.5302715443271794E-4</v>
      </c>
      <c r="U323" s="45">
        <f t="shared" si="172"/>
        <v>0.14866165472462134</v>
      </c>
      <c r="V323" s="45">
        <f t="shared" si="173"/>
        <v>0.23241894747431915</v>
      </c>
      <c r="W323" s="45">
        <f t="shared" si="174"/>
        <v>0.23203858175186154</v>
      </c>
      <c r="X323" s="45">
        <f t="shared" si="175"/>
        <v>3.8036572245761513E-4</v>
      </c>
      <c r="Y323" s="45">
        <f t="shared" si="149"/>
        <v>6.6365850050941876E-4</v>
      </c>
      <c r="Z323" s="10">
        <f t="shared" si="176"/>
        <v>4.3368675511849251</v>
      </c>
      <c r="AA323">
        <f t="shared" si="154"/>
        <v>1503110.3113941241</v>
      </c>
      <c r="AB323" s="10">
        <f t="shared" si="155"/>
        <v>1.503110311394124</v>
      </c>
      <c r="AC323" s="10">
        <f t="shared" si="156"/>
        <v>1.402110311394124</v>
      </c>
      <c r="AD323" s="3">
        <f t="shared" si="157"/>
        <v>203.35174929573952</v>
      </c>
      <c r="AI323" s="100">
        <f t="shared" si="158"/>
        <v>0.23203858175186154</v>
      </c>
    </row>
    <row r="324" spans="2:35">
      <c r="B324" s="39">
        <f t="shared" si="159"/>
        <v>296</v>
      </c>
      <c r="C324" s="45">
        <f t="shared" si="160"/>
        <v>8.6954436450835182</v>
      </c>
      <c r="D324" s="10">
        <f t="shared" si="161"/>
        <v>6.754556354916712</v>
      </c>
      <c r="E324" s="40">
        <f t="shared" si="162"/>
        <v>34.830887290166579</v>
      </c>
      <c r="F324" s="40">
        <f t="shared" si="163"/>
        <v>48.34</v>
      </c>
      <c r="G324" s="3">
        <f t="shared" si="164"/>
        <v>93.41822541966684</v>
      </c>
      <c r="H324" s="3">
        <f t="shared" si="165"/>
        <v>148.0155219248214</v>
      </c>
      <c r="I324">
        <f t="shared" si="150"/>
        <v>1.4801552192482141E-4</v>
      </c>
      <c r="J324" s="4">
        <f t="shared" si="166"/>
        <v>957.39652012916508</v>
      </c>
      <c r="K324" s="40">
        <f t="shared" si="167"/>
        <v>6.4682170334502933</v>
      </c>
      <c r="L324" s="40">
        <f t="shared" si="151"/>
        <v>0</v>
      </c>
      <c r="M324" s="10">
        <f t="shared" si="168"/>
        <v>1.503110311394124</v>
      </c>
      <c r="N324" s="10">
        <f t="shared" si="147"/>
        <v>8.26</v>
      </c>
      <c r="O324" s="10">
        <f t="shared" si="148"/>
        <v>0.31900000000000001</v>
      </c>
      <c r="P324" s="10">
        <f t="shared" si="169"/>
        <v>9.4067614297545212</v>
      </c>
      <c r="Q324" s="45">
        <f t="shared" si="170"/>
        <v>1.0449934923049149</v>
      </c>
      <c r="R324" s="4">
        <f t="shared" si="171"/>
        <v>82436.520806955581</v>
      </c>
      <c r="S324">
        <f t="shared" si="152"/>
        <v>8.2436520806955581E-5</v>
      </c>
      <c r="T324" s="44">
        <f t="shared" si="153"/>
        <v>1.5343126482835983E-4</v>
      </c>
      <c r="U324" s="45">
        <f t="shared" si="172"/>
        <v>0.14793645841412212</v>
      </c>
      <c r="V324" s="45">
        <f t="shared" si="173"/>
        <v>0.23221789393030007</v>
      </c>
      <c r="W324" s="45">
        <f t="shared" si="174"/>
        <v>0.23184029915655491</v>
      </c>
      <c r="X324" s="45">
        <f t="shared" si="175"/>
        <v>3.7759477374516015E-4</v>
      </c>
      <c r="Y324" s="45">
        <f t="shared" si="149"/>
        <v>6.6483769618701791E-4</v>
      </c>
      <c r="Z324" s="10">
        <f t="shared" si="176"/>
        <v>4.3331305189379563</v>
      </c>
      <c r="AA324">
        <f t="shared" si="154"/>
        <v>1501902.127979333</v>
      </c>
      <c r="AB324" s="10">
        <f t="shared" si="155"/>
        <v>1.501902127979333</v>
      </c>
      <c r="AC324" s="10">
        <f t="shared" si="156"/>
        <v>1.400902127979333</v>
      </c>
      <c r="AD324" s="3">
        <f t="shared" si="157"/>
        <v>203.17652327474011</v>
      </c>
      <c r="AI324" s="100">
        <f t="shared" si="158"/>
        <v>0.23184029915655491</v>
      </c>
    </row>
    <row r="325" spans="2:35">
      <c r="B325" s="39">
        <f t="shared" si="159"/>
        <v>297</v>
      </c>
      <c r="C325" s="45">
        <f t="shared" si="160"/>
        <v>8.7248201438844752</v>
      </c>
      <c r="D325" s="10">
        <f t="shared" si="161"/>
        <v>6.725179856115755</v>
      </c>
      <c r="E325" s="40">
        <f t="shared" si="162"/>
        <v>34.889640287768493</v>
      </c>
      <c r="F325" s="40">
        <f t="shared" si="163"/>
        <v>48.34</v>
      </c>
      <c r="G325" s="3">
        <f t="shared" si="164"/>
        <v>93.300719424463011</v>
      </c>
      <c r="H325" s="3">
        <f t="shared" si="165"/>
        <v>148.0155219248214</v>
      </c>
      <c r="I325">
        <f t="shared" si="150"/>
        <v>1.4801552192482141E-4</v>
      </c>
      <c r="J325" s="4">
        <f t="shared" si="166"/>
        <v>960.61373876373284</v>
      </c>
      <c r="K325" s="40">
        <f t="shared" si="167"/>
        <v>6.4899527176051066</v>
      </c>
      <c r="L325" s="40">
        <f t="shared" si="151"/>
        <v>0</v>
      </c>
      <c r="M325" s="10">
        <f t="shared" si="168"/>
        <v>1.501902127979333</v>
      </c>
      <c r="N325" s="10">
        <f t="shared" si="147"/>
        <v>8.26</v>
      </c>
      <c r="O325" s="10">
        <f t="shared" si="148"/>
        <v>0.31900000000000001</v>
      </c>
      <c r="P325" s="10">
        <f t="shared" si="169"/>
        <v>9.4043487941766593</v>
      </c>
      <c r="Q325" s="45">
        <f t="shared" si="170"/>
        <v>1.0481172066038942</v>
      </c>
      <c r="R325" s="4">
        <f t="shared" si="171"/>
        <v>82032.659321683677</v>
      </c>
      <c r="S325">
        <f t="shared" si="152"/>
        <v>8.2032659321683678E-5</v>
      </c>
      <c r="T325" s="44">
        <f t="shared" si="153"/>
        <v>1.5383512631363173E-4</v>
      </c>
      <c r="U325" s="45">
        <f t="shared" si="172"/>
        <v>0.14721170878572745</v>
      </c>
      <c r="V325" s="45">
        <f t="shared" si="173"/>
        <v>0.23201533784043177</v>
      </c>
      <c r="W325" s="45">
        <f t="shared" si="174"/>
        <v>0.23164052485773912</v>
      </c>
      <c r="X325" s="45">
        <f t="shared" si="175"/>
        <v>3.7481298269265162E-4</v>
      </c>
      <c r="Y325" s="45">
        <f t="shared" si="149"/>
        <v>6.6600850486049797E-4</v>
      </c>
      <c r="Z325" s="10">
        <f t="shared" si="176"/>
        <v>4.3293656060233703</v>
      </c>
      <c r="AA325">
        <f t="shared" si="154"/>
        <v>1500684.9307380663</v>
      </c>
      <c r="AB325" s="10">
        <f t="shared" si="155"/>
        <v>1.5006849307380663</v>
      </c>
      <c r="AC325" s="10">
        <f t="shared" si="156"/>
        <v>1.3996849307380663</v>
      </c>
      <c r="AD325" s="3">
        <f t="shared" si="157"/>
        <v>202.99998995475943</v>
      </c>
      <c r="AI325" s="100">
        <f t="shared" si="158"/>
        <v>0.23164052485773912</v>
      </c>
    </row>
    <row r="326" spans="2:35">
      <c r="B326" s="39">
        <f t="shared" si="159"/>
        <v>298</v>
      </c>
      <c r="C326" s="45">
        <f t="shared" si="160"/>
        <v>8.7541966426854323</v>
      </c>
      <c r="D326" s="10">
        <f t="shared" si="161"/>
        <v>6.6958033573147979</v>
      </c>
      <c r="E326" s="40">
        <f t="shared" si="162"/>
        <v>34.948393285370408</v>
      </c>
      <c r="F326" s="40">
        <f t="shared" si="163"/>
        <v>48.34</v>
      </c>
      <c r="G326" s="3">
        <f t="shared" si="164"/>
        <v>93.183213429259183</v>
      </c>
      <c r="H326" s="3">
        <f t="shared" si="165"/>
        <v>148.0155219248214</v>
      </c>
      <c r="I326">
        <f t="shared" si="150"/>
        <v>1.4801552192482141E-4</v>
      </c>
      <c r="J326" s="4">
        <f t="shared" si="166"/>
        <v>963.83637965327466</v>
      </c>
      <c r="K326" s="40">
        <f t="shared" si="167"/>
        <v>6.5117250347758597</v>
      </c>
      <c r="L326" s="40">
        <f t="shared" si="151"/>
        <v>0</v>
      </c>
      <c r="M326" s="10">
        <f t="shared" si="168"/>
        <v>1.5006849307380663</v>
      </c>
      <c r="N326" s="10">
        <f t="shared" si="147"/>
        <v>8.26</v>
      </c>
      <c r="O326" s="10">
        <f t="shared" si="148"/>
        <v>0.31900000000000001</v>
      </c>
      <c r="P326" s="10">
        <f t="shared" si="169"/>
        <v>9.4019168218933178</v>
      </c>
      <c r="Q326" s="45">
        <f t="shared" si="170"/>
        <v>1.0512417289068943</v>
      </c>
      <c r="R326" s="4">
        <f t="shared" si="171"/>
        <v>81629.048658224143</v>
      </c>
      <c r="S326">
        <f t="shared" si="152"/>
        <v>8.1629048658224138E-5</v>
      </c>
      <c r="T326" s="44">
        <f t="shared" si="153"/>
        <v>1.5423873697709129E-4</v>
      </c>
      <c r="U326" s="45">
        <f t="shared" si="172"/>
        <v>0.14648740926961612</v>
      </c>
      <c r="V326" s="45">
        <f t="shared" si="173"/>
        <v>0.2318112805326682</v>
      </c>
      <c r="W326" s="45">
        <f t="shared" si="174"/>
        <v>0.23143926011397786</v>
      </c>
      <c r="X326" s="45">
        <f t="shared" si="175"/>
        <v>3.7202041869033309E-4</v>
      </c>
      <c r="Y326" s="45">
        <f t="shared" si="149"/>
        <v>6.6717089095586738E-4</v>
      </c>
      <c r="Z326" s="10">
        <f t="shared" si="176"/>
        <v>4.3255728361868044</v>
      </c>
      <c r="AA326">
        <f t="shared" si="154"/>
        <v>1499458.7273472939</v>
      </c>
      <c r="AB326" s="10">
        <f t="shared" si="155"/>
        <v>1.4994587273472939</v>
      </c>
      <c r="AC326" s="10">
        <f t="shared" si="156"/>
        <v>1.3984587273472939</v>
      </c>
      <c r="AD326" s="3">
        <f t="shared" si="157"/>
        <v>202.82215044920869</v>
      </c>
      <c r="AI326" s="100">
        <f t="shared" si="158"/>
        <v>0.23143926011397786</v>
      </c>
    </row>
    <row r="327" spans="2:35">
      <c r="B327" s="39">
        <f t="shared" si="159"/>
        <v>299</v>
      </c>
      <c r="C327" s="45">
        <f t="shared" si="160"/>
        <v>8.7835731414863893</v>
      </c>
      <c r="D327" s="10">
        <f t="shared" si="161"/>
        <v>6.6664268585138409</v>
      </c>
      <c r="E327" s="40">
        <f t="shared" si="162"/>
        <v>35.007146282972322</v>
      </c>
      <c r="F327" s="40">
        <f t="shared" si="163"/>
        <v>48.34</v>
      </c>
      <c r="G327" s="3">
        <f t="shared" si="164"/>
        <v>93.065707434055355</v>
      </c>
      <c r="H327" s="3">
        <f t="shared" si="165"/>
        <v>148.0155219248214</v>
      </c>
      <c r="I327">
        <f t="shared" si="150"/>
        <v>1.4801552192482141E-4</v>
      </c>
      <c r="J327" s="4">
        <f t="shared" si="166"/>
        <v>967.06444279779032</v>
      </c>
      <c r="K327" s="40">
        <f t="shared" si="167"/>
        <v>6.5335339849625518</v>
      </c>
      <c r="L327" s="40">
        <f t="shared" si="151"/>
        <v>0</v>
      </c>
      <c r="M327" s="10">
        <f t="shared" si="168"/>
        <v>1.4994587273472939</v>
      </c>
      <c r="N327" s="10">
        <f t="shared" si="147"/>
        <v>8.26</v>
      </c>
      <c r="O327" s="10">
        <f t="shared" si="148"/>
        <v>0.31900000000000001</v>
      </c>
      <c r="P327" s="10">
        <f t="shared" si="169"/>
        <v>9.3994654965945053</v>
      </c>
      <c r="Q327" s="45">
        <f t="shared" si="170"/>
        <v>1.0543670660669275</v>
      </c>
      <c r="R327" s="4">
        <f t="shared" si="171"/>
        <v>81225.690728019399</v>
      </c>
      <c r="S327">
        <f t="shared" si="152"/>
        <v>8.12256907280194E-5</v>
      </c>
      <c r="T327" s="44">
        <f t="shared" si="153"/>
        <v>1.5464209490729603E-4</v>
      </c>
      <c r="U327" s="45">
        <f t="shared" si="172"/>
        <v>0.14576356329596721</v>
      </c>
      <c r="V327" s="45">
        <f t="shared" si="173"/>
        <v>0.23160572334576748</v>
      </c>
      <c r="W327" s="45">
        <f t="shared" si="174"/>
        <v>0.23123650619466546</v>
      </c>
      <c r="X327" s="45">
        <f t="shared" si="175"/>
        <v>3.692171511020248E-4</v>
      </c>
      <c r="Y327" s="45">
        <f t="shared" si="149"/>
        <v>6.6832481903832813E-4</v>
      </c>
      <c r="Z327" s="10">
        <f t="shared" si="176"/>
        <v>4.3217522333680991</v>
      </c>
      <c r="AA327">
        <f t="shared" si="154"/>
        <v>1498223.5255467722</v>
      </c>
      <c r="AB327" s="10">
        <f t="shared" si="155"/>
        <v>1.4982235255467722</v>
      </c>
      <c r="AC327" s="10">
        <f t="shared" si="156"/>
        <v>1.3972235255467722</v>
      </c>
      <c r="AD327" s="3">
        <f t="shared" si="157"/>
        <v>202.6430058806051</v>
      </c>
      <c r="AI327" s="100">
        <f t="shared" si="158"/>
        <v>0.23123650619466546</v>
      </c>
    </row>
    <row r="328" spans="2:35">
      <c r="B328" s="39">
        <f t="shared" si="159"/>
        <v>300</v>
      </c>
      <c r="C328" s="45">
        <f t="shared" si="160"/>
        <v>8.8129496402873464</v>
      </c>
      <c r="D328" s="10">
        <f t="shared" si="161"/>
        <v>6.6370503597128838</v>
      </c>
      <c r="E328" s="40">
        <f t="shared" si="162"/>
        <v>35.065899280574236</v>
      </c>
      <c r="F328" s="40">
        <f t="shared" si="163"/>
        <v>48.34</v>
      </c>
      <c r="G328" s="3">
        <f t="shared" si="164"/>
        <v>92.948201438851527</v>
      </c>
      <c r="H328" s="3">
        <f t="shared" si="165"/>
        <v>148.0155219248214</v>
      </c>
      <c r="I328">
        <f t="shared" si="150"/>
        <v>1.4801552192482141E-4</v>
      </c>
      <c r="J328" s="4">
        <f t="shared" si="166"/>
        <v>970.29792819727982</v>
      </c>
      <c r="K328" s="40">
        <f t="shared" si="167"/>
        <v>6.5553795681651827</v>
      </c>
      <c r="L328" s="40">
        <f t="shared" si="151"/>
        <v>0</v>
      </c>
      <c r="M328" s="10">
        <f t="shared" si="168"/>
        <v>1.4982235255467722</v>
      </c>
      <c r="N328" s="10">
        <f t="shared" si="147"/>
        <v>8.26</v>
      </c>
      <c r="O328" s="10">
        <f t="shared" si="148"/>
        <v>0.31900000000000001</v>
      </c>
      <c r="P328" s="10">
        <f t="shared" si="169"/>
        <v>9.3969948018232206</v>
      </c>
      <c r="Q328" s="45">
        <f t="shared" si="170"/>
        <v>1.0574932249528788</v>
      </c>
      <c r="R328" s="4">
        <f t="shared" si="171"/>
        <v>80822.587442511838</v>
      </c>
      <c r="S328">
        <f t="shared" si="152"/>
        <v>8.0822587442511837E-5</v>
      </c>
      <c r="T328" s="44">
        <f t="shared" si="153"/>
        <v>1.5504519819280356E-4</v>
      </c>
      <c r="U328" s="45">
        <f t="shared" si="172"/>
        <v>0.14504017429495961</v>
      </c>
      <c r="V328" s="45">
        <f t="shared" si="173"/>
        <v>0.2313986676296155</v>
      </c>
      <c r="W328" s="45">
        <f t="shared" si="174"/>
        <v>0.23103226437957819</v>
      </c>
      <c r="X328" s="45">
        <f t="shared" si="175"/>
        <v>3.6640325003731156E-4</v>
      </c>
      <c r="Y328" s="45">
        <f t="shared" si="149"/>
        <v>6.6947025381427366E-4</v>
      </c>
      <c r="Z328" s="10">
        <f t="shared" si="176"/>
        <v>4.3179038217085992</v>
      </c>
      <c r="AA328">
        <f t="shared" si="154"/>
        <v>1496979.3331414033</v>
      </c>
      <c r="AB328" s="10">
        <f t="shared" si="155"/>
        <v>1.4969793331414032</v>
      </c>
      <c r="AC328" s="10">
        <f t="shared" si="156"/>
        <v>1.3959793331414032</v>
      </c>
      <c r="AD328" s="3">
        <f t="shared" si="157"/>
        <v>202.46255738091418</v>
      </c>
      <c r="AI328" s="100">
        <f t="shared" si="158"/>
        <v>0.23103226437957819</v>
      </c>
    </row>
    <row r="329" spans="2:35">
      <c r="B329" s="39">
        <f t="shared" si="159"/>
        <v>301</v>
      </c>
      <c r="C329" s="45">
        <f t="shared" si="160"/>
        <v>8.8423261390883034</v>
      </c>
      <c r="D329" s="10">
        <f t="shared" si="161"/>
        <v>6.6076738609119268</v>
      </c>
      <c r="E329" s="40">
        <f t="shared" si="162"/>
        <v>35.12465227817615</v>
      </c>
      <c r="F329" s="40">
        <f t="shared" si="163"/>
        <v>48.34</v>
      </c>
      <c r="G329" s="3">
        <f t="shared" si="164"/>
        <v>92.830695443647699</v>
      </c>
      <c r="H329" s="3">
        <f t="shared" si="165"/>
        <v>148.0155219248214</v>
      </c>
      <c r="I329">
        <f t="shared" si="150"/>
        <v>1.4801552192482141E-4</v>
      </c>
      <c r="J329" s="4">
        <f t="shared" si="166"/>
        <v>973.53683585174326</v>
      </c>
      <c r="K329" s="40">
        <f t="shared" si="167"/>
        <v>6.5772617843837526</v>
      </c>
      <c r="L329" s="40">
        <f t="shared" si="151"/>
        <v>0</v>
      </c>
      <c r="M329" s="10">
        <f t="shared" si="168"/>
        <v>1.4969793331414032</v>
      </c>
      <c r="N329" s="10">
        <f t="shared" si="147"/>
        <v>8.26</v>
      </c>
      <c r="O329" s="10">
        <f t="shared" si="148"/>
        <v>0.31900000000000001</v>
      </c>
      <c r="P329" s="10">
        <f t="shared" si="169"/>
        <v>9.394504720979425</v>
      </c>
      <c r="Q329" s="45">
        <f t="shared" si="170"/>
        <v>1.0606202124496604</v>
      </c>
      <c r="R329" s="4">
        <f t="shared" si="171"/>
        <v>80419.740713143867</v>
      </c>
      <c r="S329">
        <f t="shared" si="152"/>
        <v>8.041974071314386E-5</v>
      </c>
      <c r="T329" s="44">
        <f t="shared" si="153"/>
        <v>1.5544804492217154E-4</v>
      </c>
      <c r="U329" s="45">
        <f t="shared" si="172"/>
        <v>0.14431724569677232</v>
      </c>
      <c r="V329" s="45">
        <f t="shared" si="173"/>
        <v>0.23119011474505152</v>
      </c>
      <c r="W329" s="45">
        <f t="shared" si="174"/>
        <v>0.23082653595926425</v>
      </c>
      <c r="X329" s="45">
        <f t="shared" si="175"/>
        <v>3.6357878578727187E-4</v>
      </c>
      <c r="Y329" s="45">
        <f t="shared" si="149"/>
        <v>6.7060716013152548E-4</v>
      </c>
      <c r="Z329" s="10">
        <f t="shared" si="176"/>
        <v>4.3140276255470411</v>
      </c>
      <c r="AA329">
        <f t="shared" si="154"/>
        <v>1495726.1579999069</v>
      </c>
      <c r="AB329" s="10">
        <f t="shared" si="155"/>
        <v>1.4957261579999068</v>
      </c>
      <c r="AC329" s="10">
        <f t="shared" si="156"/>
        <v>1.3947261579999068</v>
      </c>
      <c r="AD329" s="3">
        <f t="shared" si="157"/>
        <v>202.28080609135705</v>
      </c>
      <c r="AI329" s="100">
        <f t="shared" si="158"/>
        <v>0.23082653595926425</v>
      </c>
    </row>
    <row r="330" spans="2:35">
      <c r="B330" s="39">
        <f t="shared" si="159"/>
        <v>302</v>
      </c>
      <c r="C330" s="45">
        <f t="shared" si="160"/>
        <v>8.8717026378892605</v>
      </c>
      <c r="D330" s="10">
        <f t="shared" si="161"/>
        <v>6.5782973621109697</v>
      </c>
      <c r="E330" s="40">
        <f t="shared" si="162"/>
        <v>35.183405275778064</v>
      </c>
      <c r="F330" s="40">
        <f t="shared" si="163"/>
        <v>48.34</v>
      </c>
      <c r="G330" s="3">
        <f t="shared" si="164"/>
        <v>92.71318944844387</v>
      </c>
      <c r="H330" s="3">
        <f t="shared" si="165"/>
        <v>148.0155219248214</v>
      </c>
      <c r="I330">
        <f t="shared" si="150"/>
        <v>1.4801552192482141E-4</v>
      </c>
      <c r="J330" s="4">
        <f t="shared" si="166"/>
        <v>976.78116576118066</v>
      </c>
      <c r="K330" s="40">
        <f t="shared" si="167"/>
        <v>6.5991806336182623</v>
      </c>
      <c r="L330" s="40">
        <f t="shared" si="151"/>
        <v>0</v>
      </c>
      <c r="M330" s="10">
        <f t="shared" si="168"/>
        <v>1.4957261579999068</v>
      </c>
      <c r="N330" s="10">
        <f t="shared" si="147"/>
        <v>8.26</v>
      </c>
      <c r="O330" s="10">
        <f t="shared" si="148"/>
        <v>0.31900000000000001</v>
      </c>
      <c r="P330" s="10">
        <f t="shared" si="169"/>
        <v>9.3919952373166709</v>
      </c>
      <c r="Q330" s="45">
        <f t="shared" si="170"/>
        <v>1.0637480354583688</v>
      </c>
      <c r="R330" s="4">
        <f t="shared" si="171"/>
        <v>80017.152451357892</v>
      </c>
      <c r="S330">
        <f t="shared" si="152"/>
        <v>8.0017152451357897E-5</v>
      </c>
      <c r="T330" s="44">
        <f t="shared" si="153"/>
        <v>1.5585063318395752E-4</v>
      </c>
      <c r="U330" s="45">
        <f t="shared" si="172"/>
        <v>0.14359478093158431</v>
      </c>
      <c r="V330" s="45">
        <f t="shared" si="173"/>
        <v>0.230980066064012</v>
      </c>
      <c r="W330" s="45">
        <f t="shared" si="174"/>
        <v>0.23061932223482401</v>
      </c>
      <c r="X330" s="45">
        <f t="shared" si="175"/>
        <v>3.6074382918799275E-4</v>
      </c>
      <c r="Y330" s="45">
        <f t="shared" si="149"/>
        <v>6.7173550298070929E-4</v>
      </c>
      <c r="Z330" s="10">
        <f t="shared" si="176"/>
        <v>4.3101236694228229</v>
      </c>
      <c r="AA330">
        <f t="shared" si="154"/>
        <v>1494464.0080558762</v>
      </c>
      <c r="AB330" s="10">
        <f t="shared" si="155"/>
        <v>1.4944640080558762</v>
      </c>
      <c r="AC330" s="10">
        <f t="shared" si="156"/>
        <v>1.3934640080558762</v>
      </c>
      <c r="AD330" s="3">
        <f t="shared" si="157"/>
        <v>202.09775316256363</v>
      </c>
      <c r="AI330" s="100">
        <f t="shared" si="158"/>
        <v>0.23061932223482401</v>
      </c>
    </row>
    <row r="331" spans="2:35">
      <c r="B331" s="39">
        <f t="shared" si="159"/>
        <v>303</v>
      </c>
      <c r="C331" s="45">
        <f t="shared" si="160"/>
        <v>8.9010791366902176</v>
      </c>
      <c r="D331" s="10">
        <f t="shared" si="161"/>
        <v>6.5489208633100127</v>
      </c>
      <c r="E331" s="40">
        <f t="shared" si="162"/>
        <v>35.242158273379978</v>
      </c>
      <c r="F331" s="40">
        <f t="shared" si="163"/>
        <v>48.34</v>
      </c>
      <c r="G331" s="3">
        <f t="shared" si="164"/>
        <v>92.595683453240042</v>
      </c>
      <c r="H331" s="3">
        <f t="shared" si="165"/>
        <v>148.0155219248214</v>
      </c>
      <c r="I331">
        <f t="shared" si="150"/>
        <v>1.4801552192482141E-4</v>
      </c>
      <c r="J331" s="4">
        <f t="shared" si="166"/>
        <v>980.03091792559189</v>
      </c>
      <c r="K331" s="40">
        <f t="shared" si="167"/>
        <v>6.6211361158687101</v>
      </c>
      <c r="L331" s="40">
        <f t="shared" si="151"/>
        <v>0</v>
      </c>
      <c r="M331" s="10">
        <f t="shared" si="168"/>
        <v>1.4944640080558762</v>
      </c>
      <c r="N331" s="10">
        <f t="shared" si="147"/>
        <v>8.26</v>
      </c>
      <c r="O331" s="10">
        <f t="shared" si="148"/>
        <v>0.31900000000000001</v>
      </c>
      <c r="P331" s="10">
        <f t="shared" si="169"/>
        <v>9.3894663339434761</v>
      </c>
      <c r="Q331" s="45">
        <f t="shared" si="170"/>
        <v>1.0668767008964417</v>
      </c>
      <c r="R331" s="4">
        <f t="shared" si="171"/>
        <v>79614.82456859629</v>
      </c>
      <c r="S331">
        <f t="shared" si="152"/>
        <v>7.9614824568596292E-5</v>
      </c>
      <c r="T331" s="44">
        <f t="shared" si="153"/>
        <v>1.5625296106671911E-4</v>
      </c>
      <c r="U331" s="45">
        <f t="shared" si="172"/>
        <v>0.14287278342957446</v>
      </c>
      <c r="V331" s="45">
        <f t="shared" si="173"/>
        <v>0.23076852296951558</v>
      </c>
      <c r="W331" s="45">
        <f t="shared" si="174"/>
        <v>0.23041062451808475</v>
      </c>
      <c r="X331" s="45">
        <f t="shared" si="175"/>
        <v>3.5789845143083254E-4</v>
      </c>
      <c r="Y331" s="45">
        <f t="shared" si="149"/>
        <v>6.7285524749604079E-4</v>
      </c>
      <c r="Z331" s="10">
        <f t="shared" si="176"/>
        <v>4.3061919780754456</v>
      </c>
      <c r="AA331">
        <f t="shared" si="154"/>
        <v>1493192.891307598</v>
      </c>
      <c r="AB331" s="10">
        <f t="shared" si="155"/>
        <v>1.493192891307598</v>
      </c>
      <c r="AC331" s="10">
        <f t="shared" si="156"/>
        <v>1.392192891307598</v>
      </c>
      <c r="AD331" s="3">
        <f t="shared" si="157"/>
        <v>201.91339975454648</v>
      </c>
      <c r="AI331" s="100">
        <f t="shared" si="158"/>
        <v>0.23041062451808475</v>
      </c>
    </row>
    <row r="332" spans="2:35">
      <c r="B332" s="39">
        <f t="shared" si="159"/>
        <v>304</v>
      </c>
      <c r="C332" s="45">
        <f t="shared" si="160"/>
        <v>8.9304556354911746</v>
      </c>
      <c r="D332" s="10">
        <f t="shared" si="161"/>
        <v>6.5195443645090556</v>
      </c>
      <c r="E332" s="40">
        <f t="shared" si="162"/>
        <v>35.300911270981892</v>
      </c>
      <c r="F332" s="40">
        <f t="shared" si="163"/>
        <v>48.34</v>
      </c>
      <c r="G332" s="3">
        <f t="shared" si="164"/>
        <v>92.478177458036214</v>
      </c>
      <c r="H332" s="3">
        <f t="shared" si="165"/>
        <v>148.0155219248214</v>
      </c>
      <c r="I332">
        <f t="shared" si="150"/>
        <v>1.4801552192482141E-4</v>
      </c>
      <c r="J332" s="4">
        <f t="shared" si="166"/>
        <v>983.28609234497719</v>
      </c>
      <c r="K332" s="40">
        <f t="shared" si="167"/>
        <v>6.6431282311350985</v>
      </c>
      <c r="L332" s="40">
        <f t="shared" si="151"/>
        <v>0</v>
      </c>
      <c r="M332" s="10">
        <f t="shared" si="168"/>
        <v>1.493192891307598</v>
      </c>
      <c r="N332" s="10">
        <f t="shared" si="147"/>
        <v>8.26</v>
      </c>
      <c r="O332" s="10">
        <f t="shared" si="148"/>
        <v>0.31900000000000001</v>
      </c>
      <c r="P332" s="10">
        <f t="shared" si="169"/>
        <v>9.386917993822216</v>
      </c>
      <c r="Q332" s="45">
        <f t="shared" si="170"/>
        <v>1.0700062156978165</v>
      </c>
      <c r="R332" s="4">
        <f t="shared" si="171"/>
        <v>79212.758976301484</v>
      </c>
      <c r="S332">
        <f t="shared" si="152"/>
        <v>7.9212758976301485E-5</v>
      </c>
      <c r="T332" s="44">
        <f t="shared" si="153"/>
        <v>1.5665502665901393E-4</v>
      </c>
      <c r="U332" s="45">
        <f t="shared" si="172"/>
        <v>0.14215125662092182</v>
      </c>
      <c r="V332" s="45">
        <f t="shared" si="173"/>
        <v>0.23055548685555899</v>
      </c>
      <c r="W332" s="45">
        <f t="shared" si="174"/>
        <v>0.23020044413157101</v>
      </c>
      <c r="X332" s="45">
        <f t="shared" si="175"/>
        <v>3.5504272398798054E-4</v>
      </c>
      <c r="Y332" s="45">
        <f t="shared" si="149"/>
        <v>6.7396635895588164E-4</v>
      </c>
      <c r="Z332" s="10">
        <f t="shared" si="176"/>
        <v>4.3022325764425231</v>
      </c>
      <c r="AA332">
        <f t="shared" si="154"/>
        <v>1491912.815817408</v>
      </c>
      <c r="AB332" s="10">
        <f t="shared" si="155"/>
        <v>1.491912815817408</v>
      </c>
      <c r="AC332" s="10">
        <f t="shared" si="156"/>
        <v>1.390912815817408</v>
      </c>
      <c r="AD332" s="3">
        <f t="shared" si="157"/>
        <v>201.72774703660741</v>
      </c>
      <c r="AI332" s="100">
        <f t="shared" si="158"/>
        <v>0.23020044413157101</v>
      </c>
    </row>
    <row r="333" spans="2:35">
      <c r="B333" s="39">
        <f t="shared" si="159"/>
        <v>305</v>
      </c>
      <c r="C333" s="45">
        <f t="shared" si="160"/>
        <v>8.9598321342921317</v>
      </c>
      <c r="D333" s="10">
        <f t="shared" si="161"/>
        <v>6.4901678657080986</v>
      </c>
      <c r="E333" s="40">
        <f t="shared" si="162"/>
        <v>35.359664268583806</v>
      </c>
      <c r="F333" s="40">
        <f t="shared" si="163"/>
        <v>48.34</v>
      </c>
      <c r="G333" s="3">
        <f t="shared" si="164"/>
        <v>92.360671462832386</v>
      </c>
      <c r="H333" s="3">
        <f t="shared" si="165"/>
        <v>148.0155219248214</v>
      </c>
      <c r="I333">
        <f t="shared" si="150"/>
        <v>1.4801552192482141E-4</v>
      </c>
      <c r="J333" s="4">
        <f t="shared" si="166"/>
        <v>986.54668901933621</v>
      </c>
      <c r="K333" s="40">
        <f t="shared" si="167"/>
        <v>6.665156979417425</v>
      </c>
      <c r="L333" s="40">
        <f t="shared" si="151"/>
        <v>0</v>
      </c>
      <c r="M333" s="10">
        <f t="shared" si="168"/>
        <v>1.491912815817408</v>
      </c>
      <c r="N333" s="10">
        <f t="shared" si="147"/>
        <v>8.26</v>
      </c>
      <c r="O333" s="10">
        <f t="shared" si="148"/>
        <v>0.31900000000000001</v>
      </c>
      <c r="P333" s="10">
        <f t="shared" si="169"/>
        <v>9.3843501997670824</v>
      </c>
      <c r="Q333" s="45">
        <f t="shared" si="170"/>
        <v>1.0731365868130895</v>
      </c>
      <c r="R333" s="4">
        <f t="shared" si="171"/>
        <v>78810.957585915879</v>
      </c>
      <c r="S333">
        <f t="shared" si="152"/>
        <v>7.8810957585915875E-5</v>
      </c>
      <c r="T333" s="44">
        <f t="shared" si="153"/>
        <v>1.5705682804939954E-4</v>
      </c>
      <c r="U333" s="45">
        <f t="shared" si="172"/>
        <v>0.14143020393580533</v>
      </c>
      <c r="V333" s="45">
        <f t="shared" si="173"/>
        <v>0.23034095912733343</v>
      </c>
      <c r="W333" s="45">
        <f t="shared" si="174"/>
        <v>0.22998878240839782</v>
      </c>
      <c r="X333" s="45">
        <f t="shared" si="175"/>
        <v>3.5217671893561509E-4</v>
      </c>
      <c r="Y333" s="45">
        <f t="shared" si="149"/>
        <v>6.7506880278430932E-4</v>
      </c>
      <c r="Z333" s="10">
        <f t="shared" si="176"/>
        <v>4.2982454896642759</v>
      </c>
      <c r="AA333">
        <f t="shared" si="154"/>
        <v>1490623.7897131462</v>
      </c>
      <c r="AB333" s="10">
        <f t="shared" si="155"/>
        <v>1.4906237897131462</v>
      </c>
      <c r="AC333" s="10">
        <f t="shared" si="156"/>
        <v>1.3896237897131463</v>
      </c>
      <c r="AD333" s="3">
        <f t="shared" si="157"/>
        <v>201.54079618754838</v>
      </c>
      <c r="AI333" s="100">
        <f t="shared" si="158"/>
        <v>0.22998878240839782</v>
      </c>
    </row>
    <row r="334" spans="2:35">
      <c r="B334" s="39">
        <f t="shared" si="159"/>
        <v>306</v>
      </c>
      <c r="C334" s="45">
        <f t="shared" si="160"/>
        <v>8.9892086330930887</v>
      </c>
      <c r="D334" s="10">
        <f t="shared" si="161"/>
        <v>6.4607913669071415</v>
      </c>
      <c r="E334" s="40">
        <f t="shared" si="162"/>
        <v>35.41841726618572</v>
      </c>
      <c r="F334" s="40">
        <f t="shared" si="163"/>
        <v>48.34</v>
      </c>
      <c r="G334" s="3">
        <f t="shared" si="164"/>
        <v>92.243165467628558</v>
      </c>
      <c r="H334" s="3">
        <f t="shared" si="165"/>
        <v>148.0155219248214</v>
      </c>
      <c r="I334">
        <f t="shared" si="150"/>
        <v>1.4801552192482141E-4</v>
      </c>
      <c r="J334" s="4">
        <f t="shared" si="166"/>
        <v>989.8127079486693</v>
      </c>
      <c r="K334" s="40">
        <f t="shared" si="167"/>
        <v>6.6872223607156913</v>
      </c>
      <c r="L334" s="40">
        <f t="shared" si="151"/>
        <v>0</v>
      </c>
      <c r="M334" s="10">
        <f t="shared" si="168"/>
        <v>1.4906237897131462</v>
      </c>
      <c r="N334" s="10">
        <f t="shared" si="147"/>
        <v>8.26</v>
      </c>
      <c r="O334" s="10">
        <f t="shared" si="148"/>
        <v>0.31900000000000001</v>
      </c>
      <c r="P334" s="10">
        <f t="shared" si="169"/>
        <v>9.3817629344462397</v>
      </c>
      <c r="Q334" s="45">
        <f t="shared" si="170"/>
        <v>1.0762678212096759</v>
      </c>
      <c r="R334" s="4">
        <f t="shared" si="171"/>
        <v>78409.42230888184</v>
      </c>
      <c r="S334">
        <f t="shared" si="152"/>
        <v>7.8409422308881835E-5</v>
      </c>
      <c r="T334" s="44">
        <f t="shared" si="153"/>
        <v>1.5745836332643358E-4</v>
      </c>
      <c r="U334" s="45">
        <f t="shared" si="172"/>
        <v>0.14070962880440388</v>
      </c>
      <c r="V334" s="45">
        <f t="shared" si="173"/>
        <v>0.23012494120114757</v>
      </c>
      <c r="W334" s="45">
        <f t="shared" si="174"/>
        <v>0.22977564069251127</v>
      </c>
      <c r="X334" s="45">
        <f t="shared" si="175"/>
        <v>3.4930050863629658E-4</v>
      </c>
      <c r="Y334" s="45">
        <f t="shared" si="149"/>
        <v>6.7616254455169639E-4</v>
      </c>
      <c r="Z334" s="10">
        <f t="shared" si="176"/>
        <v>4.2942307430816822</v>
      </c>
      <c r="AA334">
        <f t="shared" si="154"/>
        <v>1489325.8211875565</v>
      </c>
      <c r="AB334" s="10">
        <f t="shared" si="155"/>
        <v>1.4893258211875564</v>
      </c>
      <c r="AC334" s="10">
        <f t="shared" si="156"/>
        <v>1.3883258211875564</v>
      </c>
      <c r="AD334" s="3">
        <f t="shared" si="157"/>
        <v>201.35254839558471</v>
      </c>
      <c r="AI334" s="100">
        <f t="shared" si="158"/>
        <v>0.22977564069251127</v>
      </c>
    </row>
    <row r="335" spans="2:35">
      <c r="B335" s="39">
        <f t="shared" si="159"/>
        <v>307</v>
      </c>
      <c r="C335" s="45">
        <f t="shared" si="160"/>
        <v>9.0185851318940458</v>
      </c>
      <c r="D335" s="10">
        <f t="shared" si="161"/>
        <v>6.4314148681061845</v>
      </c>
      <c r="E335" s="40">
        <f t="shared" si="162"/>
        <v>35.477170263787634</v>
      </c>
      <c r="F335" s="40">
        <f t="shared" si="163"/>
        <v>48.34</v>
      </c>
      <c r="G335" s="3">
        <f t="shared" si="164"/>
        <v>92.125659472424729</v>
      </c>
      <c r="H335" s="3">
        <f t="shared" si="165"/>
        <v>148.0155219248214</v>
      </c>
      <c r="I335">
        <f t="shared" si="150"/>
        <v>1.4801552192482141E-4</v>
      </c>
      <c r="J335" s="4">
        <f t="shared" si="166"/>
        <v>993.08414913297622</v>
      </c>
      <c r="K335" s="40">
        <f t="shared" si="167"/>
        <v>6.7093243750298965</v>
      </c>
      <c r="L335" s="40">
        <f t="shared" si="151"/>
        <v>0</v>
      </c>
      <c r="M335" s="10">
        <f t="shared" si="168"/>
        <v>1.4893258211875564</v>
      </c>
      <c r="N335" s="10">
        <f t="shared" si="147"/>
        <v>8.26</v>
      </c>
      <c r="O335" s="10">
        <f t="shared" si="148"/>
        <v>0.31900000000000001</v>
      </c>
      <c r="P335" s="10">
        <f t="shared" si="169"/>
        <v>9.3791561803798551</v>
      </c>
      <c r="Q335" s="45">
        <f t="shared" si="170"/>
        <v>1.0793999258719706</v>
      </c>
      <c r="R335" s="4">
        <f t="shared" si="171"/>
        <v>78008.155056641815</v>
      </c>
      <c r="S335">
        <f t="shared" si="152"/>
        <v>7.8008155056641818E-5</v>
      </c>
      <c r="T335" s="44">
        <f t="shared" si="153"/>
        <v>1.5785963057867358E-4</v>
      </c>
      <c r="U335" s="45">
        <f t="shared" si="172"/>
        <v>0.13998953465689654</v>
      </c>
      <c r="V335" s="45">
        <f t="shared" si="173"/>
        <v>0.22990743450436471</v>
      </c>
      <c r="W335" s="45">
        <f t="shared" si="174"/>
        <v>0.22956102033858969</v>
      </c>
      <c r="X335" s="45">
        <f t="shared" si="175"/>
        <v>3.4641416577502193E-4</v>
      </c>
      <c r="Y335" s="45">
        <f t="shared" si="149"/>
        <v>6.7724754997540524E-4</v>
      </c>
      <c r="Z335" s="10">
        <f t="shared" si="176"/>
        <v>4.2901883622354022</v>
      </c>
      <c r="AA335">
        <f t="shared" si="154"/>
        <v>1488018.9184979408</v>
      </c>
      <c r="AB335" s="10">
        <f t="shared" si="155"/>
        <v>1.4880189184979407</v>
      </c>
      <c r="AC335" s="10">
        <f t="shared" si="156"/>
        <v>1.3870189184979407</v>
      </c>
      <c r="AD335" s="3">
        <f t="shared" si="157"/>
        <v>201.16300485829453</v>
      </c>
      <c r="AI335" s="100">
        <f t="shared" si="158"/>
        <v>0.22956102033858969</v>
      </c>
    </row>
    <row r="336" spans="2:35">
      <c r="B336" s="39">
        <f t="shared" si="159"/>
        <v>308</v>
      </c>
      <c r="C336" s="45">
        <f t="shared" si="160"/>
        <v>9.0479616306950028</v>
      </c>
      <c r="D336" s="10">
        <f t="shared" si="161"/>
        <v>6.4020383693052274</v>
      </c>
      <c r="E336" s="40">
        <f t="shared" si="162"/>
        <v>35.535923261389549</v>
      </c>
      <c r="F336" s="40">
        <f t="shared" si="163"/>
        <v>48.34</v>
      </c>
      <c r="G336" s="3">
        <f t="shared" si="164"/>
        <v>92.008153477220901</v>
      </c>
      <c r="H336" s="3">
        <f t="shared" si="165"/>
        <v>148.0155219248214</v>
      </c>
      <c r="I336">
        <f t="shared" si="150"/>
        <v>1.4801552192482141E-4</v>
      </c>
      <c r="J336" s="4">
        <f t="shared" si="166"/>
        <v>996.3610125722571</v>
      </c>
      <c r="K336" s="40">
        <f t="shared" si="167"/>
        <v>6.7314630223600407</v>
      </c>
      <c r="L336" s="40">
        <f t="shared" si="151"/>
        <v>0</v>
      </c>
      <c r="M336" s="10">
        <f t="shared" si="168"/>
        <v>1.4880189184979407</v>
      </c>
      <c r="N336" s="10">
        <f t="shared" si="147"/>
        <v>8.26</v>
      </c>
      <c r="O336" s="10">
        <f t="shared" si="148"/>
        <v>0.31900000000000001</v>
      </c>
      <c r="P336" s="10">
        <f t="shared" si="169"/>
        <v>9.3765299199386352</v>
      </c>
      <c r="Q336" s="45">
        <f t="shared" si="170"/>
        <v>1.0825329078015105</v>
      </c>
      <c r="R336" s="4">
        <f t="shared" si="171"/>
        <v>77607.157740638184</v>
      </c>
      <c r="S336">
        <f t="shared" si="152"/>
        <v>7.7607157740638183E-5</v>
      </c>
      <c r="T336" s="44">
        <f t="shared" si="153"/>
        <v>1.5826062789467724E-4</v>
      </c>
      <c r="U336" s="45">
        <f t="shared" si="172"/>
        <v>0.13926992492346224</v>
      </c>
      <c r="V336" s="45">
        <f t="shared" si="173"/>
        <v>0.22968844047561904</v>
      </c>
      <c r="W336" s="45">
        <f t="shared" si="174"/>
        <v>0.22934492271198587</v>
      </c>
      <c r="X336" s="45">
        <f t="shared" si="175"/>
        <v>3.435177636331721E-4</v>
      </c>
      <c r="Y336" s="45">
        <f t="shared" si="149"/>
        <v>6.7832378492134395E-4</v>
      </c>
      <c r="Z336" s="10">
        <f t="shared" si="176"/>
        <v>4.2861183728701606</v>
      </c>
      <c r="AA336">
        <f t="shared" si="154"/>
        <v>1486703.0899675742</v>
      </c>
      <c r="AB336" s="10">
        <f t="shared" si="155"/>
        <v>1.4867030899675742</v>
      </c>
      <c r="AC336" s="10">
        <f t="shared" si="156"/>
        <v>1.3857030899675742</v>
      </c>
      <c r="AD336" s="3">
        <f t="shared" si="157"/>
        <v>200.97216678282439</v>
      </c>
      <c r="AI336" s="100">
        <f t="shared" si="158"/>
        <v>0.22934492271198587</v>
      </c>
    </row>
    <row r="337" spans="2:35">
      <c r="B337" s="39">
        <f t="shared" si="159"/>
        <v>309</v>
      </c>
      <c r="C337" s="45">
        <f t="shared" si="160"/>
        <v>9.0773381294959599</v>
      </c>
      <c r="D337" s="10">
        <f t="shared" si="161"/>
        <v>6.3726618705042704</v>
      </c>
      <c r="E337" s="40">
        <f t="shared" si="162"/>
        <v>35.594676258991463</v>
      </c>
      <c r="F337" s="40">
        <f t="shared" si="163"/>
        <v>48.34</v>
      </c>
      <c r="G337" s="3">
        <f t="shared" si="164"/>
        <v>91.890647482017073</v>
      </c>
      <c r="H337" s="3">
        <f t="shared" si="165"/>
        <v>148.0155219248214</v>
      </c>
      <c r="I337">
        <f t="shared" si="150"/>
        <v>1.4801552192482141E-4</v>
      </c>
      <c r="J337" s="4">
        <f t="shared" si="166"/>
        <v>999.64329826651169</v>
      </c>
      <c r="K337" s="40">
        <f t="shared" si="167"/>
        <v>6.7536383027061229</v>
      </c>
      <c r="L337" s="40">
        <f t="shared" si="151"/>
        <v>0</v>
      </c>
      <c r="M337" s="10">
        <f t="shared" si="168"/>
        <v>1.4867030899675742</v>
      </c>
      <c r="N337" s="10">
        <f t="shared" si="147"/>
        <v>8.26</v>
      </c>
      <c r="O337" s="10">
        <f t="shared" si="148"/>
        <v>0.31900000000000001</v>
      </c>
      <c r="P337" s="10">
        <f t="shared" si="169"/>
        <v>9.3738841353458717</v>
      </c>
      <c r="Q337" s="45">
        <f t="shared" si="170"/>
        <v>1.0856667740171371</v>
      </c>
      <c r="R337" s="4">
        <f t="shared" si="171"/>
        <v>77206.432272313352</v>
      </c>
      <c r="S337">
        <f t="shared" si="152"/>
        <v>7.7206432272313355E-5</v>
      </c>
      <c r="T337" s="44">
        <f t="shared" si="153"/>
        <v>1.5866135336300204E-4</v>
      </c>
      <c r="U337" s="45">
        <f t="shared" si="172"/>
        <v>0.13855080303427991</v>
      </c>
      <c r="V337" s="45">
        <f t="shared" si="173"/>
        <v>0.22946796056466007</v>
      </c>
      <c r="W337" s="45">
        <f t="shared" si="174"/>
        <v>0.22912734918896141</v>
      </c>
      <c r="X337" s="45">
        <f t="shared" si="175"/>
        <v>3.4061137569865729E-4</v>
      </c>
      <c r="Y337" s="45">
        <f t="shared" si="149"/>
        <v>6.793912154043041E-4</v>
      </c>
      <c r="Z337" s="10">
        <f t="shared" si="176"/>
        <v>4.2820208009314138</v>
      </c>
      <c r="AA337">
        <f t="shared" si="154"/>
        <v>1485378.3439846293</v>
      </c>
      <c r="AB337" s="10">
        <f t="shared" si="155"/>
        <v>1.4853783439846293</v>
      </c>
      <c r="AC337" s="10">
        <f t="shared" si="156"/>
        <v>1.3843783439846293</v>
      </c>
      <c r="AD337" s="3">
        <f t="shared" si="157"/>
        <v>200.78003538573304</v>
      </c>
      <c r="AI337" s="100">
        <f t="shared" si="158"/>
        <v>0.22912734918896141</v>
      </c>
    </row>
    <row r="338" spans="2:35">
      <c r="B338" s="39">
        <f t="shared" si="159"/>
        <v>310</v>
      </c>
      <c r="C338" s="45">
        <f t="shared" si="160"/>
        <v>9.1067146282969169</v>
      </c>
      <c r="D338" s="10">
        <f t="shared" si="161"/>
        <v>6.3432853717033133</v>
      </c>
      <c r="E338" s="40">
        <f t="shared" si="162"/>
        <v>35.653429256593377</v>
      </c>
      <c r="F338" s="40">
        <f t="shared" si="163"/>
        <v>48.34</v>
      </c>
      <c r="G338" s="3">
        <f t="shared" si="164"/>
        <v>91.773141486813245</v>
      </c>
      <c r="H338" s="3">
        <f t="shared" si="165"/>
        <v>148.0155219248214</v>
      </c>
      <c r="I338">
        <f t="shared" si="150"/>
        <v>1.4801552192482141E-4</v>
      </c>
      <c r="J338" s="4">
        <f t="shared" si="166"/>
        <v>1002.9310062157405</v>
      </c>
      <c r="K338" s="40">
        <f t="shared" si="167"/>
        <v>6.7758502160681457</v>
      </c>
      <c r="L338" s="40">
        <f t="shared" si="151"/>
        <v>0</v>
      </c>
      <c r="M338" s="10">
        <f t="shared" si="168"/>
        <v>1.4853783439846293</v>
      </c>
      <c r="N338" s="10">
        <f t="shared" si="147"/>
        <v>8.26</v>
      </c>
      <c r="O338" s="10">
        <f t="shared" si="148"/>
        <v>0.31900000000000001</v>
      </c>
      <c r="P338" s="10">
        <f t="shared" si="169"/>
        <v>9.3712188086745041</v>
      </c>
      <c r="Q338" s="45">
        <f t="shared" si="170"/>
        <v>1.0888015315551602</v>
      </c>
      <c r="R338" s="4">
        <f t="shared" si="171"/>
        <v>76805.980563109697</v>
      </c>
      <c r="S338">
        <f t="shared" si="152"/>
        <v>7.6805980563109694E-5</v>
      </c>
      <c r="T338" s="44">
        <f t="shared" si="153"/>
        <v>1.5906180507220573E-4</v>
      </c>
      <c r="U338" s="45">
        <f t="shared" si="172"/>
        <v>0.1378321724195285</v>
      </c>
      <c r="V338" s="45">
        <f t="shared" si="173"/>
        <v>0.22924599623248526</v>
      </c>
      <c r="W338" s="45">
        <f t="shared" si="174"/>
        <v>0.22890830115650884</v>
      </c>
      <c r="X338" s="45">
        <f t="shared" si="175"/>
        <v>3.3769507597641857E-4</v>
      </c>
      <c r="Y338" s="45">
        <f t="shared" si="149"/>
        <v>6.804498075892745E-4</v>
      </c>
      <c r="Z338" s="10">
        <f t="shared" si="176"/>
        <v>4.277895672568194</v>
      </c>
      <c r="AA338">
        <f t="shared" si="154"/>
        <v>1484044.6890030943</v>
      </c>
      <c r="AB338" s="10">
        <f t="shared" si="155"/>
        <v>1.4840446890030943</v>
      </c>
      <c r="AC338" s="10">
        <f t="shared" si="156"/>
        <v>1.3830446890030943</v>
      </c>
      <c r="AD338" s="3">
        <f t="shared" si="157"/>
        <v>200.58661189312463</v>
      </c>
      <c r="AI338" s="100">
        <f t="shared" si="158"/>
        <v>0.22890830115650884</v>
      </c>
    </row>
    <row r="339" spans="2:35">
      <c r="B339" s="39">
        <f t="shared" si="159"/>
        <v>311</v>
      </c>
      <c r="C339" s="45">
        <f t="shared" si="160"/>
        <v>9.136091127097874</v>
      </c>
      <c r="D339" s="10">
        <f t="shared" si="161"/>
        <v>6.3139088729023563</v>
      </c>
      <c r="E339" s="40">
        <f t="shared" si="162"/>
        <v>35.712182254195291</v>
      </c>
      <c r="F339" s="40">
        <f t="shared" si="163"/>
        <v>48.34</v>
      </c>
      <c r="G339" s="3">
        <f t="shared" si="164"/>
        <v>91.655635491609416</v>
      </c>
      <c r="H339" s="3">
        <f t="shared" si="165"/>
        <v>148.0155219248214</v>
      </c>
      <c r="I339">
        <f t="shared" si="150"/>
        <v>1.4801552192482141E-4</v>
      </c>
      <c r="J339" s="4">
        <f t="shared" si="166"/>
        <v>1006.224136419943</v>
      </c>
      <c r="K339" s="40">
        <f t="shared" si="167"/>
        <v>6.7980987624461067</v>
      </c>
      <c r="L339" s="40">
        <f t="shared" si="151"/>
        <v>0</v>
      </c>
      <c r="M339" s="10">
        <f t="shared" si="168"/>
        <v>1.4840446890030943</v>
      </c>
      <c r="N339" s="10">
        <f t="shared" si="147"/>
        <v>8.26</v>
      </c>
      <c r="O339" s="10">
        <f t="shared" si="148"/>
        <v>0.31900000000000001</v>
      </c>
      <c r="P339" s="10">
        <f t="shared" si="169"/>
        <v>9.3685339218481598</v>
      </c>
      <c r="Q339" s="45">
        <f t="shared" si="170"/>
        <v>1.0919371874695236</v>
      </c>
      <c r="R339" s="4">
        <f t="shared" si="171"/>
        <v>76405.80452446964</v>
      </c>
      <c r="S339">
        <f t="shared" si="152"/>
        <v>7.6405804524469639E-5</v>
      </c>
      <c r="T339" s="44">
        <f t="shared" si="153"/>
        <v>1.5946198111084579E-4</v>
      </c>
      <c r="U339" s="45">
        <f t="shared" si="172"/>
        <v>0.137114036509387</v>
      </c>
      <c r="V339" s="45">
        <f t="shared" si="173"/>
        <v>0.22902254895122937</v>
      </c>
      <c r="W339" s="45">
        <f t="shared" si="174"/>
        <v>0.2286877800125032</v>
      </c>
      <c r="X339" s="45">
        <f t="shared" si="175"/>
        <v>3.3476893872616542E-4</v>
      </c>
      <c r="Y339" s="45">
        <f t="shared" si="149"/>
        <v>6.8149952779193636E-4</v>
      </c>
      <c r="Z339" s="10">
        <f t="shared" si="176"/>
        <v>4.2737430141308099</v>
      </c>
      <c r="AA339">
        <f t="shared" si="154"/>
        <v>1482702.1335420306</v>
      </c>
      <c r="AB339" s="10">
        <f t="shared" si="155"/>
        <v>1.4827021335420305</v>
      </c>
      <c r="AC339" s="10">
        <f t="shared" si="156"/>
        <v>1.3817021335420305</v>
      </c>
      <c r="AD339" s="3">
        <f t="shared" si="157"/>
        <v>200.39189754054107</v>
      </c>
      <c r="AI339" s="100">
        <f t="shared" si="158"/>
        <v>0.2286877800125032</v>
      </c>
    </row>
    <row r="340" spans="2:35">
      <c r="B340" s="39">
        <f t="shared" si="159"/>
        <v>312</v>
      </c>
      <c r="C340" s="45">
        <f t="shared" si="160"/>
        <v>9.165467625898831</v>
      </c>
      <c r="D340" s="10">
        <f t="shared" si="161"/>
        <v>6.2845323741013992</v>
      </c>
      <c r="E340" s="40">
        <f t="shared" si="162"/>
        <v>35.770935251797205</v>
      </c>
      <c r="F340" s="40">
        <f t="shared" si="163"/>
        <v>48.34</v>
      </c>
      <c r="G340" s="3">
        <f t="shared" si="164"/>
        <v>91.538129496405588</v>
      </c>
      <c r="H340" s="3">
        <f t="shared" si="165"/>
        <v>148.0155219248214</v>
      </c>
      <c r="I340">
        <f t="shared" si="150"/>
        <v>1.4801552192482141E-4</v>
      </c>
      <c r="J340" s="4">
        <f t="shared" si="166"/>
        <v>1009.5226888791194</v>
      </c>
      <c r="K340" s="40">
        <f t="shared" si="167"/>
        <v>6.8203839418400074</v>
      </c>
      <c r="L340" s="40">
        <f t="shared" si="151"/>
        <v>0</v>
      </c>
      <c r="M340" s="10">
        <f t="shared" si="168"/>
        <v>1.4827021335420305</v>
      </c>
      <c r="N340" s="10">
        <f t="shared" si="147"/>
        <v>8.26</v>
      </c>
      <c r="O340" s="10">
        <f t="shared" si="148"/>
        <v>0.31900000000000001</v>
      </c>
      <c r="P340" s="10">
        <f t="shared" si="169"/>
        <v>9.3658294566388616</v>
      </c>
      <c r="Q340" s="45">
        <f t="shared" si="170"/>
        <v>1.0950737488319702</v>
      </c>
      <c r="R340" s="4">
        <f t="shared" si="171"/>
        <v>76005.906067835589</v>
      </c>
      <c r="S340">
        <f t="shared" si="152"/>
        <v>7.6005906067835589E-5</v>
      </c>
      <c r="T340" s="44">
        <f t="shared" si="153"/>
        <v>1.5986187956747982E-4</v>
      </c>
      <c r="U340" s="45">
        <f t="shared" si="172"/>
        <v>0.13639639873403436</v>
      </c>
      <c r="V340" s="45">
        <f t="shared" si="173"/>
        <v>0.22879762020433436</v>
      </c>
      <c r="W340" s="45">
        <f t="shared" si="174"/>
        <v>0.22846578716557964</v>
      </c>
      <c r="X340" s="45">
        <f t="shared" si="175"/>
        <v>3.3183303875472525E-4</v>
      </c>
      <c r="Y340" s="45">
        <f t="shared" si="149"/>
        <v>6.8254034248007764E-4</v>
      </c>
      <c r="Z340" s="10">
        <f t="shared" si="176"/>
        <v>4.2695628521743254</v>
      </c>
      <c r="AA340">
        <f t="shared" si="154"/>
        <v>1481350.6861866962</v>
      </c>
      <c r="AB340" s="10">
        <f t="shared" si="155"/>
        <v>1.4813506861866961</v>
      </c>
      <c r="AC340" s="10">
        <f t="shared" si="156"/>
        <v>1.3803506861866961</v>
      </c>
      <c r="AD340" s="3">
        <f t="shared" si="157"/>
        <v>200.19589357312489</v>
      </c>
      <c r="AI340" s="100">
        <f t="shared" si="158"/>
        <v>0.22846578716557964</v>
      </c>
    </row>
    <row r="341" spans="2:35">
      <c r="B341" s="39">
        <f t="shared" si="159"/>
        <v>313</v>
      </c>
      <c r="C341" s="45">
        <f t="shared" si="160"/>
        <v>9.1948441246997881</v>
      </c>
      <c r="D341" s="10">
        <f t="shared" si="161"/>
        <v>6.2551558753004421</v>
      </c>
      <c r="E341" s="40">
        <f t="shared" si="162"/>
        <v>35.829688249399119</v>
      </c>
      <c r="F341" s="40">
        <f t="shared" si="163"/>
        <v>48.34</v>
      </c>
      <c r="G341" s="3">
        <f t="shared" si="164"/>
        <v>91.42062350120176</v>
      </c>
      <c r="H341" s="3">
        <f t="shared" si="165"/>
        <v>148.0155219248214</v>
      </c>
      <c r="I341">
        <f t="shared" si="150"/>
        <v>1.4801552192482141E-4</v>
      </c>
      <c r="J341" s="4">
        <f t="shared" si="166"/>
        <v>1012.8266635932699</v>
      </c>
      <c r="K341" s="40">
        <f t="shared" si="167"/>
        <v>6.8427057542498479</v>
      </c>
      <c r="L341" s="40">
        <f t="shared" si="151"/>
        <v>0</v>
      </c>
      <c r="M341" s="10">
        <f t="shared" si="168"/>
        <v>1.4813506861866961</v>
      </c>
      <c r="N341" s="10">
        <f t="shared" si="147"/>
        <v>8.26</v>
      </c>
      <c r="O341" s="10">
        <f t="shared" si="148"/>
        <v>0.31900000000000001</v>
      </c>
      <c r="P341" s="10">
        <f t="shared" si="169"/>
        <v>9.3631053946684641</v>
      </c>
      <c r="Q341" s="45">
        <f t="shared" si="170"/>
        <v>1.0982112227322089</v>
      </c>
      <c r="R341" s="4">
        <f t="shared" si="171"/>
        <v>75606.287104649935</v>
      </c>
      <c r="S341">
        <f t="shared" si="152"/>
        <v>7.5606287104649931E-5</v>
      </c>
      <c r="T341" s="44">
        <f t="shared" si="153"/>
        <v>1.6026149853066548E-4</v>
      </c>
      <c r="U341" s="45">
        <f t="shared" si="172"/>
        <v>0.13567926252364954</v>
      </c>
      <c r="V341" s="45">
        <f t="shared" si="173"/>
        <v>0.22857121148649265</v>
      </c>
      <c r="W341" s="45">
        <f t="shared" si="174"/>
        <v>0.22824232403531886</v>
      </c>
      <c r="X341" s="45">
        <f t="shared" si="175"/>
        <v>3.288874511737927E-4</v>
      </c>
      <c r="Y341" s="45">
        <f t="shared" si="149"/>
        <v>6.8357221827425145E-4</v>
      </c>
      <c r="Z341" s="10">
        <f t="shared" si="176"/>
        <v>4.2653552134572879</v>
      </c>
      <c r="AA341">
        <f t="shared" si="154"/>
        <v>1479990.355588136</v>
      </c>
      <c r="AB341" s="10">
        <f t="shared" si="155"/>
        <v>1.479990355588136</v>
      </c>
      <c r="AC341" s="10">
        <f t="shared" si="156"/>
        <v>1.378990355588136</v>
      </c>
      <c r="AD341" s="3">
        <f t="shared" si="157"/>
        <v>199.99860124555997</v>
      </c>
      <c r="AI341" s="100">
        <f t="shared" si="158"/>
        <v>0.22824232403531886</v>
      </c>
    </row>
    <row r="342" spans="2:35">
      <c r="B342" s="39">
        <f t="shared" si="159"/>
        <v>314</v>
      </c>
      <c r="C342" s="45">
        <f t="shared" si="160"/>
        <v>9.2242206235007451</v>
      </c>
      <c r="D342" s="10">
        <f t="shared" si="161"/>
        <v>6.2257793764994851</v>
      </c>
      <c r="E342" s="40">
        <f t="shared" si="162"/>
        <v>35.888441247001033</v>
      </c>
      <c r="F342" s="40">
        <f t="shared" si="163"/>
        <v>48.34</v>
      </c>
      <c r="G342" s="3">
        <f t="shared" si="164"/>
        <v>91.303117505997932</v>
      </c>
      <c r="H342" s="3">
        <f t="shared" si="165"/>
        <v>148.0155219248214</v>
      </c>
      <c r="I342">
        <f t="shared" si="150"/>
        <v>1.4801552192482141E-4</v>
      </c>
      <c r="J342" s="4">
        <f t="shared" si="166"/>
        <v>1016.1360605623943</v>
      </c>
      <c r="K342" s="40">
        <f t="shared" si="167"/>
        <v>6.8650641996756274</v>
      </c>
      <c r="L342" s="40">
        <f t="shared" si="151"/>
        <v>0</v>
      </c>
      <c r="M342" s="10">
        <f t="shared" si="168"/>
        <v>1.479990355588136</v>
      </c>
      <c r="N342" s="10">
        <f t="shared" si="147"/>
        <v>8.26</v>
      </c>
      <c r="O342" s="10">
        <f t="shared" si="148"/>
        <v>0.31900000000000001</v>
      </c>
      <c r="P342" s="10">
        <f t="shared" si="169"/>
        <v>9.3603617174070202</v>
      </c>
      <c r="Q342" s="45">
        <f t="shared" si="170"/>
        <v>1.1013496162780831</v>
      </c>
      <c r="R342" s="4">
        <f t="shared" si="171"/>
        <v>75206.94954635507</v>
      </c>
      <c r="S342">
        <f t="shared" si="152"/>
        <v>7.5206949546355076E-5</v>
      </c>
      <c r="T342" s="44">
        <f t="shared" si="153"/>
        <v>1.6066083608896035E-4</v>
      </c>
      <c r="U342" s="45">
        <f t="shared" si="172"/>
        <v>0.13496263130841149</v>
      </c>
      <c r="V342" s="45">
        <f t="shared" si="173"/>
        <v>0.22834332430365359</v>
      </c>
      <c r="W342" s="45">
        <f t="shared" si="174"/>
        <v>0.2280173920521795</v>
      </c>
      <c r="X342" s="45">
        <f t="shared" si="175"/>
        <v>3.2593225147409255E-4</v>
      </c>
      <c r="Y342" s="45">
        <f t="shared" si="149"/>
        <v>6.8459512194866999E-4</v>
      </c>
      <c r="Z342" s="10">
        <f t="shared" si="176"/>
        <v>4.2611201249419572</v>
      </c>
      <c r="AA342">
        <f t="shared" si="154"/>
        <v>1478621.1504632551</v>
      </c>
      <c r="AB342" s="10">
        <f t="shared" si="155"/>
        <v>1.4786211504632552</v>
      </c>
      <c r="AC342" s="10">
        <f t="shared" si="156"/>
        <v>1.3776211504632552</v>
      </c>
      <c r="AD342" s="3">
        <f t="shared" si="157"/>
        <v>199.80002182208196</v>
      </c>
      <c r="AI342" s="100">
        <f t="shared" si="158"/>
        <v>0.2280173920521795</v>
      </c>
    </row>
    <row r="343" spans="2:35">
      <c r="B343" s="39">
        <f t="shared" si="159"/>
        <v>315</v>
      </c>
      <c r="C343" s="45">
        <f t="shared" si="160"/>
        <v>9.2535971223017022</v>
      </c>
      <c r="D343" s="10">
        <f t="shared" si="161"/>
        <v>6.196402877698528</v>
      </c>
      <c r="E343" s="40">
        <f t="shared" si="162"/>
        <v>35.947194244602947</v>
      </c>
      <c r="F343" s="40">
        <f t="shared" si="163"/>
        <v>48.34</v>
      </c>
      <c r="G343" s="3">
        <f t="shared" si="164"/>
        <v>91.185611510794104</v>
      </c>
      <c r="H343" s="3">
        <f t="shared" si="165"/>
        <v>148.0155219248214</v>
      </c>
      <c r="I343">
        <f t="shared" si="150"/>
        <v>1.4801552192482141E-4</v>
      </c>
      <c r="J343" s="4">
        <f t="shared" si="166"/>
        <v>1019.4508797864925</v>
      </c>
      <c r="K343" s="40">
        <f t="shared" si="167"/>
        <v>6.8874592781173449</v>
      </c>
      <c r="L343" s="40">
        <f t="shared" si="151"/>
        <v>0</v>
      </c>
      <c r="M343" s="10">
        <f t="shared" si="168"/>
        <v>1.4786211504632552</v>
      </c>
      <c r="N343" s="10">
        <f t="shared" si="147"/>
        <v>8.26</v>
      </c>
      <c r="O343" s="10">
        <f t="shared" si="148"/>
        <v>0.31900000000000001</v>
      </c>
      <c r="P343" s="10">
        <f t="shared" si="169"/>
        <v>9.3575984061720927</v>
      </c>
      <c r="Q343" s="45">
        <f t="shared" si="170"/>
        <v>1.1044889365957387</v>
      </c>
      <c r="R343" s="4">
        <f t="shared" si="171"/>
        <v>74807.895304393416</v>
      </c>
      <c r="S343">
        <f t="shared" si="152"/>
        <v>7.4807895304393411E-5</v>
      </c>
      <c r="T343" s="44">
        <f t="shared" si="153"/>
        <v>1.6105989033092202E-4</v>
      </c>
      <c r="U343" s="45">
        <f t="shared" si="172"/>
        <v>0.1342465085184992</v>
      </c>
      <c r="V343" s="45">
        <f t="shared" si="173"/>
        <v>0.22811396017310459</v>
      </c>
      <c r="W343" s="45">
        <f t="shared" si="174"/>
        <v>0.22779099265751029</v>
      </c>
      <c r="X343" s="45">
        <f t="shared" si="175"/>
        <v>3.2296751559429682E-4</v>
      </c>
      <c r="Y343" s="45">
        <f t="shared" si="149"/>
        <v>6.8560902043231795E-4</v>
      </c>
      <c r="Z343" s="10">
        <f t="shared" si="176"/>
        <v>4.2568576137958996</v>
      </c>
      <c r="AA343">
        <f t="shared" si="154"/>
        <v>1477243.0795953344</v>
      </c>
      <c r="AB343" s="10">
        <f t="shared" si="155"/>
        <v>1.4772430795953344</v>
      </c>
      <c r="AC343" s="10">
        <f t="shared" si="156"/>
        <v>1.3762430795953344</v>
      </c>
      <c r="AD343" s="3">
        <f t="shared" si="157"/>
        <v>199.60015657655322</v>
      </c>
      <c r="AI343" s="100">
        <f t="shared" si="158"/>
        <v>0.22779099265751029</v>
      </c>
    </row>
    <row r="344" spans="2:35">
      <c r="B344" s="39">
        <f t="shared" si="159"/>
        <v>316</v>
      </c>
      <c r="C344" s="45">
        <f t="shared" si="160"/>
        <v>9.2829736211026592</v>
      </c>
      <c r="D344" s="10">
        <f t="shared" si="161"/>
        <v>6.167026378897571</v>
      </c>
      <c r="E344" s="40">
        <f t="shared" si="162"/>
        <v>36.005947242204861</v>
      </c>
      <c r="F344" s="40">
        <f t="shared" si="163"/>
        <v>48.34</v>
      </c>
      <c r="G344" s="3">
        <f t="shared" si="164"/>
        <v>91.068105515590275</v>
      </c>
      <c r="H344" s="3">
        <f t="shared" si="165"/>
        <v>148.0155219248214</v>
      </c>
      <c r="I344">
        <f t="shared" si="150"/>
        <v>1.4801552192482141E-4</v>
      </c>
      <c r="J344" s="4">
        <f t="shared" si="166"/>
        <v>1022.7711212655645</v>
      </c>
      <c r="K344" s="40">
        <f t="shared" si="167"/>
        <v>6.9098909895750014</v>
      </c>
      <c r="L344" s="40">
        <f t="shared" si="151"/>
        <v>0</v>
      </c>
      <c r="M344" s="10">
        <f t="shared" si="168"/>
        <v>1.4772430795953344</v>
      </c>
      <c r="N344" s="10">
        <f t="shared" si="147"/>
        <v>8.26</v>
      </c>
      <c r="O344" s="10">
        <f t="shared" si="148"/>
        <v>0.31900000000000001</v>
      </c>
      <c r="P344" s="10">
        <f t="shared" si="169"/>
        <v>9.3548154421289524</v>
      </c>
      <c r="Q344" s="45">
        <f t="shared" si="170"/>
        <v>1.1076291908297946</v>
      </c>
      <c r="R344" s="4">
        <f t="shared" si="171"/>
        <v>74409.126290207365</v>
      </c>
      <c r="S344">
        <f t="shared" si="152"/>
        <v>7.4409126290207362E-5</v>
      </c>
      <c r="T344" s="44">
        <f t="shared" si="153"/>
        <v>1.6145865934510804E-4</v>
      </c>
      <c r="U344" s="45">
        <f t="shared" si="172"/>
        <v>0.13353089758409162</v>
      </c>
      <c r="V344" s="45">
        <f t="shared" si="173"/>
        <v>0.22788312062342223</v>
      </c>
      <c r="W344" s="45">
        <f t="shared" si="174"/>
        <v>0.22756312730363526</v>
      </c>
      <c r="X344" s="45">
        <f t="shared" si="175"/>
        <v>3.1999331978696532E-4</v>
      </c>
      <c r="Y344" s="45">
        <f t="shared" si="149"/>
        <v>6.8661388080964861E-4</v>
      </c>
      <c r="Z344" s="10">
        <f t="shared" si="176"/>
        <v>4.2525677073909884</v>
      </c>
      <c r="AA344">
        <f t="shared" si="154"/>
        <v>1475856.1518337063</v>
      </c>
      <c r="AB344" s="10">
        <f t="shared" si="155"/>
        <v>1.4758561518337063</v>
      </c>
      <c r="AC344" s="10">
        <f t="shared" si="156"/>
        <v>1.3748561518337064</v>
      </c>
      <c r="AD344" s="3">
        <f t="shared" si="157"/>
        <v>199.39900679241572</v>
      </c>
      <c r="AI344" s="100">
        <f t="shared" si="158"/>
        <v>0.22756312730363526</v>
      </c>
    </row>
    <row r="345" spans="2:35">
      <c r="B345" s="39">
        <f t="shared" si="159"/>
        <v>317</v>
      </c>
      <c r="C345" s="45">
        <f t="shared" si="160"/>
        <v>9.3123501199036163</v>
      </c>
      <c r="D345" s="10">
        <f t="shared" si="161"/>
        <v>6.1376498800966139</v>
      </c>
      <c r="E345" s="40">
        <f t="shared" si="162"/>
        <v>36.064700239806776</v>
      </c>
      <c r="F345" s="40">
        <f t="shared" si="163"/>
        <v>48.34</v>
      </c>
      <c r="G345" s="3">
        <f t="shared" si="164"/>
        <v>90.950599520386447</v>
      </c>
      <c r="H345" s="3">
        <f t="shared" si="165"/>
        <v>148.0155219248214</v>
      </c>
      <c r="I345">
        <f t="shared" si="150"/>
        <v>1.4801552192482141E-4</v>
      </c>
      <c r="J345" s="4">
        <f t="shared" si="166"/>
        <v>1026.0967849996105</v>
      </c>
      <c r="K345" s="40">
        <f t="shared" si="167"/>
        <v>6.9323593340485976</v>
      </c>
      <c r="L345" s="40">
        <f t="shared" si="151"/>
        <v>0</v>
      </c>
      <c r="M345" s="10">
        <f t="shared" si="168"/>
        <v>1.4758561518337063</v>
      </c>
      <c r="N345" s="10">
        <f t="shared" si="147"/>
        <v>8.26</v>
      </c>
      <c r="O345" s="10">
        <f t="shared" si="148"/>
        <v>0.31900000000000001</v>
      </c>
      <c r="P345" s="10">
        <f t="shared" si="169"/>
        <v>9.3520128062890855</v>
      </c>
      <c r="Q345" s="45">
        <f t="shared" si="170"/>
        <v>1.1107703861435139</v>
      </c>
      <c r="R345" s="4">
        <f t="shared" si="171"/>
        <v>74010.644415239294</v>
      </c>
      <c r="S345">
        <f t="shared" si="152"/>
        <v>7.4010644415239288E-5</v>
      </c>
      <c r="T345" s="44">
        <f t="shared" si="153"/>
        <v>1.6185714122007611E-4</v>
      </c>
      <c r="U345" s="45">
        <f t="shared" si="172"/>
        <v>0.13281580193536766</v>
      </c>
      <c r="V345" s="45">
        <f t="shared" si="173"/>
        <v>0.22765080719456129</v>
      </c>
      <c r="W345" s="45">
        <f t="shared" si="174"/>
        <v>0.22733379745380008</v>
      </c>
      <c r="X345" s="45">
        <f t="shared" si="175"/>
        <v>3.1700974076120936E-4</v>
      </c>
      <c r="Y345" s="45">
        <f t="shared" si="149"/>
        <v>6.8760967032173111E-4</v>
      </c>
      <c r="Z345" s="10">
        <f t="shared" si="176"/>
        <v>4.2482504333052109</v>
      </c>
      <c r="AA345">
        <f t="shared" si="154"/>
        <v>1474460.3760943413</v>
      </c>
      <c r="AB345" s="10">
        <f t="shared" si="155"/>
        <v>1.4744603760943413</v>
      </c>
      <c r="AC345" s="10">
        <f t="shared" si="156"/>
        <v>1.3734603760943414</v>
      </c>
      <c r="AD345" s="3">
        <f t="shared" si="157"/>
        <v>199.1965737627761</v>
      </c>
      <c r="AI345" s="100">
        <f t="shared" si="158"/>
        <v>0.22733379745380008</v>
      </c>
    </row>
    <row r="346" spans="2:35">
      <c r="B346" s="39">
        <f t="shared" si="159"/>
        <v>318</v>
      </c>
      <c r="C346" s="45">
        <f t="shared" si="160"/>
        <v>9.3417266187045733</v>
      </c>
      <c r="D346" s="10">
        <f t="shared" si="161"/>
        <v>6.1082733812956569</v>
      </c>
      <c r="E346" s="40">
        <f t="shared" si="162"/>
        <v>36.12345323740869</v>
      </c>
      <c r="F346" s="40">
        <f t="shared" si="163"/>
        <v>48.34</v>
      </c>
      <c r="G346" s="3">
        <f t="shared" si="164"/>
        <v>90.833093525182619</v>
      </c>
      <c r="H346" s="3">
        <f t="shared" si="165"/>
        <v>148.0155219248214</v>
      </c>
      <c r="I346">
        <f t="shared" si="150"/>
        <v>1.4801552192482141E-4</v>
      </c>
      <c r="J346" s="4">
        <f t="shared" si="166"/>
        <v>1029.4278709886307</v>
      </c>
      <c r="K346" s="40">
        <f t="shared" si="167"/>
        <v>6.9548643115381354</v>
      </c>
      <c r="L346" s="40">
        <f t="shared" si="151"/>
        <v>0</v>
      </c>
      <c r="M346" s="10">
        <f t="shared" si="168"/>
        <v>1.4744603760943413</v>
      </c>
      <c r="N346" s="10">
        <f t="shared" si="147"/>
        <v>8.26</v>
      </c>
      <c r="O346" s="10">
        <f t="shared" si="148"/>
        <v>0.31900000000000001</v>
      </c>
      <c r="P346" s="10">
        <f t="shared" si="169"/>
        <v>9.3491904795105238</v>
      </c>
      <c r="Q346" s="45">
        <f t="shared" si="170"/>
        <v>1.1139125297189751</v>
      </c>
      <c r="R346" s="4">
        <f t="shared" si="171"/>
        <v>73612.45159093164</v>
      </c>
      <c r="S346">
        <f t="shared" si="152"/>
        <v>7.3612451590931641E-5</v>
      </c>
      <c r="T346" s="44">
        <f t="shared" si="153"/>
        <v>1.6225533404438377E-4</v>
      </c>
      <c r="U346" s="45">
        <f t="shared" si="172"/>
        <v>0.13210122500250637</v>
      </c>
      <c r="V346" s="45">
        <f t="shared" si="173"/>
        <v>0.22741702143778736</v>
      </c>
      <c r="W346" s="45">
        <f t="shared" si="174"/>
        <v>0.22710300458226909</v>
      </c>
      <c r="X346" s="45">
        <f t="shared" si="175"/>
        <v>3.1401685551826763E-4</v>
      </c>
      <c r="Y346" s="45">
        <f t="shared" si="149"/>
        <v>6.8859635636688444E-4</v>
      </c>
      <c r="Z346" s="10">
        <f t="shared" si="176"/>
        <v>4.2439058193213164</v>
      </c>
      <c r="AA346">
        <f t="shared" si="154"/>
        <v>1473055.7613594085</v>
      </c>
      <c r="AB346" s="10">
        <f t="shared" si="155"/>
        <v>1.4730557613594084</v>
      </c>
      <c r="AC346" s="10">
        <f t="shared" si="156"/>
        <v>1.3720557613594084</v>
      </c>
      <c r="AD346" s="3">
        <f t="shared" si="157"/>
        <v>198.99285879034207</v>
      </c>
      <c r="AI346" s="100">
        <f t="shared" si="158"/>
        <v>0.22710300458226909</v>
      </c>
    </row>
    <row r="347" spans="2:35">
      <c r="B347" s="39">
        <f t="shared" si="159"/>
        <v>319</v>
      </c>
      <c r="C347" s="45">
        <f t="shared" si="160"/>
        <v>9.3711031175055304</v>
      </c>
      <c r="D347" s="10">
        <f t="shared" si="161"/>
        <v>6.0788968824946998</v>
      </c>
      <c r="E347" s="40">
        <f t="shared" si="162"/>
        <v>36.182206235010604</v>
      </c>
      <c r="F347" s="40">
        <f t="shared" si="163"/>
        <v>48.34</v>
      </c>
      <c r="G347" s="3">
        <f t="shared" si="164"/>
        <v>90.715587529978791</v>
      </c>
      <c r="H347" s="3">
        <f t="shared" si="165"/>
        <v>148.0155219248214</v>
      </c>
      <c r="I347">
        <f t="shared" si="150"/>
        <v>1.4801552192482141E-4</v>
      </c>
      <c r="J347" s="4">
        <f t="shared" si="166"/>
        <v>1032.7643792326244</v>
      </c>
      <c r="K347" s="40">
        <f t="shared" si="167"/>
        <v>6.9774059220436087</v>
      </c>
      <c r="L347" s="40">
        <f t="shared" si="151"/>
        <v>0</v>
      </c>
      <c r="M347" s="10">
        <f t="shared" si="168"/>
        <v>1.4730557613594084</v>
      </c>
      <c r="N347" s="10">
        <f t="shared" si="147"/>
        <v>8.26</v>
      </c>
      <c r="O347" s="10">
        <f t="shared" si="148"/>
        <v>0.31900000000000001</v>
      </c>
      <c r="P347" s="10">
        <f t="shared" si="169"/>
        <v>9.3463484424960885</v>
      </c>
      <c r="Q347" s="45">
        <f t="shared" si="170"/>
        <v>1.1170556287572464</v>
      </c>
      <c r="R347" s="4">
        <f t="shared" si="171"/>
        <v>73214.549728726794</v>
      </c>
      <c r="S347">
        <f t="shared" si="152"/>
        <v>7.3214549728726794E-5</v>
      </c>
      <c r="T347" s="44">
        <f t="shared" si="153"/>
        <v>1.6265323590658861E-4</v>
      </c>
      <c r="U347" s="45">
        <f t="shared" si="172"/>
        <v>0.13138717021568666</v>
      </c>
      <c r="V347" s="45">
        <f t="shared" si="173"/>
        <v>0.22718176491583</v>
      </c>
      <c r="W347" s="45">
        <f t="shared" si="174"/>
        <v>0.22687075017425271</v>
      </c>
      <c r="X347" s="45">
        <f t="shared" si="175"/>
        <v>3.1101474157729792E-4</v>
      </c>
      <c r="Y347" s="45">
        <f t="shared" si="149"/>
        <v>6.8957390650202424E-4</v>
      </c>
      <c r="Z347" s="10">
        <f t="shared" si="176"/>
        <v>4.2395338934298543</v>
      </c>
      <c r="AA347">
        <f t="shared" si="154"/>
        <v>1471642.3166782595</v>
      </c>
      <c r="AB347" s="10">
        <f t="shared" si="155"/>
        <v>1.4716423166782595</v>
      </c>
      <c r="AC347" s="10">
        <f t="shared" si="156"/>
        <v>1.3706423166782595</v>
      </c>
      <c r="AD347" s="3">
        <f t="shared" si="157"/>
        <v>198.78786318756482</v>
      </c>
      <c r="AI347" s="100">
        <f t="shared" si="158"/>
        <v>0.22687075017425271</v>
      </c>
    </row>
    <row r="348" spans="2:35">
      <c r="B348" s="39">
        <f t="shared" si="159"/>
        <v>320</v>
      </c>
      <c r="C348" s="45">
        <f t="shared" si="160"/>
        <v>9.4004796163064874</v>
      </c>
      <c r="D348" s="10">
        <f t="shared" si="161"/>
        <v>6.0495203836937428</v>
      </c>
      <c r="E348" s="40">
        <f t="shared" si="162"/>
        <v>36.240959232612518</v>
      </c>
      <c r="F348" s="40">
        <f t="shared" si="163"/>
        <v>48.34</v>
      </c>
      <c r="G348" s="3">
        <f t="shared" si="164"/>
        <v>90.598081534774963</v>
      </c>
      <c r="H348" s="3">
        <f t="shared" si="165"/>
        <v>148.0155219248214</v>
      </c>
      <c r="I348">
        <f t="shared" si="150"/>
        <v>1.4801552192482141E-4</v>
      </c>
      <c r="J348" s="4">
        <f t="shared" si="166"/>
        <v>1036.1063097315923</v>
      </c>
      <c r="K348" s="40">
        <f t="shared" si="167"/>
        <v>6.9999841655650235</v>
      </c>
      <c r="L348" s="40">
        <f t="shared" si="151"/>
        <v>0</v>
      </c>
      <c r="M348" s="10">
        <f t="shared" si="168"/>
        <v>1.4716423166782595</v>
      </c>
      <c r="N348" s="10">
        <f t="shared" ref="N348:N411" si="177">IF(fueltype=1,VLOOKUP($M348,kndxbn_,4),IF(fueltype=2,VLOOKUP($M348,knsobn_,4),IF(fueltype=3,VLOOKUP($M348,knsbcobn_,4),IF(fueltype=4,VLOOKUP($M348,knsubn_,4),IF(fueltype=5,am_1,IF(fueltype=6,am_0,IF(fueltype=7,am_3,am_4)))))))</f>
        <v>8.26</v>
      </c>
      <c r="O348" s="10">
        <f t="shared" ref="O348:O411" si="178">IF(fueltype=1,VLOOKUP($M348,kndxbn_,5),IF(fueltype=2,VLOOKUP($M348,knsobn_,5),IF(fueltype=3,VLOOKUP($M348,knsbcobn_,5),IF(fueltype=4,VLOOKUP($M348,knsubn_,5),IF(fueltype=5,nm_1,IF(fueltype=6,an_0,IF(fueltype=7,nm_3,nm_4)))))))</f>
        <v>0.31900000000000001</v>
      </c>
      <c r="P348" s="10">
        <f t="shared" si="169"/>
        <v>9.3434866757945105</v>
      </c>
      <c r="Q348" s="45">
        <f t="shared" si="170"/>
        <v>1.1201996904785587</v>
      </c>
      <c r="R348" s="4">
        <f t="shared" si="171"/>
        <v>72816.940740067133</v>
      </c>
      <c r="S348">
        <f t="shared" si="152"/>
        <v>7.2816940740067133E-5</v>
      </c>
      <c r="T348" s="44">
        <f t="shared" si="153"/>
        <v>1.6305084489524828E-4</v>
      </c>
      <c r="U348" s="45">
        <f t="shared" si="172"/>
        <v>0.13067364100508747</v>
      </c>
      <c r="V348" s="45">
        <f t="shared" si="173"/>
        <v>0.22694503920278353</v>
      </c>
      <c r="W348" s="45">
        <f t="shared" si="174"/>
        <v>0.22663703572606997</v>
      </c>
      <c r="X348" s="45">
        <f t="shared" si="175"/>
        <v>3.0800347671355865E-4</v>
      </c>
      <c r="Y348" s="45">
        <f t="shared" si="149"/>
        <v>6.9054228844319049E-4</v>
      </c>
      <c r="Z348" s="10">
        <f t="shared" si="176"/>
        <v>4.2351346838271713</v>
      </c>
      <c r="AA348">
        <f t="shared" si="154"/>
        <v>1470220.0511667798</v>
      </c>
      <c r="AB348" s="10">
        <f t="shared" si="155"/>
        <v>1.4702200511667798</v>
      </c>
      <c r="AC348" s="10">
        <f t="shared" si="156"/>
        <v>1.3692200511667798</v>
      </c>
      <c r="AD348" s="3">
        <f t="shared" si="157"/>
        <v>198.58158827654529</v>
      </c>
      <c r="AI348" s="100">
        <f t="shared" si="158"/>
        <v>0.22663703572606997</v>
      </c>
    </row>
    <row r="349" spans="2:35">
      <c r="B349" s="39">
        <f t="shared" si="159"/>
        <v>321</v>
      </c>
      <c r="C349" s="45">
        <f t="shared" si="160"/>
        <v>9.4298561151074445</v>
      </c>
      <c r="D349" s="10">
        <f t="shared" si="161"/>
        <v>6.0201438848927857</v>
      </c>
      <c r="E349" s="40">
        <f t="shared" si="162"/>
        <v>36.299712230214432</v>
      </c>
      <c r="F349" s="40">
        <f t="shared" si="163"/>
        <v>48.34</v>
      </c>
      <c r="G349" s="3">
        <f t="shared" si="164"/>
        <v>90.480575539571134</v>
      </c>
      <c r="H349" s="3">
        <f t="shared" si="165"/>
        <v>148.0155219248214</v>
      </c>
      <c r="I349">
        <f t="shared" si="150"/>
        <v>1.4801552192482141E-4</v>
      </c>
      <c r="J349" s="4">
        <f t="shared" si="166"/>
        <v>1039.4536624855339</v>
      </c>
      <c r="K349" s="40">
        <f t="shared" si="167"/>
        <v>7.0225990421023754</v>
      </c>
      <c r="L349" s="40">
        <f t="shared" si="151"/>
        <v>0</v>
      </c>
      <c r="M349" s="10">
        <f t="shared" si="168"/>
        <v>1.4702200511667798</v>
      </c>
      <c r="N349" s="10">
        <f t="shared" si="177"/>
        <v>8.26</v>
      </c>
      <c r="O349" s="10">
        <f t="shared" si="178"/>
        <v>0.31900000000000001</v>
      </c>
      <c r="P349" s="10">
        <f t="shared" si="169"/>
        <v>9.340605159798244</v>
      </c>
      <c r="Q349" s="45">
        <f t="shared" si="170"/>
        <v>1.1233447221224819</v>
      </c>
      <c r="R349" s="4">
        <f t="shared" si="171"/>
        <v>72419.626536395095</v>
      </c>
      <c r="S349">
        <f t="shared" si="152"/>
        <v>7.2419626536395098E-5</v>
      </c>
      <c r="T349" s="44">
        <f t="shared" si="153"/>
        <v>1.634481590989203E-4</v>
      </c>
      <c r="U349" s="45">
        <f t="shared" si="172"/>
        <v>0.12996064080088782</v>
      </c>
      <c r="V349" s="45">
        <f t="shared" si="173"/>
        <v>0.22670684588414169</v>
      </c>
      <c r="W349" s="45">
        <f t="shared" si="174"/>
        <v>0.22640186274504132</v>
      </c>
      <c r="X349" s="45">
        <f t="shared" si="175"/>
        <v>3.0498313910037878E-4</v>
      </c>
      <c r="Y349" s="45">
        <f t="shared" si="149"/>
        <v>6.9150147006652419E-4</v>
      </c>
      <c r="Z349" s="10">
        <f t="shared" si="176"/>
        <v>4.2307082189161962</v>
      </c>
      <c r="AA349">
        <f t="shared" si="154"/>
        <v>1468788.9740076431</v>
      </c>
      <c r="AB349" s="10">
        <f t="shared" si="155"/>
        <v>1.468788974007643</v>
      </c>
      <c r="AC349" s="10">
        <f t="shared" si="156"/>
        <v>1.367788974007643</v>
      </c>
      <c r="AD349" s="3">
        <f t="shared" si="157"/>
        <v>198.3740353890708</v>
      </c>
      <c r="AI349" s="100">
        <f t="shared" si="158"/>
        <v>0.22640186274504132</v>
      </c>
    </row>
    <row r="350" spans="2:35">
      <c r="B350" s="39">
        <f t="shared" si="159"/>
        <v>322</v>
      </c>
      <c r="C350" s="45">
        <f t="shared" si="160"/>
        <v>9.4592326139084015</v>
      </c>
      <c r="D350" s="10">
        <f t="shared" si="161"/>
        <v>5.9907673860918287</v>
      </c>
      <c r="E350" s="40">
        <f t="shared" si="162"/>
        <v>36.358465227816346</v>
      </c>
      <c r="F350" s="40">
        <f t="shared" si="163"/>
        <v>48.34</v>
      </c>
      <c r="G350" s="3">
        <f t="shared" si="164"/>
        <v>90.363069544367306</v>
      </c>
      <c r="H350" s="3">
        <f t="shared" si="165"/>
        <v>148.0155219248214</v>
      </c>
      <c r="I350">
        <f t="shared" si="150"/>
        <v>1.4801552192482141E-4</v>
      </c>
      <c r="J350" s="4">
        <f t="shared" si="166"/>
        <v>1042.8064374944493</v>
      </c>
      <c r="K350" s="40">
        <f t="shared" si="167"/>
        <v>7.0452505516556654</v>
      </c>
      <c r="L350" s="40">
        <f t="shared" si="151"/>
        <v>0</v>
      </c>
      <c r="M350" s="10">
        <f t="shared" si="168"/>
        <v>1.468788974007643</v>
      </c>
      <c r="N350" s="10">
        <f t="shared" si="177"/>
        <v>8.26</v>
      </c>
      <c r="O350" s="10">
        <f t="shared" si="178"/>
        <v>0.31900000000000001</v>
      </c>
      <c r="P350" s="10">
        <f t="shared" si="169"/>
        <v>9.3377038747430916</v>
      </c>
      <c r="Q350" s="45">
        <f t="shared" si="170"/>
        <v>1.1264907309481009</v>
      </c>
      <c r="R350" s="4">
        <f t="shared" si="171"/>
        <v>72022.609029153071</v>
      </c>
      <c r="S350">
        <f t="shared" si="152"/>
        <v>7.2022609029153073E-5</v>
      </c>
      <c r="T350" s="44">
        <f t="shared" si="153"/>
        <v>1.6384517660616234E-4</v>
      </c>
      <c r="U350" s="45">
        <f t="shared" si="172"/>
        <v>0.12924817303326663</v>
      </c>
      <c r="V350" s="45">
        <f t="shared" si="173"/>
        <v>0.22646718655692299</v>
      </c>
      <c r="W350" s="45">
        <f t="shared" si="174"/>
        <v>0.22616523274953085</v>
      </c>
      <c r="X350" s="45">
        <f t="shared" si="175"/>
        <v>3.0195380739214683E-4</v>
      </c>
      <c r="Y350" s="45">
        <f t="shared" ref="Y350:Y413" si="179">IF((X350*(Q350-Q349)+Y349)&lt;0,0,X350*(Q350-Q349)+Y349)</f>
        <v>6.9245141940950914E-4</v>
      </c>
      <c r="Z350" s="10">
        <f t="shared" si="176"/>
        <v>4.2262545273088348</v>
      </c>
      <c r="AA350">
        <f t="shared" si="154"/>
        <v>1467349.0944510852</v>
      </c>
      <c r="AB350" s="10">
        <f t="shared" si="155"/>
        <v>1.4673490944510852</v>
      </c>
      <c r="AC350" s="10">
        <f t="shared" si="156"/>
        <v>1.3663490944510852</v>
      </c>
      <c r="AD350" s="3">
        <f t="shared" si="157"/>
        <v>198.16520586672738</v>
      </c>
      <c r="AI350" s="100">
        <f t="shared" si="158"/>
        <v>0.22616523274953085</v>
      </c>
    </row>
    <row r="351" spans="2:35">
      <c r="B351" s="39">
        <f t="shared" si="159"/>
        <v>323</v>
      </c>
      <c r="C351" s="45">
        <f t="shared" si="160"/>
        <v>9.4886091127093586</v>
      </c>
      <c r="D351" s="10">
        <f t="shared" si="161"/>
        <v>5.9613908872908716</v>
      </c>
      <c r="E351" s="40">
        <f t="shared" si="162"/>
        <v>36.41721822541826</v>
      </c>
      <c r="F351" s="40">
        <f t="shared" si="163"/>
        <v>48.34</v>
      </c>
      <c r="G351" s="3">
        <f t="shared" si="164"/>
        <v>90.245563549163478</v>
      </c>
      <c r="H351" s="3">
        <f t="shared" si="165"/>
        <v>148.0155219248214</v>
      </c>
      <c r="I351">
        <f t="shared" si="150"/>
        <v>1.4801552192482141E-4</v>
      </c>
      <c r="J351" s="4">
        <f t="shared" si="166"/>
        <v>1046.1646347583392</v>
      </c>
      <c r="K351" s="40">
        <f t="shared" si="167"/>
        <v>7.0679386942248996</v>
      </c>
      <c r="L351" s="40">
        <f t="shared" si="151"/>
        <v>0</v>
      </c>
      <c r="M351" s="10">
        <f t="shared" si="168"/>
        <v>1.4673490944510852</v>
      </c>
      <c r="N351" s="10">
        <f t="shared" si="177"/>
        <v>8.26</v>
      </c>
      <c r="O351" s="10">
        <f t="shared" si="178"/>
        <v>0.31900000000000001</v>
      </c>
      <c r="P351" s="10">
        <f t="shared" si="169"/>
        <v>9.3347828007088776</v>
      </c>
      <c r="Q351" s="45">
        <f t="shared" si="170"/>
        <v>1.1296377242341928</v>
      </c>
      <c r="R351" s="4">
        <f t="shared" si="171"/>
        <v>71625.890129783424</v>
      </c>
      <c r="S351">
        <f t="shared" si="152"/>
        <v>7.1625890129783419E-5</v>
      </c>
      <c r="T351" s="44">
        <f t="shared" si="153"/>
        <v>1.6424189550553201E-4</v>
      </c>
      <c r="U351" s="45">
        <f t="shared" si="172"/>
        <v>0.12853624113240283</v>
      </c>
      <c r="V351" s="45">
        <f t="shared" si="173"/>
        <v>0.22622606282961283</v>
      </c>
      <c r="W351" s="45">
        <f t="shared" si="174"/>
        <v>0.22592714726907401</v>
      </c>
      <c r="X351" s="45">
        <f t="shared" si="175"/>
        <v>2.9891556053882051E-4</v>
      </c>
      <c r="Y351" s="45">
        <f t="shared" si="179"/>
        <v>6.9339210467163326E-4</v>
      </c>
      <c r="Z351" s="10">
        <f t="shared" si="176"/>
        <v>4.2217736378248167</v>
      </c>
      <c r="AA351">
        <f t="shared" si="154"/>
        <v>1465900.4218145313</v>
      </c>
      <c r="AB351" s="10">
        <f t="shared" si="155"/>
        <v>1.4659004218145313</v>
      </c>
      <c r="AC351" s="10">
        <f t="shared" si="156"/>
        <v>1.3649004218145313</v>
      </c>
      <c r="AD351" s="3">
        <f t="shared" si="157"/>
        <v>197.95510106084572</v>
      </c>
      <c r="AI351" s="100">
        <f t="shared" si="158"/>
        <v>0.22592714726907401</v>
      </c>
    </row>
    <row r="352" spans="2:35">
      <c r="B352" s="39">
        <f t="shared" si="159"/>
        <v>324</v>
      </c>
      <c r="C352" s="45">
        <f t="shared" si="160"/>
        <v>9.5179856115103156</v>
      </c>
      <c r="D352" s="10">
        <f t="shared" si="161"/>
        <v>5.9320143884899146</v>
      </c>
      <c r="E352" s="40">
        <f t="shared" si="162"/>
        <v>36.475971223020174</v>
      </c>
      <c r="F352" s="40">
        <f t="shared" si="163"/>
        <v>48.34</v>
      </c>
      <c r="G352" s="3">
        <f t="shared" si="164"/>
        <v>90.12805755395965</v>
      </c>
      <c r="H352" s="3">
        <f t="shared" si="165"/>
        <v>148.0155219248214</v>
      </c>
      <c r="I352">
        <f t="shared" si="150"/>
        <v>1.4801552192482141E-4</v>
      </c>
      <c r="J352" s="4">
        <f t="shared" si="166"/>
        <v>1049.5282542772024</v>
      </c>
      <c r="K352" s="40">
        <f t="shared" si="167"/>
        <v>7.0906634698100692</v>
      </c>
      <c r="L352" s="40">
        <f t="shared" si="151"/>
        <v>0</v>
      </c>
      <c r="M352" s="10">
        <f t="shared" si="168"/>
        <v>1.4659004218145313</v>
      </c>
      <c r="N352" s="10">
        <f t="shared" si="177"/>
        <v>8.26</v>
      </c>
      <c r="O352" s="10">
        <f t="shared" si="178"/>
        <v>0.31900000000000001</v>
      </c>
      <c r="P352" s="10">
        <f t="shared" si="169"/>
        <v>9.3318419176177798</v>
      </c>
      <c r="Q352" s="45">
        <f t="shared" si="170"/>
        <v>1.1327857092794065</v>
      </c>
      <c r="R352" s="4">
        <f t="shared" si="171"/>
        <v>71229.471749728604</v>
      </c>
      <c r="S352">
        <f t="shared" si="152"/>
        <v>7.1229471749728601E-5</v>
      </c>
      <c r="T352" s="44">
        <f t="shared" si="153"/>
        <v>1.6463831388558681E-4</v>
      </c>
      <c r="U352" s="45">
        <f t="shared" si="172"/>
        <v>0.12782484852847545</v>
      </c>
      <c r="V352" s="45">
        <f t="shared" si="173"/>
        <v>0.2259834763221083</v>
      </c>
      <c r="W352" s="45">
        <f t="shared" si="174"/>
        <v>0.22568760784431605</v>
      </c>
      <c r="X352" s="45">
        <f t="shared" si="175"/>
        <v>2.9586847779225489E-4</v>
      </c>
      <c r="Y352" s="45">
        <f t="shared" si="179"/>
        <v>6.9432349421507343E-4</v>
      </c>
      <c r="Z352" s="10">
        <f t="shared" si="176"/>
        <v>4.2172655794907143</v>
      </c>
      <c r="AA352">
        <f t="shared" si="154"/>
        <v>1464442.9654822797</v>
      </c>
      <c r="AB352" s="10">
        <f t="shared" si="155"/>
        <v>1.4644429654822797</v>
      </c>
      <c r="AC352" s="10">
        <f t="shared" si="156"/>
        <v>1.3634429654822797</v>
      </c>
      <c r="AD352" s="3">
        <f t="shared" si="157"/>
        <v>197.74372233245535</v>
      </c>
      <c r="AI352" s="100">
        <f t="shared" si="158"/>
        <v>0.22568760784431605</v>
      </c>
    </row>
    <row r="353" spans="2:35">
      <c r="B353" s="39">
        <f t="shared" si="159"/>
        <v>325</v>
      </c>
      <c r="C353" s="45">
        <f t="shared" si="160"/>
        <v>9.5473621103112727</v>
      </c>
      <c r="D353" s="10">
        <f t="shared" si="161"/>
        <v>5.9026378896889575</v>
      </c>
      <c r="E353" s="40">
        <f t="shared" si="162"/>
        <v>36.534724220622088</v>
      </c>
      <c r="F353" s="40">
        <f t="shared" si="163"/>
        <v>48.34</v>
      </c>
      <c r="G353" s="3">
        <f t="shared" si="164"/>
        <v>90.010551558755822</v>
      </c>
      <c r="H353" s="3">
        <f t="shared" si="165"/>
        <v>148.0155219248214</v>
      </c>
      <c r="I353">
        <f t="shared" si="150"/>
        <v>1.4801552192482141E-4</v>
      </c>
      <c r="J353" s="4">
        <f t="shared" si="166"/>
        <v>1052.8972960510396</v>
      </c>
      <c r="K353" s="40">
        <f t="shared" si="167"/>
        <v>7.1134248784111769</v>
      </c>
      <c r="L353" s="40">
        <f t="shared" si="151"/>
        <v>0</v>
      </c>
      <c r="M353" s="10">
        <f t="shared" si="168"/>
        <v>1.4644429654822797</v>
      </c>
      <c r="N353" s="10">
        <f t="shared" si="177"/>
        <v>8.26</v>
      </c>
      <c r="O353" s="10">
        <f t="shared" si="178"/>
        <v>0.31900000000000001</v>
      </c>
      <c r="P353" s="10">
        <f t="shared" si="169"/>
        <v>9.3288812052327863</v>
      </c>
      <c r="Q353" s="45">
        <f t="shared" si="170"/>
        <v>1.1359346934024415</v>
      </c>
      <c r="R353" s="4">
        <f t="shared" si="171"/>
        <v>70833.355800430989</v>
      </c>
      <c r="S353">
        <f t="shared" si="152"/>
        <v>7.0833355800430992E-5</v>
      </c>
      <c r="T353" s="44">
        <f t="shared" si="153"/>
        <v>1.6503442983488442E-4</v>
      </c>
      <c r="U353" s="45">
        <f t="shared" si="172"/>
        <v>0.12711399865166342</v>
      </c>
      <c r="V353" s="45">
        <f t="shared" si="173"/>
        <v>0.22573942866593683</v>
      </c>
      <c r="W353" s="45">
        <f t="shared" si="174"/>
        <v>0.22544661602695978</v>
      </c>
      <c r="X353" s="45">
        <f t="shared" si="175"/>
        <v>2.9281263897704135E-4</v>
      </c>
      <c r="Y353" s="45">
        <f t="shared" si="179"/>
        <v>6.9524555656623607E-4</v>
      </c>
      <c r="Z353" s="10">
        <f t="shared" si="176"/>
        <v>4.212730381544163</v>
      </c>
      <c r="AA353">
        <f t="shared" si="154"/>
        <v>1462976.7349068646</v>
      </c>
      <c r="AB353" s="10">
        <f t="shared" si="155"/>
        <v>1.4629767349068645</v>
      </c>
      <c r="AC353" s="10">
        <f t="shared" si="156"/>
        <v>1.3619767349068646</v>
      </c>
      <c r="AD353" s="3">
        <f t="shared" si="157"/>
        <v>197.53107105248216</v>
      </c>
      <c r="AI353" s="100">
        <f t="shared" si="158"/>
        <v>0.22544661602695978</v>
      </c>
    </row>
    <row r="354" spans="2:35">
      <c r="B354" s="39">
        <f t="shared" si="159"/>
        <v>326</v>
      </c>
      <c r="C354" s="45">
        <f t="shared" si="160"/>
        <v>9.5767386091122297</v>
      </c>
      <c r="D354" s="10">
        <f t="shared" si="161"/>
        <v>5.8732613908880005</v>
      </c>
      <c r="E354" s="40">
        <f t="shared" si="162"/>
        <v>36.593477218224002</v>
      </c>
      <c r="F354" s="40">
        <f t="shared" si="163"/>
        <v>48.34</v>
      </c>
      <c r="G354" s="3">
        <f t="shared" si="164"/>
        <v>89.893045563551993</v>
      </c>
      <c r="H354" s="3">
        <f t="shared" si="165"/>
        <v>148.0155219248214</v>
      </c>
      <c r="I354">
        <f t="shared" si="150"/>
        <v>1.4801552192482141E-4</v>
      </c>
      <c r="J354" s="4">
        <f t="shared" si="166"/>
        <v>1056.271760079851</v>
      </c>
      <c r="K354" s="40">
        <f t="shared" si="167"/>
        <v>7.136222920028227</v>
      </c>
      <c r="L354" s="40">
        <f t="shared" si="151"/>
        <v>0</v>
      </c>
      <c r="M354" s="10">
        <f t="shared" si="168"/>
        <v>1.4629767349068645</v>
      </c>
      <c r="N354" s="10">
        <f t="shared" si="177"/>
        <v>8.26</v>
      </c>
      <c r="O354" s="10">
        <f t="shared" si="178"/>
        <v>0.31900000000000001</v>
      </c>
      <c r="P354" s="10">
        <f t="shared" si="169"/>
        <v>9.3259006431595353</v>
      </c>
      <c r="Q354" s="45">
        <f t="shared" si="170"/>
        <v>1.1390846839422297</v>
      </c>
      <c r="R354" s="4">
        <f t="shared" si="171"/>
        <v>70437.544193332971</v>
      </c>
      <c r="S354">
        <f t="shared" si="152"/>
        <v>7.0437544193332978E-5</v>
      </c>
      <c r="T354" s="44">
        <f t="shared" si="153"/>
        <v>1.6543024144198245E-4</v>
      </c>
      <c r="U354" s="45">
        <f t="shared" si="172"/>
        <v>0.12640369493214568</v>
      </c>
      <c r="V354" s="45">
        <f t="shared" si="173"/>
        <v>0.2254939215041237</v>
      </c>
      <c r="W354" s="45">
        <f t="shared" si="174"/>
        <v>0.22520417337999091</v>
      </c>
      <c r="X354" s="45">
        <f t="shared" si="175"/>
        <v>2.8974812413279372E-4</v>
      </c>
      <c r="Y354" s="45">
        <f t="shared" si="179"/>
        <v>6.9615826041617571E-4</v>
      </c>
      <c r="Z354" s="10">
        <f t="shared" si="176"/>
        <v>4.2081680734312616</v>
      </c>
      <c r="AA354">
        <f t="shared" si="154"/>
        <v>1461501.7396082168</v>
      </c>
      <c r="AB354" s="10">
        <f t="shared" si="155"/>
        <v>1.4615017396082168</v>
      </c>
      <c r="AC354" s="10">
        <f t="shared" si="156"/>
        <v>1.3605017396082169</v>
      </c>
      <c r="AD354" s="3">
        <f t="shared" si="157"/>
        <v>197.3171486016268</v>
      </c>
      <c r="AI354" s="100">
        <f t="shared" si="158"/>
        <v>0.22520417337999091</v>
      </c>
    </row>
    <row r="355" spans="2:35">
      <c r="B355" s="39">
        <f t="shared" si="159"/>
        <v>327</v>
      </c>
      <c r="C355" s="45">
        <f t="shared" si="160"/>
        <v>9.6061151079131868</v>
      </c>
      <c r="D355" s="10">
        <f t="shared" si="161"/>
        <v>5.8438848920870434</v>
      </c>
      <c r="E355" s="40">
        <f t="shared" si="162"/>
        <v>36.652230215825917</v>
      </c>
      <c r="F355" s="40">
        <f t="shared" si="163"/>
        <v>48.34</v>
      </c>
      <c r="G355" s="3">
        <f t="shared" si="164"/>
        <v>89.775539568348165</v>
      </c>
      <c r="H355" s="3">
        <f t="shared" si="165"/>
        <v>148.0155219248214</v>
      </c>
      <c r="I355">
        <f t="shared" si="150"/>
        <v>1.4801552192482141E-4</v>
      </c>
      <c r="J355" s="4">
        <f t="shared" si="166"/>
        <v>1059.6516463636362</v>
      </c>
      <c r="K355" s="40">
        <f t="shared" si="167"/>
        <v>7.1590575946612152</v>
      </c>
      <c r="L355" s="40">
        <f t="shared" si="151"/>
        <v>0</v>
      </c>
      <c r="M355" s="10">
        <f t="shared" si="168"/>
        <v>1.4615017396082168</v>
      </c>
      <c r="N355" s="10">
        <f t="shared" si="177"/>
        <v>8.26</v>
      </c>
      <c r="O355" s="10">
        <f t="shared" si="178"/>
        <v>0.31900000000000001</v>
      </c>
      <c r="P355" s="10">
        <f t="shared" si="169"/>
        <v>9.3229002108436791</v>
      </c>
      <c r="Q355" s="45">
        <f t="shared" si="170"/>
        <v>1.1422356882581173</v>
      </c>
      <c r="R355" s="4">
        <f t="shared" si="171"/>
        <v>70042.038839876972</v>
      </c>
      <c r="S355">
        <f t="shared" si="152"/>
        <v>7.0042038839876971E-5</v>
      </c>
      <c r="T355" s="44">
        <f t="shared" si="153"/>
        <v>1.6582574679543846E-4</v>
      </c>
      <c r="U355" s="45">
        <f t="shared" si="172"/>
        <v>0.12569394080010121</v>
      </c>
      <c r="V355" s="45">
        <f t="shared" si="173"/>
        <v>0.22524695649125043</v>
      </c>
      <c r="W355" s="45">
        <f t="shared" si="174"/>
        <v>0.22496028147753924</v>
      </c>
      <c r="X355" s="45">
        <f t="shared" si="175"/>
        <v>2.8667501371118509E-4</v>
      </c>
      <c r="Y355" s="45">
        <f t="shared" si="179"/>
        <v>6.9706157462163674E-4</v>
      </c>
      <c r="Z355" s="10">
        <f t="shared" si="176"/>
        <v>4.2035786848077779</v>
      </c>
      <c r="AA355">
        <f t="shared" si="154"/>
        <v>1460017.9891740528</v>
      </c>
      <c r="AB355" s="10">
        <f t="shared" si="155"/>
        <v>1.4600179891740528</v>
      </c>
      <c r="AC355" s="10">
        <f t="shared" si="156"/>
        <v>1.3590179891740528</v>
      </c>
      <c r="AD355" s="3">
        <f t="shared" si="157"/>
        <v>197.10195637042099</v>
      </c>
      <c r="AI355" s="100">
        <f t="shared" si="158"/>
        <v>0.22496028147753924</v>
      </c>
    </row>
    <row r="356" spans="2:35">
      <c r="B356" s="39">
        <f t="shared" si="159"/>
        <v>328</v>
      </c>
      <c r="C356" s="45">
        <f t="shared" si="160"/>
        <v>9.6354916067141438</v>
      </c>
      <c r="D356" s="10">
        <f t="shared" si="161"/>
        <v>5.8145083932860864</v>
      </c>
      <c r="E356" s="40">
        <f t="shared" si="162"/>
        <v>36.710983213427831</v>
      </c>
      <c r="F356" s="40">
        <f t="shared" si="163"/>
        <v>48.34</v>
      </c>
      <c r="G356" s="3">
        <f t="shared" si="164"/>
        <v>89.658033573144337</v>
      </c>
      <c r="H356" s="3">
        <f t="shared" si="165"/>
        <v>148.0155219248214</v>
      </c>
      <c r="I356">
        <f t="shared" si="150"/>
        <v>1.4801552192482141E-4</v>
      </c>
      <c r="J356" s="4">
        <f t="shared" si="166"/>
        <v>1063.0369549023951</v>
      </c>
      <c r="K356" s="40">
        <f t="shared" si="167"/>
        <v>7.1819289023101405</v>
      </c>
      <c r="L356" s="40">
        <f t="shared" si="151"/>
        <v>0</v>
      </c>
      <c r="M356" s="10">
        <f t="shared" si="168"/>
        <v>1.4600179891740528</v>
      </c>
      <c r="N356" s="10">
        <f t="shared" si="177"/>
        <v>8.26</v>
      </c>
      <c r="O356" s="10">
        <f t="shared" si="178"/>
        <v>0.31900000000000001</v>
      </c>
      <c r="P356" s="10">
        <f t="shared" si="169"/>
        <v>9.3198798875707354</v>
      </c>
      <c r="Q356" s="45">
        <f t="shared" si="170"/>
        <v>1.1453877137300481</v>
      </c>
      <c r="R356" s="4">
        <f t="shared" si="171"/>
        <v>69646.841651505398</v>
      </c>
      <c r="S356">
        <f t="shared" si="152"/>
        <v>6.9646841651505397E-5</v>
      </c>
      <c r="T356" s="44">
        <f t="shared" si="153"/>
        <v>1.6622094398381003E-4</v>
      </c>
      <c r="U356" s="45">
        <f t="shared" si="172"/>
        <v>0.124984739685709</v>
      </c>
      <c r="V356" s="45">
        <f t="shared" si="173"/>
        <v>0.22499853529349068</v>
      </c>
      <c r="W356" s="45">
        <f t="shared" si="174"/>
        <v>0.22471494190494298</v>
      </c>
      <c r="X356" s="45">
        <f t="shared" si="175"/>
        <v>2.8359338854769267E-4</v>
      </c>
      <c r="Y356" s="45">
        <f t="shared" si="179"/>
        <v>6.979554682060102E-4</v>
      </c>
      <c r="Z356" s="10">
        <f t="shared" si="176"/>
        <v>4.1989622455398354</v>
      </c>
      <c r="AA356">
        <f t="shared" si="154"/>
        <v>1458525.4932600982</v>
      </c>
      <c r="AB356" s="10">
        <f t="shared" si="155"/>
        <v>1.4585254932600982</v>
      </c>
      <c r="AC356" s="10">
        <f t="shared" si="156"/>
        <v>1.3575254932600982</v>
      </c>
      <c r="AD356" s="3">
        <f t="shared" si="157"/>
        <v>196.88549575926007</v>
      </c>
      <c r="AI356" s="100">
        <f t="shared" si="158"/>
        <v>0.22471494190494298</v>
      </c>
    </row>
    <row r="357" spans="2:35">
      <c r="B357" s="39">
        <f t="shared" si="159"/>
        <v>329</v>
      </c>
      <c r="C357" s="45">
        <f t="shared" si="160"/>
        <v>9.6648681055151009</v>
      </c>
      <c r="D357" s="10">
        <f t="shared" si="161"/>
        <v>5.7851318944851293</v>
      </c>
      <c r="E357" s="40">
        <f t="shared" si="162"/>
        <v>36.769736211029745</v>
      </c>
      <c r="F357" s="40">
        <f t="shared" si="163"/>
        <v>48.34</v>
      </c>
      <c r="G357" s="3">
        <f t="shared" si="164"/>
        <v>89.540527577940509</v>
      </c>
      <c r="H357" s="3">
        <f t="shared" si="165"/>
        <v>148.0155219248214</v>
      </c>
      <c r="I357">
        <f t="shared" si="150"/>
        <v>1.4801552192482141E-4</v>
      </c>
      <c r="J357" s="4">
        <f t="shared" si="166"/>
        <v>1066.4276856961283</v>
      </c>
      <c r="K357" s="40">
        <f t="shared" si="167"/>
        <v>7.2048368429750074</v>
      </c>
      <c r="L357" s="40">
        <f t="shared" si="151"/>
        <v>0</v>
      </c>
      <c r="M357" s="10">
        <f t="shared" si="168"/>
        <v>1.4585254932600982</v>
      </c>
      <c r="N357" s="10">
        <f t="shared" si="177"/>
        <v>8.26</v>
      </c>
      <c r="O357" s="10">
        <f t="shared" si="178"/>
        <v>0.31900000000000001</v>
      </c>
      <c r="P357" s="10">
        <f t="shared" si="169"/>
        <v>9.3168396524655961</v>
      </c>
      <c r="Q357" s="45">
        <f t="shared" si="170"/>
        <v>1.148540767758748</v>
      </c>
      <c r="R357" s="4">
        <f t="shared" si="171"/>
        <v>69251.954539660626</v>
      </c>
      <c r="S357">
        <f t="shared" si="152"/>
        <v>6.925195453966063E-5</v>
      </c>
      <c r="T357" s="44">
        <f t="shared" si="153"/>
        <v>1.6661583109565478E-4</v>
      </c>
      <c r="U357" s="45">
        <f t="shared" si="172"/>
        <v>0.12427609501914796</v>
      </c>
      <c r="V357" s="45">
        <f t="shared" si="173"/>
        <v>0.2247486595886935</v>
      </c>
      <c r="W357" s="45">
        <f t="shared" si="174"/>
        <v>0.22446815625878569</v>
      </c>
      <c r="X357" s="45">
        <f t="shared" si="175"/>
        <v>2.8050332990781079E-4</v>
      </c>
      <c r="Y357" s="45">
        <f t="shared" si="179"/>
        <v>6.9883991036043974E-4</v>
      </c>
      <c r="Z357" s="10">
        <f t="shared" si="176"/>
        <v>4.1943187857055015</v>
      </c>
      <c r="AA357">
        <f t="shared" si="154"/>
        <v>1457024.2615905986</v>
      </c>
      <c r="AB357" s="10">
        <f t="shared" si="155"/>
        <v>1.4570242615905986</v>
      </c>
      <c r="AC357" s="10">
        <f t="shared" si="156"/>
        <v>1.3560242615905986</v>
      </c>
      <c r="AD357" s="3">
        <f t="shared" si="157"/>
        <v>196.66776817847696</v>
      </c>
      <c r="AI357" s="100">
        <f t="shared" si="158"/>
        <v>0.22446815625878569</v>
      </c>
    </row>
    <row r="358" spans="2:35">
      <c r="B358" s="39">
        <f t="shared" si="159"/>
        <v>330</v>
      </c>
      <c r="C358" s="45">
        <f t="shared" si="160"/>
        <v>9.6942446043160579</v>
      </c>
      <c r="D358" s="10">
        <f t="shared" si="161"/>
        <v>5.7557553956841723</v>
      </c>
      <c r="E358" s="40">
        <f t="shared" si="162"/>
        <v>36.828489208631659</v>
      </c>
      <c r="F358" s="40">
        <f t="shared" si="163"/>
        <v>48.34</v>
      </c>
      <c r="G358" s="3">
        <f t="shared" si="164"/>
        <v>89.423021582736681</v>
      </c>
      <c r="H358" s="3">
        <f t="shared" si="165"/>
        <v>148.0155219248214</v>
      </c>
      <c r="I358">
        <f t="shared" si="150"/>
        <v>1.4801552192482141E-4</v>
      </c>
      <c r="J358" s="4">
        <f t="shared" si="166"/>
        <v>1069.823838744835</v>
      </c>
      <c r="K358" s="40">
        <f t="shared" si="167"/>
        <v>7.2277814166558123</v>
      </c>
      <c r="L358" s="40">
        <f t="shared" si="151"/>
        <v>0</v>
      </c>
      <c r="M358" s="10">
        <f t="shared" si="168"/>
        <v>1.4570242615905986</v>
      </c>
      <c r="N358" s="10">
        <f t="shared" si="177"/>
        <v>8.26</v>
      </c>
      <c r="O358" s="10">
        <f t="shared" si="178"/>
        <v>0.31900000000000001</v>
      </c>
      <c r="P358" s="10">
        <f t="shared" si="169"/>
        <v>9.3137794844926116</v>
      </c>
      <c r="Q358" s="45">
        <f t="shared" si="170"/>
        <v>1.151694857765911</v>
      </c>
      <c r="R358" s="4">
        <f t="shared" si="171"/>
        <v>68857.37941578505</v>
      </c>
      <c r="S358">
        <f t="shared" si="152"/>
        <v>6.8857379415785053E-5</v>
      </c>
      <c r="T358" s="44">
        <f t="shared" si="153"/>
        <v>1.6701040621953036E-4</v>
      </c>
      <c r="U358" s="45">
        <f t="shared" si="172"/>
        <v>0.12356801023059705</v>
      </c>
      <c r="V358" s="45">
        <f t="shared" si="173"/>
        <v>0.22449733106628439</v>
      </c>
      <c r="W358" s="45">
        <f t="shared" si="174"/>
        <v>0.22421992614698086</v>
      </c>
      <c r="X358" s="45">
        <f t="shared" si="175"/>
        <v>2.7740491930353106E-4</v>
      </c>
      <c r="Y358" s="45">
        <f t="shared" si="179"/>
        <v>6.9971487044435282E-4</v>
      </c>
      <c r="Z358" s="10">
        <f t="shared" si="176"/>
        <v>4.1896483355929197</v>
      </c>
      <c r="AA358">
        <f t="shared" si="154"/>
        <v>1455514.3039577182</v>
      </c>
      <c r="AB358" s="10">
        <f t="shared" si="155"/>
        <v>1.4555143039577181</v>
      </c>
      <c r="AC358" s="10">
        <f t="shared" si="156"/>
        <v>1.3545143039577181</v>
      </c>
      <c r="AD358" s="3">
        <f t="shared" si="157"/>
        <v>196.44877504825499</v>
      </c>
      <c r="AI358" s="100">
        <f t="shared" si="158"/>
        <v>0.22421992614698086</v>
      </c>
    </row>
    <row r="359" spans="2:35">
      <c r="B359" s="39">
        <f t="shared" si="159"/>
        <v>331</v>
      </c>
      <c r="C359" s="45">
        <f t="shared" si="160"/>
        <v>9.723621103117015</v>
      </c>
      <c r="D359" s="10">
        <f t="shared" si="161"/>
        <v>5.7263788968832152</v>
      </c>
      <c r="E359" s="40">
        <f t="shared" si="162"/>
        <v>36.887242206233573</v>
      </c>
      <c r="F359" s="40">
        <f t="shared" si="163"/>
        <v>48.34</v>
      </c>
      <c r="G359" s="3">
        <f t="shared" si="164"/>
        <v>89.305515587532852</v>
      </c>
      <c r="H359" s="3">
        <f t="shared" si="165"/>
        <v>148.0155219248214</v>
      </c>
      <c r="I359">
        <f t="shared" ref="I359:I422" si="180">H359/1000^2</f>
        <v>1.4801552192482141E-4</v>
      </c>
      <c r="J359" s="4">
        <f t="shared" si="166"/>
        <v>1073.2254140485159</v>
      </c>
      <c r="K359" s="40">
        <f t="shared" si="167"/>
        <v>7.2507626233525562</v>
      </c>
      <c r="L359" s="40">
        <f t="shared" ref="L359:L422" si="181">IF((gstar-K359)&lt;0,0,gstar-K359)</f>
        <v>0</v>
      </c>
      <c r="M359" s="10">
        <f t="shared" si="168"/>
        <v>1.4555143039577181</v>
      </c>
      <c r="N359" s="10">
        <f t="shared" si="177"/>
        <v>8.26</v>
      </c>
      <c r="O359" s="10">
        <f t="shared" si="178"/>
        <v>0.31900000000000001</v>
      </c>
      <c r="P359" s="10">
        <f t="shared" si="169"/>
        <v>9.3106993624533931</v>
      </c>
      <c r="Q359" s="45">
        <f t="shared" si="170"/>
        <v>1.1548499911943859</v>
      </c>
      <c r="R359" s="4">
        <f t="shared" si="171"/>
        <v>68463.118191321104</v>
      </c>
      <c r="S359">
        <f t="shared" ref="S359:S422" si="182">R359/1000^3</f>
        <v>6.8463118191321108E-5</v>
      </c>
      <c r="T359" s="44">
        <f t="shared" ref="T359:T422" si="183">(vc/1000^3-S359)</f>
        <v>1.6740466744399429E-4</v>
      </c>
      <c r="U359" s="45">
        <f t="shared" si="172"/>
        <v>0.12286048875023528</v>
      </c>
      <c r="V359" s="45">
        <f t="shared" si="173"/>
        <v>0.22424455142733854</v>
      </c>
      <c r="W359" s="45">
        <f t="shared" si="174"/>
        <v>0.22397025318867228</v>
      </c>
      <c r="X359" s="45">
        <f t="shared" si="175"/>
        <v>2.7429823866625958E-4</v>
      </c>
      <c r="Y359" s="45">
        <f t="shared" si="179"/>
        <v>7.0058031798654055E-4</v>
      </c>
      <c r="Z359" s="10">
        <f t="shared" si="176"/>
        <v>4.1849509257017683</v>
      </c>
      <c r="AA359">
        <f t="shared" ref="AA359:AA422" si="184">Z359*rat*to+patm*1000000</f>
        <v>1453995.6302220102</v>
      </c>
      <c r="AB359" s="10">
        <f t="shared" ref="AB359:AB422" si="185">AA359/1000000</f>
        <v>1.4539956302220103</v>
      </c>
      <c r="AC359" s="10">
        <f t="shared" ref="AC359:AC422" si="186">AB359-patm</f>
        <v>1.3529956302220103</v>
      </c>
      <c r="AD359" s="3">
        <f t="shared" ref="AD359:AD422" si="187">AC359*1000000/6895</f>
        <v>196.22851779869617</v>
      </c>
      <c r="AI359" s="100">
        <f t="shared" ref="AI359:AI422" si="188">($M359-patm)*1000000*$I359/SQRT(rat*to)*SQRT(k)*(2/(k+1))^((k+1)/2/(k-1))</f>
        <v>0.22397025318867228</v>
      </c>
    </row>
    <row r="360" spans="2:35">
      <c r="B360" s="39">
        <f t="shared" ref="B360:B423" si="189">1+B359</f>
        <v>332</v>
      </c>
      <c r="C360" s="45">
        <f t="shared" ref="C360:C423" si="190">xincp+C359</f>
        <v>9.752997601917972</v>
      </c>
      <c r="D360" s="10">
        <f t="shared" ref="D360:D423" si="191">(F360-E360)/2</f>
        <v>5.6970023980822582</v>
      </c>
      <c r="E360" s="40">
        <f t="shared" ref="E360:E423" si="192">E359+ci*2*xincp</f>
        <v>36.945995203835487</v>
      </c>
      <c r="F360" s="40">
        <f t="shared" ref="F360:F423" si="193">F359-osi*2*xincp</f>
        <v>48.34</v>
      </c>
      <c r="G360" s="3">
        <f t="shared" ref="G360:G423" si="194">G359-ei*n*2*xincp</f>
        <v>89.188009592329024</v>
      </c>
      <c r="H360" s="3">
        <f t="shared" ref="H360:H423" si="195">PI()/4*(dto+erate*(two-D360)/two)^2</f>
        <v>148.0155219248214</v>
      </c>
      <c r="I360">
        <f t="shared" si="180"/>
        <v>1.4801552192482141E-4</v>
      </c>
      <c r="J360" s="4">
        <f t="shared" ref="J360:J423" si="196">PI()/4*dc^2-PI()/4*(F360^2-E360^2)</f>
        <v>1076.6324116071705</v>
      </c>
      <c r="K360" s="40">
        <f t="shared" ref="K360:K423" si="197">J360/H360</f>
        <v>7.2737804630652398</v>
      </c>
      <c r="L360" s="40">
        <f t="shared" si="181"/>
        <v>0</v>
      </c>
      <c r="M360" s="10">
        <f t="shared" ref="M360:M423" si="198">AB359</f>
        <v>1.4539956302220103</v>
      </c>
      <c r="N360" s="10">
        <f t="shared" si="177"/>
        <v>8.26</v>
      </c>
      <c r="O360" s="10">
        <f t="shared" si="178"/>
        <v>0.31900000000000001</v>
      </c>
      <c r="P360" s="10">
        <f t="shared" ref="P360:P423" si="199">(1+kv*L360)*N360*M360^O360</f>
        <v>9.3075992649868056</v>
      </c>
      <c r="Q360" s="45">
        <f t="shared" ref="Q360:Q423" si="200">xincp/P360+Q359</f>
        <v>1.1580061755083653</v>
      </c>
      <c r="R360" s="4">
        <f t="shared" ref="R360:R423" si="201">PI()/4*(F360^2-E360^2)*G360</f>
        <v>68069.172777711166</v>
      </c>
      <c r="S360">
        <f t="shared" si="182"/>
        <v>6.8069172777711167E-5</v>
      </c>
      <c r="T360" s="44">
        <f t="shared" si="183"/>
        <v>1.6779861285760425E-4</v>
      </c>
      <c r="U360" s="45">
        <f t="shared" ref="U360:U423" si="202">rhopgrain*R360/1000^2</f>
        <v>0.12215353400824157</v>
      </c>
      <c r="V360" s="45">
        <f t="shared" ref="V360:V423" si="203">(U359-U360)/(Q360-Q359)</f>
        <v>0.22399032238468247</v>
      </c>
      <c r="W360" s="45">
        <f t="shared" ref="W360:W423" si="204">IF(V360&lt;AI360,IF(AB359&gt;pbd,AI360,0),AI360)</f>
        <v>0.22371913901431206</v>
      </c>
      <c r="X360" s="45">
        <f t="shared" ref="X360:X423" si="205">V360-W360</f>
        <v>2.7118337037040918E-4</v>
      </c>
      <c r="Y360" s="45">
        <f t="shared" si="179"/>
        <v>7.0143622268631573E-4</v>
      </c>
      <c r="Z360" s="10">
        <f t="shared" ref="Z360:Z423" si="206">Y360/T360</f>
        <v>4.1802265867451611</v>
      </c>
      <c r="AA360">
        <f t="shared" si="184"/>
        <v>1452468.250313032</v>
      </c>
      <c r="AB360" s="10">
        <f t="shared" si="185"/>
        <v>1.4524682503130319</v>
      </c>
      <c r="AC360" s="10">
        <f t="shared" si="186"/>
        <v>1.351468250313032</v>
      </c>
      <c r="AD360" s="3">
        <f t="shared" si="187"/>
        <v>196.00699786991035</v>
      </c>
      <c r="AI360" s="100">
        <f t="shared" si="188"/>
        <v>0.22371913901431206</v>
      </c>
    </row>
    <row r="361" spans="2:35">
      <c r="B361" s="39">
        <f t="shared" si="189"/>
        <v>333</v>
      </c>
      <c r="C361" s="45">
        <f t="shared" si="190"/>
        <v>9.7823741007189291</v>
      </c>
      <c r="D361" s="10">
        <f t="shared" si="191"/>
        <v>5.6676258992813011</v>
      </c>
      <c r="E361" s="40">
        <f t="shared" si="192"/>
        <v>37.004748201437401</v>
      </c>
      <c r="F361" s="40">
        <f t="shared" si="193"/>
        <v>48.34</v>
      </c>
      <c r="G361" s="3">
        <f t="shared" si="194"/>
        <v>89.070503597125196</v>
      </c>
      <c r="H361" s="3">
        <f t="shared" si="195"/>
        <v>148.0155219248214</v>
      </c>
      <c r="I361">
        <f t="shared" si="180"/>
        <v>1.4801552192482141E-4</v>
      </c>
      <c r="J361" s="4">
        <f t="shared" si="196"/>
        <v>1080.0448314207993</v>
      </c>
      <c r="K361" s="40">
        <f t="shared" si="197"/>
        <v>7.2968349357938624</v>
      </c>
      <c r="L361" s="40">
        <f t="shared" si="181"/>
        <v>0</v>
      </c>
      <c r="M361" s="10">
        <f t="shared" si="198"/>
        <v>1.4524682503130319</v>
      </c>
      <c r="N361" s="10">
        <f t="shared" si="177"/>
        <v>8.26</v>
      </c>
      <c r="O361" s="10">
        <f t="shared" si="178"/>
        <v>0.31900000000000001</v>
      </c>
      <c r="P361" s="10">
        <f t="shared" si="199"/>
        <v>9.3044791705692287</v>
      </c>
      <c r="Q361" s="45">
        <f t="shared" si="200"/>
        <v>1.1611634181935742</v>
      </c>
      <c r="R361" s="4">
        <f t="shared" si="201"/>
        <v>67675.545086397644</v>
      </c>
      <c r="S361">
        <f t="shared" si="182"/>
        <v>6.7675545086397641E-5</v>
      </c>
      <c r="T361" s="44">
        <f t="shared" si="183"/>
        <v>1.6819224054891776E-4</v>
      </c>
      <c r="U361" s="45">
        <f t="shared" si="202"/>
        <v>0.12144714943479488</v>
      </c>
      <c r="V361" s="45">
        <f t="shared" si="203"/>
        <v>0.22373464566280135</v>
      </c>
      <c r="W361" s="45">
        <f t="shared" si="204"/>
        <v>0.22346658526576205</v>
      </c>
      <c r="X361" s="45">
        <f t="shared" si="205"/>
        <v>2.6806039703930473E-4</v>
      </c>
      <c r="Y361" s="45">
        <f t="shared" si="179"/>
        <v>7.0228255441406222E-4</v>
      </c>
      <c r="Z361" s="10">
        <f t="shared" si="206"/>
        <v>4.1754753496479369</v>
      </c>
      <c r="AA361">
        <f t="shared" si="184"/>
        <v>1450932.1742287909</v>
      </c>
      <c r="AB361" s="10">
        <f t="shared" si="185"/>
        <v>1.4509321742287908</v>
      </c>
      <c r="AC361" s="10">
        <f t="shared" si="186"/>
        <v>1.3499321742287909</v>
      </c>
      <c r="AD361" s="3">
        <f t="shared" si="187"/>
        <v>195.78421671193487</v>
      </c>
      <c r="AI361" s="100">
        <f t="shared" si="188"/>
        <v>0.22346658526576205</v>
      </c>
    </row>
    <row r="362" spans="2:35">
      <c r="B362" s="39">
        <f t="shared" si="189"/>
        <v>334</v>
      </c>
      <c r="C362" s="45">
        <f t="shared" si="190"/>
        <v>9.8117505995198862</v>
      </c>
      <c r="D362" s="10">
        <f t="shared" si="191"/>
        <v>5.6382494004803441</v>
      </c>
      <c r="E362" s="40">
        <f t="shared" si="192"/>
        <v>37.063501199039315</v>
      </c>
      <c r="F362" s="40">
        <f t="shared" si="193"/>
        <v>48.34</v>
      </c>
      <c r="G362" s="3">
        <f t="shared" si="194"/>
        <v>88.952997601921368</v>
      </c>
      <c r="H362" s="3">
        <f t="shared" si="195"/>
        <v>148.0155219248214</v>
      </c>
      <c r="I362">
        <f t="shared" si="180"/>
        <v>1.4801552192482141E-4</v>
      </c>
      <c r="J362" s="4">
        <f t="shared" si="196"/>
        <v>1083.4626734894018</v>
      </c>
      <c r="K362" s="40">
        <f t="shared" si="197"/>
        <v>7.3199260415384249</v>
      </c>
      <c r="L362" s="40">
        <f t="shared" si="181"/>
        <v>0</v>
      </c>
      <c r="M362" s="10">
        <f t="shared" si="198"/>
        <v>1.4509321742287908</v>
      </c>
      <c r="N362" s="10">
        <f t="shared" si="177"/>
        <v>8.26</v>
      </c>
      <c r="O362" s="10">
        <f t="shared" si="178"/>
        <v>0.31900000000000001</v>
      </c>
      <c r="P362" s="10">
        <f t="shared" si="199"/>
        <v>9.3013390575124415</v>
      </c>
      <c r="Q362" s="45">
        <f t="shared" si="200"/>
        <v>1.164321726757461</v>
      </c>
      <c r="R362" s="4">
        <f t="shared" si="201"/>
        <v>67282.237028822943</v>
      </c>
      <c r="S362">
        <f t="shared" si="182"/>
        <v>6.7282237028822944E-5</v>
      </c>
      <c r="T362" s="44">
        <f t="shared" si="183"/>
        <v>1.6858554860649247E-4</v>
      </c>
      <c r="U362" s="45">
        <f t="shared" si="202"/>
        <v>0.1207413384600742</v>
      </c>
      <c r="V362" s="45">
        <f t="shared" si="203"/>
        <v>0.22347752299795876</v>
      </c>
      <c r="W362" s="45">
        <f t="shared" si="204"/>
        <v>0.22321259359620244</v>
      </c>
      <c r="X362" s="45">
        <f t="shared" si="205"/>
        <v>2.6492940175631974E-4</v>
      </c>
      <c r="Y362" s="45">
        <f t="shared" si="179"/>
        <v>7.0311928321245467E-4</v>
      </c>
      <c r="Z362" s="10">
        <f t="shared" si="206"/>
        <v>4.1706972455489373</v>
      </c>
      <c r="AA362">
        <f t="shared" si="184"/>
        <v>1449387.412036482</v>
      </c>
      <c r="AB362" s="10">
        <f t="shared" si="185"/>
        <v>1.449387412036482</v>
      </c>
      <c r="AC362" s="10">
        <f t="shared" si="186"/>
        <v>1.348387412036482</v>
      </c>
      <c r="AD362" s="3">
        <f t="shared" si="187"/>
        <v>195.56017578484148</v>
      </c>
      <c r="AI362" s="100">
        <f t="shared" si="188"/>
        <v>0.22321259359620244</v>
      </c>
    </row>
    <row r="363" spans="2:35">
      <c r="B363" s="39">
        <f t="shared" si="189"/>
        <v>335</v>
      </c>
      <c r="C363" s="45">
        <f t="shared" si="190"/>
        <v>9.8411270983208432</v>
      </c>
      <c r="D363" s="10">
        <f t="shared" si="191"/>
        <v>5.608872901679387</v>
      </c>
      <c r="E363" s="40">
        <f t="shared" si="192"/>
        <v>37.122254196641229</v>
      </c>
      <c r="F363" s="40">
        <f t="shared" si="193"/>
        <v>48.34</v>
      </c>
      <c r="G363" s="3">
        <f t="shared" si="194"/>
        <v>88.83549160671754</v>
      </c>
      <c r="H363" s="3">
        <f t="shared" si="195"/>
        <v>148.0155219248214</v>
      </c>
      <c r="I363">
        <f t="shared" si="180"/>
        <v>1.4801552192482141E-4</v>
      </c>
      <c r="J363" s="4">
        <f t="shared" si="196"/>
        <v>1086.8859378129782</v>
      </c>
      <c r="K363" s="40">
        <f t="shared" si="197"/>
        <v>7.3430537802989253</v>
      </c>
      <c r="L363" s="40">
        <f t="shared" si="181"/>
        <v>0</v>
      </c>
      <c r="M363" s="10">
        <f t="shared" si="198"/>
        <v>1.449387412036482</v>
      </c>
      <c r="N363" s="10">
        <f t="shared" si="177"/>
        <v>8.26</v>
      </c>
      <c r="O363" s="10">
        <f t="shared" si="178"/>
        <v>0.31900000000000001</v>
      </c>
      <c r="P363" s="10">
        <f t="shared" si="199"/>
        <v>9.2981789039641161</v>
      </c>
      <c r="Q363" s="45">
        <f t="shared" si="200"/>
        <v>1.1674811087293904</v>
      </c>
      <c r="R363" s="4">
        <f t="shared" si="201"/>
        <v>66889.250516429456</v>
      </c>
      <c r="S363">
        <f t="shared" si="182"/>
        <v>6.6889250516429462E-5</v>
      </c>
      <c r="T363" s="44">
        <f t="shared" si="183"/>
        <v>1.6897853511888596E-4</v>
      </c>
      <c r="U363" s="45">
        <f t="shared" si="202"/>
        <v>0.12003610451425847</v>
      </c>
      <c r="V363" s="45">
        <f t="shared" si="203"/>
        <v>0.22321895613814227</v>
      </c>
      <c r="W363" s="45">
        <f t="shared" si="204"/>
        <v>0.22295716567025381</v>
      </c>
      <c r="X363" s="45">
        <f t="shared" si="205"/>
        <v>2.6179046788846194E-4</v>
      </c>
      <c r="Y363" s="45">
        <f t="shared" si="179"/>
        <v>7.0394637929712442E-4</v>
      </c>
      <c r="Z363" s="10">
        <f t="shared" si="206"/>
        <v>4.1658923058000132</v>
      </c>
      <c r="AA363">
        <f t="shared" si="184"/>
        <v>1447833.9738721661</v>
      </c>
      <c r="AB363" s="10">
        <f t="shared" si="185"/>
        <v>1.4478339738721662</v>
      </c>
      <c r="AC363" s="10">
        <f t="shared" si="186"/>
        <v>1.3468339738721662</v>
      </c>
      <c r="AD363" s="3">
        <f t="shared" si="187"/>
        <v>195.33487655868979</v>
      </c>
      <c r="AI363" s="100">
        <f t="shared" si="188"/>
        <v>0.22295716567025381</v>
      </c>
    </row>
    <row r="364" spans="2:35">
      <c r="B364" s="39">
        <f t="shared" si="189"/>
        <v>336</v>
      </c>
      <c r="C364" s="45">
        <f t="shared" si="190"/>
        <v>9.8705035971218003</v>
      </c>
      <c r="D364" s="10">
        <f t="shared" si="191"/>
        <v>5.57949640287843</v>
      </c>
      <c r="E364" s="40">
        <f t="shared" si="192"/>
        <v>37.181007194243143</v>
      </c>
      <c r="F364" s="40">
        <f t="shared" si="193"/>
        <v>48.34</v>
      </c>
      <c r="G364" s="3">
        <f t="shared" si="194"/>
        <v>88.717985611513711</v>
      </c>
      <c r="H364" s="3">
        <f t="shared" si="195"/>
        <v>148.0155219248214</v>
      </c>
      <c r="I364">
        <f t="shared" si="180"/>
        <v>1.4801552192482141E-4</v>
      </c>
      <c r="J364" s="4">
        <f t="shared" si="196"/>
        <v>1090.3146243915287</v>
      </c>
      <c r="K364" s="40">
        <f t="shared" si="197"/>
        <v>7.3662181520753656</v>
      </c>
      <c r="L364" s="40">
        <f t="shared" si="181"/>
        <v>0</v>
      </c>
      <c r="M364" s="10">
        <f t="shared" si="198"/>
        <v>1.4478339738721662</v>
      </c>
      <c r="N364" s="10">
        <f t="shared" si="177"/>
        <v>8.26</v>
      </c>
      <c r="O364" s="10">
        <f t="shared" si="178"/>
        <v>0.31900000000000001</v>
      </c>
      <c r="P364" s="10">
        <f t="shared" si="199"/>
        <v>9.2949986879061601</v>
      </c>
      <c r="Q364" s="45">
        <f t="shared" si="200"/>
        <v>1.1706415716608354</v>
      </c>
      <c r="R364" s="4">
        <f t="shared" si="201"/>
        <v>66496.587460659575</v>
      </c>
      <c r="S364">
        <f t="shared" si="182"/>
        <v>6.6496587460659581E-5</v>
      </c>
      <c r="T364" s="44">
        <f t="shared" si="183"/>
        <v>1.6937119817465583E-4</v>
      </c>
      <c r="U364" s="45">
        <f t="shared" si="202"/>
        <v>0.11933145102752664</v>
      </c>
      <c r="V364" s="45">
        <f t="shared" si="203"/>
        <v>0.22295894684316314</v>
      </c>
      <c r="W364" s="45">
        <f t="shared" si="204"/>
        <v>0.22270030316392353</v>
      </c>
      <c r="X364" s="45">
        <f t="shared" si="205"/>
        <v>2.5864367923961185E-4</v>
      </c>
      <c r="Y364" s="45">
        <f t="shared" si="179"/>
        <v>7.0476381305781374E-4</v>
      </c>
      <c r="Z364" s="10">
        <f t="shared" si="206"/>
        <v>4.161060561967922</v>
      </c>
      <c r="AA364">
        <f t="shared" si="184"/>
        <v>1446271.8699413834</v>
      </c>
      <c r="AB364" s="10">
        <f t="shared" si="185"/>
        <v>1.4462718699413835</v>
      </c>
      <c r="AC364" s="10">
        <f t="shared" si="186"/>
        <v>1.3452718699413835</v>
      </c>
      <c r="AD364" s="3">
        <f t="shared" si="187"/>
        <v>195.10832051361615</v>
      </c>
      <c r="AI364" s="100">
        <f t="shared" si="188"/>
        <v>0.22270030316392353</v>
      </c>
    </row>
    <row r="365" spans="2:35">
      <c r="B365" s="39">
        <f t="shared" si="189"/>
        <v>337</v>
      </c>
      <c r="C365" s="45">
        <f t="shared" si="190"/>
        <v>9.8998800959227573</v>
      </c>
      <c r="D365" s="10">
        <f t="shared" si="191"/>
        <v>5.5501199040774729</v>
      </c>
      <c r="E365" s="40">
        <f t="shared" si="192"/>
        <v>37.239760191845058</v>
      </c>
      <c r="F365" s="40">
        <f t="shared" si="193"/>
        <v>48.34</v>
      </c>
      <c r="G365" s="3">
        <f t="shared" si="194"/>
        <v>88.600479616309883</v>
      </c>
      <c r="H365" s="3">
        <f t="shared" si="195"/>
        <v>148.0155219248214</v>
      </c>
      <c r="I365">
        <f t="shared" si="180"/>
        <v>1.4801552192482141E-4</v>
      </c>
      <c r="J365" s="4">
        <f t="shared" si="196"/>
        <v>1093.748733225053</v>
      </c>
      <c r="K365" s="40">
        <f t="shared" si="197"/>
        <v>7.3894191568677456</v>
      </c>
      <c r="L365" s="40">
        <f t="shared" si="181"/>
        <v>0</v>
      </c>
      <c r="M365" s="10">
        <f t="shared" si="198"/>
        <v>1.4462718699413835</v>
      </c>
      <c r="N365" s="10">
        <f t="shared" si="177"/>
        <v>8.26</v>
      </c>
      <c r="O365" s="10">
        <f t="shared" si="178"/>
        <v>0.31900000000000001</v>
      </c>
      <c r="P365" s="10">
        <f t="shared" si="199"/>
        <v>9.291798387154941</v>
      </c>
      <c r="Q365" s="45">
        <f t="shared" si="200"/>
        <v>1.1738031231255732</v>
      </c>
      <c r="R365" s="4">
        <f t="shared" si="201"/>
        <v>66104.249772955736</v>
      </c>
      <c r="S365">
        <f t="shared" si="182"/>
        <v>6.6104249772955739E-5</v>
      </c>
      <c r="T365" s="44">
        <f t="shared" si="183"/>
        <v>1.6976353586235966E-4</v>
      </c>
      <c r="U365" s="45">
        <f t="shared" si="202"/>
        <v>0.1186273814300577</v>
      </c>
      <c r="V365" s="45">
        <f t="shared" si="203"/>
        <v>0.2226974968845932</v>
      </c>
      <c r="W365" s="45">
        <f t="shared" si="204"/>
        <v>0.2224420077647076</v>
      </c>
      <c r="X365" s="45">
        <f t="shared" si="205"/>
        <v>2.5548911988559908E-4</v>
      </c>
      <c r="Y365" s="45">
        <f t="shared" si="179"/>
        <v>7.0557155505901264E-4</v>
      </c>
      <c r="Z365" s="10">
        <f t="shared" si="206"/>
        <v>4.1562020458331741</v>
      </c>
      <c r="AA365">
        <f t="shared" si="184"/>
        <v>1444701.1105187803</v>
      </c>
      <c r="AB365" s="10">
        <f t="shared" si="185"/>
        <v>1.4447011105187804</v>
      </c>
      <c r="AC365" s="10">
        <f t="shared" si="186"/>
        <v>1.3437011105187804</v>
      </c>
      <c r="AD365" s="3">
        <f t="shared" si="187"/>
        <v>194.8805091397796</v>
      </c>
      <c r="AI365" s="100">
        <f t="shared" si="188"/>
        <v>0.2224420077647076</v>
      </c>
    </row>
    <row r="366" spans="2:35">
      <c r="B366" s="39">
        <f t="shared" si="189"/>
        <v>338</v>
      </c>
      <c r="C366" s="45">
        <f t="shared" si="190"/>
        <v>9.9292565947237144</v>
      </c>
      <c r="D366" s="10">
        <f t="shared" si="191"/>
        <v>5.5207434052765159</v>
      </c>
      <c r="E366" s="40">
        <f t="shared" si="192"/>
        <v>37.298513189446972</v>
      </c>
      <c r="F366" s="40">
        <f t="shared" si="193"/>
        <v>48.34</v>
      </c>
      <c r="G366" s="3">
        <f t="shared" si="194"/>
        <v>88.482973621106055</v>
      </c>
      <c r="H366" s="3">
        <f t="shared" si="195"/>
        <v>148.0155219248214</v>
      </c>
      <c r="I366">
        <f t="shared" si="180"/>
        <v>1.4801552192482141E-4</v>
      </c>
      <c r="J366" s="4">
        <f t="shared" si="196"/>
        <v>1097.1882643135509</v>
      </c>
      <c r="K366" s="40">
        <f t="shared" si="197"/>
        <v>7.412656794676062</v>
      </c>
      <c r="L366" s="40">
        <f t="shared" si="181"/>
        <v>0</v>
      </c>
      <c r="M366" s="10">
        <f t="shared" si="198"/>
        <v>1.4447011105187804</v>
      </c>
      <c r="N366" s="10">
        <f t="shared" si="177"/>
        <v>8.26</v>
      </c>
      <c r="O366" s="10">
        <f t="shared" si="178"/>
        <v>0.31900000000000001</v>
      </c>
      <c r="P366" s="10">
        <f t="shared" si="199"/>
        <v>9.2885779793594967</v>
      </c>
      <c r="Q366" s="45">
        <f t="shared" si="200"/>
        <v>1.1769657707198806</v>
      </c>
      <c r="R366" s="4">
        <f t="shared" si="201"/>
        <v>65712.239364760302</v>
      </c>
      <c r="S366">
        <f t="shared" si="182"/>
        <v>6.5712239364760296E-5</v>
      </c>
      <c r="T366" s="44">
        <f t="shared" si="183"/>
        <v>1.7015554627055512E-4</v>
      </c>
      <c r="U366" s="45">
        <f t="shared" si="202"/>
        <v>0.11792389915203058</v>
      </c>
      <c r="V366" s="45">
        <f t="shared" si="203"/>
        <v>0.22243460804591439</v>
      </c>
      <c r="W366" s="45">
        <f t="shared" si="204"/>
        <v>0.2221822811715288</v>
      </c>
      <c r="X366" s="45">
        <f t="shared" si="205"/>
        <v>2.5232687438558887E-4</v>
      </c>
      <c r="Y366" s="45">
        <f t="shared" si="179"/>
        <v>7.063695760412673E-4</v>
      </c>
      <c r="Z366" s="10">
        <f t="shared" si="206"/>
        <v>4.1513167893928493</v>
      </c>
      <c r="AA366">
        <f t="shared" si="184"/>
        <v>1443121.7059490208</v>
      </c>
      <c r="AB366" s="10">
        <f t="shared" si="185"/>
        <v>1.4431217059490209</v>
      </c>
      <c r="AC366" s="10">
        <f t="shared" si="186"/>
        <v>1.3421217059490209</v>
      </c>
      <c r="AD366" s="3">
        <f t="shared" si="187"/>
        <v>194.65144393749395</v>
      </c>
      <c r="AI366" s="100">
        <f t="shared" si="188"/>
        <v>0.2221822811715288</v>
      </c>
    </row>
    <row r="367" spans="2:35">
      <c r="B367" s="39">
        <f t="shared" si="189"/>
        <v>339</v>
      </c>
      <c r="C367" s="45">
        <f t="shared" si="190"/>
        <v>9.9586330935246714</v>
      </c>
      <c r="D367" s="10">
        <f t="shared" si="191"/>
        <v>5.4913669064755588</v>
      </c>
      <c r="E367" s="40">
        <f t="shared" si="192"/>
        <v>37.357266187048886</v>
      </c>
      <c r="F367" s="40">
        <f t="shared" si="193"/>
        <v>48.34</v>
      </c>
      <c r="G367" s="3">
        <f t="shared" si="194"/>
        <v>88.365467625902227</v>
      </c>
      <c r="H367" s="3">
        <f t="shared" si="195"/>
        <v>148.0155219248214</v>
      </c>
      <c r="I367">
        <f t="shared" si="180"/>
        <v>1.4801552192482141E-4</v>
      </c>
      <c r="J367" s="4">
        <f t="shared" si="196"/>
        <v>1100.6332176570231</v>
      </c>
      <c r="K367" s="40">
        <f t="shared" si="197"/>
        <v>7.4359310655003199</v>
      </c>
      <c r="L367" s="40">
        <f t="shared" si="181"/>
        <v>0</v>
      </c>
      <c r="M367" s="10">
        <f t="shared" si="198"/>
        <v>1.4431217059490209</v>
      </c>
      <c r="N367" s="10">
        <f t="shared" si="177"/>
        <v>8.26</v>
      </c>
      <c r="O367" s="10">
        <f t="shared" si="178"/>
        <v>0.31900000000000001</v>
      </c>
      <c r="P367" s="10">
        <f t="shared" si="199"/>
        <v>9.2853374420023567</v>
      </c>
      <c r="Q367" s="45">
        <f t="shared" si="200"/>
        <v>1.1801295220627315</v>
      </c>
      <c r="R367" s="4">
        <f t="shared" si="201"/>
        <v>65320.558147515694</v>
      </c>
      <c r="S367">
        <f t="shared" si="182"/>
        <v>6.5320558147515692E-5</v>
      </c>
      <c r="T367" s="44">
        <f t="shared" si="183"/>
        <v>1.7054722748779971E-4</v>
      </c>
      <c r="U367" s="45">
        <f t="shared" si="202"/>
        <v>0.11722100762362428</v>
      </c>
      <c r="V367" s="45">
        <f t="shared" si="203"/>
        <v>0.22217028212240206</v>
      </c>
      <c r="W367" s="45">
        <f t="shared" si="204"/>
        <v>0.22192112509488729</v>
      </c>
      <c r="X367" s="45">
        <f t="shared" si="205"/>
        <v>2.4915702751476809E-4</v>
      </c>
      <c r="Y367" s="45">
        <f t="shared" si="179"/>
        <v>7.0715784692164786E-4</v>
      </c>
      <c r="Z367" s="10">
        <f t="shared" si="206"/>
        <v>4.1464048248584708</v>
      </c>
      <c r="AA367">
        <f t="shared" si="184"/>
        <v>1441533.6666460976</v>
      </c>
      <c r="AB367" s="10">
        <f t="shared" si="185"/>
        <v>1.4415336666460976</v>
      </c>
      <c r="AC367" s="10">
        <f t="shared" si="186"/>
        <v>1.3405336666460976</v>
      </c>
      <c r="AD367" s="3">
        <f t="shared" si="187"/>
        <v>194.42112641712799</v>
      </c>
      <c r="AI367" s="100">
        <f t="shared" si="188"/>
        <v>0.22192112509488729</v>
      </c>
    </row>
    <row r="368" spans="2:35">
      <c r="B368" s="39">
        <f t="shared" si="189"/>
        <v>340</v>
      </c>
      <c r="C368" s="45">
        <f t="shared" si="190"/>
        <v>9.9880095923256285</v>
      </c>
      <c r="D368" s="10">
        <f t="shared" si="191"/>
        <v>5.4619904076746018</v>
      </c>
      <c r="E368" s="40">
        <f t="shared" si="192"/>
        <v>37.4160191846508</v>
      </c>
      <c r="F368" s="40">
        <f t="shared" si="193"/>
        <v>48.34</v>
      </c>
      <c r="G368" s="3">
        <f t="shared" si="194"/>
        <v>88.247961630698398</v>
      </c>
      <c r="H368" s="3">
        <f t="shared" si="195"/>
        <v>148.0155219248214</v>
      </c>
      <c r="I368">
        <f t="shared" si="180"/>
        <v>1.4801552192482141E-4</v>
      </c>
      <c r="J368" s="4">
        <f t="shared" si="196"/>
        <v>1104.0835932554692</v>
      </c>
      <c r="K368" s="40">
        <f t="shared" si="197"/>
        <v>7.4592419693405168</v>
      </c>
      <c r="L368" s="40">
        <f t="shared" si="181"/>
        <v>0</v>
      </c>
      <c r="M368" s="10">
        <f t="shared" si="198"/>
        <v>1.4415336666460976</v>
      </c>
      <c r="N368" s="10">
        <f t="shared" si="177"/>
        <v>8.26</v>
      </c>
      <c r="O368" s="10">
        <f t="shared" si="178"/>
        <v>0.31900000000000001</v>
      </c>
      <c r="P368" s="10">
        <f t="shared" si="199"/>
        <v>9.2820767523970851</v>
      </c>
      <c r="Q368" s="45">
        <f t="shared" si="200"/>
        <v>1.1832943847959956</v>
      </c>
      <c r="R368" s="4">
        <f t="shared" si="201"/>
        <v>64929.208032664304</v>
      </c>
      <c r="S368">
        <f t="shared" si="182"/>
        <v>6.4929208032664298E-5</v>
      </c>
      <c r="T368" s="44">
        <f t="shared" si="183"/>
        <v>1.7093857760265113E-4</v>
      </c>
      <c r="U368" s="45">
        <f t="shared" si="202"/>
        <v>0.11651871027501771</v>
      </c>
      <c r="V368" s="45">
        <f t="shared" si="203"/>
        <v>0.22190452092127383</v>
      </c>
      <c r="W368" s="45">
        <f t="shared" si="204"/>
        <v>0.22165854125674689</v>
      </c>
      <c r="X368" s="45">
        <f t="shared" si="205"/>
        <v>2.4597966452694076E-4</v>
      </c>
      <c r="Y368" s="45">
        <f t="shared" si="179"/>
        <v>7.0793633879505E-4</v>
      </c>
      <c r="Z368" s="10">
        <f t="shared" si="206"/>
        <v>4.1414661846587784</v>
      </c>
      <c r="AA368">
        <f t="shared" si="184"/>
        <v>1439937.0030942298</v>
      </c>
      <c r="AB368" s="10">
        <f t="shared" si="185"/>
        <v>1.4399370030942298</v>
      </c>
      <c r="AC368" s="10">
        <f t="shared" si="186"/>
        <v>1.3389370030942298</v>
      </c>
      <c r="AD368" s="3">
        <f t="shared" si="187"/>
        <v>194.18955809923565</v>
      </c>
      <c r="AI368" s="100">
        <f t="shared" si="188"/>
        <v>0.22165854125674689</v>
      </c>
    </row>
    <row r="369" spans="2:35">
      <c r="B369" s="39">
        <f t="shared" si="189"/>
        <v>341</v>
      </c>
      <c r="C369" s="45">
        <f t="shared" si="190"/>
        <v>10.017386091126586</v>
      </c>
      <c r="D369" s="10">
        <f t="shared" si="191"/>
        <v>5.4326139088736447</v>
      </c>
      <c r="E369" s="40">
        <f t="shared" si="192"/>
        <v>37.474772182252714</v>
      </c>
      <c r="F369" s="40">
        <f t="shared" si="193"/>
        <v>48.34</v>
      </c>
      <c r="G369" s="3">
        <f t="shared" si="194"/>
        <v>88.13045563549457</v>
      </c>
      <c r="H369" s="3">
        <f t="shared" si="195"/>
        <v>148.0155219248214</v>
      </c>
      <c r="I369">
        <f t="shared" si="180"/>
        <v>1.4801552192482141E-4</v>
      </c>
      <c r="J369" s="4">
        <f t="shared" si="196"/>
        <v>1107.539391108889</v>
      </c>
      <c r="K369" s="40">
        <f t="shared" si="197"/>
        <v>7.4825895061966516</v>
      </c>
      <c r="L369" s="40">
        <f t="shared" si="181"/>
        <v>0</v>
      </c>
      <c r="M369" s="10">
        <f t="shared" si="198"/>
        <v>1.4399370030942298</v>
      </c>
      <c r="N369" s="10">
        <f t="shared" si="177"/>
        <v>8.26</v>
      </c>
      <c r="O369" s="10">
        <f t="shared" si="178"/>
        <v>0.31900000000000001</v>
      </c>
      <c r="P369" s="10">
        <f t="shared" si="199"/>
        <v>9.2787958876890606</v>
      </c>
      <c r="Q369" s="45">
        <f t="shared" si="200"/>
        <v>1.1864603665846385</v>
      </c>
      <c r="R369" s="4">
        <f t="shared" si="201"/>
        <v>64538.19093164854</v>
      </c>
      <c r="S369">
        <f t="shared" si="182"/>
        <v>6.4538190931648541E-5</v>
      </c>
      <c r="T369" s="44">
        <f t="shared" si="183"/>
        <v>1.7132959470366686E-4</v>
      </c>
      <c r="U369" s="45">
        <f t="shared" si="202"/>
        <v>0.11581701053638987</v>
      </c>
      <c r="V369" s="45">
        <f t="shared" si="203"/>
        <v>0.22163732626163357</v>
      </c>
      <c r="W369" s="45">
        <f t="shared" si="204"/>
        <v>0.22139453139068346</v>
      </c>
      <c r="X369" s="45">
        <f t="shared" si="205"/>
        <v>2.4279487095010821E-4</v>
      </c>
      <c r="Y369" s="45">
        <f t="shared" si="179"/>
        <v>7.0870502293485401E-4</v>
      </c>
      <c r="Z369" s="10">
        <f t="shared" si="206"/>
        <v>4.1365009014387519</v>
      </c>
      <c r="AA369">
        <f t="shared" si="184"/>
        <v>1438331.7258475476</v>
      </c>
      <c r="AB369" s="10">
        <f t="shared" si="185"/>
        <v>1.4383317258475476</v>
      </c>
      <c r="AC369" s="10">
        <f t="shared" si="186"/>
        <v>1.3373317258475477</v>
      </c>
      <c r="AD369" s="3">
        <f t="shared" si="187"/>
        <v>193.95674051451016</v>
      </c>
      <c r="AI369" s="100">
        <f t="shared" si="188"/>
        <v>0.22139453139068346</v>
      </c>
    </row>
    <row r="370" spans="2:35">
      <c r="B370" s="39">
        <f t="shared" si="189"/>
        <v>342</v>
      </c>
      <c r="C370" s="45">
        <f t="shared" si="190"/>
        <v>10.046762589927543</v>
      </c>
      <c r="D370" s="10">
        <f t="shared" si="191"/>
        <v>5.4032374100726877</v>
      </c>
      <c r="E370" s="40">
        <f t="shared" si="192"/>
        <v>37.533525179854628</v>
      </c>
      <c r="F370" s="40">
        <f t="shared" si="193"/>
        <v>48.34</v>
      </c>
      <c r="G370" s="3">
        <f t="shared" si="194"/>
        <v>88.012949640290742</v>
      </c>
      <c r="H370" s="3">
        <f t="shared" si="195"/>
        <v>148.0155219248214</v>
      </c>
      <c r="I370">
        <f t="shared" si="180"/>
        <v>1.4801552192482141E-4</v>
      </c>
      <c r="J370" s="4">
        <f t="shared" si="196"/>
        <v>1111.000611217283</v>
      </c>
      <c r="K370" s="40">
        <f t="shared" si="197"/>
        <v>7.5059736760687272</v>
      </c>
      <c r="L370" s="40">
        <f t="shared" si="181"/>
        <v>0</v>
      </c>
      <c r="M370" s="10">
        <f t="shared" si="198"/>
        <v>1.4383317258475476</v>
      </c>
      <c r="N370" s="10">
        <f t="shared" si="177"/>
        <v>8.26</v>
      </c>
      <c r="O370" s="10">
        <f t="shared" si="178"/>
        <v>0.31900000000000001</v>
      </c>
      <c r="P370" s="10">
        <f t="shared" si="199"/>
        <v>9.2754948248537588</v>
      </c>
      <c r="Q370" s="45">
        <f t="shared" si="200"/>
        <v>1.1896274751169233</v>
      </c>
      <c r="R370" s="4">
        <f t="shared" si="201"/>
        <v>64147.508755910785</v>
      </c>
      <c r="S370">
        <f t="shared" si="182"/>
        <v>6.414750875591078E-5</v>
      </c>
      <c r="T370" s="44">
        <f t="shared" si="183"/>
        <v>1.7172027687940465E-4</v>
      </c>
      <c r="U370" s="45">
        <f t="shared" si="202"/>
        <v>0.11511591183791969</v>
      </c>
      <c r="V370" s="45">
        <f t="shared" si="203"/>
        <v>0.221368699974543</v>
      </c>
      <c r="W370" s="45">
        <f t="shared" si="204"/>
        <v>0.2211290972418325</v>
      </c>
      <c r="X370" s="45">
        <f t="shared" si="205"/>
        <v>2.396027327105088E-4</v>
      </c>
      <c r="Y370" s="45">
        <f t="shared" si="179"/>
        <v>7.0946387079398024E-4</v>
      </c>
      <c r="Z370" s="10">
        <f t="shared" si="206"/>
        <v>4.1315090080609469</v>
      </c>
      <c r="AA370">
        <f t="shared" si="184"/>
        <v>1436717.845530523</v>
      </c>
      <c r="AB370" s="10">
        <f t="shared" si="185"/>
        <v>1.436717845530523</v>
      </c>
      <c r="AC370" s="10">
        <f t="shared" si="186"/>
        <v>1.335717845530523</v>
      </c>
      <c r="AD370" s="3">
        <f t="shared" si="187"/>
        <v>193.72267520384671</v>
      </c>
      <c r="AI370" s="100">
        <f t="shared" si="188"/>
        <v>0.2211290972418325</v>
      </c>
    </row>
    <row r="371" spans="2:35">
      <c r="B371" s="39">
        <f t="shared" si="189"/>
        <v>343</v>
      </c>
      <c r="C371" s="45">
        <f t="shared" si="190"/>
        <v>10.0761390887285</v>
      </c>
      <c r="D371" s="10">
        <f t="shared" si="191"/>
        <v>5.3738609112717306</v>
      </c>
      <c r="E371" s="40">
        <f t="shared" si="192"/>
        <v>37.592278177456542</v>
      </c>
      <c r="F371" s="40">
        <f t="shared" si="193"/>
        <v>48.34</v>
      </c>
      <c r="G371" s="3">
        <f t="shared" si="194"/>
        <v>87.895443645086914</v>
      </c>
      <c r="H371" s="3">
        <f t="shared" si="195"/>
        <v>148.0155219248214</v>
      </c>
      <c r="I371">
        <f t="shared" si="180"/>
        <v>1.4801552192482141E-4</v>
      </c>
      <c r="J371" s="4">
        <f t="shared" si="196"/>
        <v>1114.4672535806505</v>
      </c>
      <c r="K371" s="40">
        <f t="shared" si="197"/>
        <v>7.52939447895674</v>
      </c>
      <c r="L371" s="40">
        <f t="shared" si="181"/>
        <v>0</v>
      </c>
      <c r="M371" s="10">
        <f t="shared" si="198"/>
        <v>1.436717845530523</v>
      </c>
      <c r="N371" s="10">
        <f t="shared" si="177"/>
        <v>8.26</v>
      </c>
      <c r="O371" s="10">
        <f t="shared" si="178"/>
        <v>0.31900000000000001</v>
      </c>
      <c r="P371" s="10">
        <f t="shared" si="199"/>
        <v>9.2721735406965546</v>
      </c>
      <c r="Q371" s="45">
        <f t="shared" si="200"/>
        <v>1.1927957181046134</v>
      </c>
      <c r="R371" s="4">
        <f t="shared" si="201"/>
        <v>63757.163416893483</v>
      </c>
      <c r="S371">
        <f t="shared" si="182"/>
        <v>6.3757163416893481E-5</v>
      </c>
      <c r="T371" s="44">
        <f t="shared" si="183"/>
        <v>1.7211062221842192E-4</v>
      </c>
      <c r="U371" s="45">
        <f t="shared" si="202"/>
        <v>0.1144154176097862</v>
      </c>
      <c r="V371" s="45">
        <f t="shared" si="203"/>
        <v>0.22109864390301254</v>
      </c>
      <c r="W371" s="45">
        <f t="shared" si="204"/>
        <v>0.22086224056696085</v>
      </c>
      <c r="X371" s="45">
        <f t="shared" si="205"/>
        <v>2.3640333605168262E-4</v>
      </c>
      <c r="Y371" s="45">
        <f t="shared" si="179"/>
        <v>7.1021285400569255E-4</v>
      </c>
      <c r="Z371" s="10">
        <f t="shared" si="206"/>
        <v>4.1264905376053811</v>
      </c>
      <c r="AA371">
        <f t="shared" si="184"/>
        <v>1435095.3728379332</v>
      </c>
      <c r="AB371" s="10">
        <f t="shared" si="185"/>
        <v>1.4350953728379332</v>
      </c>
      <c r="AC371" s="10">
        <f t="shared" si="186"/>
        <v>1.3340953728379332</v>
      </c>
      <c r="AD371" s="3">
        <f t="shared" si="187"/>
        <v>193.48736371833695</v>
      </c>
      <c r="AI371" s="100">
        <f t="shared" si="188"/>
        <v>0.22086224056696085</v>
      </c>
    </row>
    <row r="372" spans="2:35">
      <c r="B372" s="39">
        <f t="shared" si="189"/>
        <v>344</v>
      </c>
      <c r="C372" s="45">
        <f t="shared" si="190"/>
        <v>10.105515587529457</v>
      </c>
      <c r="D372" s="10">
        <f t="shared" si="191"/>
        <v>5.3444844124707735</v>
      </c>
      <c r="E372" s="40">
        <f t="shared" si="192"/>
        <v>37.651031175058456</v>
      </c>
      <c r="F372" s="40">
        <f t="shared" si="193"/>
        <v>48.34</v>
      </c>
      <c r="G372" s="3">
        <f t="shared" si="194"/>
        <v>87.777937649883086</v>
      </c>
      <c r="H372" s="3">
        <f t="shared" si="195"/>
        <v>148.0155219248214</v>
      </c>
      <c r="I372">
        <f t="shared" si="180"/>
        <v>1.4801552192482141E-4</v>
      </c>
      <c r="J372" s="4">
        <f t="shared" si="196"/>
        <v>1117.9393181989924</v>
      </c>
      <c r="K372" s="40">
        <f t="shared" si="197"/>
        <v>7.5528519148606943</v>
      </c>
      <c r="L372" s="40">
        <f t="shared" si="181"/>
        <v>0</v>
      </c>
      <c r="M372" s="10">
        <f t="shared" si="198"/>
        <v>1.4350953728379332</v>
      </c>
      <c r="N372" s="10">
        <f t="shared" si="177"/>
        <v>8.26</v>
      </c>
      <c r="O372" s="10">
        <f t="shared" si="178"/>
        <v>0.31900000000000001</v>
      </c>
      <c r="P372" s="10">
        <f t="shared" si="199"/>
        <v>9.2688320118515701</v>
      </c>
      <c r="Q372" s="45">
        <f t="shared" si="200"/>
        <v>1.1959651032831768</v>
      </c>
      <c r="R372" s="4">
        <f t="shared" si="201"/>
        <v>63367.156826038969</v>
      </c>
      <c r="S372">
        <f t="shared" si="182"/>
        <v>6.3367156826038963E-5</v>
      </c>
      <c r="T372" s="44">
        <f t="shared" si="183"/>
        <v>1.7250062880927645E-4</v>
      </c>
      <c r="U372" s="45">
        <f t="shared" si="202"/>
        <v>0.11371553128216821</v>
      </c>
      <c r="V372" s="45">
        <f t="shared" si="203"/>
        <v>0.2208271599021015</v>
      </c>
      <c r="W372" s="45">
        <f t="shared" si="204"/>
        <v>0.22059396313446034</v>
      </c>
      <c r="X372" s="45">
        <f t="shared" si="205"/>
        <v>2.3319676764116393E-4</v>
      </c>
      <c r="Y372" s="45">
        <f t="shared" si="179"/>
        <v>7.109519443847434E-4</v>
      </c>
      <c r="Z372" s="10">
        <f t="shared" si="206"/>
        <v>4.1214455233713965</v>
      </c>
      <c r="AA372">
        <f t="shared" si="184"/>
        <v>1433464.3185354639</v>
      </c>
      <c r="AB372" s="10">
        <f t="shared" si="185"/>
        <v>1.4334643185354639</v>
      </c>
      <c r="AC372" s="10">
        <f t="shared" si="186"/>
        <v>1.3324643185354639</v>
      </c>
      <c r="AD372" s="3">
        <f t="shared" si="187"/>
        <v>193.25080761935661</v>
      </c>
      <c r="AI372" s="100">
        <f t="shared" si="188"/>
        <v>0.22059396313446034</v>
      </c>
    </row>
    <row r="373" spans="2:35">
      <c r="B373" s="39">
        <f t="shared" si="189"/>
        <v>345</v>
      </c>
      <c r="C373" s="45">
        <f t="shared" si="190"/>
        <v>10.134892086330414</v>
      </c>
      <c r="D373" s="10">
        <f t="shared" si="191"/>
        <v>5.3151079136698165</v>
      </c>
      <c r="E373" s="40">
        <f t="shared" si="192"/>
        <v>37.70978417266037</v>
      </c>
      <c r="F373" s="40">
        <f t="shared" si="193"/>
        <v>48.34</v>
      </c>
      <c r="G373" s="3">
        <f t="shared" si="194"/>
        <v>87.660431654679257</v>
      </c>
      <c r="H373" s="3">
        <f t="shared" si="195"/>
        <v>148.0155219248214</v>
      </c>
      <c r="I373">
        <f t="shared" si="180"/>
        <v>1.4801552192482141E-4</v>
      </c>
      <c r="J373" s="4">
        <f t="shared" si="196"/>
        <v>1121.4168050723079</v>
      </c>
      <c r="K373" s="40">
        <f t="shared" si="197"/>
        <v>7.5763459837805858</v>
      </c>
      <c r="L373" s="40">
        <f t="shared" si="181"/>
        <v>0</v>
      </c>
      <c r="M373" s="10">
        <f t="shared" si="198"/>
        <v>1.4334643185354639</v>
      </c>
      <c r="N373" s="10">
        <f t="shared" si="177"/>
        <v>8.26</v>
      </c>
      <c r="O373" s="10">
        <f t="shared" si="178"/>
        <v>0.31900000000000001</v>
      </c>
      <c r="P373" s="10">
        <f t="shared" si="199"/>
        <v>9.2654702147818018</v>
      </c>
      <c r="Q373" s="45">
        <f t="shared" si="200"/>
        <v>1.1991356384119922</v>
      </c>
      <c r="R373" s="4">
        <f t="shared" si="201"/>
        <v>62977.490894789698</v>
      </c>
      <c r="S373">
        <f t="shared" si="182"/>
        <v>6.2977490894789692E-5</v>
      </c>
      <c r="T373" s="44">
        <f t="shared" si="183"/>
        <v>1.7289029474052572E-4</v>
      </c>
      <c r="U373" s="45">
        <f t="shared" si="202"/>
        <v>0.11301625628524485</v>
      </c>
      <c r="V373" s="45">
        <f t="shared" si="203"/>
        <v>0.22055424983877617</v>
      </c>
      <c r="W373" s="45">
        <f t="shared" si="204"/>
        <v>0.22032426672444744</v>
      </c>
      <c r="X373" s="45">
        <f t="shared" si="205"/>
        <v>2.2998311432873009E-4</v>
      </c>
      <c r="Y373" s="45">
        <f t="shared" si="179"/>
        <v>7.1168111392775702E-4</v>
      </c>
      <c r="Z373" s="10">
        <f t="shared" si="206"/>
        <v>4.116373998875126</v>
      </c>
      <c r="AA373">
        <f t="shared" si="184"/>
        <v>1431824.6934588887</v>
      </c>
      <c r="AB373" s="10">
        <f t="shared" si="185"/>
        <v>1.4318246934588887</v>
      </c>
      <c r="AC373" s="10">
        <f t="shared" si="186"/>
        <v>1.3308246934588888</v>
      </c>
      <c r="AD373" s="3">
        <f t="shared" si="187"/>
        <v>193.01300847844652</v>
      </c>
      <c r="AI373" s="100">
        <f t="shared" si="188"/>
        <v>0.22032426672444744</v>
      </c>
    </row>
    <row r="374" spans="2:35">
      <c r="B374" s="39">
        <f t="shared" si="189"/>
        <v>346</v>
      </c>
      <c r="C374" s="45">
        <f t="shared" si="190"/>
        <v>10.164268585131371</v>
      </c>
      <c r="D374" s="10">
        <f t="shared" si="191"/>
        <v>5.2857314148688594</v>
      </c>
      <c r="E374" s="40">
        <f t="shared" si="192"/>
        <v>37.768537170262285</v>
      </c>
      <c r="F374" s="40">
        <f t="shared" si="193"/>
        <v>48.34</v>
      </c>
      <c r="G374" s="3">
        <f t="shared" si="194"/>
        <v>87.542925659475429</v>
      </c>
      <c r="H374" s="3">
        <f t="shared" si="195"/>
        <v>148.0155219248214</v>
      </c>
      <c r="I374">
        <f t="shared" si="180"/>
        <v>1.4801552192482141E-4</v>
      </c>
      <c r="J374" s="4">
        <f t="shared" si="196"/>
        <v>1124.8997142005974</v>
      </c>
      <c r="K374" s="40">
        <f t="shared" si="197"/>
        <v>7.5998766857164171</v>
      </c>
      <c r="L374" s="40">
        <f t="shared" si="181"/>
        <v>0</v>
      </c>
      <c r="M374" s="10">
        <f t="shared" si="198"/>
        <v>1.4318246934588887</v>
      </c>
      <c r="N374" s="10">
        <f t="shared" si="177"/>
        <v>8.26</v>
      </c>
      <c r="O374" s="10">
        <f t="shared" si="178"/>
        <v>0.31900000000000001</v>
      </c>
      <c r="P374" s="10">
        <f t="shared" si="199"/>
        <v>9.2620881257763266</v>
      </c>
      <c r="Q374" s="45">
        <f t="shared" si="200"/>
        <v>1.2023073312745556</v>
      </c>
      <c r="R374" s="4">
        <f t="shared" si="201"/>
        <v>62588.167534588072</v>
      </c>
      <c r="S374">
        <f t="shared" si="182"/>
        <v>6.2588167534588068E-5</v>
      </c>
      <c r="T374" s="44">
        <f t="shared" si="183"/>
        <v>1.7327961810072734E-4</v>
      </c>
      <c r="U374" s="45">
        <f t="shared" si="202"/>
        <v>0.11231759604919501</v>
      </c>
      <c r="V374" s="45">
        <f t="shared" si="203"/>
        <v>0.22027991559219889</v>
      </c>
      <c r="W374" s="45">
        <f t="shared" si="204"/>
        <v>0.22005315312862778</v>
      </c>
      <c r="X374" s="45">
        <f t="shared" si="205"/>
        <v>2.267624635711174E-4</v>
      </c>
      <c r="Y374" s="45">
        <f t="shared" si="179"/>
        <v>7.1240033481496283E-4</v>
      </c>
      <c r="Z374" s="10">
        <f t="shared" si="206"/>
        <v>4.1112759978547793</v>
      </c>
      <c r="AA374">
        <f t="shared" si="184"/>
        <v>1430176.5085157785</v>
      </c>
      <c r="AB374" s="10">
        <f t="shared" si="185"/>
        <v>1.4301765085157785</v>
      </c>
      <c r="AC374" s="10">
        <f t="shared" si="186"/>
        <v>1.3291765085157785</v>
      </c>
      <c r="AD374" s="3">
        <f t="shared" si="187"/>
        <v>192.77396787756032</v>
      </c>
      <c r="AI374" s="100">
        <f t="shared" si="188"/>
        <v>0.22005315312862778</v>
      </c>
    </row>
    <row r="375" spans="2:35">
      <c r="B375" s="39">
        <f t="shared" si="189"/>
        <v>347</v>
      </c>
      <c r="C375" s="45">
        <f t="shared" si="190"/>
        <v>10.193645083932328</v>
      </c>
      <c r="D375" s="10">
        <f t="shared" si="191"/>
        <v>5.2563549160679024</v>
      </c>
      <c r="E375" s="40">
        <f t="shared" si="192"/>
        <v>37.827290167864199</v>
      </c>
      <c r="F375" s="40">
        <f t="shared" si="193"/>
        <v>48.34</v>
      </c>
      <c r="G375" s="3">
        <f t="shared" si="194"/>
        <v>87.425419664271601</v>
      </c>
      <c r="H375" s="3">
        <f t="shared" si="195"/>
        <v>148.0155219248214</v>
      </c>
      <c r="I375">
        <f t="shared" si="180"/>
        <v>1.4801552192482141E-4</v>
      </c>
      <c r="J375" s="4">
        <f t="shared" si="196"/>
        <v>1128.3880455838607</v>
      </c>
      <c r="K375" s="40">
        <f t="shared" si="197"/>
        <v>7.6234440206681873</v>
      </c>
      <c r="L375" s="40">
        <f t="shared" si="181"/>
        <v>0</v>
      </c>
      <c r="M375" s="10">
        <f t="shared" si="198"/>
        <v>1.4301765085157785</v>
      </c>
      <c r="N375" s="10">
        <f t="shared" si="177"/>
        <v>8.26</v>
      </c>
      <c r="O375" s="10">
        <f t="shared" si="178"/>
        <v>0.31900000000000001</v>
      </c>
      <c r="P375" s="10">
        <f t="shared" si="199"/>
        <v>9.2586857209527054</v>
      </c>
      <c r="Q375" s="45">
        <f t="shared" si="200"/>
        <v>1.2054801896786893</v>
      </c>
      <c r="R375" s="4">
        <f t="shared" si="201"/>
        <v>62199.188656876446</v>
      </c>
      <c r="S375">
        <f t="shared" si="182"/>
        <v>6.2199188656876449E-5</v>
      </c>
      <c r="T375" s="44">
        <f t="shared" si="183"/>
        <v>1.7366859697843896E-4</v>
      </c>
      <c r="U375" s="45">
        <f t="shared" si="202"/>
        <v>0.11161955400419762</v>
      </c>
      <c r="V375" s="45">
        <f t="shared" si="203"/>
        <v>0.22000415905353782</v>
      </c>
      <c r="W375" s="45">
        <f t="shared" si="204"/>
        <v>0.21978062415057895</v>
      </c>
      <c r="X375" s="45">
        <f t="shared" si="205"/>
        <v>2.235349029588718E-4</v>
      </c>
      <c r="Y375" s="45">
        <f t="shared" si="179"/>
        <v>7.1310957941043312E-4</v>
      </c>
      <c r="Z375" s="10">
        <f t="shared" si="206"/>
        <v>4.1061515542672691</v>
      </c>
      <c r="AA375">
        <f t="shared" si="184"/>
        <v>1428519.7746844115</v>
      </c>
      <c r="AB375" s="10">
        <f t="shared" si="185"/>
        <v>1.4285197746844114</v>
      </c>
      <c r="AC375" s="10">
        <f t="shared" si="186"/>
        <v>1.3275197746844114</v>
      </c>
      <c r="AD375" s="3">
        <f t="shared" si="187"/>
        <v>192.53368740890667</v>
      </c>
      <c r="AI375" s="100">
        <f t="shared" si="188"/>
        <v>0.21978062415057895</v>
      </c>
    </row>
    <row r="376" spans="2:35">
      <c r="B376" s="39">
        <f t="shared" si="189"/>
        <v>348</v>
      </c>
      <c r="C376" s="45">
        <f t="shared" si="190"/>
        <v>10.223021582733285</v>
      </c>
      <c r="D376" s="10">
        <f t="shared" si="191"/>
        <v>5.2269784172669453</v>
      </c>
      <c r="E376" s="40">
        <f t="shared" si="192"/>
        <v>37.886043165466113</v>
      </c>
      <c r="F376" s="40">
        <f t="shared" si="193"/>
        <v>48.34</v>
      </c>
      <c r="G376" s="3">
        <f t="shared" si="194"/>
        <v>87.307913669067773</v>
      </c>
      <c r="H376" s="3">
        <f t="shared" si="195"/>
        <v>148.0155219248214</v>
      </c>
      <c r="I376">
        <f t="shared" si="180"/>
        <v>1.4801552192482141E-4</v>
      </c>
      <c r="J376" s="4">
        <f t="shared" si="196"/>
        <v>1131.8817992220979</v>
      </c>
      <c r="K376" s="40">
        <f t="shared" si="197"/>
        <v>7.6470479886358964</v>
      </c>
      <c r="L376" s="40">
        <f t="shared" si="181"/>
        <v>0</v>
      </c>
      <c r="M376" s="10">
        <f t="shared" si="198"/>
        <v>1.4285197746844114</v>
      </c>
      <c r="N376" s="10">
        <f t="shared" si="177"/>
        <v>8.26</v>
      </c>
      <c r="O376" s="10">
        <f t="shared" si="178"/>
        <v>0.31900000000000001</v>
      </c>
      <c r="P376" s="10">
        <f t="shared" si="199"/>
        <v>9.2552629762536114</v>
      </c>
      <c r="Q376" s="45">
        <f t="shared" si="200"/>
        <v>1.2086542214567522</v>
      </c>
      <c r="R376" s="4">
        <f t="shared" si="201"/>
        <v>61810.556173097269</v>
      </c>
      <c r="S376">
        <f t="shared" si="182"/>
        <v>6.1810556173097275E-5</v>
      </c>
      <c r="T376" s="44">
        <f t="shared" si="183"/>
        <v>1.7405722946221814E-4</v>
      </c>
      <c r="U376" s="45">
        <f t="shared" si="202"/>
        <v>0.11092213358043169</v>
      </c>
      <c r="V376" s="45">
        <f t="shared" si="203"/>
        <v>0.21972698212604905</v>
      </c>
      <c r="W376" s="45">
        <f t="shared" si="204"/>
        <v>0.21950668160556983</v>
      </c>
      <c r="X376" s="45">
        <f t="shared" si="205"/>
        <v>2.2030052047922188E-4</v>
      </c>
      <c r="Y376" s="45">
        <f t="shared" si="179"/>
        <v>7.1380882026315798E-4</v>
      </c>
      <c r="Z376" s="10">
        <f t="shared" si="206"/>
        <v>4.1010007022897108</v>
      </c>
      <c r="AA376">
        <f t="shared" si="184"/>
        <v>1426854.5030142574</v>
      </c>
      <c r="AB376" s="10">
        <f t="shared" si="185"/>
        <v>1.4268545030142574</v>
      </c>
      <c r="AC376" s="10">
        <f t="shared" si="186"/>
        <v>1.3258545030142574</v>
      </c>
      <c r="AD376" s="3">
        <f t="shared" si="187"/>
        <v>192.29216867501921</v>
      </c>
      <c r="AI376" s="100">
        <f t="shared" si="188"/>
        <v>0.21950668160556983</v>
      </c>
    </row>
    <row r="377" spans="2:35">
      <c r="B377" s="39">
        <f t="shared" si="189"/>
        <v>349</v>
      </c>
      <c r="C377" s="45">
        <f t="shared" si="190"/>
        <v>10.252398081534242</v>
      </c>
      <c r="D377" s="10">
        <f t="shared" si="191"/>
        <v>5.1976019184659883</v>
      </c>
      <c r="E377" s="40">
        <f t="shared" si="192"/>
        <v>37.944796163068027</v>
      </c>
      <c r="F377" s="40">
        <f t="shared" si="193"/>
        <v>48.34</v>
      </c>
      <c r="G377" s="3">
        <f t="shared" si="194"/>
        <v>87.190407673863945</v>
      </c>
      <c r="H377" s="3">
        <f t="shared" si="195"/>
        <v>148.0155219248214</v>
      </c>
      <c r="I377">
        <f t="shared" si="180"/>
        <v>1.4801552192482141E-4</v>
      </c>
      <c r="J377" s="4">
        <f t="shared" si="196"/>
        <v>1135.3809751153094</v>
      </c>
      <c r="K377" s="40">
        <f t="shared" si="197"/>
        <v>7.6706885896195471</v>
      </c>
      <c r="L377" s="40">
        <f t="shared" si="181"/>
        <v>0</v>
      </c>
      <c r="M377" s="10">
        <f t="shared" si="198"/>
        <v>1.4268545030142574</v>
      </c>
      <c r="N377" s="10">
        <f t="shared" si="177"/>
        <v>8.26</v>
      </c>
      <c r="O377" s="10">
        <f t="shared" si="178"/>
        <v>0.31900000000000001</v>
      </c>
      <c r="P377" s="10">
        <f t="shared" si="199"/>
        <v>9.2518198674466756</v>
      </c>
      <c r="Q377" s="45">
        <f t="shared" si="200"/>
        <v>1.2118294344658511</v>
      </c>
      <c r="R377" s="4">
        <f t="shared" si="201"/>
        <v>61422.271994692899</v>
      </c>
      <c r="S377">
        <f t="shared" si="182"/>
        <v>6.1422271994692905E-5</v>
      </c>
      <c r="T377" s="44">
        <f t="shared" si="183"/>
        <v>1.7444551364062251E-4</v>
      </c>
      <c r="U377" s="45">
        <f t="shared" si="202"/>
        <v>0.11022533820807613</v>
      </c>
      <c r="V377" s="45">
        <f t="shared" si="203"/>
        <v>0.21944838672517791</v>
      </c>
      <c r="W377" s="45">
        <f t="shared" si="204"/>
        <v>0.21923132732064085</v>
      </c>
      <c r="X377" s="45">
        <f t="shared" si="205"/>
        <v>2.1705940453706218E-4</v>
      </c>
      <c r="Y377" s="45">
        <f t="shared" si="179"/>
        <v>7.1449803010819137E-4</v>
      </c>
      <c r="Z377" s="10">
        <f t="shared" si="206"/>
        <v>4.0958234763213124</v>
      </c>
      <c r="AA377">
        <f t="shared" si="184"/>
        <v>1425180.7046265882</v>
      </c>
      <c r="AB377" s="10">
        <f t="shared" si="185"/>
        <v>1.4251807046265881</v>
      </c>
      <c r="AC377" s="10">
        <f t="shared" si="186"/>
        <v>1.3241807046265881</v>
      </c>
      <c r="AD377" s="3">
        <f t="shared" si="187"/>
        <v>192.04941328884527</v>
      </c>
      <c r="AI377" s="100">
        <f t="shared" si="188"/>
        <v>0.21923132732064085</v>
      </c>
    </row>
    <row r="378" spans="2:35">
      <c r="B378" s="39">
        <f t="shared" si="189"/>
        <v>350</v>
      </c>
      <c r="C378" s="45">
        <f t="shared" si="190"/>
        <v>10.281774580335199</v>
      </c>
      <c r="D378" s="10">
        <f t="shared" si="191"/>
        <v>5.1682254196650312</v>
      </c>
      <c r="E378" s="40">
        <f t="shared" si="192"/>
        <v>38.003549160669941</v>
      </c>
      <c r="F378" s="40">
        <f t="shared" si="193"/>
        <v>48.34</v>
      </c>
      <c r="G378" s="3">
        <f t="shared" si="194"/>
        <v>87.072901678660116</v>
      </c>
      <c r="H378" s="3">
        <f t="shared" si="195"/>
        <v>148.0155219248214</v>
      </c>
      <c r="I378">
        <f t="shared" si="180"/>
        <v>1.4801552192482141E-4</v>
      </c>
      <c r="J378" s="4">
        <f t="shared" si="196"/>
        <v>1138.8855732634945</v>
      </c>
      <c r="K378" s="40">
        <f t="shared" si="197"/>
        <v>7.694365823619135</v>
      </c>
      <c r="L378" s="40">
        <f t="shared" si="181"/>
        <v>0</v>
      </c>
      <c r="M378" s="10">
        <f t="shared" si="198"/>
        <v>1.4251807046265881</v>
      </c>
      <c r="N378" s="10">
        <f t="shared" si="177"/>
        <v>8.26</v>
      </c>
      <c r="O378" s="10">
        <f t="shared" si="178"/>
        <v>0.31900000000000001</v>
      </c>
      <c r="P378" s="10">
        <f t="shared" si="199"/>
        <v>9.2483563701246112</v>
      </c>
      <c r="Q378" s="45">
        <f t="shared" si="200"/>
        <v>1.2150058365880545</v>
      </c>
      <c r="R378" s="4">
        <f t="shared" si="201"/>
        <v>61034.338033105763</v>
      </c>
      <c r="S378">
        <f t="shared" si="182"/>
        <v>6.1034338033105764E-5</v>
      </c>
      <c r="T378" s="44">
        <f t="shared" si="183"/>
        <v>1.7483344760220963E-4</v>
      </c>
      <c r="U378" s="45">
        <f t="shared" si="202"/>
        <v>0.10952917131730994</v>
      </c>
      <c r="V378" s="45">
        <f t="shared" si="203"/>
        <v>0.21916837477846901</v>
      </c>
      <c r="W378" s="45">
        <f t="shared" si="204"/>
        <v>0.21895456313470518</v>
      </c>
      <c r="X378" s="45">
        <f t="shared" si="205"/>
        <v>2.1381164376382822E-4</v>
      </c>
      <c r="Y378" s="45">
        <f t="shared" si="179"/>
        <v>7.1517718186719459E-4</v>
      </c>
      <c r="Z378" s="10">
        <f t="shared" si="206"/>
        <v>4.0906199109818147</v>
      </c>
      <c r="AA378">
        <f t="shared" si="184"/>
        <v>1423498.3907139739</v>
      </c>
      <c r="AB378" s="10">
        <f t="shared" si="185"/>
        <v>1.423498390713974</v>
      </c>
      <c r="AC378" s="10">
        <f t="shared" si="186"/>
        <v>1.322498390713974</v>
      </c>
      <c r="AD378" s="3">
        <f t="shared" si="187"/>
        <v>191.8054228736728</v>
      </c>
      <c r="AI378" s="100">
        <f t="shared" si="188"/>
        <v>0.21895456313470518</v>
      </c>
    </row>
    <row r="379" spans="2:35">
      <c r="B379" s="39">
        <f t="shared" si="189"/>
        <v>351</v>
      </c>
      <c r="C379" s="45">
        <f t="shared" si="190"/>
        <v>10.311151079136156</v>
      </c>
      <c r="D379" s="10">
        <f t="shared" si="191"/>
        <v>5.1388489208640742</v>
      </c>
      <c r="E379" s="40">
        <f t="shared" si="192"/>
        <v>38.062302158271855</v>
      </c>
      <c r="F379" s="40">
        <f t="shared" si="193"/>
        <v>48.34</v>
      </c>
      <c r="G379" s="3">
        <f t="shared" si="194"/>
        <v>86.955395683456288</v>
      </c>
      <c r="H379" s="3">
        <f t="shared" si="195"/>
        <v>148.0155219248214</v>
      </c>
      <c r="I379">
        <f t="shared" si="180"/>
        <v>1.4801552192482141E-4</v>
      </c>
      <c r="J379" s="4">
        <f t="shared" si="196"/>
        <v>1142.3955936666534</v>
      </c>
      <c r="K379" s="40">
        <f t="shared" si="197"/>
        <v>7.7180796906346609</v>
      </c>
      <c r="L379" s="40">
        <f t="shared" si="181"/>
        <v>0</v>
      </c>
      <c r="M379" s="10">
        <f t="shared" si="198"/>
        <v>1.423498390713974</v>
      </c>
      <c r="N379" s="10">
        <f t="shared" si="177"/>
        <v>8.26</v>
      </c>
      <c r="O379" s="10">
        <f t="shared" si="178"/>
        <v>0.31900000000000001</v>
      </c>
      <c r="P379" s="10">
        <f t="shared" si="199"/>
        <v>9.2448724597030072</v>
      </c>
      <c r="Q379" s="45">
        <f t="shared" si="200"/>
        <v>1.2181834357306067</v>
      </c>
      <c r="R379" s="4">
        <f t="shared" si="201"/>
        <v>60646.756199778261</v>
      </c>
      <c r="S379">
        <f t="shared" si="182"/>
        <v>6.064675619977826E-5</v>
      </c>
      <c r="T379" s="44">
        <f t="shared" si="183"/>
        <v>1.7522102943553716E-4</v>
      </c>
      <c r="U379" s="45">
        <f t="shared" si="202"/>
        <v>0.10883363633831207</v>
      </c>
      <c r="V379" s="45">
        <f t="shared" si="203"/>
        <v>0.21888694822570295</v>
      </c>
      <c r="W379" s="45">
        <f t="shared" si="204"/>
        <v>0.21867639089846516</v>
      </c>
      <c r="X379" s="45">
        <f t="shared" si="205"/>
        <v>2.1055732723779252E-4</v>
      </c>
      <c r="Y379" s="45">
        <f t="shared" si="179"/>
        <v>7.1584624864968343E-4</v>
      </c>
      <c r="Z379" s="10">
        <f t="shared" si="206"/>
        <v>4.0853900411139819</v>
      </c>
      <c r="AA379">
        <f t="shared" si="184"/>
        <v>1421807.572541089</v>
      </c>
      <c r="AB379" s="10">
        <f t="shared" si="185"/>
        <v>1.421807572541089</v>
      </c>
      <c r="AC379" s="10">
        <f t="shared" si="186"/>
        <v>1.320807572541089</v>
      </c>
      <c r="AD379" s="3">
        <f t="shared" si="187"/>
        <v>191.56019906324715</v>
      </c>
      <c r="AI379" s="100">
        <f t="shared" si="188"/>
        <v>0.21867639089846516</v>
      </c>
    </row>
    <row r="380" spans="2:35">
      <c r="B380" s="39">
        <f t="shared" si="189"/>
        <v>352</v>
      </c>
      <c r="C380" s="45">
        <f t="shared" si="190"/>
        <v>10.340527577937113</v>
      </c>
      <c r="D380" s="10">
        <f t="shared" si="191"/>
        <v>5.1094724220631171</v>
      </c>
      <c r="E380" s="40">
        <f t="shared" si="192"/>
        <v>38.121055155873769</v>
      </c>
      <c r="F380" s="40">
        <f t="shared" si="193"/>
        <v>48.34</v>
      </c>
      <c r="G380" s="3">
        <f t="shared" si="194"/>
        <v>86.83788968825246</v>
      </c>
      <c r="H380" s="3">
        <f t="shared" si="195"/>
        <v>148.0155219248214</v>
      </c>
      <c r="I380">
        <f t="shared" si="180"/>
        <v>1.4801552192482141E-4</v>
      </c>
      <c r="J380" s="4">
        <f t="shared" si="196"/>
        <v>1145.9110363247864</v>
      </c>
      <c r="K380" s="40">
        <f t="shared" si="197"/>
        <v>7.7418301906661275</v>
      </c>
      <c r="L380" s="40">
        <f t="shared" si="181"/>
        <v>0</v>
      </c>
      <c r="M380" s="10">
        <f t="shared" si="198"/>
        <v>1.421807572541089</v>
      </c>
      <c r="N380" s="10">
        <f t="shared" si="177"/>
        <v>8.26</v>
      </c>
      <c r="O380" s="10">
        <f t="shared" si="178"/>
        <v>0.31900000000000001</v>
      </c>
      <c r="P380" s="10">
        <f t="shared" si="199"/>
        <v>9.2413681114208099</v>
      </c>
      <c r="Q380" s="45">
        <f t="shared" si="200"/>
        <v>1.2213622398261446</v>
      </c>
      <c r="R380" s="4">
        <f t="shared" si="201"/>
        <v>60259.5284061528</v>
      </c>
      <c r="S380">
        <f t="shared" si="182"/>
        <v>6.0259528406152798E-5</v>
      </c>
      <c r="T380" s="44">
        <f t="shared" si="183"/>
        <v>1.7560825722916262E-4</v>
      </c>
      <c r="U380" s="45">
        <f t="shared" si="202"/>
        <v>0.10813873670126151</v>
      </c>
      <c r="V380" s="45">
        <f t="shared" si="203"/>
        <v>0.2186041090188639</v>
      </c>
      <c r="W380" s="45">
        <f t="shared" si="204"/>
        <v>0.21839681247454557</v>
      </c>
      <c r="X380" s="45">
        <f t="shared" si="205"/>
        <v>2.0729654431833611E-4</v>
      </c>
      <c r="Y380" s="45">
        <f t="shared" si="179"/>
        <v>7.1650520375375344E-4</v>
      </c>
      <c r="Z380" s="10">
        <f t="shared" si="206"/>
        <v>4.0801339017830998</v>
      </c>
      <c r="AA380">
        <f t="shared" si="184"/>
        <v>1420108.2614445488</v>
      </c>
      <c r="AB380" s="10">
        <f t="shared" si="185"/>
        <v>1.4201082614445488</v>
      </c>
      <c r="AC380" s="10">
        <f t="shared" si="186"/>
        <v>1.3191082614445488</v>
      </c>
      <c r="AD380" s="3">
        <f t="shared" si="187"/>
        <v>191.31374350174747</v>
      </c>
      <c r="AI380" s="100">
        <f t="shared" si="188"/>
        <v>0.21839681247454557</v>
      </c>
    </row>
    <row r="381" spans="2:35">
      <c r="B381" s="39">
        <f t="shared" si="189"/>
        <v>353</v>
      </c>
      <c r="C381" s="45">
        <f t="shared" si="190"/>
        <v>10.36990407673807</v>
      </c>
      <c r="D381" s="10">
        <f t="shared" si="191"/>
        <v>5.0800959232621601</v>
      </c>
      <c r="E381" s="40">
        <f t="shared" si="192"/>
        <v>38.179808153475683</v>
      </c>
      <c r="F381" s="40">
        <f t="shared" si="193"/>
        <v>48.34</v>
      </c>
      <c r="G381" s="3">
        <f t="shared" si="194"/>
        <v>86.720383693048632</v>
      </c>
      <c r="H381" s="3">
        <f t="shared" si="195"/>
        <v>148.0155219248214</v>
      </c>
      <c r="I381">
        <f t="shared" si="180"/>
        <v>1.4801552192482141E-4</v>
      </c>
      <c r="J381" s="4">
        <f t="shared" si="196"/>
        <v>1149.4319012378933</v>
      </c>
      <c r="K381" s="40">
        <f t="shared" si="197"/>
        <v>7.7656173237135331</v>
      </c>
      <c r="L381" s="40">
        <f t="shared" si="181"/>
        <v>0</v>
      </c>
      <c r="M381" s="10">
        <f t="shared" si="198"/>
        <v>1.4201082614445488</v>
      </c>
      <c r="N381" s="10">
        <f t="shared" si="177"/>
        <v>8.26</v>
      </c>
      <c r="O381" s="10">
        <f t="shared" si="178"/>
        <v>0.31900000000000001</v>
      </c>
      <c r="P381" s="10">
        <f t="shared" si="199"/>
        <v>9.2378433003388274</v>
      </c>
      <c r="Q381" s="45">
        <f t="shared" si="200"/>
        <v>1.224542256832915</v>
      </c>
      <c r="R381" s="4">
        <f t="shared" si="201"/>
        <v>59872.656563671779</v>
      </c>
      <c r="S381">
        <f t="shared" si="182"/>
        <v>5.9872656563671776E-5</v>
      </c>
      <c r="T381" s="44">
        <f t="shared" si="183"/>
        <v>1.7599512907164364E-4</v>
      </c>
      <c r="U381" s="45">
        <f t="shared" si="202"/>
        <v>0.10744447583633718</v>
      </c>
      <c r="V381" s="45">
        <f t="shared" si="203"/>
        <v>0.21831985912220486</v>
      </c>
      <c r="W381" s="45">
        <f t="shared" si="204"/>
        <v>0.21811582973746677</v>
      </c>
      <c r="X381" s="45">
        <f t="shared" si="205"/>
        <v>2.0402938473809695E-4</v>
      </c>
      <c r="Y381" s="45">
        <f t="shared" si="179"/>
        <v>7.1715402066710151E-4</v>
      </c>
      <c r="Z381" s="10">
        <f t="shared" si="206"/>
        <v>4.0748515282781739</v>
      </c>
      <c r="AA381">
        <f t="shared" si="184"/>
        <v>1418400.468833297</v>
      </c>
      <c r="AB381" s="10">
        <f t="shared" si="185"/>
        <v>1.418400468833297</v>
      </c>
      <c r="AC381" s="10">
        <f t="shared" si="186"/>
        <v>1.317400468833297</v>
      </c>
      <c r="AD381" s="3">
        <f t="shared" si="187"/>
        <v>191.06605784384294</v>
      </c>
      <c r="AI381" s="100">
        <f t="shared" si="188"/>
        <v>0.21811582973746677</v>
      </c>
    </row>
    <row r="382" spans="2:35">
      <c r="B382" s="39">
        <f t="shared" si="189"/>
        <v>354</v>
      </c>
      <c r="C382" s="45">
        <f t="shared" si="190"/>
        <v>10.399280575539027</v>
      </c>
      <c r="D382" s="10">
        <f t="shared" si="191"/>
        <v>5.050719424461203</v>
      </c>
      <c r="E382" s="40">
        <f t="shared" si="192"/>
        <v>38.238561151077597</v>
      </c>
      <c r="F382" s="40">
        <f t="shared" si="193"/>
        <v>48.34</v>
      </c>
      <c r="G382" s="3">
        <f t="shared" si="194"/>
        <v>86.602877697844804</v>
      </c>
      <c r="H382" s="3">
        <f t="shared" si="195"/>
        <v>148.0155219248214</v>
      </c>
      <c r="I382">
        <f t="shared" si="180"/>
        <v>1.4801552192482141E-4</v>
      </c>
      <c r="J382" s="4">
        <f t="shared" si="196"/>
        <v>1152.9581884059739</v>
      </c>
      <c r="K382" s="40">
        <f t="shared" si="197"/>
        <v>7.7894410897768767</v>
      </c>
      <c r="L382" s="40">
        <f t="shared" si="181"/>
        <v>0</v>
      </c>
      <c r="M382" s="10">
        <f t="shared" si="198"/>
        <v>1.418400468833297</v>
      </c>
      <c r="N382" s="10">
        <f t="shared" si="177"/>
        <v>8.26</v>
      </c>
      <c r="O382" s="10">
        <f t="shared" si="178"/>
        <v>0.31900000000000001</v>
      </c>
      <c r="P382" s="10">
        <f t="shared" si="199"/>
        <v>9.2342980013393188</v>
      </c>
      <c r="Q382" s="45">
        <f t="shared" si="200"/>
        <v>1.2277234947349944</v>
      </c>
      <c r="R382" s="4">
        <f t="shared" si="201"/>
        <v>59486.142583777575</v>
      </c>
      <c r="S382">
        <f t="shared" si="182"/>
        <v>5.9486142583777575E-5</v>
      </c>
      <c r="T382" s="44">
        <f t="shared" si="183"/>
        <v>1.7638164305153783E-4</v>
      </c>
      <c r="U382" s="45">
        <f t="shared" si="202"/>
        <v>0.10675085717371804</v>
      </c>
      <c r="V382" s="45">
        <f t="shared" si="203"/>
        <v>0.2180342005122401</v>
      </c>
      <c r="W382" s="45">
        <f t="shared" si="204"/>
        <v>0.21783344457370862</v>
      </c>
      <c r="X382" s="45">
        <f t="shared" si="205"/>
        <v>2.0075593853147167E-4</v>
      </c>
      <c r="Y382" s="45">
        <f t="shared" si="179"/>
        <v>7.1779267306782541E-4</v>
      </c>
      <c r="Z382" s="10">
        <f t="shared" si="206"/>
        <v>4.0695429561118779</v>
      </c>
      <c r="AA382">
        <f t="shared" si="184"/>
        <v>1416684.2061885893</v>
      </c>
      <c r="AB382" s="10">
        <f t="shared" si="185"/>
        <v>1.4166842061885894</v>
      </c>
      <c r="AC382" s="10">
        <f t="shared" si="186"/>
        <v>1.3156842061885894</v>
      </c>
      <c r="AD382" s="3">
        <f t="shared" si="187"/>
        <v>190.81714375469025</v>
      </c>
      <c r="AI382" s="100">
        <f t="shared" si="188"/>
        <v>0.21783344457370862</v>
      </c>
    </row>
    <row r="383" spans="2:35">
      <c r="B383" s="39">
        <f t="shared" si="189"/>
        <v>355</v>
      </c>
      <c r="C383" s="45">
        <f t="shared" si="190"/>
        <v>10.428657074339984</v>
      </c>
      <c r="D383" s="10">
        <f t="shared" si="191"/>
        <v>5.021342925660246</v>
      </c>
      <c r="E383" s="40">
        <f t="shared" si="192"/>
        <v>38.297314148679511</v>
      </c>
      <c r="F383" s="40">
        <f t="shared" si="193"/>
        <v>48.34</v>
      </c>
      <c r="G383" s="3">
        <f t="shared" si="194"/>
        <v>86.485371702640975</v>
      </c>
      <c r="H383" s="3">
        <f t="shared" si="195"/>
        <v>148.0155219248214</v>
      </c>
      <c r="I383">
        <f t="shared" si="180"/>
        <v>1.4801552192482141E-4</v>
      </c>
      <c r="J383" s="4">
        <f t="shared" si="196"/>
        <v>1156.4898978290287</v>
      </c>
      <c r="K383" s="40">
        <f t="shared" si="197"/>
        <v>7.81330148885616</v>
      </c>
      <c r="L383" s="40">
        <f t="shared" si="181"/>
        <v>0</v>
      </c>
      <c r="M383" s="10">
        <f t="shared" si="198"/>
        <v>1.4166842061885894</v>
      </c>
      <c r="N383" s="10">
        <f t="shared" si="177"/>
        <v>8.26</v>
      </c>
      <c r="O383" s="10">
        <f t="shared" si="178"/>
        <v>0.31900000000000001</v>
      </c>
      <c r="P383" s="10">
        <f t="shared" si="199"/>
        <v>9.2307321891247707</v>
      </c>
      <c r="Q383" s="45">
        <f t="shared" si="200"/>
        <v>1.2309059615425102</v>
      </c>
      <c r="R383" s="4">
        <f t="shared" si="201"/>
        <v>59099.98837791261</v>
      </c>
      <c r="S383">
        <f t="shared" si="182"/>
        <v>5.9099988377912613E-5</v>
      </c>
      <c r="T383" s="44">
        <f t="shared" si="183"/>
        <v>1.7676779725740279E-4</v>
      </c>
      <c r="U383" s="45">
        <f t="shared" si="202"/>
        <v>0.10605788414358307</v>
      </c>
      <c r="V383" s="45">
        <f t="shared" si="203"/>
        <v>0.21774713517779343</v>
      </c>
      <c r="W383" s="45">
        <f t="shared" si="204"/>
        <v>0.21754965888170799</v>
      </c>
      <c r="X383" s="45">
        <f t="shared" si="205"/>
        <v>1.9747629608543593E-4</v>
      </c>
      <c r="Y383" s="45">
        <f t="shared" si="179"/>
        <v>7.184211348253885E-4</v>
      </c>
      <c r="Z383" s="10">
        <f t="shared" si="206"/>
        <v>4.0642082210214454</v>
      </c>
      <c r="AA383">
        <f t="shared" si="184"/>
        <v>1414959.4850642821</v>
      </c>
      <c r="AB383" s="10">
        <f t="shared" si="185"/>
        <v>1.4149594850642822</v>
      </c>
      <c r="AC383" s="10">
        <f t="shared" si="186"/>
        <v>1.3139594850642822</v>
      </c>
      <c r="AD383" s="3">
        <f t="shared" si="187"/>
        <v>190.56700290997566</v>
      </c>
      <c r="AI383" s="100">
        <f t="shared" si="188"/>
        <v>0.21754965888170799</v>
      </c>
    </row>
    <row r="384" spans="2:35">
      <c r="B384" s="39">
        <f t="shared" si="189"/>
        <v>356</v>
      </c>
      <c r="C384" s="45">
        <f t="shared" si="190"/>
        <v>10.458033573140941</v>
      </c>
      <c r="D384" s="10">
        <f t="shared" si="191"/>
        <v>4.9919664268592889</v>
      </c>
      <c r="E384" s="40">
        <f t="shared" si="192"/>
        <v>38.356067146281426</v>
      </c>
      <c r="F384" s="40">
        <f t="shared" si="193"/>
        <v>48.34</v>
      </c>
      <c r="G384" s="3">
        <f t="shared" si="194"/>
        <v>86.367865707437147</v>
      </c>
      <c r="H384" s="3">
        <f t="shared" si="195"/>
        <v>148.0155219248214</v>
      </c>
      <c r="I384">
        <f t="shared" si="180"/>
        <v>1.4801552192482141E-4</v>
      </c>
      <c r="J384" s="4">
        <f t="shared" si="196"/>
        <v>1160.0270295070573</v>
      </c>
      <c r="K384" s="40">
        <f t="shared" si="197"/>
        <v>7.8371985209513833</v>
      </c>
      <c r="L384" s="40">
        <f t="shared" si="181"/>
        <v>0</v>
      </c>
      <c r="M384" s="10">
        <f t="shared" si="198"/>
        <v>1.4149594850642822</v>
      </c>
      <c r="N384" s="10">
        <f t="shared" si="177"/>
        <v>8.26</v>
      </c>
      <c r="O384" s="10">
        <f t="shared" si="178"/>
        <v>0.31900000000000001</v>
      </c>
      <c r="P384" s="10">
        <f t="shared" si="199"/>
        <v>9.2271458382172629</v>
      </c>
      <c r="Q384" s="45">
        <f t="shared" si="200"/>
        <v>1.2340896652918631</v>
      </c>
      <c r="R384" s="4">
        <f t="shared" si="201"/>
        <v>58714.195857519269</v>
      </c>
      <c r="S384">
        <f t="shared" si="182"/>
        <v>5.871419585751927E-5</v>
      </c>
      <c r="T384" s="44">
        <f t="shared" si="183"/>
        <v>1.7715358977779614E-4</v>
      </c>
      <c r="U384" s="45">
        <f t="shared" si="202"/>
        <v>0.10536556017611119</v>
      </c>
      <c r="V384" s="45">
        <f t="shared" si="203"/>
        <v>0.21745866512001361</v>
      </c>
      <c r="W384" s="45">
        <f t="shared" si="204"/>
        <v>0.21726447457190612</v>
      </c>
      <c r="X384" s="45">
        <f t="shared" si="205"/>
        <v>1.9419054810748682E-4</v>
      </c>
      <c r="Y384" s="45">
        <f t="shared" si="179"/>
        <v>7.1903938000148718E-4</v>
      </c>
      <c r="Z384" s="10">
        <f t="shared" si="206"/>
        <v>4.0588473589690093</v>
      </c>
      <c r="AA384">
        <f t="shared" si="184"/>
        <v>1413226.3170869413</v>
      </c>
      <c r="AB384" s="10">
        <f t="shared" si="185"/>
        <v>1.4132263170869412</v>
      </c>
      <c r="AC384" s="10">
        <f t="shared" si="186"/>
        <v>1.3122263170869413</v>
      </c>
      <c r="AD384" s="3">
        <f t="shared" si="187"/>
        <v>190.31563699593059</v>
      </c>
      <c r="AI384" s="100">
        <f t="shared" si="188"/>
        <v>0.21726447457190612</v>
      </c>
    </row>
    <row r="385" spans="2:35">
      <c r="B385" s="39">
        <f t="shared" si="189"/>
        <v>357</v>
      </c>
      <c r="C385" s="45">
        <f t="shared" si="190"/>
        <v>10.487410071941898</v>
      </c>
      <c r="D385" s="10">
        <f t="shared" si="191"/>
        <v>4.9625899280583319</v>
      </c>
      <c r="E385" s="40">
        <f t="shared" si="192"/>
        <v>38.41482014388334</v>
      </c>
      <c r="F385" s="40">
        <f t="shared" si="193"/>
        <v>48.34</v>
      </c>
      <c r="G385" s="3">
        <f t="shared" si="194"/>
        <v>86.250359712233319</v>
      </c>
      <c r="H385" s="3">
        <f t="shared" si="195"/>
        <v>148.0155219248214</v>
      </c>
      <c r="I385">
        <f t="shared" si="180"/>
        <v>1.4801552192482141E-4</v>
      </c>
      <c r="J385" s="4">
        <f t="shared" si="196"/>
        <v>1163.5695834400599</v>
      </c>
      <c r="K385" s="40">
        <f t="shared" si="197"/>
        <v>7.8611321860625454</v>
      </c>
      <c r="L385" s="40">
        <f t="shared" si="181"/>
        <v>0</v>
      </c>
      <c r="M385" s="10">
        <f t="shared" si="198"/>
        <v>1.4132263170869412</v>
      </c>
      <c r="N385" s="10">
        <f t="shared" si="177"/>
        <v>8.26</v>
      </c>
      <c r="O385" s="10">
        <f t="shared" si="178"/>
        <v>0.31900000000000001</v>
      </c>
      <c r="P385" s="10">
        <f t="shared" si="199"/>
        <v>9.2235389229574949</v>
      </c>
      <c r="Q385" s="45">
        <f t="shared" si="200"/>
        <v>1.2372746140459514</v>
      </c>
      <c r="R385" s="4">
        <f t="shared" si="201"/>
        <v>58328.766934039988</v>
      </c>
      <c r="S385">
        <f t="shared" si="182"/>
        <v>5.8328766934039985E-5</v>
      </c>
      <c r="T385" s="44">
        <f t="shared" si="183"/>
        <v>1.7753901870127544E-4</v>
      </c>
      <c r="U385" s="45">
        <f t="shared" si="202"/>
        <v>0.10467388870148145</v>
      </c>
      <c r="V385" s="45">
        <f t="shared" si="203"/>
        <v>0.21716879235243622</v>
      </c>
      <c r="W385" s="45">
        <f t="shared" si="204"/>
        <v>0.216977893566767</v>
      </c>
      <c r="X385" s="45">
        <f t="shared" si="205"/>
        <v>1.9089878566921903E-4</v>
      </c>
      <c r="Y385" s="45">
        <f t="shared" si="179"/>
        <v>7.1964738285106131E-4</v>
      </c>
      <c r="Z385" s="10">
        <f t="shared" si="206"/>
        <v>4.053460406142773</v>
      </c>
      <c r="AA385">
        <f t="shared" si="184"/>
        <v>1411484.7139562217</v>
      </c>
      <c r="AB385" s="10">
        <f t="shared" si="185"/>
        <v>1.4114847139562217</v>
      </c>
      <c r="AC385" s="10">
        <f t="shared" si="186"/>
        <v>1.3104847139562217</v>
      </c>
      <c r="AD385" s="3">
        <f t="shared" si="187"/>
        <v>190.06304770938675</v>
      </c>
      <c r="AI385" s="100">
        <f t="shared" si="188"/>
        <v>0.216977893566767</v>
      </c>
    </row>
    <row r="386" spans="2:35">
      <c r="B386" s="39">
        <f t="shared" si="189"/>
        <v>358</v>
      </c>
      <c r="C386" s="45">
        <f t="shared" si="190"/>
        <v>10.516786570742855</v>
      </c>
      <c r="D386" s="10">
        <f t="shared" si="191"/>
        <v>4.9332134292573748</v>
      </c>
      <c r="E386" s="40">
        <f t="shared" si="192"/>
        <v>38.473573141485254</v>
      </c>
      <c r="F386" s="40">
        <f t="shared" si="193"/>
        <v>48.34</v>
      </c>
      <c r="G386" s="3">
        <f t="shared" si="194"/>
        <v>86.132853717029491</v>
      </c>
      <c r="H386" s="3">
        <f t="shared" si="195"/>
        <v>148.0155219248214</v>
      </c>
      <c r="I386">
        <f t="shared" si="180"/>
        <v>1.4801552192482141E-4</v>
      </c>
      <c r="J386" s="4">
        <f t="shared" si="196"/>
        <v>1167.1175596280361</v>
      </c>
      <c r="K386" s="40">
        <f t="shared" si="197"/>
        <v>7.8851024841896455</v>
      </c>
      <c r="L386" s="40">
        <f t="shared" si="181"/>
        <v>0</v>
      </c>
      <c r="M386" s="10">
        <f t="shared" si="198"/>
        <v>1.4114847139562217</v>
      </c>
      <c r="N386" s="10">
        <f t="shared" si="177"/>
        <v>8.26</v>
      </c>
      <c r="O386" s="10">
        <f t="shared" si="178"/>
        <v>0.31900000000000001</v>
      </c>
      <c r="P386" s="10">
        <f t="shared" si="199"/>
        <v>9.21991141750431</v>
      </c>
      <c r="Q386" s="45">
        <f t="shared" si="200"/>
        <v>1.2404608158943971</v>
      </c>
      <c r="R386" s="4">
        <f t="shared" si="201"/>
        <v>57943.703518917129</v>
      </c>
      <c r="S386">
        <f t="shared" si="182"/>
        <v>5.7943703518917131E-5</v>
      </c>
      <c r="T386" s="44">
        <f t="shared" si="183"/>
        <v>1.7792408211639828E-4</v>
      </c>
      <c r="U386" s="45">
        <f t="shared" si="202"/>
        <v>0.10398287314987273</v>
      </c>
      <c r="V386" s="45">
        <f t="shared" si="203"/>
        <v>0.21687751890101517</v>
      </c>
      <c r="W386" s="45">
        <f t="shared" si="204"/>
        <v>0.21668991780083985</v>
      </c>
      <c r="X386" s="45">
        <f t="shared" si="205"/>
        <v>1.8760110017532194E-4</v>
      </c>
      <c r="Y386" s="45">
        <f t="shared" si="179"/>
        <v>7.2024511782321039E-4</v>
      </c>
      <c r="Z386" s="10">
        <f t="shared" si="206"/>
        <v>4.0480473989576335</v>
      </c>
      <c r="AA386">
        <f t="shared" si="184"/>
        <v>1409734.6874450683</v>
      </c>
      <c r="AB386" s="10">
        <f t="shared" si="185"/>
        <v>1.4097346874450682</v>
      </c>
      <c r="AC386" s="10">
        <f t="shared" si="186"/>
        <v>1.3087346874450683</v>
      </c>
      <c r="AD386" s="3">
        <f t="shared" si="187"/>
        <v>189.80923675780539</v>
      </c>
      <c r="AI386" s="100">
        <f t="shared" si="188"/>
        <v>0.21668991780083985</v>
      </c>
    </row>
    <row r="387" spans="2:35">
      <c r="B387" s="39">
        <f t="shared" si="189"/>
        <v>359</v>
      </c>
      <c r="C387" s="45">
        <f t="shared" si="190"/>
        <v>10.546163069543812</v>
      </c>
      <c r="D387" s="10">
        <f t="shared" si="191"/>
        <v>4.9038369304564178</v>
      </c>
      <c r="E387" s="40">
        <f t="shared" si="192"/>
        <v>38.532326139087168</v>
      </c>
      <c r="F387" s="40">
        <f t="shared" si="193"/>
        <v>48.34</v>
      </c>
      <c r="G387" s="3">
        <f t="shared" si="194"/>
        <v>86.015347721825663</v>
      </c>
      <c r="H387" s="3">
        <f t="shared" si="195"/>
        <v>148.0155219248214</v>
      </c>
      <c r="I387">
        <f t="shared" si="180"/>
        <v>1.4801552192482141E-4</v>
      </c>
      <c r="J387" s="4">
        <f t="shared" si="196"/>
        <v>1170.6709580709864</v>
      </c>
      <c r="K387" s="40">
        <f t="shared" si="197"/>
        <v>7.9091094153326855</v>
      </c>
      <c r="L387" s="40">
        <f t="shared" si="181"/>
        <v>0</v>
      </c>
      <c r="M387" s="10">
        <f t="shared" si="198"/>
        <v>1.4097346874450682</v>
      </c>
      <c r="N387" s="10">
        <f t="shared" si="177"/>
        <v>8.26</v>
      </c>
      <c r="O387" s="10">
        <f t="shared" si="178"/>
        <v>0.31900000000000001</v>
      </c>
      <c r="P387" s="10">
        <f t="shared" si="199"/>
        <v>9.2162632958338886</v>
      </c>
      <c r="Q387" s="45">
        <f t="shared" si="200"/>
        <v>1.2436482789537735</v>
      </c>
      <c r="R387" s="4">
        <f t="shared" si="201"/>
        <v>57559.007523593114</v>
      </c>
      <c r="S387">
        <f t="shared" si="182"/>
        <v>5.7559007523593113E-5</v>
      </c>
      <c r="T387" s="44">
        <f t="shared" si="183"/>
        <v>1.7830877811172231E-4</v>
      </c>
      <c r="U387" s="45">
        <f t="shared" si="202"/>
        <v>0.10329251695146402</v>
      </c>
      <c r="V387" s="45">
        <f t="shared" si="203"/>
        <v>0.21658484680407897</v>
      </c>
      <c r="W387" s="45">
        <f t="shared" si="204"/>
        <v>0.21640054922079263</v>
      </c>
      <c r="X387" s="45">
        <f t="shared" si="205"/>
        <v>1.8429758328633583E-4</v>
      </c>
      <c r="Y387" s="45">
        <f t="shared" si="179"/>
        <v>7.208325595618679E-4</v>
      </c>
      <c r="Z387" s="10">
        <f t="shared" si="206"/>
        <v>4.0426083740544634</v>
      </c>
      <c r="AA387">
        <f t="shared" si="184"/>
        <v>1407976.2493994839</v>
      </c>
      <c r="AB387" s="10">
        <f t="shared" si="185"/>
        <v>1.4079762493994838</v>
      </c>
      <c r="AC387" s="10">
        <f t="shared" si="186"/>
        <v>1.3069762493994839</v>
      </c>
      <c r="AD387" s="3">
        <f t="shared" si="187"/>
        <v>189.5542058592435</v>
      </c>
      <c r="AI387" s="100">
        <f t="shared" si="188"/>
        <v>0.21640054922079263</v>
      </c>
    </row>
    <row r="388" spans="2:35">
      <c r="B388" s="39">
        <f t="shared" si="189"/>
        <v>360</v>
      </c>
      <c r="C388" s="45">
        <f t="shared" si="190"/>
        <v>10.575539568344769</v>
      </c>
      <c r="D388" s="10">
        <f t="shared" si="191"/>
        <v>4.8744604316554607</v>
      </c>
      <c r="E388" s="40">
        <f t="shared" si="192"/>
        <v>38.591079136689082</v>
      </c>
      <c r="F388" s="40">
        <f t="shared" si="193"/>
        <v>48.34</v>
      </c>
      <c r="G388" s="3">
        <f t="shared" si="194"/>
        <v>85.897841726621834</v>
      </c>
      <c r="H388" s="3">
        <f t="shared" si="195"/>
        <v>148.0155219248214</v>
      </c>
      <c r="I388">
        <f t="shared" si="180"/>
        <v>1.4801552192482141E-4</v>
      </c>
      <c r="J388" s="4">
        <f t="shared" si="196"/>
        <v>1174.2297787689108</v>
      </c>
      <c r="K388" s="40">
        <f t="shared" si="197"/>
        <v>7.9331529794916653</v>
      </c>
      <c r="L388" s="40">
        <f t="shared" si="181"/>
        <v>0</v>
      </c>
      <c r="M388" s="10">
        <f t="shared" si="198"/>
        <v>1.4079762493994838</v>
      </c>
      <c r="N388" s="10">
        <f t="shared" si="177"/>
        <v>8.26</v>
      </c>
      <c r="O388" s="10">
        <f t="shared" si="178"/>
        <v>0.31900000000000001</v>
      </c>
      <c r="P388" s="10">
        <f t="shared" si="199"/>
        <v>9.2125945317379898</v>
      </c>
      <c r="Q388" s="45">
        <f t="shared" si="200"/>
        <v>1.2468370113678349</v>
      </c>
      <c r="R388" s="4">
        <f t="shared" si="201"/>
        <v>57174.680859510321</v>
      </c>
      <c r="S388">
        <f t="shared" si="182"/>
        <v>5.7174680859510324E-5</v>
      </c>
      <c r="T388" s="44">
        <f t="shared" si="183"/>
        <v>1.7869310477580509E-4</v>
      </c>
      <c r="U388" s="45">
        <f t="shared" si="202"/>
        <v>0.10260282353643424</v>
      </c>
      <c r="V388" s="45">
        <f t="shared" si="203"/>
        <v>0.21629077811246727</v>
      </c>
      <c r="W388" s="45">
        <f t="shared" si="204"/>
        <v>0.21610978978537335</v>
      </c>
      <c r="X388" s="45">
        <f t="shared" si="205"/>
        <v>1.8098832709392831E-4</v>
      </c>
      <c r="Y388" s="45">
        <f t="shared" si="179"/>
        <v>7.2140968290703908E-4</v>
      </c>
      <c r="Z388" s="10">
        <f t="shared" si="206"/>
        <v>4.0371433683025773</v>
      </c>
      <c r="AA388">
        <f t="shared" si="184"/>
        <v>1406209.4117393265</v>
      </c>
      <c r="AB388" s="10">
        <f t="shared" si="185"/>
        <v>1.4062094117393265</v>
      </c>
      <c r="AC388" s="10">
        <f t="shared" si="186"/>
        <v>1.3052094117393265</v>
      </c>
      <c r="AD388" s="3">
        <f t="shared" si="187"/>
        <v>189.29795674246941</v>
      </c>
      <c r="AI388" s="100">
        <f t="shared" si="188"/>
        <v>0.21610978978537335</v>
      </c>
    </row>
    <row r="389" spans="2:35">
      <c r="B389" s="39">
        <f t="shared" si="189"/>
        <v>361</v>
      </c>
      <c r="C389" s="45">
        <f t="shared" si="190"/>
        <v>10.604916067145727</v>
      </c>
      <c r="D389" s="10">
        <f t="shared" si="191"/>
        <v>4.8450839328545037</v>
      </c>
      <c r="E389" s="40">
        <f t="shared" si="192"/>
        <v>38.649832134290996</v>
      </c>
      <c r="F389" s="40">
        <f t="shared" si="193"/>
        <v>48.34</v>
      </c>
      <c r="G389" s="3">
        <f t="shared" si="194"/>
        <v>85.780335731418006</v>
      </c>
      <c r="H389" s="3">
        <f t="shared" si="195"/>
        <v>148.0155219248214</v>
      </c>
      <c r="I389">
        <f t="shared" si="180"/>
        <v>1.4801552192482141E-4</v>
      </c>
      <c r="J389" s="4">
        <f t="shared" si="196"/>
        <v>1177.7940217218088</v>
      </c>
      <c r="K389" s="40">
        <f t="shared" si="197"/>
        <v>7.9572331766665823</v>
      </c>
      <c r="L389" s="40">
        <f t="shared" si="181"/>
        <v>0</v>
      </c>
      <c r="M389" s="10">
        <f t="shared" si="198"/>
        <v>1.4062094117393265</v>
      </c>
      <c r="N389" s="10">
        <f t="shared" si="177"/>
        <v>8.26</v>
      </c>
      <c r="O389" s="10">
        <f t="shared" si="178"/>
        <v>0.31900000000000001</v>
      </c>
      <c r="P389" s="10">
        <f t="shared" si="199"/>
        <v>9.2089050988243457</v>
      </c>
      <c r="Q389" s="45">
        <f t="shared" si="200"/>
        <v>1.2500270213077471</v>
      </c>
      <c r="R389" s="4">
        <f t="shared" si="201"/>
        <v>56790.7254381112</v>
      </c>
      <c r="S389">
        <f t="shared" si="182"/>
        <v>5.6790725438111197E-5</v>
      </c>
      <c r="T389" s="44">
        <f t="shared" si="183"/>
        <v>1.7907706019720422E-4</v>
      </c>
      <c r="U389" s="45">
        <f t="shared" si="202"/>
        <v>0.10191379633496245</v>
      </c>
      <c r="V389" s="45">
        <f t="shared" si="203"/>
        <v>0.21599531488944057</v>
      </c>
      <c r="W389" s="45">
        <f t="shared" si="204"/>
        <v>0.215817641465542</v>
      </c>
      <c r="X389" s="45">
        <f t="shared" si="205"/>
        <v>1.7767342389857221E-4</v>
      </c>
      <c r="Y389" s="45">
        <f t="shared" si="179"/>
        <v>7.2197646289533376E-4</v>
      </c>
      <c r="Z389" s="10">
        <f t="shared" si="206"/>
        <v>4.0316524187982248</v>
      </c>
      <c r="AA389">
        <f t="shared" si="184"/>
        <v>1404434.1864578228</v>
      </c>
      <c r="AB389" s="10">
        <f t="shared" si="185"/>
        <v>1.4044341864578227</v>
      </c>
      <c r="AC389" s="10">
        <f t="shared" si="186"/>
        <v>1.3034341864578227</v>
      </c>
      <c r="AD389" s="3">
        <f t="shared" si="187"/>
        <v>189.04049114689235</v>
      </c>
      <c r="AI389" s="100">
        <f t="shared" si="188"/>
        <v>0.215817641465542</v>
      </c>
    </row>
    <row r="390" spans="2:35">
      <c r="B390" s="39">
        <f t="shared" si="189"/>
        <v>362</v>
      </c>
      <c r="C390" s="45">
        <f t="shared" si="190"/>
        <v>10.634292565946684</v>
      </c>
      <c r="D390" s="10">
        <f t="shared" si="191"/>
        <v>4.8157074340535466</v>
      </c>
      <c r="E390" s="40">
        <f t="shared" si="192"/>
        <v>38.70858513189291</v>
      </c>
      <c r="F390" s="40">
        <f t="shared" si="193"/>
        <v>48.34</v>
      </c>
      <c r="G390" s="3">
        <f t="shared" si="194"/>
        <v>85.662829736214178</v>
      </c>
      <c r="H390" s="3">
        <f t="shared" si="195"/>
        <v>148.0155219248214</v>
      </c>
      <c r="I390">
        <f t="shared" si="180"/>
        <v>1.4801552192482141E-4</v>
      </c>
      <c r="J390" s="4">
        <f t="shared" si="196"/>
        <v>1181.3636869296809</v>
      </c>
      <c r="K390" s="40">
        <f t="shared" si="197"/>
        <v>7.9813500068574399</v>
      </c>
      <c r="L390" s="40">
        <f t="shared" si="181"/>
        <v>0</v>
      </c>
      <c r="M390" s="10">
        <f t="shared" si="198"/>
        <v>1.4044341864578227</v>
      </c>
      <c r="N390" s="10">
        <f t="shared" si="177"/>
        <v>8.26</v>
      </c>
      <c r="O390" s="10">
        <f t="shared" si="178"/>
        <v>0.31900000000000001</v>
      </c>
      <c r="P390" s="10">
        <f t="shared" si="199"/>
        <v>9.2051949705143681</v>
      </c>
      <c r="Q390" s="45">
        <f t="shared" si="200"/>
        <v>1.2532183169723208</v>
      </c>
      <c r="R390" s="4">
        <f t="shared" si="201"/>
        <v>56407.143170838099</v>
      </c>
      <c r="S390">
        <f t="shared" si="182"/>
        <v>5.6407143170838097E-5</v>
      </c>
      <c r="T390" s="44">
        <f t="shared" si="183"/>
        <v>1.7946064246447731E-4</v>
      </c>
      <c r="U390" s="45">
        <f t="shared" si="202"/>
        <v>0.10122543877722751</v>
      </c>
      <c r="V390" s="45">
        <f t="shared" si="203"/>
        <v>0.21569845921089348</v>
      </c>
      <c r="W390" s="45">
        <f t="shared" si="204"/>
        <v>0.21552410624439031</v>
      </c>
      <c r="X390" s="45">
        <f t="shared" si="205"/>
        <v>1.7435296650317178E-4</v>
      </c>
      <c r="Y390" s="45">
        <f t="shared" si="179"/>
        <v>7.2253287476144092E-4</v>
      </c>
      <c r="Z390" s="10">
        <f t="shared" si="206"/>
        <v>4.0261355628683884</v>
      </c>
      <c r="AA390">
        <f t="shared" si="184"/>
        <v>1402650.5856227947</v>
      </c>
      <c r="AB390" s="10">
        <f t="shared" si="185"/>
        <v>1.4026505856227947</v>
      </c>
      <c r="AC390" s="10">
        <f t="shared" si="186"/>
        <v>1.3016505856227947</v>
      </c>
      <c r="AD390" s="3">
        <f t="shared" si="187"/>
        <v>188.78181082274034</v>
      </c>
      <c r="AI390" s="100">
        <f t="shared" si="188"/>
        <v>0.21552410624439031</v>
      </c>
    </row>
    <row r="391" spans="2:35">
      <c r="B391" s="39">
        <f t="shared" si="189"/>
        <v>363</v>
      </c>
      <c r="C391" s="45">
        <f t="shared" si="190"/>
        <v>10.663669064747641</v>
      </c>
      <c r="D391" s="10">
        <f t="shared" si="191"/>
        <v>4.7863309352525896</v>
      </c>
      <c r="E391" s="40">
        <f t="shared" si="192"/>
        <v>38.767338129494824</v>
      </c>
      <c r="F391" s="40">
        <f t="shared" si="193"/>
        <v>48.34</v>
      </c>
      <c r="G391" s="3">
        <f t="shared" si="194"/>
        <v>85.54532374101035</v>
      </c>
      <c r="H391" s="3">
        <f t="shared" si="195"/>
        <v>148.0155219248214</v>
      </c>
      <c r="I391">
        <f t="shared" si="180"/>
        <v>1.4801552192482141E-4</v>
      </c>
      <c r="J391" s="4">
        <f t="shared" si="196"/>
        <v>1184.938774392527</v>
      </c>
      <c r="K391" s="40">
        <f t="shared" si="197"/>
        <v>8.0055034700642373</v>
      </c>
      <c r="L391" s="40">
        <f t="shared" si="181"/>
        <v>0</v>
      </c>
      <c r="M391" s="10">
        <f t="shared" si="198"/>
        <v>1.4026505856227947</v>
      </c>
      <c r="N391" s="10">
        <f t="shared" si="177"/>
        <v>8.26</v>
      </c>
      <c r="O391" s="10">
        <f t="shared" si="178"/>
        <v>0.31900000000000001</v>
      </c>
      <c r="P391" s="10">
        <f t="shared" si="199"/>
        <v>9.2014641200444185</v>
      </c>
      <c r="Q391" s="45">
        <f t="shared" si="200"/>
        <v>1.2564109065882456</v>
      </c>
      <c r="R391" s="4">
        <f t="shared" si="201"/>
        <v>56023.935969133425</v>
      </c>
      <c r="S391">
        <f t="shared" si="182"/>
        <v>5.6023935969133424E-5</v>
      </c>
      <c r="T391" s="44">
        <f t="shared" si="183"/>
        <v>1.7984384966618198E-4</v>
      </c>
      <c r="U391" s="45">
        <f t="shared" si="202"/>
        <v>0.10053775429340837</v>
      </c>
      <c r="V391" s="45">
        <f t="shared" si="203"/>
        <v>0.21540021316517435</v>
      </c>
      <c r="W391" s="45">
        <f t="shared" si="204"/>
        <v>0.21522918611734437</v>
      </c>
      <c r="X391" s="45">
        <f t="shared" si="205"/>
        <v>1.7102704782998024E-4</v>
      </c>
      <c r="Y391" s="45">
        <f t="shared" si="179"/>
        <v>7.2307889393838517E-4</v>
      </c>
      <c r="Z391" s="10">
        <f t="shared" si="206"/>
        <v>4.0205928380677545</v>
      </c>
      <c r="AA391">
        <f t="shared" si="184"/>
        <v>1400858.6213756814</v>
      </c>
      <c r="AB391" s="10">
        <f t="shared" si="185"/>
        <v>1.4008586213756813</v>
      </c>
      <c r="AC391" s="10">
        <f t="shared" si="186"/>
        <v>1.2998586213756813</v>
      </c>
      <c r="AD391" s="3">
        <f t="shared" si="187"/>
        <v>188.52191753091824</v>
      </c>
      <c r="AI391" s="100">
        <f t="shared" si="188"/>
        <v>0.21522918611734437</v>
      </c>
    </row>
    <row r="392" spans="2:35">
      <c r="B392" s="39">
        <f t="shared" si="189"/>
        <v>364</v>
      </c>
      <c r="C392" s="45">
        <f t="shared" si="190"/>
        <v>10.693045563548598</v>
      </c>
      <c r="D392" s="10">
        <f t="shared" si="191"/>
        <v>4.7569544364516325</v>
      </c>
      <c r="E392" s="40">
        <f t="shared" si="192"/>
        <v>38.826091127096738</v>
      </c>
      <c r="F392" s="40">
        <f t="shared" si="193"/>
        <v>48.34</v>
      </c>
      <c r="G392" s="3">
        <f t="shared" si="194"/>
        <v>85.427817745806522</v>
      </c>
      <c r="H392" s="3">
        <f t="shared" si="195"/>
        <v>148.0155219248214</v>
      </c>
      <c r="I392">
        <f t="shared" si="180"/>
        <v>1.4801552192482141E-4</v>
      </c>
      <c r="J392" s="4">
        <f t="shared" si="196"/>
        <v>1188.5192841103467</v>
      </c>
      <c r="K392" s="40">
        <f t="shared" si="197"/>
        <v>8.0296935662869728</v>
      </c>
      <c r="L392" s="40">
        <f t="shared" si="181"/>
        <v>0</v>
      </c>
      <c r="M392" s="10">
        <f t="shared" si="198"/>
        <v>1.4008586213756813</v>
      </c>
      <c r="N392" s="10">
        <f t="shared" si="177"/>
        <v>8.26</v>
      </c>
      <c r="O392" s="10">
        <f t="shared" si="178"/>
        <v>0.31900000000000001</v>
      </c>
      <c r="P392" s="10">
        <f t="shared" si="199"/>
        <v>9.1977125204624421</v>
      </c>
      <c r="Q392" s="45">
        <f t="shared" si="200"/>
        <v>1.2596047984103267</v>
      </c>
      <c r="R392" s="4">
        <f t="shared" si="201"/>
        <v>55641.105744439614</v>
      </c>
      <c r="S392">
        <f t="shared" si="182"/>
        <v>5.5641105744439611E-5</v>
      </c>
      <c r="T392" s="44">
        <f t="shared" si="183"/>
        <v>1.802266798908758E-4</v>
      </c>
      <c r="U392" s="45">
        <f t="shared" si="202"/>
        <v>9.9850746313684097E-2</v>
      </c>
      <c r="V392" s="45">
        <f t="shared" si="203"/>
        <v>0.21510057885324277</v>
      </c>
      <c r="W392" s="45">
        <f t="shared" si="204"/>
        <v>0.21493288309200287</v>
      </c>
      <c r="X392" s="45">
        <f t="shared" si="205"/>
        <v>1.6769576123989993E-4</v>
      </c>
      <c r="Y392" s="45">
        <f t="shared" si="179"/>
        <v>7.2361449605880691E-4</v>
      </c>
      <c r="Z392" s="10">
        <f t="shared" si="206"/>
        <v>4.015024282181435</v>
      </c>
      <c r="AA392">
        <f t="shared" si="184"/>
        <v>1399058.3059324189</v>
      </c>
      <c r="AB392" s="10">
        <f t="shared" si="185"/>
        <v>1.3990583059324189</v>
      </c>
      <c r="AC392" s="10">
        <f t="shared" si="186"/>
        <v>1.2980583059324189</v>
      </c>
      <c r="AD392" s="3">
        <f t="shared" si="187"/>
        <v>188.26081304313544</v>
      </c>
      <c r="AI392" s="100">
        <f t="shared" si="188"/>
        <v>0.21493288309200287</v>
      </c>
    </row>
    <row r="393" spans="2:35">
      <c r="B393" s="39">
        <f t="shared" si="189"/>
        <v>365</v>
      </c>
      <c r="C393" s="45">
        <f t="shared" si="190"/>
        <v>10.722422062349555</v>
      </c>
      <c r="D393" s="10">
        <f t="shared" si="191"/>
        <v>4.7275779376506755</v>
      </c>
      <c r="E393" s="40">
        <f t="shared" si="192"/>
        <v>38.884844124698652</v>
      </c>
      <c r="F393" s="40">
        <f t="shared" si="193"/>
        <v>48.34</v>
      </c>
      <c r="G393" s="3">
        <f t="shared" si="194"/>
        <v>85.310311750602693</v>
      </c>
      <c r="H393" s="3">
        <f t="shared" si="195"/>
        <v>148.0155219248214</v>
      </c>
      <c r="I393">
        <f t="shared" si="180"/>
        <v>1.4801552192482141E-4</v>
      </c>
      <c r="J393" s="4">
        <f t="shared" si="196"/>
        <v>1192.1052160831405</v>
      </c>
      <c r="K393" s="40">
        <f t="shared" si="197"/>
        <v>8.0539202955256464</v>
      </c>
      <c r="L393" s="40">
        <f t="shared" si="181"/>
        <v>0</v>
      </c>
      <c r="M393" s="10">
        <f t="shared" si="198"/>
        <v>1.3990583059324189</v>
      </c>
      <c r="N393" s="10">
        <f t="shared" si="177"/>
        <v>8.26</v>
      </c>
      <c r="O393" s="10">
        <f t="shared" si="178"/>
        <v>0.31900000000000001</v>
      </c>
      <c r="P393" s="10">
        <f t="shared" si="199"/>
        <v>9.1939401446285096</v>
      </c>
      <c r="Q393" s="45">
        <f t="shared" si="200"/>
        <v>1.262800000721723</v>
      </c>
      <c r="R393" s="4">
        <f t="shared" si="201"/>
        <v>55258.654408199043</v>
      </c>
      <c r="S393">
        <f t="shared" si="182"/>
        <v>5.5258654408199042E-5</v>
      </c>
      <c r="T393" s="44">
        <f t="shared" si="183"/>
        <v>1.8060913122711636E-4</v>
      </c>
      <c r="U393" s="45">
        <f t="shared" si="202"/>
        <v>9.9164418268233578E-2</v>
      </c>
      <c r="V393" s="45">
        <f t="shared" si="203"/>
        <v>0.21479955838870826</v>
      </c>
      <c r="W393" s="45">
        <f t="shared" si="204"/>
        <v>0.21463519918828269</v>
      </c>
      <c r="X393" s="45">
        <f t="shared" si="205"/>
        <v>1.6435920042556784E-4</v>
      </c>
      <c r="Y393" s="45">
        <f t="shared" si="179"/>
        <v>7.2413965695590596E-4</v>
      </c>
      <c r="Z393" s="10">
        <f t="shared" si="206"/>
        <v>4.0094299332257943</v>
      </c>
      <c r="AA393">
        <f t="shared" si="184"/>
        <v>1397249.6515837063</v>
      </c>
      <c r="AB393" s="10">
        <f t="shared" si="185"/>
        <v>1.3972496515837063</v>
      </c>
      <c r="AC393" s="10">
        <f t="shared" si="186"/>
        <v>1.2962496515837063</v>
      </c>
      <c r="AD393" s="3">
        <f t="shared" si="187"/>
        <v>187.99849914194434</v>
      </c>
      <c r="AI393" s="100">
        <f t="shared" si="188"/>
        <v>0.21463519918828269</v>
      </c>
    </row>
    <row r="394" spans="2:35">
      <c r="B394" s="39">
        <f t="shared" si="189"/>
        <v>366</v>
      </c>
      <c r="C394" s="45">
        <f t="shared" si="190"/>
        <v>10.751798561150512</v>
      </c>
      <c r="D394" s="10">
        <f t="shared" si="191"/>
        <v>4.6982014388497184</v>
      </c>
      <c r="E394" s="40">
        <f t="shared" si="192"/>
        <v>38.943597122300567</v>
      </c>
      <c r="F394" s="40">
        <f t="shared" si="193"/>
        <v>48.34</v>
      </c>
      <c r="G394" s="3">
        <f t="shared" si="194"/>
        <v>85.192805755398865</v>
      </c>
      <c r="H394" s="3">
        <f t="shared" si="195"/>
        <v>148.0155219248214</v>
      </c>
      <c r="I394">
        <f t="shared" si="180"/>
        <v>1.4801552192482141E-4</v>
      </c>
      <c r="J394" s="4">
        <f t="shared" si="196"/>
        <v>1195.6965703109083</v>
      </c>
      <c r="K394" s="40">
        <f t="shared" si="197"/>
        <v>8.0781836577802615</v>
      </c>
      <c r="L394" s="40">
        <f t="shared" si="181"/>
        <v>0</v>
      </c>
      <c r="M394" s="10">
        <f t="shared" si="198"/>
        <v>1.3972496515837063</v>
      </c>
      <c r="N394" s="10">
        <f t="shared" si="177"/>
        <v>8.26</v>
      </c>
      <c r="O394" s="10">
        <f t="shared" si="178"/>
        <v>0.31900000000000001</v>
      </c>
      <c r="P394" s="10">
        <f t="shared" si="199"/>
        <v>9.1901469652140353</v>
      </c>
      <c r="Q394" s="45">
        <f t="shared" si="200"/>
        <v>1.2659965218341875</v>
      </c>
      <c r="R394" s="4">
        <f t="shared" si="201"/>
        <v>54876.583871854113</v>
      </c>
      <c r="S394">
        <f t="shared" si="182"/>
        <v>5.4876583871854112E-5</v>
      </c>
      <c r="T394" s="44">
        <f t="shared" si="183"/>
        <v>1.809912017634613E-4</v>
      </c>
      <c r="U394" s="45">
        <f t="shared" si="202"/>
        <v>9.8478773587235793E-2</v>
      </c>
      <c r="V394" s="45">
        <f t="shared" si="203"/>
        <v>0.21449715389777577</v>
      </c>
      <c r="W394" s="45">
        <f t="shared" si="204"/>
        <v>0.2143361364384628</v>
      </c>
      <c r="X394" s="45">
        <f t="shared" si="205"/>
        <v>1.6101745931296207E-4</v>
      </c>
      <c r="Y394" s="45">
        <f t="shared" si="179"/>
        <v>7.2465435266407527E-4</v>
      </c>
      <c r="Z394" s="10">
        <f t="shared" si="206"/>
        <v>4.0038098294475732</v>
      </c>
      <c r="AA394">
        <f t="shared" si="184"/>
        <v>1395432.6706947244</v>
      </c>
      <c r="AB394" s="10">
        <f t="shared" si="185"/>
        <v>1.3954326706947244</v>
      </c>
      <c r="AC394" s="10">
        <f t="shared" si="186"/>
        <v>1.2944326706947245</v>
      </c>
      <c r="AD394" s="3">
        <f t="shared" si="187"/>
        <v>187.73497762069971</v>
      </c>
      <c r="AI394" s="100">
        <f t="shared" si="188"/>
        <v>0.2143361364384628</v>
      </c>
    </row>
    <row r="395" spans="2:35">
      <c r="B395" s="39">
        <f t="shared" si="189"/>
        <v>367</v>
      </c>
      <c r="C395" s="45">
        <f t="shared" si="190"/>
        <v>10.781175059951469</v>
      </c>
      <c r="D395" s="10">
        <f t="shared" si="191"/>
        <v>4.6688249400487614</v>
      </c>
      <c r="E395" s="40">
        <f t="shared" si="192"/>
        <v>39.002350119902481</v>
      </c>
      <c r="F395" s="40">
        <f t="shared" si="193"/>
        <v>48.34</v>
      </c>
      <c r="G395" s="3">
        <f t="shared" si="194"/>
        <v>85.075299760195037</v>
      </c>
      <c r="H395" s="3">
        <f t="shared" si="195"/>
        <v>148.0155219248214</v>
      </c>
      <c r="I395">
        <f t="shared" si="180"/>
        <v>1.4801552192482141E-4</v>
      </c>
      <c r="J395" s="4">
        <f t="shared" si="196"/>
        <v>1199.29334679365</v>
      </c>
      <c r="K395" s="40">
        <f t="shared" si="197"/>
        <v>8.1024836530508164</v>
      </c>
      <c r="L395" s="40">
        <f t="shared" si="181"/>
        <v>0</v>
      </c>
      <c r="M395" s="10">
        <f t="shared" si="198"/>
        <v>1.3954326706947244</v>
      </c>
      <c r="N395" s="10">
        <f t="shared" si="177"/>
        <v>8.26</v>
      </c>
      <c r="O395" s="10">
        <f t="shared" si="178"/>
        <v>0.31900000000000001</v>
      </c>
      <c r="P395" s="10">
        <f t="shared" si="199"/>
        <v>9.1863329546998411</v>
      </c>
      <c r="Q395" s="45">
        <f t="shared" si="200"/>
        <v>1.2691943700883082</v>
      </c>
      <c r="R395" s="4">
        <f t="shared" si="201"/>
        <v>54494.896046847229</v>
      </c>
      <c r="S395">
        <f t="shared" si="182"/>
        <v>5.4494896046847232E-5</v>
      </c>
      <c r="T395" s="44">
        <f t="shared" si="183"/>
        <v>1.8137288958846817E-4</v>
      </c>
      <c r="U395" s="45">
        <f t="shared" si="202"/>
        <v>9.7793815700869688E-2</v>
      </c>
      <c r="V395" s="45">
        <f t="shared" si="203"/>
        <v>0.21419336751939266</v>
      </c>
      <c r="W395" s="45">
        <f t="shared" si="204"/>
        <v>0.21403569688713786</v>
      </c>
      <c r="X395" s="45">
        <f t="shared" si="205"/>
        <v>1.5767063225480271E-4</v>
      </c>
      <c r="Y395" s="45">
        <f t="shared" si="179"/>
        <v>7.2515855942015739E-4</v>
      </c>
      <c r="Z395" s="10">
        <f t="shared" si="206"/>
        <v>3.9981640093264716</v>
      </c>
      <c r="AA395">
        <f t="shared" si="184"/>
        <v>1393607.3757059691</v>
      </c>
      <c r="AB395" s="10">
        <f t="shared" si="185"/>
        <v>1.393607375705969</v>
      </c>
      <c r="AC395" s="10">
        <f t="shared" si="186"/>
        <v>1.2926073757059691</v>
      </c>
      <c r="AD395" s="3">
        <f t="shared" si="187"/>
        <v>187.47025028367935</v>
      </c>
      <c r="AI395" s="100">
        <f t="shared" si="188"/>
        <v>0.21403569688713786</v>
      </c>
    </row>
    <row r="396" spans="2:35">
      <c r="B396" s="39">
        <f t="shared" si="189"/>
        <v>368</v>
      </c>
      <c r="C396" s="45">
        <f t="shared" si="190"/>
        <v>10.810551558752426</v>
      </c>
      <c r="D396" s="10">
        <f t="shared" si="191"/>
        <v>4.6394484412478043</v>
      </c>
      <c r="E396" s="40">
        <f t="shared" si="192"/>
        <v>39.061103117504395</v>
      </c>
      <c r="F396" s="40">
        <f t="shared" si="193"/>
        <v>48.34</v>
      </c>
      <c r="G396" s="3">
        <f t="shared" si="194"/>
        <v>84.957793764991209</v>
      </c>
      <c r="H396" s="3">
        <f t="shared" si="195"/>
        <v>148.0155219248214</v>
      </c>
      <c r="I396">
        <f t="shared" si="180"/>
        <v>1.4801552192482141E-4</v>
      </c>
      <c r="J396" s="4">
        <f t="shared" si="196"/>
        <v>1202.8955455313653</v>
      </c>
      <c r="K396" s="40">
        <f t="shared" si="197"/>
        <v>8.1268202813373058</v>
      </c>
      <c r="L396" s="40">
        <f t="shared" si="181"/>
        <v>0</v>
      </c>
      <c r="M396" s="10">
        <f t="shared" si="198"/>
        <v>1.393607375705969</v>
      </c>
      <c r="N396" s="10">
        <f t="shared" si="177"/>
        <v>8.26</v>
      </c>
      <c r="O396" s="10">
        <f t="shared" si="178"/>
        <v>0.31900000000000001</v>
      </c>
      <c r="P396" s="10">
        <f t="shared" si="199"/>
        <v>9.182498085376567</v>
      </c>
      <c r="Q396" s="45">
        <f t="shared" si="200"/>
        <v>1.2723935538537523</v>
      </c>
      <c r="R396" s="4">
        <f t="shared" si="201"/>
        <v>54113.592844620791</v>
      </c>
      <c r="S396">
        <f t="shared" si="182"/>
        <v>5.4113592844620788E-5</v>
      </c>
      <c r="T396" s="44">
        <f t="shared" si="183"/>
        <v>1.8175419279069463E-4</v>
      </c>
      <c r="U396" s="45">
        <f t="shared" si="202"/>
        <v>9.7109548039314236E-2</v>
      </c>
      <c r="V396" s="45">
        <f t="shared" si="203"/>
        <v>0.21388820140516493</v>
      </c>
      <c r="W396" s="45">
        <f t="shared" si="204"/>
        <v>0.21373388259135595</v>
      </c>
      <c r="X396" s="45">
        <f t="shared" si="205"/>
        <v>1.5431881380897905E-4</v>
      </c>
      <c r="Y396" s="45">
        <f t="shared" si="179"/>
        <v>7.2565225366399771E-4</v>
      </c>
      <c r="Z396" s="10">
        <f t="shared" si="206"/>
        <v>3.9924925115738477</v>
      </c>
      <c r="AA396">
        <f t="shared" si="184"/>
        <v>1391773.7791328321</v>
      </c>
      <c r="AB396" s="10">
        <f t="shared" si="185"/>
        <v>1.3917737791328322</v>
      </c>
      <c r="AC396" s="10">
        <f t="shared" si="186"/>
        <v>1.2907737791328322</v>
      </c>
      <c r="AD396" s="3">
        <f t="shared" si="187"/>
        <v>187.20431894602353</v>
      </c>
      <c r="AI396" s="100">
        <f t="shared" si="188"/>
        <v>0.21373388259135595</v>
      </c>
    </row>
    <row r="397" spans="2:35">
      <c r="B397" s="39">
        <f t="shared" si="189"/>
        <v>369</v>
      </c>
      <c r="C397" s="45">
        <f t="shared" si="190"/>
        <v>10.839928057553383</v>
      </c>
      <c r="D397" s="10">
        <f t="shared" si="191"/>
        <v>4.6100719424468473</v>
      </c>
      <c r="E397" s="40">
        <f t="shared" si="192"/>
        <v>39.119856115106309</v>
      </c>
      <c r="F397" s="40">
        <f t="shared" si="193"/>
        <v>48.34</v>
      </c>
      <c r="G397" s="3">
        <f t="shared" si="194"/>
        <v>84.840287769787381</v>
      </c>
      <c r="H397" s="3">
        <f t="shared" si="195"/>
        <v>148.0155219248214</v>
      </c>
      <c r="I397">
        <f t="shared" si="180"/>
        <v>1.4801552192482141E-4</v>
      </c>
      <c r="J397" s="4">
        <f t="shared" si="196"/>
        <v>1206.5031665240549</v>
      </c>
      <c r="K397" s="40">
        <f t="shared" si="197"/>
        <v>8.1511935426397386</v>
      </c>
      <c r="L397" s="40">
        <f t="shared" si="181"/>
        <v>0</v>
      </c>
      <c r="M397" s="10">
        <f t="shared" si="198"/>
        <v>1.3917737791328322</v>
      </c>
      <c r="N397" s="10">
        <f t="shared" si="177"/>
        <v>8.26</v>
      </c>
      <c r="O397" s="10">
        <f t="shared" si="178"/>
        <v>0.31900000000000001</v>
      </c>
      <c r="P397" s="10">
        <f t="shared" si="199"/>
        <v>9.1786423293424075</v>
      </c>
      <c r="Q397" s="45">
        <f t="shared" si="200"/>
        <v>1.2755940815295117</v>
      </c>
      <c r="R397" s="4">
        <f t="shared" si="201"/>
        <v>53732.676176617199</v>
      </c>
      <c r="S397">
        <f t="shared" si="182"/>
        <v>5.37326761766172E-5</v>
      </c>
      <c r="T397" s="44">
        <f t="shared" si="183"/>
        <v>1.8213510945869823E-4</v>
      </c>
      <c r="U397" s="45">
        <f t="shared" si="202"/>
        <v>9.6425974032748385E-2</v>
      </c>
      <c r="V397" s="45">
        <f t="shared" si="203"/>
        <v>0.21358165771950624</v>
      </c>
      <c r="W397" s="45">
        <f t="shared" si="204"/>
        <v>0.2134306956205492</v>
      </c>
      <c r="X397" s="45">
        <f t="shared" si="205"/>
        <v>1.5096209895704149E-4</v>
      </c>
      <c r="Y397" s="45">
        <f t="shared" si="179"/>
        <v>7.2613541203970047E-4</v>
      </c>
      <c r="Z397" s="10">
        <f t="shared" si="206"/>
        <v>3.986795375135304</v>
      </c>
      <c r="AA397">
        <f t="shared" si="184"/>
        <v>1389931.8935664352</v>
      </c>
      <c r="AB397" s="10">
        <f t="shared" si="185"/>
        <v>1.3899318935664351</v>
      </c>
      <c r="AC397" s="10">
        <f t="shared" si="186"/>
        <v>1.2889318935664351</v>
      </c>
      <c r="AD397" s="3">
        <f t="shared" si="187"/>
        <v>186.93718543385572</v>
      </c>
      <c r="AI397" s="100">
        <f t="shared" si="188"/>
        <v>0.2134306956205492</v>
      </c>
    </row>
    <row r="398" spans="2:35">
      <c r="B398" s="39">
        <f t="shared" si="189"/>
        <v>370</v>
      </c>
      <c r="C398" s="45">
        <f t="shared" si="190"/>
        <v>10.86930455635434</v>
      </c>
      <c r="D398" s="10">
        <f t="shared" si="191"/>
        <v>4.5806954436458902</v>
      </c>
      <c r="E398" s="40">
        <f t="shared" si="192"/>
        <v>39.178609112708223</v>
      </c>
      <c r="F398" s="40">
        <f t="shared" si="193"/>
        <v>48.34</v>
      </c>
      <c r="G398" s="3">
        <f t="shared" si="194"/>
        <v>84.722781774583552</v>
      </c>
      <c r="H398" s="3">
        <f t="shared" si="195"/>
        <v>148.0155219248214</v>
      </c>
      <c r="I398">
        <f t="shared" si="180"/>
        <v>1.4801552192482141E-4</v>
      </c>
      <c r="J398" s="4">
        <f t="shared" si="196"/>
        <v>1210.1162097717183</v>
      </c>
      <c r="K398" s="40">
        <f t="shared" si="197"/>
        <v>8.1756034369581094</v>
      </c>
      <c r="L398" s="40">
        <f t="shared" si="181"/>
        <v>0</v>
      </c>
      <c r="M398" s="10">
        <f t="shared" si="198"/>
        <v>1.3899318935664351</v>
      </c>
      <c r="N398" s="10">
        <f t="shared" si="177"/>
        <v>8.26</v>
      </c>
      <c r="O398" s="10">
        <f t="shared" si="178"/>
        <v>0.31900000000000001</v>
      </c>
      <c r="P398" s="10">
        <f t="shared" si="199"/>
        <v>9.174765658503496</v>
      </c>
      <c r="Q398" s="45">
        <f t="shared" si="200"/>
        <v>1.2787959615441507</v>
      </c>
      <c r="R398" s="4">
        <f t="shared" si="201"/>
        <v>53352.147954278858</v>
      </c>
      <c r="S398">
        <f t="shared" si="182"/>
        <v>5.3352147954278861E-5</v>
      </c>
      <c r="T398" s="44">
        <f t="shared" si="183"/>
        <v>1.8251563768103657E-4</v>
      </c>
      <c r="U398" s="45">
        <f t="shared" si="202"/>
        <v>9.5743097111351122E-2</v>
      </c>
      <c r="V398" s="45">
        <f t="shared" si="203"/>
        <v>0.21327373863953678</v>
      </c>
      <c r="W398" s="45">
        <f t="shared" si="204"/>
        <v>0.21312613805667177</v>
      </c>
      <c r="X398" s="45">
        <f t="shared" si="205"/>
        <v>1.4760058286500399E-4</v>
      </c>
      <c r="Y398" s="45">
        <f t="shared" si="179"/>
        <v>7.2660801139612494E-4</v>
      </c>
      <c r="Z398" s="10">
        <f t="shared" si="206"/>
        <v>3.9810726391890952</v>
      </c>
      <c r="AA398">
        <f t="shared" si="184"/>
        <v>1388081.7316731184</v>
      </c>
      <c r="AB398" s="10">
        <f t="shared" si="185"/>
        <v>1.3880817316731184</v>
      </c>
      <c r="AC398" s="10">
        <f t="shared" si="186"/>
        <v>1.2870817316731185</v>
      </c>
      <c r="AD398" s="3">
        <f t="shared" si="187"/>
        <v>186.66885158420862</v>
      </c>
      <c r="AI398" s="100">
        <f t="shared" si="188"/>
        <v>0.21312613805667177</v>
      </c>
    </row>
    <row r="399" spans="2:35">
      <c r="B399" s="39">
        <f t="shared" si="189"/>
        <v>371</v>
      </c>
      <c r="C399" s="45">
        <f t="shared" si="190"/>
        <v>10.898681055155297</v>
      </c>
      <c r="D399" s="10">
        <f t="shared" si="191"/>
        <v>4.5513189448449332</v>
      </c>
      <c r="E399" s="40">
        <f t="shared" si="192"/>
        <v>39.237362110310137</v>
      </c>
      <c r="F399" s="40">
        <f t="shared" si="193"/>
        <v>48.34</v>
      </c>
      <c r="G399" s="3">
        <f t="shared" si="194"/>
        <v>84.605275779379724</v>
      </c>
      <c r="H399" s="3">
        <f t="shared" si="195"/>
        <v>148.0155219248214</v>
      </c>
      <c r="I399">
        <f t="shared" si="180"/>
        <v>1.4801552192482141E-4</v>
      </c>
      <c r="J399" s="4">
        <f t="shared" si="196"/>
        <v>1213.7346752743556</v>
      </c>
      <c r="K399" s="40">
        <f t="shared" si="197"/>
        <v>8.2000499642924201</v>
      </c>
      <c r="L399" s="40">
        <f t="shared" si="181"/>
        <v>0</v>
      </c>
      <c r="M399" s="10">
        <f t="shared" si="198"/>
        <v>1.3880817316731184</v>
      </c>
      <c r="N399" s="10">
        <f t="shared" si="177"/>
        <v>8.26</v>
      </c>
      <c r="O399" s="10">
        <f t="shared" si="178"/>
        <v>0.31900000000000001</v>
      </c>
      <c r="P399" s="10">
        <f t="shared" si="199"/>
        <v>9.1708680445714403</v>
      </c>
      <c r="Q399" s="45">
        <f t="shared" si="200"/>
        <v>1.2819992023560547</v>
      </c>
      <c r="R399" s="4">
        <f t="shared" si="201"/>
        <v>52972.010089048163</v>
      </c>
      <c r="S399">
        <f t="shared" si="182"/>
        <v>5.2972010089048161E-5</v>
      </c>
      <c r="T399" s="44">
        <f t="shared" si="183"/>
        <v>1.8289577554626726E-4</v>
      </c>
      <c r="U399" s="45">
        <f t="shared" si="202"/>
        <v>9.5060920705301366E-2</v>
      </c>
      <c r="V399" s="45">
        <f t="shared" si="203"/>
        <v>0.21296444635527201</v>
      </c>
      <c r="W399" s="45">
        <f t="shared" si="204"/>
        <v>0.21282021199411533</v>
      </c>
      <c r="X399" s="45">
        <f t="shared" si="205"/>
        <v>1.4423436115668098E-4</v>
      </c>
      <c r="Y399" s="45">
        <f t="shared" si="179"/>
        <v>7.2707002878826096E-4</v>
      </c>
      <c r="Z399" s="10">
        <f t="shared" si="206"/>
        <v>3.9753243431493779</v>
      </c>
      <c r="AA399">
        <f t="shared" si="184"/>
        <v>1386223.3061954873</v>
      </c>
      <c r="AB399" s="10">
        <f t="shared" si="185"/>
        <v>1.3862233061954872</v>
      </c>
      <c r="AC399" s="10">
        <f t="shared" si="186"/>
        <v>1.2852233061954872</v>
      </c>
      <c r="AD399" s="3">
        <f t="shared" si="187"/>
        <v>186.39931924517583</v>
      </c>
      <c r="AI399" s="100">
        <f t="shared" si="188"/>
        <v>0.21282021199411533</v>
      </c>
    </row>
    <row r="400" spans="2:35">
      <c r="B400" s="39">
        <f t="shared" si="189"/>
        <v>372</v>
      </c>
      <c r="C400" s="45">
        <f t="shared" si="190"/>
        <v>10.928057553956254</v>
      </c>
      <c r="D400" s="10">
        <f t="shared" si="191"/>
        <v>4.5219424460439761</v>
      </c>
      <c r="E400" s="40">
        <f t="shared" si="192"/>
        <v>39.296115107912051</v>
      </c>
      <c r="F400" s="40">
        <f t="shared" si="193"/>
        <v>48.34</v>
      </c>
      <c r="G400" s="3">
        <f t="shared" si="194"/>
        <v>84.487769784175896</v>
      </c>
      <c r="H400" s="3">
        <f t="shared" si="195"/>
        <v>148.0155219248214</v>
      </c>
      <c r="I400">
        <f t="shared" si="180"/>
        <v>1.4801552192482141E-4</v>
      </c>
      <c r="J400" s="4">
        <f t="shared" si="196"/>
        <v>1217.3585630319667</v>
      </c>
      <c r="K400" s="40">
        <f t="shared" si="197"/>
        <v>8.2245331246426687</v>
      </c>
      <c r="L400" s="40">
        <f t="shared" si="181"/>
        <v>0</v>
      </c>
      <c r="M400" s="10">
        <f t="shared" si="198"/>
        <v>1.3862233061954872</v>
      </c>
      <c r="N400" s="10">
        <f t="shared" si="177"/>
        <v>8.26</v>
      </c>
      <c r="O400" s="10">
        <f t="shared" si="178"/>
        <v>0.31900000000000001</v>
      </c>
      <c r="P400" s="10">
        <f t="shared" si="199"/>
        <v>9.1669494590641136</v>
      </c>
      <c r="Q400" s="45">
        <f t="shared" si="200"/>
        <v>1.2852038124536822</v>
      </c>
      <c r="R400" s="4">
        <f t="shared" si="201"/>
        <v>52592.264492367511</v>
      </c>
      <c r="S400">
        <f t="shared" si="182"/>
        <v>5.2592264492367509E-5</v>
      </c>
      <c r="T400" s="44">
        <f t="shared" si="183"/>
        <v>1.8327552114294791E-4</v>
      </c>
      <c r="U400" s="45">
        <f t="shared" si="202"/>
        <v>9.4379448244778105E-2</v>
      </c>
      <c r="V400" s="45">
        <f t="shared" si="203"/>
        <v>0.21265378306951568</v>
      </c>
      <c r="W400" s="45">
        <f t="shared" si="204"/>
        <v>0.21251291953988199</v>
      </c>
      <c r="X400" s="45">
        <f t="shared" si="205"/>
        <v>1.4086352963368909E-4</v>
      </c>
      <c r="Y400" s="45">
        <f t="shared" si="179"/>
        <v>7.2752144147771253E-4</v>
      </c>
      <c r="Z400" s="10">
        <f t="shared" si="206"/>
        <v>3.9695505266645705</v>
      </c>
      <c r="AA400">
        <f t="shared" si="184"/>
        <v>1384356.6299518852</v>
      </c>
      <c r="AB400" s="10">
        <f t="shared" si="185"/>
        <v>1.3843566299518852</v>
      </c>
      <c r="AC400" s="10">
        <f t="shared" si="186"/>
        <v>1.2833566299518853</v>
      </c>
      <c r="AD400" s="3">
        <f t="shared" si="187"/>
        <v>186.12859027583542</v>
      </c>
      <c r="AI400" s="100">
        <f t="shared" si="188"/>
        <v>0.21251291953988199</v>
      </c>
    </row>
    <row r="401" spans="2:35">
      <c r="B401" s="39">
        <f t="shared" si="189"/>
        <v>373</v>
      </c>
      <c r="C401" s="45">
        <f t="shared" si="190"/>
        <v>10.957434052757211</v>
      </c>
      <c r="D401" s="10">
        <f t="shared" si="191"/>
        <v>4.4925659472430191</v>
      </c>
      <c r="E401" s="40">
        <f t="shared" si="192"/>
        <v>39.354868105513965</v>
      </c>
      <c r="F401" s="40">
        <f t="shared" si="193"/>
        <v>48.34</v>
      </c>
      <c r="G401" s="3">
        <f t="shared" si="194"/>
        <v>84.370263788972068</v>
      </c>
      <c r="H401" s="3">
        <f t="shared" si="195"/>
        <v>148.0155219248214</v>
      </c>
      <c r="I401">
        <f t="shared" si="180"/>
        <v>1.4801552192482141E-4</v>
      </c>
      <c r="J401" s="4">
        <f t="shared" si="196"/>
        <v>1220.9878730445516</v>
      </c>
      <c r="K401" s="40">
        <f t="shared" si="197"/>
        <v>8.2490529180088554</v>
      </c>
      <c r="L401" s="40">
        <f t="shared" si="181"/>
        <v>0</v>
      </c>
      <c r="M401" s="10">
        <f t="shared" si="198"/>
        <v>1.3843566299518852</v>
      </c>
      <c r="N401" s="10">
        <f t="shared" si="177"/>
        <v>8.26</v>
      </c>
      <c r="O401" s="10">
        <f t="shared" si="178"/>
        <v>0.31900000000000001</v>
      </c>
      <c r="P401" s="10">
        <f t="shared" si="199"/>
        <v>9.1630098733031389</v>
      </c>
      <c r="Q401" s="45">
        <f t="shared" si="200"/>
        <v>1.2884098003558178</v>
      </c>
      <c r="R401" s="4">
        <f t="shared" si="201"/>
        <v>52212.913075679317</v>
      </c>
      <c r="S401">
        <f t="shared" si="182"/>
        <v>5.2212913075679316E-5</v>
      </c>
      <c r="T401" s="44">
        <f t="shared" si="183"/>
        <v>1.8365487255963609E-4</v>
      </c>
      <c r="U401" s="45">
        <f t="shared" si="202"/>
        <v>9.3698683159960314E-2</v>
      </c>
      <c r="V401" s="45">
        <f t="shared" si="203"/>
        <v>0.21234175099797606</v>
      </c>
      <c r="W401" s="45">
        <f t="shared" si="204"/>
        <v>0.21220426281349725</v>
      </c>
      <c r="X401" s="45">
        <f t="shared" si="205"/>
        <v>1.3748818447881228E-4</v>
      </c>
      <c r="Y401" s="45">
        <f t="shared" si="179"/>
        <v>7.2796222693383822E-4</v>
      </c>
      <c r="Z401" s="10">
        <f t="shared" si="206"/>
        <v>3.9637512296193265</v>
      </c>
      <c r="AA401">
        <f t="shared" si="184"/>
        <v>1382481.71583703</v>
      </c>
      <c r="AB401" s="10">
        <f t="shared" si="185"/>
        <v>1.3824817158370299</v>
      </c>
      <c r="AC401" s="10">
        <f t="shared" si="186"/>
        <v>1.28148171583703</v>
      </c>
      <c r="AD401" s="3">
        <f t="shared" si="187"/>
        <v>185.85666654634227</v>
      </c>
      <c r="AI401" s="100">
        <f t="shared" si="188"/>
        <v>0.21220426281349725</v>
      </c>
    </row>
    <row r="402" spans="2:35">
      <c r="B402" s="39">
        <f t="shared" si="189"/>
        <v>374</v>
      </c>
      <c r="C402" s="45">
        <f t="shared" si="190"/>
        <v>10.986810551558168</v>
      </c>
      <c r="D402" s="10">
        <f t="shared" si="191"/>
        <v>4.463189448442062</v>
      </c>
      <c r="E402" s="40">
        <f t="shared" si="192"/>
        <v>39.413621103115879</v>
      </c>
      <c r="F402" s="40">
        <f t="shared" si="193"/>
        <v>48.34</v>
      </c>
      <c r="G402" s="3">
        <f t="shared" si="194"/>
        <v>84.252757793768239</v>
      </c>
      <c r="H402" s="3">
        <f t="shared" si="195"/>
        <v>148.0155219248214</v>
      </c>
      <c r="I402">
        <f t="shared" si="180"/>
        <v>1.4801552192482141E-4</v>
      </c>
      <c r="J402" s="4">
        <f t="shared" si="196"/>
        <v>1224.6226053121109</v>
      </c>
      <c r="K402" s="40">
        <f t="shared" si="197"/>
        <v>8.2736093443909837</v>
      </c>
      <c r="L402" s="40">
        <f t="shared" si="181"/>
        <v>0</v>
      </c>
      <c r="M402" s="10">
        <f t="shared" si="198"/>
        <v>1.3824817158370299</v>
      </c>
      <c r="N402" s="10">
        <f t="shared" si="177"/>
        <v>8.26</v>
      </c>
      <c r="O402" s="10">
        <f t="shared" si="178"/>
        <v>0.31900000000000001</v>
      </c>
      <c r="P402" s="10">
        <f t="shared" si="199"/>
        <v>9.1590492584137966</v>
      </c>
      <c r="Q402" s="45">
        <f t="shared" si="200"/>
        <v>1.291617174611827</v>
      </c>
      <c r="R402" s="4">
        <f t="shared" si="201"/>
        <v>51833.957750425972</v>
      </c>
      <c r="S402">
        <f t="shared" si="182"/>
        <v>5.1833957750425974E-5</v>
      </c>
      <c r="T402" s="44">
        <f t="shared" si="183"/>
        <v>1.8403382788488945E-4</v>
      </c>
      <c r="U402" s="45">
        <f t="shared" si="202"/>
        <v>9.3018628881026924E-2</v>
      </c>
      <c r="V402" s="45">
        <f t="shared" si="203"/>
        <v>0.21202835236931186</v>
      </c>
      <c r="W402" s="45">
        <f t="shared" si="204"/>
        <v>0.21189424394711528</v>
      </c>
      <c r="X402" s="45">
        <f t="shared" si="205"/>
        <v>1.3410842219657715E-4</v>
      </c>
      <c r="Y402" s="45">
        <f t="shared" si="179"/>
        <v>7.2839236283470555E-4</v>
      </c>
      <c r="Z402" s="10">
        <f t="shared" si="206"/>
        <v>3.9579264921354822</v>
      </c>
      <c r="AA402">
        <f t="shared" si="184"/>
        <v>1380598.5768223209</v>
      </c>
      <c r="AB402" s="10">
        <f t="shared" si="185"/>
        <v>1.380598576822321</v>
      </c>
      <c r="AC402" s="10">
        <f t="shared" si="186"/>
        <v>1.279598576822321</v>
      </c>
      <c r="AD402" s="3">
        <f t="shared" si="187"/>
        <v>185.58354993797258</v>
      </c>
      <c r="AI402" s="100">
        <f t="shared" si="188"/>
        <v>0.21189424394711528</v>
      </c>
    </row>
    <row r="403" spans="2:35">
      <c r="B403" s="39">
        <f t="shared" si="189"/>
        <v>375</v>
      </c>
      <c r="C403" s="45">
        <f t="shared" si="190"/>
        <v>11.016187050359125</v>
      </c>
      <c r="D403" s="10">
        <f t="shared" si="191"/>
        <v>4.433812949641105</v>
      </c>
      <c r="E403" s="40">
        <f t="shared" si="192"/>
        <v>39.472374100717794</v>
      </c>
      <c r="F403" s="40">
        <f t="shared" si="193"/>
        <v>48.34</v>
      </c>
      <c r="G403" s="3">
        <f t="shared" si="194"/>
        <v>84.135251798564411</v>
      </c>
      <c r="H403" s="3">
        <f t="shared" si="195"/>
        <v>148.0155219248214</v>
      </c>
      <c r="I403">
        <f t="shared" si="180"/>
        <v>1.4801552192482141E-4</v>
      </c>
      <c r="J403" s="4">
        <f t="shared" si="196"/>
        <v>1228.2627598346437</v>
      </c>
      <c r="K403" s="40">
        <f t="shared" si="197"/>
        <v>8.2982024037890501</v>
      </c>
      <c r="L403" s="40">
        <f t="shared" si="181"/>
        <v>0</v>
      </c>
      <c r="M403" s="10">
        <f t="shared" si="198"/>
        <v>1.380598576822321</v>
      </c>
      <c r="N403" s="10">
        <f t="shared" si="177"/>
        <v>8.26</v>
      </c>
      <c r="O403" s="10">
        <f t="shared" si="178"/>
        <v>0.31900000000000001</v>
      </c>
      <c r="P403" s="10">
        <f t="shared" si="199"/>
        <v>9.1550675853242307</v>
      </c>
      <c r="Q403" s="45">
        <f t="shared" si="200"/>
        <v>1.2948259438019145</v>
      </c>
      <c r="R403" s="4">
        <f t="shared" si="201"/>
        <v>51455.400428049878</v>
      </c>
      <c r="S403">
        <f t="shared" si="182"/>
        <v>5.1455400428049877E-5</v>
      </c>
      <c r="T403" s="44">
        <f t="shared" si="183"/>
        <v>1.8441238520726554E-4</v>
      </c>
      <c r="U403" s="45">
        <f t="shared" si="202"/>
        <v>9.233928883815691E-2</v>
      </c>
      <c r="V403" s="45">
        <f t="shared" si="203"/>
        <v>0.21171358942507434</v>
      </c>
      <c r="W403" s="45">
        <f t="shared" si="204"/>
        <v>0.2115828650855695</v>
      </c>
      <c r="X403" s="45">
        <f t="shared" si="205"/>
        <v>1.3072433950483964E-4</v>
      </c>
      <c r="Y403" s="45">
        <f t="shared" si="179"/>
        <v>7.2881182706770317E-4</v>
      </c>
      <c r="Z403" s="10">
        <f t="shared" si="206"/>
        <v>3.9520763545711635</v>
      </c>
      <c r="AA403">
        <f t="shared" si="184"/>
        <v>1378707.2259555499</v>
      </c>
      <c r="AB403" s="10">
        <f t="shared" si="185"/>
        <v>1.37870722595555</v>
      </c>
      <c r="AC403" s="10">
        <f t="shared" si="186"/>
        <v>1.27770722595555</v>
      </c>
      <c r="AD403" s="3">
        <f t="shared" si="187"/>
        <v>185.30924234308193</v>
      </c>
      <c r="AI403" s="100">
        <f t="shared" si="188"/>
        <v>0.2115828650855695</v>
      </c>
    </row>
    <row r="404" spans="2:35">
      <c r="B404" s="39">
        <f t="shared" si="189"/>
        <v>376</v>
      </c>
      <c r="C404" s="45">
        <f t="shared" si="190"/>
        <v>11.045563549160082</v>
      </c>
      <c r="D404" s="10">
        <f t="shared" si="191"/>
        <v>4.4044364508401479</v>
      </c>
      <c r="E404" s="40">
        <f t="shared" si="192"/>
        <v>39.531127098319708</v>
      </c>
      <c r="F404" s="40">
        <f t="shared" si="193"/>
        <v>48.34</v>
      </c>
      <c r="G404" s="3">
        <f t="shared" si="194"/>
        <v>84.017745803360583</v>
      </c>
      <c r="H404" s="3">
        <f t="shared" si="195"/>
        <v>148.0155219248214</v>
      </c>
      <c r="I404">
        <f t="shared" si="180"/>
        <v>1.4801552192482141E-4</v>
      </c>
      <c r="J404" s="4">
        <f t="shared" si="196"/>
        <v>1231.9083366121506</v>
      </c>
      <c r="K404" s="40">
        <f t="shared" si="197"/>
        <v>8.3228320962030562</v>
      </c>
      <c r="L404" s="40">
        <f t="shared" si="181"/>
        <v>0</v>
      </c>
      <c r="M404" s="10">
        <f t="shared" si="198"/>
        <v>1.37870722595555</v>
      </c>
      <c r="N404" s="10">
        <f t="shared" si="177"/>
        <v>8.26</v>
      </c>
      <c r="O404" s="10">
        <f t="shared" si="178"/>
        <v>0.31900000000000001</v>
      </c>
      <c r="P404" s="10">
        <f t="shared" si="199"/>
        <v>9.1510648247633899</v>
      </c>
      <c r="Q404" s="45">
        <f t="shared" si="200"/>
        <v>1.2980361165373828</v>
      </c>
      <c r="R404" s="4">
        <f t="shared" si="201"/>
        <v>51077.243019993432</v>
      </c>
      <c r="S404">
        <f t="shared" si="182"/>
        <v>5.1077243019993431E-5</v>
      </c>
      <c r="T404" s="44">
        <f t="shared" si="183"/>
        <v>1.8479054261532198E-4</v>
      </c>
      <c r="U404" s="45">
        <f t="shared" si="202"/>
        <v>9.1660666461529205E-2</v>
      </c>
      <c r="V404" s="45">
        <f t="shared" si="203"/>
        <v>0.21139746441984086</v>
      </c>
      <c r="W404" s="45">
        <f t="shared" si="204"/>
        <v>0.21127012838632492</v>
      </c>
      <c r="X404" s="45">
        <f t="shared" si="205"/>
        <v>1.2733603351594569E-4</v>
      </c>
      <c r="Y404" s="45">
        <f t="shared" si="179"/>
        <v>7.2922059773073875E-4</v>
      </c>
      <c r="Z404" s="10">
        <f t="shared" si="206"/>
        <v>3.9462008575230794</v>
      </c>
      <c r="AA404">
        <f t="shared" si="184"/>
        <v>1376807.6763616421</v>
      </c>
      <c r="AB404" s="10">
        <f t="shared" si="185"/>
        <v>1.3768076763616421</v>
      </c>
      <c r="AC404" s="10">
        <f t="shared" si="186"/>
        <v>1.2758076763616422</v>
      </c>
      <c r="AD404" s="3">
        <f t="shared" si="187"/>
        <v>185.03374566521276</v>
      </c>
      <c r="AI404" s="100">
        <f t="shared" si="188"/>
        <v>0.21127012838632492</v>
      </c>
    </row>
    <row r="405" spans="2:35">
      <c r="B405" s="39">
        <f t="shared" si="189"/>
        <v>377</v>
      </c>
      <c r="C405" s="45">
        <f t="shared" si="190"/>
        <v>11.074940047961039</v>
      </c>
      <c r="D405" s="10">
        <f t="shared" si="191"/>
        <v>4.3750599520391908</v>
      </c>
      <c r="E405" s="40">
        <f t="shared" si="192"/>
        <v>39.589880095921622</v>
      </c>
      <c r="F405" s="40">
        <f t="shared" si="193"/>
        <v>48.34</v>
      </c>
      <c r="G405" s="3">
        <f t="shared" si="194"/>
        <v>83.900239808156755</v>
      </c>
      <c r="H405" s="3">
        <f t="shared" si="195"/>
        <v>148.0155219248214</v>
      </c>
      <c r="I405">
        <f t="shared" si="180"/>
        <v>1.4801552192482141E-4</v>
      </c>
      <c r="J405" s="4">
        <f t="shared" si="196"/>
        <v>1235.5593356446313</v>
      </c>
      <c r="K405" s="40">
        <f t="shared" si="197"/>
        <v>8.3474984216330004</v>
      </c>
      <c r="L405" s="40">
        <f t="shared" si="181"/>
        <v>0</v>
      </c>
      <c r="M405" s="10">
        <f t="shared" si="198"/>
        <v>1.3768076763616421</v>
      </c>
      <c r="N405" s="10">
        <f t="shared" si="177"/>
        <v>8.26</v>
      </c>
      <c r="O405" s="10">
        <f t="shared" si="178"/>
        <v>0.31900000000000001</v>
      </c>
      <c r="P405" s="10">
        <f t="shared" si="199"/>
        <v>9.147040947261118</v>
      </c>
      <c r="Q405" s="45">
        <f t="shared" si="200"/>
        <v>1.3012477014608934</v>
      </c>
      <c r="R405" s="4">
        <f t="shared" si="201"/>
        <v>50699.487437699041</v>
      </c>
      <c r="S405">
        <f t="shared" si="182"/>
        <v>5.069948743769904E-5</v>
      </c>
      <c r="T405" s="44">
        <f t="shared" si="183"/>
        <v>1.8516829819761638E-4</v>
      </c>
      <c r="U405" s="45">
        <f t="shared" si="202"/>
        <v>9.0982765181322797E-2</v>
      </c>
      <c r="V405" s="45">
        <f t="shared" si="203"/>
        <v>0.21107997962121233</v>
      </c>
      <c r="W405" s="45">
        <f t="shared" si="204"/>
        <v>0.21095603601960064</v>
      </c>
      <c r="X405" s="45">
        <f t="shared" si="205"/>
        <v>1.2394360161169238E-4</v>
      </c>
      <c r="Y405" s="45">
        <f t="shared" si="179"/>
        <v>7.2961865313304051E-4</v>
      </c>
      <c r="Z405" s="10">
        <f t="shared" si="206"/>
        <v>3.9403000418266667</v>
      </c>
      <c r="AA405">
        <f t="shared" si="184"/>
        <v>1374899.9412427046</v>
      </c>
      <c r="AB405" s="10">
        <f t="shared" si="185"/>
        <v>1.3748999412427045</v>
      </c>
      <c r="AC405" s="10">
        <f t="shared" si="186"/>
        <v>1.2738999412427046</v>
      </c>
      <c r="AD405" s="3">
        <f t="shared" si="187"/>
        <v>184.75706181910147</v>
      </c>
      <c r="AI405" s="100">
        <f t="shared" si="188"/>
        <v>0.21095603601960064</v>
      </c>
    </row>
    <row r="406" spans="2:35">
      <c r="B406" s="39">
        <f t="shared" si="189"/>
        <v>378</v>
      </c>
      <c r="C406" s="45">
        <f t="shared" si="190"/>
        <v>11.104316546761996</v>
      </c>
      <c r="D406" s="10">
        <f t="shared" si="191"/>
        <v>4.3456834532382338</v>
      </c>
      <c r="E406" s="40">
        <f t="shared" si="192"/>
        <v>39.648633093523536</v>
      </c>
      <c r="F406" s="40">
        <f t="shared" si="193"/>
        <v>48.34</v>
      </c>
      <c r="G406" s="3">
        <f t="shared" si="194"/>
        <v>83.782733812952927</v>
      </c>
      <c r="H406" s="3">
        <f t="shared" si="195"/>
        <v>148.0155219248214</v>
      </c>
      <c r="I406">
        <f t="shared" si="180"/>
        <v>1.4801552192482141E-4</v>
      </c>
      <c r="J406" s="4">
        <f t="shared" si="196"/>
        <v>1239.2157569320859</v>
      </c>
      <c r="K406" s="40">
        <f t="shared" si="197"/>
        <v>8.3722013800788826</v>
      </c>
      <c r="L406" s="40">
        <f t="shared" si="181"/>
        <v>0</v>
      </c>
      <c r="M406" s="10">
        <f t="shared" si="198"/>
        <v>1.3748999412427045</v>
      </c>
      <c r="N406" s="10">
        <f t="shared" si="177"/>
        <v>8.26</v>
      </c>
      <c r="O406" s="10">
        <f t="shared" si="178"/>
        <v>0.31900000000000001</v>
      </c>
      <c r="P406" s="10">
        <f t="shared" si="199"/>
        <v>9.1429959231467919</v>
      </c>
      <c r="Q406" s="45">
        <f t="shared" si="200"/>
        <v>1.3044607072467307</v>
      </c>
      <c r="R406" s="4">
        <f t="shared" si="201"/>
        <v>50322.135592609113</v>
      </c>
      <c r="S406">
        <f t="shared" si="182"/>
        <v>5.0322135592609112E-5</v>
      </c>
      <c r="T406" s="44">
        <f t="shared" si="183"/>
        <v>1.8554565004270631E-4</v>
      </c>
      <c r="U406" s="45">
        <f t="shared" si="202"/>
        <v>9.0305588427716674E-2</v>
      </c>
      <c r="V406" s="45">
        <f t="shared" si="203"/>
        <v>0.21076113730982854</v>
      </c>
      <c r="W406" s="45">
        <f t="shared" si="204"/>
        <v>0.21064059016837786</v>
      </c>
      <c r="X406" s="45">
        <f t="shared" si="205"/>
        <v>1.2054714145068313E-4</v>
      </c>
      <c r="Y406" s="45">
        <f t="shared" si="179"/>
        <v>7.3000597179598769E-4</v>
      </c>
      <c r="Z406" s="10">
        <f t="shared" si="206"/>
        <v>3.9343739485564071</v>
      </c>
      <c r="AA406">
        <f t="shared" si="184"/>
        <v>1372984.0338781266</v>
      </c>
      <c r="AB406" s="10">
        <f t="shared" si="185"/>
        <v>1.3729840338781267</v>
      </c>
      <c r="AC406" s="10">
        <f t="shared" si="186"/>
        <v>1.2719840338781268</v>
      </c>
      <c r="AD406" s="3">
        <f t="shared" si="187"/>
        <v>184.47919273069277</v>
      </c>
      <c r="AI406" s="100">
        <f t="shared" si="188"/>
        <v>0.21064059016837786</v>
      </c>
    </row>
    <row r="407" spans="2:35">
      <c r="B407" s="39">
        <f t="shared" si="189"/>
        <v>379</v>
      </c>
      <c r="C407" s="45">
        <f t="shared" si="190"/>
        <v>11.133693045562953</v>
      </c>
      <c r="D407" s="10">
        <f t="shared" si="191"/>
        <v>4.3163069544372767</v>
      </c>
      <c r="E407" s="40">
        <f t="shared" si="192"/>
        <v>39.70738609112545</v>
      </c>
      <c r="F407" s="40">
        <f t="shared" si="193"/>
        <v>48.34</v>
      </c>
      <c r="G407" s="3">
        <f t="shared" si="194"/>
        <v>83.665227817749098</v>
      </c>
      <c r="H407" s="3">
        <f t="shared" si="195"/>
        <v>148.0155219248214</v>
      </c>
      <c r="I407">
        <f t="shared" si="180"/>
        <v>1.4801552192482141E-4</v>
      </c>
      <c r="J407" s="4">
        <f t="shared" si="196"/>
        <v>1242.8776004745146</v>
      </c>
      <c r="K407" s="40">
        <f t="shared" si="197"/>
        <v>8.3969409715407064</v>
      </c>
      <c r="L407" s="40">
        <f t="shared" si="181"/>
        <v>0</v>
      </c>
      <c r="M407" s="10">
        <f t="shared" si="198"/>
        <v>1.3729840338781267</v>
      </c>
      <c r="N407" s="10">
        <f t="shared" si="177"/>
        <v>8.26</v>
      </c>
      <c r="O407" s="10">
        <f t="shared" si="178"/>
        <v>0.31900000000000001</v>
      </c>
      <c r="P407" s="10">
        <f t="shared" si="199"/>
        <v>9.1389297225480188</v>
      </c>
      <c r="Q407" s="45">
        <f t="shared" si="200"/>
        <v>1.3076751426010675</v>
      </c>
      <c r="R407" s="4">
        <f t="shared" si="201"/>
        <v>49945.189396166039</v>
      </c>
      <c r="S407">
        <f t="shared" si="182"/>
        <v>4.9945189396166038E-5</v>
      </c>
      <c r="T407" s="44">
        <f t="shared" si="183"/>
        <v>1.8592259623914937E-4</v>
      </c>
      <c r="U407" s="45">
        <f t="shared" si="202"/>
        <v>8.9629139630889754E-2</v>
      </c>
      <c r="V407" s="45">
        <f t="shared" si="203"/>
        <v>0.21044093977944481</v>
      </c>
      <c r="W407" s="45">
        <f t="shared" si="204"/>
        <v>0.2103237930284165</v>
      </c>
      <c r="X407" s="45">
        <f t="shared" si="205"/>
        <v>1.1714675102830752E-4</v>
      </c>
      <c r="Y407" s="45">
        <f t="shared" si="179"/>
        <v>7.3038253245413874E-4</v>
      </c>
      <c r="Z407" s="10">
        <f t="shared" si="206"/>
        <v>3.9284226190272156</v>
      </c>
      <c r="AA407">
        <f t="shared" si="184"/>
        <v>1371059.9676250301</v>
      </c>
      <c r="AB407" s="10">
        <f t="shared" si="185"/>
        <v>1.3710599676250301</v>
      </c>
      <c r="AC407" s="10">
        <f t="shared" si="186"/>
        <v>1.2700599676250302</v>
      </c>
      <c r="AD407" s="3">
        <f t="shared" si="187"/>
        <v>184.20014033720523</v>
      </c>
      <c r="AI407" s="100">
        <f t="shared" si="188"/>
        <v>0.2103237930284165</v>
      </c>
    </row>
    <row r="408" spans="2:35">
      <c r="B408" s="39">
        <f t="shared" si="189"/>
        <v>380</v>
      </c>
      <c r="C408" s="45">
        <f t="shared" si="190"/>
        <v>11.163069544363911</v>
      </c>
      <c r="D408" s="10">
        <f t="shared" si="191"/>
        <v>4.2869304556363197</v>
      </c>
      <c r="E408" s="40">
        <f t="shared" si="192"/>
        <v>39.766139088727364</v>
      </c>
      <c r="F408" s="40">
        <f t="shared" si="193"/>
        <v>48.34</v>
      </c>
      <c r="G408" s="3">
        <f t="shared" si="194"/>
        <v>83.54772182254527</v>
      </c>
      <c r="H408" s="3">
        <f t="shared" si="195"/>
        <v>148.0155219248214</v>
      </c>
      <c r="I408">
        <f t="shared" si="180"/>
        <v>1.4801552192482141E-4</v>
      </c>
      <c r="J408" s="4">
        <f t="shared" si="196"/>
        <v>1246.5448662719168</v>
      </c>
      <c r="K408" s="40">
        <f t="shared" si="197"/>
        <v>8.4217171960184665</v>
      </c>
      <c r="L408" s="40">
        <f t="shared" si="181"/>
        <v>0</v>
      </c>
      <c r="M408" s="10">
        <f t="shared" si="198"/>
        <v>1.3710599676250301</v>
      </c>
      <c r="N408" s="10">
        <f t="shared" si="177"/>
        <v>8.26</v>
      </c>
      <c r="O408" s="10">
        <f t="shared" si="178"/>
        <v>0.31900000000000001</v>
      </c>
      <c r="P408" s="10">
        <f t="shared" si="199"/>
        <v>9.1348423153901059</v>
      </c>
      <c r="Q408" s="45">
        <f t="shared" si="200"/>
        <v>1.3108910162622325</v>
      </c>
      <c r="R408" s="4">
        <f t="shared" si="201"/>
        <v>49568.650759812219</v>
      </c>
      <c r="S408">
        <f t="shared" si="182"/>
        <v>4.9568650759812218E-5</v>
      </c>
      <c r="T408" s="44">
        <f t="shared" si="183"/>
        <v>1.8629913487550319E-4</v>
      </c>
      <c r="U408" s="45">
        <f t="shared" si="202"/>
        <v>8.8953422221021011E-2</v>
      </c>
      <c r="V408" s="45">
        <f t="shared" si="203"/>
        <v>0.21011938933694513</v>
      </c>
      <c r="W408" s="45">
        <f t="shared" si="204"/>
        <v>0.21000564680832956</v>
      </c>
      <c r="X408" s="45">
        <f t="shared" si="205"/>
        <v>1.1374252861556799E-4</v>
      </c>
      <c r="Y408" s="45">
        <f t="shared" si="179"/>
        <v>7.3074831405606786E-4</v>
      </c>
      <c r="Z408" s="10">
        <f t="shared" si="206"/>
        <v>3.9224460947948034</v>
      </c>
      <c r="AA408">
        <f t="shared" si="184"/>
        <v>1369127.7559183866</v>
      </c>
      <c r="AB408" s="10">
        <f t="shared" si="185"/>
        <v>1.3691277559183865</v>
      </c>
      <c r="AC408" s="10">
        <f t="shared" si="186"/>
        <v>1.2681277559183866</v>
      </c>
      <c r="AD408" s="3">
        <f t="shared" si="187"/>
        <v>183.91990658714818</v>
      </c>
      <c r="AI408" s="100">
        <f t="shared" si="188"/>
        <v>0.21000564680832956</v>
      </c>
    </row>
    <row r="409" spans="2:35">
      <c r="B409" s="39">
        <f t="shared" si="189"/>
        <v>381</v>
      </c>
      <c r="C409" s="45">
        <f t="shared" si="190"/>
        <v>11.192446043164868</v>
      </c>
      <c r="D409" s="10">
        <f t="shared" si="191"/>
        <v>4.2575539568353626</v>
      </c>
      <c r="E409" s="40">
        <f t="shared" si="192"/>
        <v>39.824892086329278</v>
      </c>
      <c r="F409" s="40">
        <f t="shared" si="193"/>
        <v>48.34</v>
      </c>
      <c r="G409" s="3">
        <f t="shared" si="194"/>
        <v>83.430215827341442</v>
      </c>
      <c r="H409" s="3">
        <f t="shared" si="195"/>
        <v>148.0155219248214</v>
      </c>
      <c r="I409">
        <f t="shared" si="180"/>
        <v>1.4801552192482141E-4</v>
      </c>
      <c r="J409" s="4">
        <f t="shared" si="196"/>
        <v>1250.2175543242934</v>
      </c>
      <c r="K409" s="40">
        <f t="shared" si="197"/>
        <v>8.4465300535121699</v>
      </c>
      <c r="L409" s="40">
        <f t="shared" si="181"/>
        <v>0</v>
      </c>
      <c r="M409" s="10">
        <f t="shared" si="198"/>
        <v>1.3691277559183865</v>
      </c>
      <c r="N409" s="10">
        <f t="shared" si="177"/>
        <v>8.26</v>
      </c>
      <c r="O409" s="10">
        <f t="shared" si="178"/>
        <v>0.31900000000000001</v>
      </c>
      <c r="P409" s="10">
        <f t="shared" si="199"/>
        <v>9.130733671394772</v>
      </c>
      <c r="Q409" s="45">
        <f t="shared" si="200"/>
        <v>1.3141083370009798</v>
      </c>
      <c r="R409" s="4">
        <f t="shared" si="201"/>
        <v>49192.521594990052</v>
      </c>
      <c r="S409">
        <f t="shared" si="182"/>
        <v>4.9192521594990052E-5</v>
      </c>
      <c r="T409" s="44">
        <f t="shared" si="183"/>
        <v>1.8667526404032535E-4</v>
      </c>
      <c r="U409" s="45">
        <f t="shared" si="202"/>
        <v>8.8278439628289393E-2</v>
      </c>
      <c r="V409" s="45">
        <f t="shared" si="203"/>
        <v>0.20979648830238071</v>
      </c>
      <c r="W409" s="45">
        <f t="shared" si="204"/>
        <v>0.2096861537296027</v>
      </c>
      <c r="X409" s="45">
        <f t="shared" si="205"/>
        <v>1.1033457277800918E-4</v>
      </c>
      <c r="Y409" s="45">
        <f t="shared" si="179"/>
        <v>7.311032957652674E-4</v>
      </c>
      <c r="Z409" s="10">
        <f t="shared" si="206"/>
        <v>3.9164444176564035</v>
      </c>
      <c r="AA409">
        <f t="shared" si="184"/>
        <v>1367187.4122712514</v>
      </c>
      <c r="AB409" s="10">
        <f t="shared" si="185"/>
        <v>1.3671874122712515</v>
      </c>
      <c r="AC409" s="10">
        <f t="shared" si="186"/>
        <v>1.2661874122712515</v>
      </c>
      <c r="AD409" s="3">
        <f t="shared" si="187"/>
        <v>183.63849344035555</v>
      </c>
      <c r="AI409" s="100">
        <f t="shared" si="188"/>
        <v>0.2096861537296027</v>
      </c>
    </row>
    <row r="410" spans="2:35">
      <c r="B410" s="39">
        <f t="shared" si="189"/>
        <v>382</v>
      </c>
      <c r="C410" s="45">
        <f t="shared" si="190"/>
        <v>11.221822541965825</v>
      </c>
      <c r="D410" s="10">
        <f t="shared" si="191"/>
        <v>4.2281774580344056</v>
      </c>
      <c r="E410" s="40">
        <f t="shared" si="192"/>
        <v>39.883645083931192</v>
      </c>
      <c r="F410" s="40">
        <f t="shared" si="193"/>
        <v>48.34</v>
      </c>
      <c r="G410" s="3">
        <f t="shared" si="194"/>
        <v>83.312709832137614</v>
      </c>
      <c r="H410" s="3">
        <f t="shared" si="195"/>
        <v>148.0155219248214</v>
      </c>
      <c r="I410">
        <f t="shared" si="180"/>
        <v>1.4801552192482141E-4</v>
      </c>
      <c r="J410" s="4">
        <f t="shared" si="196"/>
        <v>1253.8956646316435</v>
      </c>
      <c r="K410" s="40">
        <f t="shared" si="197"/>
        <v>8.4713795440218078</v>
      </c>
      <c r="L410" s="40">
        <f t="shared" si="181"/>
        <v>0</v>
      </c>
      <c r="M410" s="10">
        <f t="shared" si="198"/>
        <v>1.3671874122712515</v>
      </c>
      <c r="N410" s="10">
        <f t="shared" si="177"/>
        <v>8.26</v>
      </c>
      <c r="O410" s="10">
        <f t="shared" si="178"/>
        <v>0.31900000000000001</v>
      </c>
      <c r="P410" s="10">
        <f t="shared" si="199"/>
        <v>9.1266037600791226</v>
      </c>
      <c r="Q410" s="45">
        <f t="shared" si="200"/>
        <v>1.3173271136207618</v>
      </c>
      <c r="R410" s="4">
        <f t="shared" si="201"/>
        <v>48816.80381314196</v>
      </c>
      <c r="S410">
        <f t="shared" si="182"/>
        <v>4.8816803813141958E-5</v>
      </c>
      <c r="T410" s="44">
        <f t="shared" si="183"/>
        <v>1.8705098182217344E-4</v>
      </c>
      <c r="U410" s="45">
        <f t="shared" si="202"/>
        <v>8.7604195282873901E-2</v>
      </c>
      <c r="V410" s="45">
        <f t="shared" si="203"/>
        <v>0.20947223900898129</v>
      </c>
      <c r="W410" s="45">
        <f t="shared" si="204"/>
        <v>0.20936531602663261</v>
      </c>
      <c r="X410" s="45">
        <f t="shared" si="205"/>
        <v>1.0692298234868391E-4</v>
      </c>
      <c r="Y410" s="45">
        <f t="shared" si="179"/>
        <v>7.3144745696096872E-4</v>
      </c>
      <c r="Z410" s="10">
        <f t="shared" si="206"/>
        <v>3.9104176296510693</v>
      </c>
      <c r="AA410">
        <f t="shared" si="184"/>
        <v>1365238.9502748603</v>
      </c>
      <c r="AB410" s="10">
        <f t="shared" si="185"/>
        <v>1.3652389502748603</v>
      </c>
      <c r="AC410" s="10">
        <f t="shared" si="186"/>
        <v>1.2642389502748603</v>
      </c>
      <c r="AD410" s="3">
        <f t="shared" si="187"/>
        <v>183.35590286800004</v>
      </c>
      <c r="AI410" s="100">
        <f t="shared" si="188"/>
        <v>0.20936531602663261</v>
      </c>
    </row>
    <row r="411" spans="2:35">
      <c r="B411" s="39">
        <f t="shared" si="189"/>
        <v>383</v>
      </c>
      <c r="C411" s="45">
        <f t="shared" si="190"/>
        <v>11.251199040766782</v>
      </c>
      <c r="D411" s="10">
        <f t="shared" si="191"/>
        <v>4.1988009592334485</v>
      </c>
      <c r="E411" s="40">
        <f t="shared" si="192"/>
        <v>39.942398081533106</v>
      </c>
      <c r="F411" s="40">
        <f t="shared" si="193"/>
        <v>48.34</v>
      </c>
      <c r="G411" s="3">
        <f t="shared" si="194"/>
        <v>83.195203836933786</v>
      </c>
      <c r="H411" s="3">
        <f t="shared" si="195"/>
        <v>148.0155219248214</v>
      </c>
      <c r="I411">
        <f t="shared" si="180"/>
        <v>1.4801552192482141E-4</v>
      </c>
      <c r="J411" s="4">
        <f t="shared" si="196"/>
        <v>1257.579197193968</v>
      </c>
      <c r="K411" s="40">
        <f t="shared" si="197"/>
        <v>8.4962656675473891</v>
      </c>
      <c r="L411" s="40">
        <f t="shared" si="181"/>
        <v>0</v>
      </c>
      <c r="M411" s="10">
        <f t="shared" si="198"/>
        <v>1.3652389502748603</v>
      </c>
      <c r="N411" s="10">
        <f t="shared" si="177"/>
        <v>8.26</v>
      </c>
      <c r="O411" s="10">
        <f t="shared" si="178"/>
        <v>0.31900000000000001</v>
      </c>
      <c r="P411" s="10">
        <f t="shared" si="199"/>
        <v>9.1224525507542999</v>
      </c>
      <c r="Q411" s="45">
        <f t="shared" si="200"/>
        <v>1.3205473549580027</v>
      </c>
      <c r="R411" s="4">
        <f t="shared" si="201"/>
        <v>48441.499325710298</v>
      </c>
      <c r="S411">
        <f t="shared" si="182"/>
        <v>4.8441499325710295E-5</v>
      </c>
      <c r="T411" s="44">
        <f t="shared" si="183"/>
        <v>1.8742628630960512E-4</v>
      </c>
      <c r="U411" s="45">
        <f t="shared" si="202"/>
        <v>8.6930692614953411E-2</v>
      </c>
      <c r="V411" s="45">
        <f t="shared" si="203"/>
        <v>0.20914664380327291</v>
      </c>
      <c r="W411" s="45">
        <f t="shared" si="204"/>
        <v>0.20904313594674337</v>
      </c>
      <c r="X411" s="45">
        <f t="shared" si="205"/>
        <v>1.0350785652954442E-4</v>
      </c>
      <c r="Y411" s="45">
        <f t="shared" si="179"/>
        <v>7.3178077723929432E-4</v>
      </c>
      <c r="Z411" s="10">
        <f t="shared" si="206"/>
        <v>3.90436577306175</v>
      </c>
      <c r="AA411">
        <f t="shared" si="184"/>
        <v>1363282.3835993009</v>
      </c>
      <c r="AB411" s="10">
        <f t="shared" si="185"/>
        <v>1.3632823835993009</v>
      </c>
      <c r="AC411" s="10">
        <f t="shared" si="186"/>
        <v>1.2622823835993009</v>
      </c>
      <c r="AD411" s="3">
        <f t="shared" si="187"/>
        <v>183.07213685269048</v>
      </c>
      <c r="AI411" s="100">
        <f t="shared" si="188"/>
        <v>0.20904313594674337</v>
      </c>
    </row>
    <row r="412" spans="2:35">
      <c r="B412" s="39">
        <f t="shared" si="189"/>
        <v>384</v>
      </c>
      <c r="C412" s="45">
        <f t="shared" si="190"/>
        <v>11.280575539567739</v>
      </c>
      <c r="D412" s="10">
        <f t="shared" si="191"/>
        <v>4.1694244604324915</v>
      </c>
      <c r="E412" s="40">
        <f t="shared" si="192"/>
        <v>40.00115107913502</v>
      </c>
      <c r="F412" s="40">
        <f t="shared" si="193"/>
        <v>48.34</v>
      </c>
      <c r="G412" s="3">
        <f t="shared" si="194"/>
        <v>83.077697841729957</v>
      </c>
      <c r="H412" s="3">
        <f t="shared" si="195"/>
        <v>148.0155219248214</v>
      </c>
      <c r="I412">
        <f t="shared" si="180"/>
        <v>1.4801552192482141E-4</v>
      </c>
      <c r="J412" s="4">
        <f t="shared" si="196"/>
        <v>1261.268152011266</v>
      </c>
      <c r="K412" s="40">
        <f t="shared" si="197"/>
        <v>8.5211884240889084</v>
      </c>
      <c r="L412" s="40">
        <f t="shared" si="181"/>
        <v>0</v>
      </c>
      <c r="M412" s="10">
        <f t="shared" si="198"/>
        <v>1.3632823835993009</v>
      </c>
      <c r="N412" s="10">
        <f t="shared" ref="N412:N475" si="207">IF(fueltype=1,VLOOKUP($M412,kndxbn_,4),IF(fueltype=2,VLOOKUP($M412,knsobn_,4),IF(fueltype=3,VLOOKUP($M412,knsbcobn_,4),IF(fueltype=4,VLOOKUP($M412,knsubn_,4),IF(fueltype=5,am_1,IF(fueltype=6,am_0,IF(fueltype=7,am_3,am_4)))))))</f>
        <v>8.26</v>
      </c>
      <c r="O412" s="10">
        <f t="shared" ref="O412:O475" si="208">IF(fueltype=1,VLOOKUP($M412,kndxbn_,5),IF(fueltype=2,VLOOKUP($M412,knsobn_,5),IF(fueltype=3,VLOOKUP($M412,knsbcobn_,5),IF(fueltype=4,VLOOKUP($M412,knsubn_,5),IF(fueltype=5,nm_1,IF(fueltype=6,an_0,IF(fueltype=7,nm_3,nm_4)))))))</f>
        <v>0.31900000000000001</v>
      </c>
      <c r="P412" s="10">
        <f t="shared" si="199"/>
        <v>9.1182800125253518</v>
      </c>
      <c r="Q412" s="45">
        <f t="shared" si="200"/>
        <v>1.323769069882375</v>
      </c>
      <c r="R412" s="4">
        <f t="shared" si="201"/>
        <v>48066.610044137517</v>
      </c>
      <c r="S412">
        <f t="shared" si="182"/>
        <v>4.8066610044137517E-5</v>
      </c>
      <c r="T412" s="44">
        <f t="shared" si="183"/>
        <v>1.8780117559117791E-4</v>
      </c>
      <c r="U412" s="45">
        <f t="shared" si="202"/>
        <v>8.6257935054706983E-2</v>
      </c>
      <c r="V412" s="45">
        <f t="shared" si="203"/>
        <v>0.20881970504497921</v>
      </c>
      <c r="W412" s="45">
        <f t="shared" si="204"/>
        <v>0.20871961575029718</v>
      </c>
      <c r="X412" s="45">
        <f t="shared" si="205"/>
        <v>1.0008929468202643E-4</v>
      </c>
      <c r="Y412" s="45">
        <f t="shared" si="179"/>
        <v>7.3210323641374135E-4</v>
      </c>
      <c r="Z412" s="10">
        <f t="shared" si="206"/>
        <v>3.8982888904138062</v>
      </c>
      <c r="AA412">
        <f t="shared" si="184"/>
        <v>1361317.7259930326</v>
      </c>
      <c r="AB412" s="10">
        <f t="shared" si="185"/>
        <v>1.3613177259930325</v>
      </c>
      <c r="AC412" s="10">
        <f t="shared" si="186"/>
        <v>1.2603177259930325</v>
      </c>
      <c r="AD412" s="3">
        <f t="shared" si="187"/>
        <v>182.78719738840212</v>
      </c>
      <c r="AI412" s="100">
        <f t="shared" si="188"/>
        <v>0.20871961575029718</v>
      </c>
    </row>
    <row r="413" spans="2:35">
      <c r="B413" s="39">
        <f t="shared" si="189"/>
        <v>385</v>
      </c>
      <c r="C413" s="45">
        <f t="shared" si="190"/>
        <v>11.309952038368696</v>
      </c>
      <c r="D413" s="10">
        <f t="shared" si="191"/>
        <v>4.1400479616315344</v>
      </c>
      <c r="E413" s="40">
        <f t="shared" si="192"/>
        <v>40.059904076736935</v>
      </c>
      <c r="F413" s="40">
        <f t="shared" si="193"/>
        <v>48.34</v>
      </c>
      <c r="G413" s="3">
        <f t="shared" si="194"/>
        <v>82.960191846526129</v>
      </c>
      <c r="H413" s="3">
        <f t="shared" si="195"/>
        <v>148.0155219248214</v>
      </c>
      <c r="I413">
        <f t="shared" si="180"/>
        <v>1.4801552192482141E-4</v>
      </c>
      <c r="J413" s="4">
        <f t="shared" si="196"/>
        <v>1264.9625290835379</v>
      </c>
      <c r="K413" s="40">
        <f t="shared" si="197"/>
        <v>8.546147813646364</v>
      </c>
      <c r="L413" s="40">
        <f t="shared" si="181"/>
        <v>0</v>
      </c>
      <c r="M413" s="10">
        <f t="shared" si="198"/>
        <v>1.3613177259930325</v>
      </c>
      <c r="N413" s="10">
        <f t="shared" si="207"/>
        <v>8.26</v>
      </c>
      <c r="O413" s="10">
        <f t="shared" si="208"/>
        <v>0.31900000000000001</v>
      </c>
      <c r="P413" s="10">
        <f t="shared" si="199"/>
        <v>9.1140861142886411</v>
      </c>
      <c r="Q413" s="45">
        <f t="shared" si="200"/>
        <v>1.3269922672970782</v>
      </c>
      <c r="R413" s="4">
        <f t="shared" si="201"/>
        <v>47692.137879865993</v>
      </c>
      <c r="S413">
        <f t="shared" si="182"/>
        <v>4.7692137879865996E-5</v>
      </c>
      <c r="T413" s="44">
        <f t="shared" si="183"/>
        <v>1.8817564775544941E-4</v>
      </c>
      <c r="U413" s="45">
        <f t="shared" si="202"/>
        <v>8.5585926032313506E-2</v>
      </c>
      <c r="V413" s="45">
        <f t="shared" si="203"/>
        <v>0.20849142510724922</v>
      </c>
      <c r="W413" s="45">
        <f t="shared" si="204"/>
        <v>0.20839475771061516</v>
      </c>
      <c r="X413" s="45">
        <f t="shared" si="205"/>
        <v>9.6667396634053659E-5</v>
      </c>
      <c r="Y413" s="45">
        <f t="shared" si="179"/>
        <v>7.3241481451665836E-4</v>
      </c>
      <c r="Z413" s="10">
        <f t="shared" si="206"/>
        <v>3.8921870244788264</v>
      </c>
      <c r="AA413">
        <f t="shared" si="184"/>
        <v>1359344.9912841199</v>
      </c>
      <c r="AB413" s="10">
        <f t="shared" si="185"/>
        <v>1.3593449912841198</v>
      </c>
      <c r="AC413" s="10">
        <f t="shared" si="186"/>
        <v>1.2583449912841198</v>
      </c>
      <c r="AD413" s="3">
        <f t="shared" si="187"/>
        <v>182.50108648065554</v>
      </c>
      <c r="AI413" s="100">
        <f t="shared" si="188"/>
        <v>0.20839475771061516</v>
      </c>
    </row>
    <row r="414" spans="2:35">
      <c r="B414" s="39">
        <f t="shared" si="189"/>
        <v>386</v>
      </c>
      <c r="C414" s="45">
        <f t="shared" si="190"/>
        <v>11.339328537169653</v>
      </c>
      <c r="D414" s="10">
        <f t="shared" si="191"/>
        <v>4.1106714628305774</v>
      </c>
      <c r="E414" s="40">
        <f t="shared" si="192"/>
        <v>40.118657074338849</v>
      </c>
      <c r="F414" s="40">
        <f t="shared" si="193"/>
        <v>48.34</v>
      </c>
      <c r="G414" s="3">
        <f t="shared" si="194"/>
        <v>82.842685851322301</v>
      </c>
      <c r="H414" s="3">
        <f t="shared" si="195"/>
        <v>148.0155219248214</v>
      </c>
      <c r="I414">
        <f t="shared" si="180"/>
        <v>1.4801552192482141E-4</v>
      </c>
      <c r="J414" s="4">
        <f t="shared" si="196"/>
        <v>1268.6623284107839</v>
      </c>
      <c r="K414" s="40">
        <f t="shared" si="197"/>
        <v>8.5711438362197612</v>
      </c>
      <c r="L414" s="40">
        <f t="shared" si="181"/>
        <v>0</v>
      </c>
      <c r="M414" s="10">
        <f t="shared" si="198"/>
        <v>1.3593449912841198</v>
      </c>
      <c r="N414" s="10">
        <f t="shared" si="207"/>
        <v>8.26</v>
      </c>
      <c r="O414" s="10">
        <f t="shared" si="208"/>
        <v>0.31900000000000001</v>
      </c>
      <c r="P414" s="10">
        <f t="shared" si="199"/>
        <v>9.109870824732873</v>
      </c>
      <c r="Q414" s="45">
        <f t="shared" si="200"/>
        <v>1.3302169561391199</v>
      </c>
      <c r="R414" s="4">
        <f t="shared" si="201"/>
        <v>47318.084744338128</v>
      </c>
      <c r="S414">
        <f t="shared" si="182"/>
        <v>4.731808474433813E-5</v>
      </c>
      <c r="T414" s="44">
        <f t="shared" si="183"/>
        <v>1.885497008909773E-4</v>
      </c>
      <c r="U414" s="45">
        <f t="shared" si="202"/>
        <v>8.4914668977951982E-2</v>
      </c>
      <c r="V414" s="45">
        <f t="shared" si="203"/>
        <v>0.20816180637649068</v>
      </c>
      <c r="W414" s="45">
        <f t="shared" si="204"/>
        <v>0.2080685641141812</v>
      </c>
      <c r="X414" s="45">
        <f t="shared" si="205"/>
        <v>9.3242262309473078E-5</v>
      </c>
      <c r="Y414" s="45">
        <f t="shared" ref="Y414:Y477" si="209">IF((X414*(Q414-Q413)+Y413)&lt;0,0,X414*(Q414-Q413)+Y413)</f>
        <v>7.3271549179953447E-4</v>
      </c>
      <c r="Z414" s="10">
        <f t="shared" si="206"/>
        <v>3.8860602182721218</v>
      </c>
      <c r="AA414">
        <f t="shared" si="184"/>
        <v>1357364.1933794233</v>
      </c>
      <c r="AB414" s="10">
        <f t="shared" si="185"/>
        <v>1.3573641933794234</v>
      </c>
      <c r="AC414" s="10">
        <f t="shared" si="186"/>
        <v>1.2563641933794234</v>
      </c>
      <c r="AD414" s="3">
        <f t="shared" si="187"/>
        <v>182.21380614639932</v>
      </c>
      <c r="AI414" s="100">
        <f t="shared" si="188"/>
        <v>0.2080685641141812</v>
      </c>
    </row>
    <row r="415" spans="2:35">
      <c r="B415" s="39">
        <f t="shared" si="189"/>
        <v>387</v>
      </c>
      <c r="C415" s="45">
        <f t="shared" si="190"/>
        <v>11.36870503597061</v>
      </c>
      <c r="D415" s="10">
        <f t="shared" si="191"/>
        <v>4.0812949640296203</v>
      </c>
      <c r="E415" s="40">
        <f t="shared" si="192"/>
        <v>40.177410071940763</v>
      </c>
      <c r="F415" s="40">
        <f t="shared" si="193"/>
        <v>48.34</v>
      </c>
      <c r="G415" s="3">
        <f t="shared" si="194"/>
        <v>82.725179856118473</v>
      </c>
      <c r="H415" s="3">
        <f t="shared" si="195"/>
        <v>148.0155219248214</v>
      </c>
      <c r="I415">
        <f t="shared" si="180"/>
        <v>1.4801552192482141E-4</v>
      </c>
      <c r="J415" s="4">
        <f t="shared" si="196"/>
        <v>1272.3675499930036</v>
      </c>
      <c r="K415" s="40">
        <f t="shared" si="197"/>
        <v>8.5961764918090964</v>
      </c>
      <c r="L415" s="40">
        <f t="shared" si="181"/>
        <v>0</v>
      </c>
      <c r="M415" s="10">
        <f t="shared" si="198"/>
        <v>1.3573641933794234</v>
      </c>
      <c r="N415" s="10">
        <f t="shared" si="207"/>
        <v>8.26</v>
      </c>
      <c r="O415" s="10">
        <f t="shared" si="208"/>
        <v>0.31900000000000001</v>
      </c>
      <c r="P415" s="10">
        <f t="shared" si="199"/>
        <v>9.1056341123357711</v>
      </c>
      <c r="Q415" s="45">
        <f t="shared" si="200"/>
        <v>1.3334431453795992</v>
      </c>
      <c r="R415" s="4">
        <f t="shared" si="201"/>
        <v>46944.45254899632</v>
      </c>
      <c r="S415">
        <f t="shared" si="182"/>
        <v>4.694445254899632E-5</v>
      </c>
      <c r="T415" s="44">
        <f t="shared" si="183"/>
        <v>1.889233330863191E-4</v>
      </c>
      <c r="U415" s="45">
        <f t="shared" si="202"/>
        <v>8.4244167321801344E-2</v>
      </c>
      <c r="V415" s="45">
        <f t="shared" si="203"/>
        <v>0.20783085125255618</v>
      </c>
      <c r="W415" s="45">
        <f t="shared" si="204"/>
        <v>0.20774103726050808</v>
      </c>
      <c r="X415" s="45">
        <f t="shared" si="205"/>
        <v>8.9813992048104474E-5</v>
      </c>
      <c r="Y415" s="45">
        <f t="shared" si="209"/>
        <v>7.3300524873432459E-4</v>
      </c>
      <c r="Z415" s="10">
        <f t="shared" si="206"/>
        <v>3.8799085150557575</v>
      </c>
      <c r="AA415">
        <f t="shared" si="184"/>
        <v>1355375.3462655784</v>
      </c>
      <c r="AB415" s="10">
        <f t="shared" si="185"/>
        <v>1.3553753462655784</v>
      </c>
      <c r="AC415" s="10">
        <f t="shared" si="186"/>
        <v>1.2543753462655785</v>
      </c>
      <c r="AD415" s="3">
        <f t="shared" si="187"/>
        <v>181.92535841415204</v>
      </c>
      <c r="AI415" s="100">
        <f t="shared" si="188"/>
        <v>0.20774103726050808</v>
      </c>
    </row>
    <row r="416" spans="2:35">
      <c r="B416" s="39">
        <f t="shared" si="189"/>
        <v>388</v>
      </c>
      <c r="C416" s="45">
        <f t="shared" si="190"/>
        <v>11.398081534771567</v>
      </c>
      <c r="D416" s="10">
        <f t="shared" si="191"/>
        <v>4.0519184652286633</v>
      </c>
      <c r="E416" s="40">
        <f t="shared" si="192"/>
        <v>40.236163069542677</v>
      </c>
      <c r="F416" s="40">
        <f t="shared" si="193"/>
        <v>48.34</v>
      </c>
      <c r="G416" s="3">
        <f t="shared" si="194"/>
        <v>82.607673860914645</v>
      </c>
      <c r="H416" s="3">
        <f t="shared" si="195"/>
        <v>148.0155219248214</v>
      </c>
      <c r="I416">
        <f t="shared" si="180"/>
        <v>1.4801552192482141E-4</v>
      </c>
      <c r="J416" s="4">
        <f t="shared" si="196"/>
        <v>1276.0781938301975</v>
      </c>
      <c r="K416" s="40">
        <f t="shared" si="197"/>
        <v>8.6212457804143732</v>
      </c>
      <c r="L416" s="40">
        <f t="shared" si="181"/>
        <v>0</v>
      </c>
      <c r="M416" s="10">
        <f t="shared" si="198"/>
        <v>1.3553753462655784</v>
      </c>
      <c r="N416" s="10">
        <f t="shared" si="207"/>
        <v>8.26</v>
      </c>
      <c r="O416" s="10">
        <f t="shared" si="208"/>
        <v>0.31900000000000001</v>
      </c>
      <c r="P416" s="10">
        <f t="shared" si="199"/>
        <v>9.1013759453645537</v>
      </c>
      <c r="Q416" s="45">
        <f t="shared" si="200"/>
        <v>1.3366708440239914</v>
      </c>
      <c r="R416" s="4">
        <f t="shared" si="201"/>
        <v>46571.243205282983</v>
      </c>
      <c r="S416">
        <f t="shared" si="182"/>
        <v>4.6571243205282985E-5</v>
      </c>
      <c r="T416" s="44">
        <f t="shared" si="183"/>
        <v>1.8929654243003243E-4</v>
      </c>
      <c r="U416" s="45">
        <f t="shared" si="202"/>
        <v>8.3574424494040581E-2</v>
      </c>
      <c r="V416" s="45">
        <f t="shared" si="203"/>
        <v>0.20749856214872245</v>
      </c>
      <c r="W416" s="45">
        <f t="shared" si="204"/>
        <v>0.20741217946229959</v>
      </c>
      <c r="X416" s="45">
        <f t="shared" si="205"/>
        <v>8.6382686422858956E-5</v>
      </c>
      <c r="Y416" s="45">
        <f t="shared" si="209"/>
        <v>7.332840660141906E-4</v>
      </c>
      <c r="Z416" s="10">
        <f t="shared" si="206"/>
        <v>3.8737319583384688</v>
      </c>
      <c r="AA416">
        <f t="shared" si="184"/>
        <v>1353378.4640089704</v>
      </c>
      <c r="AB416" s="10">
        <f t="shared" si="185"/>
        <v>1.3533784640089703</v>
      </c>
      <c r="AC416" s="10">
        <f t="shared" si="186"/>
        <v>1.2523784640089703</v>
      </c>
      <c r="AD416" s="3">
        <f t="shared" si="187"/>
        <v>181.63574532399861</v>
      </c>
      <c r="AI416" s="100">
        <f t="shared" si="188"/>
        <v>0.20741217946229959</v>
      </c>
    </row>
    <row r="417" spans="2:35">
      <c r="B417" s="39">
        <f t="shared" si="189"/>
        <v>389</v>
      </c>
      <c r="C417" s="45">
        <f t="shared" si="190"/>
        <v>11.427458033572524</v>
      </c>
      <c r="D417" s="10">
        <f t="shared" si="191"/>
        <v>4.0225419664277062</v>
      </c>
      <c r="E417" s="40">
        <f t="shared" si="192"/>
        <v>40.294916067144591</v>
      </c>
      <c r="F417" s="40">
        <f t="shared" si="193"/>
        <v>48.34</v>
      </c>
      <c r="G417" s="3">
        <f t="shared" si="194"/>
        <v>82.490167865710816</v>
      </c>
      <c r="H417" s="3">
        <f t="shared" si="195"/>
        <v>148.0155219248214</v>
      </c>
      <c r="I417">
        <f t="shared" si="180"/>
        <v>1.4801552192482141E-4</v>
      </c>
      <c r="J417" s="4">
        <f t="shared" si="196"/>
        <v>1279.7942599223652</v>
      </c>
      <c r="K417" s="40">
        <f t="shared" si="197"/>
        <v>8.6463517020355862</v>
      </c>
      <c r="L417" s="40">
        <f t="shared" si="181"/>
        <v>0</v>
      </c>
      <c r="M417" s="10">
        <f t="shared" si="198"/>
        <v>1.3533784640089703</v>
      </c>
      <c r="N417" s="10">
        <f t="shared" si="207"/>
        <v>8.26</v>
      </c>
      <c r="O417" s="10">
        <f t="shared" si="208"/>
        <v>0.31900000000000001</v>
      </c>
      <c r="P417" s="10">
        <f t="shared" si="199"/>
        <v>9.0970962918742391</v>
      </c>
      <c r="Q417" s="45">
        <f t="shared" si="200"/>
        <v>1.3399000611124372</v>
      </c>
      <c r="R417" s="4">
        <f t="shared" si="201"/>
        <v>46198.458624640516</v>
      </c>
      <c r="S417">
        <f t="shared" si="182"/>
        <v>4.6198458624640517E-5</v>
      </c>
      <c r="T417" s="44">
        <f t="shared" si="183"/>
        <v>1.8966932701067489E-4</v>
      </c>
      <c r="U417" s="45">
        <f t="shared" si="202"/>
        <v>8.2905443924848637E-2</v>
      </c>
      <c r="V417" s="45">
        <f t="shared" si="203"/>
        <v>0.20716494149172124</v>
      </c>
      <c r="W417" s="45">
        <f t="shared" si="204"/>
        <v>0.20708199304544625</v>
      </c>
      <c r="X417" s="45">
        <f t="shared" si="205"/>
        <v>8.2948446274988541E-5</v>
      </c>
      <c r="Y417" s="45">
        <f t="shared" si="209"/>
        <v>7.3355192455436182E-4</v>
      </c>
      <c r="Z417" s="10">
        <f t="shared" si="206"/>
        <v>3.8675305918762306</v>
      </c>
      <c r="AA417">
        <f t="shared" si="184"/>
        <v>1351373.5607559157</v>
      </c>
      <c r="AB417" s="10">
        <f t="shared" si="185"/>
        <v>1.3513735607559156</v>
      </c>
      <c r="AC417" s="10">
        <f t="shared" si="186"/>
        <v>1.2503735607559157</v>
      </c>
      <c r="AD417" s="3">
        <f t="shared" si="187"/>
        <v>181.34496892761649</v>
      </c>
      <c r="AI417" s="100">
        <f t="shared" si="188"/>
        <v>0.20708199304544625</v>
      </c>
    </row>
    <row r="418" spans="2:35">
      <c r="B418" s="39">
        <f t="shared" si="189"/>
        <v>390</v>
      </c>
      <c r="C418" s="45">
        <f t="shared" si="190"/>
        <v>11.456834532373481</v>
      </c>
      <c r="D418" s="10">
        <f t="shared" si="191"/>
        <v>3.9931654676267492</v>
      </c>
      <c r="E418" s="40">
        <f t="shared" si="192"/>
        <v>40.353669064746505</v>
      </c>
      <c r="F418" s="40">
        <f t="shared" si="193"/>
        <v>48.34</v>
      </c>
      <c r="G418" s="3">
        <f t="shared" si="194"/>
        <v>82.372661870506988</v>
      </c>
      <c r="H418" s="3">
        <f t="shared" si="195"/>
        <v>148.0155219248214</v>
      </c>
      <c r="I418">
        <f t="shared" si="180"/>
        <v>1.4801552192482141E-4</v>
      </c>
      <c r="J418" s="4">
        <f t="shared" si="196"/>
        <v>1283.5157482695067</v>
      </c>
      <c r="K418" s="40">
        <f t="shared" si="197"/>
        <v>8.6714942566727391</v>
      </c>
      <c r="L418" s="40">
        <f t="shared" si="181"/>
        <v>0</v>
      </c>
      <c r="M418" s="10">
        <f t="shared" si="198"/>
        <v>1.3513735607559156</v>
      </c>
      <c r="N418" s="10">
        <f t="shared" si="207"/>
        <v>8.26</v>
      </c>
      <c r="O418" s="10">
        <f t="shared" si="208"/>
        <v>0.31900000000000001</v>
      </c>
      <c r="P418" s="10">
        <f t="shared" si="199"/>
        <v>9.0927951197063965</v>
      </c>
      <c r="Q418" s="45">
        <f t="shared" si="200"/>
        <v>1.3431308057200322</v>
      </c>
      <c r="R418" s="4">
        <f t="shared" si="201"/>
        <v>45826.100718511305</v>
      </c>
      <c r="S418">
        <f t="shared" si="182"/>
        <v>4.5826100718511308E-5</v>
      </c>
      <c r="T418" s="44">
        <f t="shared" si="183"/>
        <v>1.900416849168041E-4</v>
      </c>
      <c r="U418" s="45">
        <f t="shared" si="202"/>
        <v>8.2237229044404461E-2</v>
      </c>
      <c r="V418" s="45">
        <f t="shared" si="203"/>
        <v>0.20682999172181737</v>
      </c>
      <c r="W418" s="45">
        <f t="shared" si="204"/>
        <v>0.20675048034905508</v>
      </c>
      <c r="X418" s="45">
        <f t="shared" si="205"/>
        <v>7.9511372762297583E-5</v>
      </c>
      <c r="Y418" s="45">
        <f t="shared" si="209"/>
        <v>7.3380880549315608E-4</v>
      </c>
      <c r="Z418" s="10">
        <f t="shared" si="206"/>
        <v>3.8613044596736805</v>
      </c>
      <c r="AA418">
        <f t="shared" si="184"/>
        <v>1349360.6507331242</v>
      </c>
      <c r="AB418" s="10">
        <f t="shared" si="185"/>
        <v>1.3493606507331242</v>
      </c>
      <c r="AC418" s="10">
        <f t="shared" si="186"/>
        <v>1.2483606507331242</v>
      </c>
      <c r="AD418" s="3">
        <f t="shared" si="187"/>
        <v>181.05303128834288</v>
      </c>
      <c r="AI418" s="100">
        <f t="shared" si="188"/>
        <v>0.20675048034905508</v>
      </c>
    </row>
    <row r="419" spans="2:35">
      <c r="B419" s="39">
        <f t="shared" si="189"/>
        <v>391</v>
      </c>
      <c r="C419" s="45">
        <f t="shared" si="190"/>
        <v>11.486211031174438</v>
      </c>
      <c r="D419" s="10">
        <f t="shared" si="191"/>
        <v>3.9637889688257921</v>
      </c>
      <c r="E419" s="40">
        <f t="shared" si="192"/>
        <v>40.412422062348419</v>
      </c>
      <c r="F419" s="40">
        <f t="shared" si="193"/>
        <v>48.34</v>
      </c>
      <c r="G419" s="3">
        <f t="shared" si="194"/>
        <v>82.25515587530316</v>
      </c>
      <c r="H419" s="3">
        <f t="shared" si="195"/>
        <v>148.0155219248214</v>
      </c>
      <c r="I419">
        <f t="shared" si="180"/>
        <v>1.4801552192482141E-4</v>
      </c>
      <c r="J419" s="4">
        <f t="shared" si="196"/>
        <v>1287.2426588716223</v>
      </c>
      <c r="K419" s="40">
        <f t="shared" si="197"/>
        <v>8.6966734443258336</v>
      </c>
      <c r="L419" s="40">
        <f t="shared" si="181"/>
        <v>0</v>
      </c>
      <c r="M419" s="10">
        <f t="shared" si="198"/>
        <v>1.3493606507331242</v>
      </c>
      <c r="N419" s="10">
        <f t="shared" si="207"/>
        <v>8.26</v>
      </c>
      <c r="O419" s="10">
        <f t="shared" si="208"/>
        <v>0.31900000000000001</v>
      </c>
      <c r="P419" s="10">
        <f t="shared" si="199"/>
        <v>9.0884723964884593</v>
      </c>
      <c r="Q419" s="45">
        <f t="shared" si="200"/>
        <v>1.3463630869571197</v>
      </c>
      <c r="R419" s="4">
        <f t="shared" si="201"/>
        <v>45454.171398337749</v>
      </c>
      <c r="S419">
        <f t="shared" si="182"/>
        <v>4.5454171398337752E-5</v>
      </c>
      <c r="T419" s="44">
        <f t="shared" si="183"/>
        <v>1.9041361423697767E-4</v>
      </c>
      <c r="U419" s="45">
        <f t="shared" si="202"/>
        <v>8.1569783282886998E-2</v>
      </c>
      <c r="V419" s="45">
        <f t="shared" si="203"/>
        <v>0.20649371529281643</v>
      </c>
      <c r="W419" s="45">
        <f t="shared" si="204"/>
        <v>0.20641764372552635</v>
      </c>
      <c r="X419" s="45">
        <f t="shared" si="205"/>
        <v>7.6071567290086906E-5</v>
      </c>
      <c r="Y419" s="45">
        <f t="shared" si="209"/>
        <v>7.3405469019278372E-4</v>
      </c>
      <c r="Z419" s="10">
        <f t="shared" si="206"/>
        <v>3.8550536059844025</v>
      </c>
      <c r="AA419">
        <f t="shared" si="184"/>
        <v>1347339.7482477906</v>
      </c>
      <c r="AB419" s="10">
        <f t="shared" si="185"/>
        <v>1.3473397482477907</v>
      </c>
      <c r="AC419" s="10">
        <f t="shared" si="186"/>
        <v>1.2463397482477907</v>
      </c>
      <c r="AD419" s="3">
        <f t="shared" si="187"/>
        <v>180.75993448118791</v>
      </c>
      <c r="AI419" s="100">
        <f t="shared" si="188"/>
        <v>0.20641764372552635</v>
      </c>
    </row>
    <row r="420" spans="2:35">
      <c r="B420" s="39">
        <f t="shared" si="189"/>
        <v>392</v>
      </c>
      <c r="C420" s="45">
        <f t="shared" si="190"/>
        <v>11.515587529975395</v>
      </c>
      <c r="D420" s="10">
        <f t="shared" si="191"/>
        <v>3.9344124700248351</v>
      </c>
      <c r="E420" s="40">
        <f t="shared" si="192"/>
        <v>40.471175059950333</v>
      </c>
      <c r="F420" s="40">
        <f t="shared" si="193"/>
        <v>48.34</v>
      </c>
      <c r="G420" s="3">
        <f t="shared" si="194"/>
        <v>82.137649880099332</v>
      </c>
      <c r="H420" s="3">
        <f t="shared" si="195"/>
        <v>148.0155219248214</v>
      </c>
      <c r="I420">
        <f t="shared" si="180"/>
        <v>1.4801552192482141E-4</v>
      </c>
      <c r="J420" s="4">
        <f t="shared" si="196"/>
        <v>1290.9749917287118</v>
      </c>
      <c r="K420" s="40">
        <f t="shared" si="197"/>
        <v>8.7218892649948643</v>
      </c>
      <c r="L420" s="40">
        <f t="shared" si="181"/>
        <v>0</v>
      </c>
      <c r="M420" s="10">
        <f t="shared" si="198"/>
        <v>1.3473397482477907</v>
      </c>
      <c r="N420" s="10">
        <f t="shared" si="207"/>
        <v>8.26</v>
      </c>
      <c r="O420" s="10">
        <f t="shared" si="208"/>
        <v>0.31900000000000001</v>
      </c>
      <c r="P420" s="10">
        <f t="shared" si="199"/>
        <v>9.0841280896322658</v>
      </c>
      <c r="Q420" s="45">
        <f t="shared" si="200"/>
        <v>1.349596913969586</v>
      </c>
      <c r="R420" s="4">
        <f t="shared" si="201"/>
        <v>45082.672575562283</v>
      </c>
      <c r="S420">
        <f t="shared" si="182"/>
        <v>4.508267257556228E-5</v>
      </c>
      <c r="T420" s="44">
        <f t="shared" si="183"/>
        <v>1.9078511305975314E-4</v>
      </c>
      <c r="U420" s="45">
        <f t="shared" si="202"/>
        <v>8.0903110070475293E-2</v>
      </c>
      <c r="V420" s="45">
        <f t="shared" si="203"/>
        <v>0.20615611467208855</v>
      </c>
      <c r="W420" s="45">
        <f t="shared" si="204"/>
        <v>0.20608348554056863</v>
      </c>
      <c r="X420" s="45">
        <f t="shared" si="205"/>
        <v>7.2629131519924561E-5</v>
      </c>
      <c r="Y420" s="45">
        <f t="shared" si="209"/>
        <v>7.3428956024018481E-4</v>
      </c>
      <c r="Z420" s="10">
        <f t="shared" si="206"/>
        <v>3.8487780753114014</v>
      </c>
      <c r="AA420">
        <f t="shared" si="184"/>
        <v>1345310.8676877464</v>
      </c>
      <c r="AB420" s="10">
        <f t="shared" si="185"/>
        <v>1.3453108676877463</v>
      </c>
      <c r="AC420" s="10">
        <f t="shared" si="186"/>
        <v>1.2443108676877463</v>
      </c>
      <c r="AD420" s="3">
        <f t="shared" si="187"/>
        <v>180.46568059285661</v>
      </c>
      <c r="AI420" s="100">
        <f t="shared" si="188"/>
        <v>0.20608348554056863</v>
      </c>
    </row>
    <row r="421" spans="2:35">
      <c r="B421" s="39">
        <f t="shared" si="189"/>
        <v>393</v>
      </c>
      <c r="C421" s="45">
        <f t="shared" si="190"/>
        <v>11.544964028776352</v>
      </c>
      <c r="D421" s="10">
        <f t="shared" si="191"/>
        <v>3.905035971223878</v>
      </c>
      <c r="E421" s="40">
        <f t="shared" si="192"/>
        <v>40.529928057552247</v>
      </c>
      <c r="F421" s="40">
        <f t="shared" si="193"/>
        <v>48.34</v>
      </c>
      <c r="G421" s="3">
        <f t="shared" si="194"/>
        <v>82.020143884895504</v>
      </c>
      <c r="H421" s="3">
        <f t="shared" si="195"/>
        <v>148.0155219248214</v>
      </c>
      <c r="I421">
        <f t="shared" si="180"/>
        <v>1.4801552192482141E-4</v>
      </c>
      <c r="J421" s="4">
        <f t="shared" si="196"/>
        <v>1294.7127468407748</v>
      </c>
      <c r="K421" s="40">
        <f t="shared" si="197"/>
        <v>8.747141718679833</v>
      </c>
      <c r="L421" s="40">
        <f t="shared" si="181"/>
        <v>0</v>
      </c>
      <c r="M421" s="10">
        <f t="shared" si="198"/>
        <v>1.3453108676877463</v>
      </c>
      <c r="N421" s="10">
        <f t="shared" si="207"/>
        <v>8.26</v>
      </c>
      <c r="O421" s="10">
        <f t="shared" si="208"/>
        <v>0.31900000000000001</v>
      </c>
      <c r="P421" s="10">
        <f t="shared" si="199"/>
        <v>9.0797621663326691</v>
      </c>
      <c r="Q421" s="45">
        <f t="shared" si="200"/>
        <v>1.3528322959391583</v>
      </c>
      <c r="R421" s="4">
        <f t="shared" si="201"/>
        <v>44711.606161627278</v>
      </c>
      <c r="S421">
        <f t="shared" si="182"/>
        <v>4.471160616162728E-5</v>
      </c>
      <c r="T421" s="44">
        <f t="shared" si="183"/>
        <v>1.9115617947368813E-4</v>
      </c>
      <c r="U421" s="45">
        <f t="shared" si="202"/>
        <v>8.0237212837348221E-2</v>
      </c>
      <c r="V421" s="45">
        <f t="shared" si="203"/>
        <v>0.20581719234069332</v>
      </c>
      <c r="W421" s="45">
        <f t="shared" si="204"/>
        <v>0.20574800817322372</v>
      </c>
      <c r="X421" s="45">
        <f t="shared" si="205"/>
        <v>6.918416746959366E-5</v>
      </c>
      <c r="Y421" s="45">
        <f t="shared" si="209"/>
        <v>7.3451339744819578E-4</v>
      </c>
      <c r="Z421" s="10">
        <f t="shared" si="206"/>
        <v>3.842477912409306</v>
      </c>
      <c r="AA421">
        <f t="shared" si="184"/>
        <v>1343274.0235221742</v>
      </c>
      <c r="AB421" s="10">
        <f t="shared" si="185"/>
        <v>1.3432740235221743</v>
      </c>
      <c r="AC421" s="10">
        <f t="shared" si="186"/>
        <v>1.2422740235221743</v>
      </c>
      <c r="AD421" s="3">
        <f t="shared" si="187"/>
        <v>180.17027172185269</v>
      </c>
      <c r="AI421" s="100">
        <f t="shared" si="188"/>
        <v>0.20574800817322372</v>
      </c>
    </row>
    <row r="422" spans="2:35">
      <c r="B422" s="39">
        <f t="shared" si="189"/>
        <v>394</v>
      </c>
      <c r="C422" s="45">
        <f t="shared" si="190"/>
        <v>11.574340527577309</v>
      </c>
      <c r="D422" s="10">
        <f t="shared" si="191"/>
        <v>3.875659472422921</v>
      </c>
      <c r="E422" s="40">
        <f t="shared" si="192"/>
        <v>40.588681055154161</v>
      </c>
      <c r="F422" s="40">
        <f t="shared" si="193"/>
        <v>48.34</v>
      </c>
      <c r="G422" s="3">
        <f t="shared" si="194"/>
        <v>81.902637889691675</v>
      </c>
      <c r="H422" s="3">
        <f t="shared" si="195"/>
        <v>148.0155219248214</v>
      </c>
      <c r="I422">
        <f t="shared" si="180"/>
        <v>1.4801552192482141E-4</v>
      </c>
      <c r="J422" s="4">
        <f t="shared" si="196"/>
        <v>1298.4559242078121</v>
      </c>
      <c r="K422" s="40">
        <f t="shared" si="197"/>
        <v>8.7724308053807434</v>
      </c>
      <c r="L422" s="40">
        <f t="shared" si="181"/>
        <v>0</v>
      </c>
      <c r="M422" s="10">
        <f t="shared" si="198"/>
        <v>1.3432740235221743</v>
      </c>
      <c r="N422" s="10">
        <f t="shared" si="207"/>
        <v>8.26</v>
      </c>
      <c r="O422" s="10">
        <f t="shared" si="208"/>
        <v>0.31900000000000001</v>
      </c>
      <c r="P422" s="10">
        <f t="shared" si="199"/>
        <v>9.075374593567382</v>
      </c>
      <c r="Q422" s="45">
        <f t="shared" si="200"/>
        <v>1.3560692420837042</v>
      </c>
      <c r="R422" s="4">
        <f t="shared" si="201"/>
        <v>44340.974067975134</v>
      </c>
      <c r="S422">
        <f t="shared" si="182"/>
        <v>4.4340974067975136E-5</v>
      </c>
      <c r="T422" s="44">
        <f t="shared" si="183"/>
        <v>1.9152681156734026E-4</v>
      </c>
      <c r="U422" s="45">
        <f t="shared" si="202"/>
        <v>7.9572095013684771E-2</v>
      </c>
      <c r="V422" s="45">
        <f t="shared" si="203"/>
        <v>0.2054769507933131</v>
      </c>
      <c r="W422" s="45">
        <f t="shared" si="204"/>
        <v>0.20541121401598514</v>
      </c>
      <c r="X422" s="45">
        <f t="shared" si="205"/>
        <v>6.5736777327962681E-5</v>
      </c>
      <c r="Y422" s="45">
        <f t="shared" si="209"/>
        <v>7.3472618385612238E-4</v>
      </c>
      <c r="Z422" s="10">
        <f t="shared" si="206"/>
        <v>3.8361531622834688</v>
      </c>
      <c r="AA422">
        <f t="shared" si="184"/>
        <v>1341229.230301315</v>
      </c>
      <c r="AB422" s="10">
        <f t="shared" si="185"/>
        <v>1.3412292303013149</v>
      </c>
      <c r="AC422" s="10">
        <f t="shared" si="186"/>
        <v>1.2402292303013149</v>
      </c>
      <c r="AD422" s="3">
        <f t="shared" si="187"/>
        <v>179.87370997843581</v>
      </c>
      <c r="AI422" s="100">
        <f t="shared" si="188"/>
        <v>0.20541121401598514</v>
      </c>
    </row>
    <row r="423" spans="2:35">
      <c r="B423" s="39">
        <f t="shared" si="189"/>
        <v>395</v>
      </c>
      <c r="C423" s="45">
        <f t="shared" si="190"/>
        <v>11.603717026378266</v>
      </c>
      <c r="D423" s="10">
        <f t="shared" si="191"/>
        <v>3.8462829736219639</v>
      </c>
      <c r="E423" s="40">
        <f t="shared" si="192"/>
        <v>40.647434052756076</v>
      </c>
      <c r="F423" s="40">
        <f t="shared" si="193"/>
        <v>48.34</v>
      </c>
      <c r="G423" s="3">
        <f t="shared" si="194"/>
        <v>81.785131894487847</v>
      </c>
      <c r="H423" s="3">
        <f t="shared" si="195"/>
        <v>148.0155219248214</v>
      </c>
      <c r="I423">
        <f t="shared" ref="I423:I486" si="210">H423/1000^2</f>
        <v>1.4801552192482141E-4</v>
      </c>
      <c r="J423" s="4">
        <f t="shared" si="196"/>
        <v>1302.2045238298233</v>
      </c>
      <c r="K423" s="40">
        <f t="shared" si="197"/>
        <v>8.7977565250975935</v>
      </c>
      <c r="L423" s="40">
        <f t="shared" ref="L423:L486" si="211">IF((gstar-K423)&lt;0,0,gstar-K423)</f>
        <v>0</v>
      </c>
      <c r="M423" s="10">
        <f t="shared" si="198"/>
        <v>1.3412292303013149</v>
      </c>
      <c r="N423" s="10">
        <f t="shared" si="207"/>
        <v>8.26</v>
      </c>
      <c r="O423" s="10">
        <f t="shared" si="208"/>
        <v>0.31900000000000001</v>
      </c>
      <c r="P423" s="10">
        <f t="shared" si="199"/>
        <v>9.0709653380946218</v>
      </c>
      <c r="Q423" s="45">
        <f t="shared" si="200"/>
        <v>1.3593077616575346</v>
      </c>
      <c r="R423" s="4">
        <f t="shared" si="201"/>
        <v>43970.778206048264</v>
      </c>
      <c r="S423">
        <f t="shared" ref="S423:S486" si="212">R423/1000^3</f>
        <v>4.3970778206048261E-5</v>
      </c>
      <c r="T423" s="44">
        <f t="shared" ref="T423:T486" si="213">(vc/1000^3-S423)</f>
        <v>1.9189700742926714E-4</v>
      </c>
      <c r="U423" s="45">
        <f t="shared" si="202"/>
        <v>7.8907760029663904E-2</v>
      </c>
      <c r="V423" s="45">
        <f t="shared" si="203"/>
        <v>0.20513539253835686</v>
      </c>
      <c r="W423" s="45">
        <f t="shared" si="204"/>
        <v>0.20507310547474922</v>
      </c>
      <c r="X423" s="45">
        <f t="shared" si="205"/>
        <v>6.2287063607641135E-5</v>
      </c>
      <c r="Y423" s="45">
        <f t="shared" si="209"/>
        <v>7.3492790173081211E-4</v>
      </c>
      <c r="Z423" s="10">
        <f t="shared" si="206"/>
        <v>3.829803870191697</v>
      </c>
      <c r="AA423">
        <f t="shared" ref="AA423:AA486" si="214">Z423*rat*to+patm*1000000</f>
        <v>1339176.5026570284</v>
      </c>
      <c r="AB423" s="10">
        <f t="shared" ref="AB423:AB486" si="215">AA423/1000000</f>
        <v>1.3391765026570284</v>
      </c>
      <c r="AC423" s="10">
        <f t="shared" ref="AC423:AC486" si="216">AB423-patm</f>
        <v>1.2381765026570284</v>
      </c>
      <c r="AD423" s="3">
        <f t="shared" ref="AD423:AD486" si="217">AC423*1000000/6895</f>
        <v>179.57599748470318</v>
      </c>
      <c r="AI423" s="100">
        <f t="shared" ref="AI423:AI486" si="218">($M423-patm)*1000000*$I423/SQRT(rat*to)*SQRT(k)*(2/(k+1))^((k+1)/2/(k-1))</f>
        <v>0.20507310547474922</v>
      </c>
    </row>
    <row r="424" spans="2:35">
      <c r="B424" s="39">
        <f t="shared" ref="B424:B487" si="219">1+B423</f>
        <v>396</v>
      </c>
      <c r="C424" s="45">
        <f t="shared" ref="C424:C487" si="220">xincp+C423</f>
        <v>11.633093525179223</v>
      </c>
      <c r="D424" s="10">
        <f t="shared" ref="D424:D487" si="221">(F424-E424)/2</f>
        <v>3.8169064748210069</v>
      </c>
      <c r="E424" s="40">
        <f t="shared" ref="E424:E487" si="222">E423+ci*2*xincp</f>
        <v>40.70618705035799</v>
      </c>
      <c r="F424" s="40">
        <f t="shared" ref="F424:F487" si="223">F423-osi*2*xincp</f>
        <v>48.34</v>
      </c>
      <c r="G424" s="3">
        <f t="shared" ref="G424:G487" si="224">G423-ei*n*2*xincp</f>
        <v>81.667625899284019</v>
      </c>
      <c r="H424" s="3">
        <f t="shared" ref="H424:H487" si="225">PI()/4*(dto+erate*(two-D424)/two)^2</f>
        <v>148.0155219248214</v>
      </c>
      <c r="I424">
        <f t="shared" si="210"/>
        <v>1.4801552192482141E-4</v>
      </c>
      <c r="J424" s="4">
        <f t="shared" ref="J424:J487" si="226">PI()/4*dc^2-PI()/4*(F424^2-E424^2)</f>
        <v>1305.9585457068083</v>
      </c>
      <c r="K424" s="40">
        <f t="shared" ref="K424:K487" si="227">J424/H424</f>
        <v>8.82311887783038</v>
      </c>
      <c r="L424" s="40">
        <f t="shared" si="211"/>
        <v>0</v>
      </c>
      <c r="M424" s="10">
        <f t="shared" ref="M424:M487" si="228">AB423</f>
        <v>1.3391765026570284</v>
      </c>
      <c r="N424" s="10">
        <f t="shared" si="207"/>
        <v>8.26</v>
      </c>
      <c r="O424" s="10">
        <f t="shared" si="208"/>
        <v>0.31900000000000001</v>
      </c>
      <c r="P424" s="10">
        <f t="shared" ref="P424:P487" si="229">(1+kv*L424)*N424*M424^O424</f>
        <v>9.0665343664525722</v>
      </c>
      <c r="Q424" s="45">
        <f t="shared" ref="Q424:Q487" si="230">xincp/P424+Q423</f>
        <v>1.3625478639517095</v>
      </c>
      <c r="R424" s="4">
        <f t="shared" ref="R424:R487" si="231">PI()/4*(F424^2-E424^2)*G424</f>
        <v>43601.020487289061</v>
      </c>
      <c r="S424">
        <f t="shared" si="212"/>
        <v>4.3601020487289062E-5</v>
      </c>
      <c r="T424" s="44">
        <f t="shared" si="213"/>
        <v>1.9226676514802634E-4</v>
      </c>
      <c r="U424" s="45">
        <f t="shared" ref="U424:U487" si="232">rhopgrain*R424/1000^2</f>
        <v>7.8244211315464579E-2</v>
      </c>
      <c r="V424" s="45">
        <f t="shared" ref="V424:V487" si="233">(U423-U424)/(Q424-Q423)</f>
        <v>0.20479252009798526</v>
      </c>
      <c r="W424" s="45">
        <f t="shared" ref="W424:W487" si="234">IF(V424&lt;AI424,IF(AB423&gt;pbd,AI424,0),AI424)</f>
        <v>0.20473368496890818</v>
      </c>
      <c r="X424" s="45">
        <f t="shared" ref="X424:X487" si="235">V424-W424</f>
        <v>5.8835129077089432E-5</v>
      </c>
      <c r="Y424" s="45">
        <f t="shared" si="209"/>
        <v>7.3511853356751286E-4</v>
      </c>
      <c r="Z424" s="10">
        <f t="shared" ref="Z424:Z487" si="236">Y424/T424</f>
        <v>3.8234300816448674</v>
      </c>
      <c r="AA424">
        <f t="shared" si="214"/>
        <v>1337115.855302992</v>
      </c>
      <c r="AB424" s="10">
        <f t="shared" si="215"/>
        <v>1.337115855302992</v>
      </c>
      <c r="AC424" s="10">
        <f t="shared" si="216"/>
        <v>1.2361158553029921</v>
      </c>
      <c r="AD424" s="3">
        <f t="shared" si="217"/>
        <v>179.27713637461812</v>
      </c>
      <c r="AI424" s="100">
        <f t="shared" si="218"/>
        <v>0.20473368496890818</v>
      </c>
    </row>
    <row r="425" spans="2:35">
      <c r="B425" s="39">
        <f t="shared" si="219"/>
        <v>397</v>
      </c>
      <c r="C425" s="45">
        <f t="shared" si="220"/>
        <v>11.66247002398018</v>
      </c>
      <c r="D425" s="10">
        <f t="shared" si="221"/>
        <v>3.7875299760200498</v>
      </c>
      <c r="E425" s="40">
        <f t="shared" si="222"/>
        <v>40.764940047959904</v>
      </c>
      <c r="F425" s="40">
        <f t="shared" si="223"/>
        <v>48.34</v>
      </c>
      <c r="G425" s="3">
        <f t="shared" si="224"/>
        <v>81.550119904080191</v>
      </c>
      <c r="H425" s="3">
        <f t="shared" si="225"/>
        <v>148.0155219248214</v>
      </c>
      <c r="I425">
        <f t="shared" si="210"/>
        <v>1.4801552192482141E-4</v>
      </c>
      <c r="J425" s="4">
        <f t="shared" si="226"/>
        <v>1309.7179898387674</v>
      </c>
      <c r="K425" s="40">
        <f t="shared" si="227"/>
        <v>8.848517863579108</v>
      </c>
      <c r="L425" s="40">
        <f t="shared" si="211"/>
        <v>0</v>
      </c>
      <c r="M425" s="10">
        <f t="shared" si="228"/>
        <v>1.337115855302992</v>
      </c>
      <c r="N425" s="10">
        <f t="shared" si="207"/>
        <v>8.26</v>
      </c>
      <c r="O425" s="10">
        <f t="shared" si="208"/>
        <v>0.31900000000000001</v>
      </c>
      <c r="P425" s="10">
        <f t="shared" si="229"/>
        <v>9.0620816449580648</v>
      </c>
      <c r="Q425" s="45">
        <f t="shared" si="230"/>
        <v>1.3657895582943445</v>
      </c>
      <c r="R425" s="4">
        <f t="shared" si="231"/>
        <v>43231.702823139924</v>
      </c>
      <c r="S425">
        <f t="shared" si="212"/>
        <v>4.3231702823139923E-5</v>
      </c>
      <c r="T425" s="44">
        <f t="shared" si="213"/>
        <v>1.9263608281217548E-4</v>
      </c>
      <c r="U425" s="45">
        <f t="shared" si="232"/>
        <v>7.7581452301265744E-2</v>
      </c>
      <c r="V425" s="45">
        <f t="shared" si="233"/>
        <v>0.20444833600817389</v>
      </c>
      <c r="W425" s="45">
        <f t="shared" si="234"/>
        <v>0.20439295493138288</v>
      </c>
      <c r="X425" s="45">
        <f t="shared" si="235"/>
        <v>5.538107679101123E-5</v>
      </c>
      <c r="Y425" s="45">
        <f t="shared" si="209"/>
        <v>7.352980620908353E-4</v>
      </c>
      <c r="Z425" s="10">
        <f t="shared" si="236"/>
        <v>3.8170318424080887</v>
      </c>
      <c r="AA425">
        <f t="shared" si="214"/>
        <v>1335047.3030350762</v>
      </c>
      <c r="AB425" s="10">
        <f t="shared" si="215"/>
        <v>1.3350473030350762</v>
      </c>
      <c r="AC425" s="10">
        <f t="shared" si="216"/>
        <v>1.2340473030350763</v>
      </c>
      <c r="AD425" s="3">
        <f t="shared" si="217"/>
        <v>178.97712879406473</v>
      </c>
      <c r="AI425" s="100">
        <f t="shared" si="218"/>
        <v>0.20439295493138288</v>
      </c>
    </row>
    <row r="426" spans="2:35">
      <c r="B426" s="39">
        <f t="shared" si="219"/>
        <v>398</v>
      </c>
      <c r="C426" s="45">
        <f t="shared" si="220"/>
        <v>11.691846522781137</v>
      </c>
      <c r="D426" s="10">
        <f t="shared" si="221"/>
        <v>3.7581534772190928</v>
      </c>
      <c r="E426" s="40">
        <f t="shared" si="222"/>
        <v>40.823693045561818</v>
      </c>
      <c r="F426" s="40">
        <f t="shared" si="223"/>
        <v>48.34</v>
      </c>
      <c r="G426" s="3">
        <f t="shared" si="224"/>
        <v>81.432613908876363</v>
      </c>
      <c r="H426" s="3">
        <f t="shared" si="225"/>
        <v>148.0155219248214</v>
      </c>
      <c r="I426">
        <f t="shared" si="210"/>
        <v>1.4801552192482141E-4</v>
      </c>
      <c r="J426" s="4">
        <f t="shared" si="226"/>
        <v>1313.4828562257003</v>
      </c>
      <c r="K426" s="40">
        <f t="shared" si="227"/>
        <v>8.8739534823437758</v>
      </c>
      <c r="L426" s="40">
        <f t="shared" si="211"/>
        <v>0</v>
      </c>
      <c r="M426" s="10">
        <f t="shared" si="228"/>
        <v>1.3350473030350762</v>
      </c>
      <c r="N426" s="10">
        <f t="shared" si="207"/>
        <v>8.26</v>
      </c>
      <c r="O426" s="10">
        <f t="shared" si="208"/>
        <v>0.31900000000000001</v>
      </c>
      <c r="P426" s="10">
        <f t="shared" si="229"/>
        <v>9.0576071397056186</v>
      </c>
      <c r="Q426" s="45">
        <f t="shared" si="230"/>
        <v>1.3690328540509225</v>
      </c>
      <c r="R426" s="4">
        <f t="shared" si="231"/>
        <v>42862.827125043266</v>
      </c>
      <c r="S426">
        <f t="shared" si="212"/>
        <v>4.2862827125043265E-5</v>
      </c>
      <c r="T426" s="44">
        <f t="shared" si="213"/>
        <v>1.9300495851027214E-4</v>
      </c>
      <c r="U426" s="45">
        <f t="shared" si="232"/>
        <v>7.6919486417246385E-2</v>
      </c>
      <c r="V426" s="45">
        <f t="shared" si="233"/>
        <v>0.20410284281868815</v>
      </c>
      <c r="W426" s="45">
        <f t="shared" si="234"/>
        <v>0.20405091780868481</v>
      </c>
      <c r="X426" s="45">
        <f t="shared" si="235"/>
        <v>5.1925010003339711E-5</v>
      </c>
      <c r="Y426" s="45">
        <f t="shared" si="209"/>
        <v>7.3546647025543946E-4</v>
      </c>
      <c r="Z426" s="10">
        <f t="shared" si="236"/>
        <v>3.8106091985004436</v>
      </c>
      <c r="AA426">
        <f t="shared" si="214"/>
        <v>1332970.8607312615</v>
      </c>
      <c r="AB426" s="10">
        <f t="shared" si="215"/>
        <v>1.3329708607312616</v>
      </c>
      <c r="AC426" s="10">
        <f t="shared" si="216"/>
        <v>1.2319708607312616</v>
      </c>
      <c r="AD426" s="3">
        <f t="shared" si="217"/>
        <v>178.67597690083562</v>
      </c>
      <c r="AI426" s="100">
        <f t="shared" si="218"/>
        <v>0.20405091780868481</v>
      </c>
    </row>
    <row r="427" spans="2:35">
      <c r="B427" s="39">
        <f t="shared" si="219"/>
        <v>399</v>
      </c>
      <c r="C427" s="45">
        <f t="shared" si="220"/>
        <v>11.721223021582095</v>
      </c>
      <c r="D427" s="10">
        <f t="shared" si="221"/>
        <v>3.7287769784181357</v>
      </c>
      <c r="E427" s="40">
        <f t="shared" si="222"/>
        <v>40.882446043163732</v>
      </c>
      <c r="F427" s="40">
        <f t="shared" si="223"/>
        <v>48.34</v>
      </c>
      <c r="G427" s="3">
        <f t="shared" si="224"/>
        <v>81.315107913672534</v>
      </c>
      <c r="H427" s="3">
        <f t="shared" si="225"/>
        <v>148.0155219248214</v>
      </c>
      <c r="I427">
        <f t="shared" si="210"/>
        <v>1.4801552192482141E-4</v>
      </c>
      <c r="J427" s="4">
        <f t="shared" si="226"/>
        <v>1317.253144867607</v>
      </c>
      <c r="K427" s="40">
        <f t="shared" si="227"/>
        <v>8.8994257341243799</v>
      </c>
      <c r="L427" s="40">
        <f t="shared" si="211"/>
        <v>0</v>
      </c>
      <c r="M427" s="10">
        <f t="shared" si="228"/>
        <v>1.3329708607312616</v>
      </c>
      <c r="N427" s="10">
        <f t="shared" si="207"/>
        <v>8.26</v>
      </c>
      <c r="O427" s="10">
        <f t="shared" si="208"/>
        <v>0.31900000000000001</v>
      </c>
      <c r="P427" s="10">
        <f t="shared" si="229"/>
        <v>9.0531108165654679</v>
      </c>
      <c r="Q427" s="45">
        <f t="shared" si="230"/>
        <v>1.3722777606246059</v>
      </c>
      <c r="R427" s="4">
        <f t="shared" si="231"/>
        <v>42494.395304441481</v>
      </c>
      <c r="S427">
        <f t="shared" si="212"/>
        <v>4.249439530444148E-5</v>
      </c>
      <c r="T427" s="44">
        <f t="shared" si="213"/>
        <v>1.9337339033087393E-4</v>
      </c>
      <c r="U427" s="45">
        <f t="shared" si="232"/>
        <v>7.6258317093585451E-2</v>
      </c>
      <c r="V427" s="45">
        <f t="shared" si="233"/>
        <v>0.20375604309322315</v>
      </c>
      <c r="W427" s="45">
        <f t="shared" si="234"/>
        <v>0.20370757606090242</v>
      </c>
      <c r="X427" s="45">
        <f t="shared" si="235"/>
        <v>4.8467032320725911E-5</v>
      </c>
      <c r="Y427" s="45">
        <f t="shared" si="209"/>
        <v>7.3562374124722389E-4</v>
      </c>
      <c r="Z427" s="10">
        <f t="shared" si="236"/>
        <v>3.8041621961973457</v>
      </c>
      <c r="AA427">
        <f t="shared" si="214"/>
        <v>1330886.5433524002</v>
      </c>
      <c r="AB427" s="10">
        <f t="shared" si="215"/>
        <v>1.3308865433524002</v>
      </c>
      <c r="AC427" s="10">
        <f t="shared" si="216"/>
        <v>1.2298865433524002</v>
      </c>
      <c r="AD427" s="3">
        <f t="shared" si="217"/>
        <v>178.37368286474259</v>
      </c>
      <c r="AI427" s="100">
        <f t="shared" si="218"/>
        <v>0.20370757606090242</v>
      </c>
    </row>
    <row r="428" spans="2:35">
      <c r="B428" s="39">
        <f t="shared" si="219"/>
        <v>400</v>
      </c>
      <c r="C428" s="45">
        <f t="shared" si="220"/>
        <v>11.750599520383052</v>
      </c>
      <c r="D428" s="10">
        <f t="shared" si="221"/>
        <v>3.6994004796171787</v>
      </c>
      <c r="E428" s="40">
        <f t="shared" si="222"/>
        <v>40.941199040765646</v>
      </c>
      <c r="F428" s="40">
        <f t="shared" si="223"/>
        <v>48.34</v>
      </c>
      <c r="G428" s="3">
        <f t="shared" si="224"/>
        <v>81.197601918468706</v>
      </c>
      <c r="H428" s="3">
        <f t="shared" si="225"/>
        <v>148.0155219248214</v>
      </c>
      <c r="I428">
        <f t="shared" si="210"/>
        <v>1.4801552192482141E-4</v>
      </c>
      <c r="J428" s="4">
        <f t="shared" si="226"/>
        <v>1321.0288557644876</v>
      </c>
      <c r="K428" s="40">
        <f t="shared" si="227"/>
        <v>8.9249346189209238</v>
      </c>
      <c r="L428" s="40">
        <f t="shared" si="211"/>
        <v>0</v>
      </c>
      <c r="M428" s="10">
        <f t="shared" si="228"/>
        <v>1.3308865433524002</v>
      </c>
      <c r="N428" s="10">
        <f t="shared" si="207"/>
        <v>8.26</v>
      </c>
      <c r="O428" s="10">
        <f t="shared" si="208"/>
        <v>0.31900000000000001</v>
      </c>
      <c r="P428" s="10">
        <f t="shared" si="229"/>
        <v>9.0485926411834274</v>
      </c>
      <c r="Q428" s="45">
        <f t="shared" si="230"/>
        <v>1.3755242874565528</v>
      </c>
      <c r="R428" s="4">
        <f t="shared" si="231"/>
        <v>42126.409272776982</v>
      </c>
      <c r="S428">
        <f t="shared" si="212"/>
        <v>4.2126409272776981E-5</v>
      </c>
      <c r="T428" s="44">
        <f t="shared" si="213"/>
        <v>1.9374137636253843E-4</v>
      </c>
      <c r="U428" s="45">
        <f t="shared" si="232"/>
        <v>7.5597947760461928E-2</v>
      </c>
      <c r="V428" s="45">
        <f t="shared" si="233"/>
        <v>0.20340793940936716</v>
      </c>
      <c r="W428" s="45">
        <f t="shared" si="234"/>
        <v>0.20336293216182721</v>
      </c>
      <c r="X428" s="45">
        <f t="shared" si="235"/>
        <v>4.500724753994656E-5</v>
      </c>
      <c r="Y428" s="45">
        <f t="shared" si="209"/>
        <v>7.3576985848399445E-4</v>
      </c>
      <c r="Z428" s="10">
        <f t="shared" si="236"/>
        <v>3.7976908820302051</v>
      </c>
      <c r="AA428">
        <f t="shared" si="214"/>
        <v>1328794.3659421077</v>
      </c>
      <c r="AB428" s="10">
        <f t="shared" si="215"/>
        <v>1.3287943659421078</v>
      </c>
      <c r="AC428" s="10">
        <f t="shared" si="216"/>
        <v>1.2277943659421078</v>
      </c>
      <c r="AD428" s="3">
        <f t="shared" si="217"/>
        <v>178.07024886760084</v>
      </c>
      <c r="AI428" s="100">
        <f t="shared" si="218"/>
        <v>0.20336293216182721</v>
      </c>
    </row>
    <row r="429" spans="2:35">
      <c r="B429" s="39">
        <f t="shared" si="219"/>
        <v>401</v>
      </c>
      <c r="C429" s="45">
        <f t="shared" si="220"/>
        <v>11.779976019184009</v>
      </c>
      <c r="D429" s="10">
        <f t="shared" si="221"/>
        <v>3.6700239808162216</v>
      </c>
      <c r="E429" s="40">
        <f t="shared" si="222"/>
        <v>40.99995203836756</v>
      </c>
      <c r="F429" s="40">
        <f t="shared" si="223"/>
        <v>48.34</v>
      </c>
      <c r="G429" s="3">
        <f t="shared" si="224"/>
        <v>81.080095923264878</v>
      </c>
      <c r="H429" s="3">
        <f t="shared" si="225"/>
        <v>148.0155219248214</v>
      </c>
      <c r="I429">
        <f t="shared" si="210"/>
        <v>1.4801552192482141E-4</v>
      </c>
      <c r="J429" s="4">
        <f t="shared" si="226"/>
        <v>1324.8099889163423</v>
      </c>
      <c r="K429" s="40">
        <f t="shared" si="227"/>
        <v>8.9504801367334093</v>
      </c>
      <c r="L429" s="40">
        <f t="shared" si="211"/>
        <v>0</v>
      </c>
      <c r="M429" s="10">
        <f t="shared" si="228"/>
        <v>1.3287943659421078</v>
      </c>
      <c r="N429" s="10">
        <f t="shared" si="207"/>
        <v>8.26</v>
      </c>
      <c r="O429" s="10">
        <f t="shared" si="208"/>
        <v>0.31900000000000001</v>
      </c>
      <c r="P429" s="10">
        <f t="shared" si="229"/>
        <v>9.0440525789788175</v>
      </c>
      <c r="Q429" s="45">
        <f t="shared" si="230"/>
        <v>1.3787724440262346</v>
      </c>
      <c r="R429" s="4">
        <f t="shared" si="231"/>
        <v>41758.870941492132</v>
      </c>
      <c r="S429">
        <f t="shared" si="212"/>
        <v>4.1758870941492133E-5</v>
      </c>
      <c r="T429" s="44">
        <f t="shared" si="213"/>
        <v>1.9410891469382328E-4</v>
      </c>
      <c r="U429" s="45">
        <f t="shared" si="232"/>
        <v>7.4938381848054708E-2</v>
      </c>
      <c r="V429" s="45">
        <f t="shared" si="233"/>
        <v>0.20305853435871551</v>
      </c>
      <c r="W429" s="45">
        <f t="shared" si="234"/>
        <v>0.20301698859893555</v>
      </c>
      <c r="X429" s="45">
        <f t="shared" si="235"/>
        <v>4.1545759779965108E-5</v>
      </c>
      <c r="Y429" s="45">
        <f t="shared" si="209"/>
        <v>7.3590480561656619E-4</v>
      </c>
      <c r="Z429" s="10">
        <f t="shared" si="236"/>
        <v>3.7911953027883438</v>
      </c>
      <c r="AA429">
        <f t="shared" si="214"/>
        <v>1326694.3436273837</v>
      </c>
      <c r="AB429" s="10">
        <f t="shared" si="215"/>
        <v>1.3266943436273837</v>
      </c>
      <c r="AC429" s="10">
        <f t="shared" si="216"/>
        <v>1.2256943436273837</v>
      </c>
      <c r="AD429" s="3">
        <f t="shared" si="217"/>
        <v>177.76567710331889</v>
      </c>
      <c r="AI429" s="100">
        <f t="shared" si="218"/>
        <v>0.20301698859893555</v>
      </c>
    </row>
    <row r="430" spans="2:35">
      <c r="B430" s="39">
        <f t="shared" si="219"/>
        <v>402</v>
      </c>
      <c r="C430" s="45">
        <f t="shared" si="220"/>
        <v>11.809352517984966</v>
      </c>
      <c r="D430" s="10">
        <f t="shared" si="221"/>
        <v>3.6406474820152646</v>
      </c>
      <c r="E430" s="40">
        <f t="shared" si="222"/>
        <v>41.058705035969474</v>
      </c>
      <c r="F430" s="40">
        <f t="shared" si="223"/>
        <v>48.34</v>
      </c>
      <c r="G430" s="3">
        <f t="shared" si="224"/>
        <v>80.96258992806105</v>
      </c>
      <c r="H430" s="3">
        <f t="shared" si="225"/>
        <v>148.0155219248214</v>
      </c>
      <c r="I430">
        <f t="shared" si="210"/>
        <v>1.4801552192482141E-4</v>
      </c>
      <c r="J430" s="4">
        <f t="shared" si="226"/>
        <v>1328.5965443231707</v>
      </c>
      <c r="K430" s="40">
        <f t="shared" si="227"/>
        <v>8.976062287561831</v>
      </c>
      <c r="L430" s="40">
        <f t="shared" si="211"/>
        <v>0</v>
      </c>
      <c r="M430" s="10">
        <f t="shared" si="228"/>
        <v>1.3266943436273837</v>
      </c>
      <c r="N430" s="10">
        <f t="shared" si="207"/>
        <v>8.26</v>
      </c>
      <c r="O430" s="10">
        <f t="shared" si="208"/>
        <v>0.31900000000000001</v>
      </c>
      <c r="P430" s="10">
        <f t="shared" si="229"/>
        <v>9.0394905951439881</v>
      </c>
      <c r="Q430" s="45">
        <f t="shared" si="230"/>
        <v>1.3820222398517581</v>
      </c>
      <c r="R430" s="4">
        <f t="shared" si="231"/>
        <v>41391.782222029375</v>
      </c>
      <c r="S430">
        <f t="shared" si="212"/>
        <v>4.1391782222029375E-5</v>
      </c>
      <c r="T430" s="44">
        <f t="shared" si="213"/>
        <v>1.9447600341328605E-4</v>
      </c>
      <c r="U430" s="45">
        <f t="shared" si="232"/>
        <v>7.4279622786542807E-2</v>
      </c>
      <c r="V430" s="45">
        <f t="shared" si="233"/>
        <v>0.20270783054679328</v>
      </c>
      <c r="W430" s="45">
        <f t="shared" si="234"/>
        <v>0.20266974787349154</v>
      </c>
      <c r="X430" s="45">
        <f t="shared" si="235"/>
        <v>3.8082673301742531E-5</v>
      </c>
      <c r="Y430" s="45">
        <f t="shared" si="209"/>
        <v>7.3602856652928692E-4</v>
      </c>
      <c r="Z430" s="10">
        <f t="shared" si="236"/>
        <v>3.7846755055179395</v>
      </c>
      <c r="AA430">
        <f t="shared" si="214"/>
        <v>1324586.4916182682</v>
      </c>
      <c r="AB430" s="10">
        <f t="shared" si="215"/>
        <v>1.3245864916182681</v>
      </c>
      <c r="AC430" s="10">
        <f t="shared" si="216"/>
        <v>1.2235864916182682</v>
      </c>
      <c r="AD430" s="3">
        <f t="shared" si="217"/>
        <v>177.4599697778489</v>
      </c>
      <c r="AI430" s="100">
        <f t="shared" si="218"/>
        <v>0.20266974787349154</v>
      </c>
    </row>
    <row r="431" spans="2:35">
      <c r="B431" s="39">
        <f t="shared" si="219"/>
        <v>403</v>
      </c>
      <c r="C431" s="45">
        <f t="shared" si="220"/>
        <v>11.838729016785923</v>
      </c>
      <c r="D431" s="10">
        <f t="shared" si="221"/>
        <v>3.6112709832143075</v>
      </c>
      <c r="E431" s="40">
        <f t="shared" si="222"/>
        <v>41.117458033571388</v>
      </c>
      <c r="F431" s="40">
        <f t="shared" si="223"/>
        <v>48.34</v>
      </c>
      <c r="G431" s="3">
        <f t="shared" si="224"/>
        <v>80.845083932857221</v>
      </c>
      <c r="H431" s="3">
        <f t="shared" si="225"/>
        <v>148.0155219248214</v>
      </c>
      <c r="I431">
        <f t="shared" si="210"/>
        <v>1.4801552192482141E-4</v>
      </c>
      <c r="J431" s="4">
        <f t="shared" si="226"/>
        <v>1332.3885219849733</v>
      </c>
      <c r="K431" s="40">
        <f t="shared" si="227"/>
        <v>9.0016810714061943</v>
      </c>
      <c r="L431" s="40">
        <f t="shared" si="211"/>
        <v>0</v>
      </c>
      <c r="M431" s="10">
        <f t="shared" si="228"/>
        <v>1.3245864916182681</v>
      </c>
      <c r="N431" s="10">
        <f t="shared" si="207"/>
        <v>8.26</v>
      </c>
      <c r="O431" s="10">
        <f t="shared" si="208"/>
        <v>0.31900000000000001</v>
      </c>
      <c r="P431" s="10">
        <f t="shared" si="229"/>
        <v>9.0349066546417234</v>
      </c>
      <c r="Q431" s="45">
        <f t="shared" si="230"/>
        <v>1.385273684490189</v>
      </c>
      <c r="R431" s="4">
        <f t="shared" si="231"/>
        <v>41025.145025831087</v>
      </c>
      <c r="S431">
        <f t="shared" si="212"/>
        <v>4.1025145025831087E-5</v>
      </c>
      <c r="T431" s="44">
        <f t="shared" si="213"/>
        <v>1.9484264060948433E-4</v>
      </c>
      <c r="U431" s="45">
        <f t="shared" si="232"/>
        <v>7.362167400610517E-2</v>
      </c>
      <c r="V431" s="45">
        <f t="shared" si="233"/>
        <v>0.20235583059324733</v>
      </c>
      <c r="W431" s="45">
        <f t="shared" si="234"/>
        <v>0.20232121250048998</v>
      </c>
      <c r="X431" s="45">
        <f t="shared" si="235"/>
        <v>3.4618092757343621E-5</v>
      </c>
      <c r="Y431" s="45">
        <f t="shared" si="209"/>
        <v>7.3614112534137546E-4</v>
      </c>
      <c r="Z431" s="10">
        <f t="shared" si="236"/>
        <v>3.7781315375251716</v>
      </c>
      <c r="AA431">
        <f t="shared" si="214"/>
        <v>1322470.8252088602</v>
      </c>
      <c r="AB431" s="10">
        <f t="shared" si="215"/>
        <v>1.3224708252088602</v>
      </c>
      <c r="AC431" s="10">
        <f t="shared" si="216"/>
        <v>1.2214708252088602</v>
      </c>
      <c r="AD431" s="3">
        <f t="shared" si="217"/>
        <v>177.15312910933434</v>
      </c>
      <c r="AI431" s="100">
        <f t="shared" si="218"/>
        <v>0.20232121250048998</v>
      </c>
    </row>
    <row r="432" spans="2:35">
      <c r="B432" s="39">
        <f t="shared" si="219"/>
        <v>404</v>
      </c>
      <c r="C432" s="45">
        <f t="shared" si="220"/>
        <v>11.86810551558688</v>
      </c>
      <c r="D432" s="10">
        <f t="shared" si="221"/>
        <v>3.5818944844133505</v>
      </c>
      <c r="E432" s="40">
        <f t="shared" si="222"/>
        <v>41.176211031173303</v>
      </c>
      <c r="F432" s="40">
        <f t="shared" si="223"/>
        <v>48.34</v>
      </c>
      <c r="G432" s="3">
        <f t="shared" si="224"/>
        <v>80.727577937653393</v>
      </c>
      <c r="H432" s="3">
        <f t="shared" si="225"/>
        <v>148.0155219248214</v>
      </c>
      <c r="I432">
        <f t="shared" si="210"/>
        <v>1.4801552192482141E-4</v>
      </c>
      <c r="J432" s="4">
        <f t="shared" si="226"/>
        <v>1336.1859219017497</v>
      </c>
      <c r="K432" s="40">
        <f t="shared" si="227"/>
        <v>9.0273364882664957</v>
      </c>
      <c r="L432" s="40">
        <f t="shared" si="211"/>
        <v>0</v>
      </c>
      <c r="M432" s="10">
        <f t="shared" si="228"/>
        <v>1.3224708252088602</v>
      </c>
      <c r="N432" s="10">
        <f t="shared" si="207"/>
        <v>8.26</v>
      </c>
      <c r="O432" s="10">
        <f t="shared" si="208"/>
        <v>0.31900000000000001</v>
      </c>
      <c r="P432" s="10">
        <f t="shared" si="229"/>
        <v>9.0303007222055811</v>
      </c>
      <c r="Q432" s="45">
        <f t="shared" si="230"/>
        <v>1.3885267875378782</v>
      </c>
      <c r="R432" s="4">
        <f t="shared" si="231"/>
        <v>40658.961264339676</v>
      </c>
      <c r="S432">
        <f t="shared" si="212"/>
        <v>4.0658961264339675E-5</v>
      </c>
      <c r="T432" s="44">
        <f t="shared" si="213"/>
        <v>1.9520882437097574E-4</v>
      </c>
      <c r="U432" s="45">
        <f t="shared" si="232"/>
        <v>7.2964538936920759E-2</v>
      </c>
      <c r="V432" s="45">
        <f t="shared" si="233"/>
        <v>0.2020025371317993</v>
      </c>
      <c r="W432" s="45">
        <f t="shared" si="234"/>
        <v>0.20197138500882497</v>
      </c>
      <c r="X432" s="45">
        <f t="shared" si="235"/>
        <v>3.1152122974331675E-5</v>
      </c>
      <c r="Y432" s="45">
        <f t="shared" si="209"/>
        <v>7.3624246640756525E-4</v>
      </c>
      <c r="Z432" s="10">
        <f t="shared" si="236"/>
        <v>3.7715634463757985</v>
      </c>
      <c r="AA432">
        <f t="shared" si="214"/>
        <v>1320347.3597771809</v>
      </c>
      <c r="AB432" s="10">
        <f t="shared" si="215"/>
        <v>1.3203473597771809</v>
      </c>
      <c r="AC432" s="10">
        <f t="shared" si="216"/>
        <v>1.2193473597771809</v>
      </c>
      <c r="AD432" s="3">
        <f t="shared" si="217"/>
        <v>176.84515732809007</v>
      </c>
      <c r="AI432" s="100">
        <f t="shared" si="218"/>
        <v>0.20197138500882497</v>
      </c>
    </row>
    <row r="433" spans="2:35">
      <c r="B433" s="39">
        <f t="shared" si="219"/>
        <v>405</v>
      </c>
      <c r="C433" s="45">
        <f t="shared" si="220"/>
        <v>11.897482014387837</v>
      </c>
      <c r="D433" s="10">
        <f t="shared" si="221"/>
        <v>3.5525179856123934</v>
      </c>
      <c r="E433" s="40">
        <f t="shared" si="222"/>
        <v>41.234964028775217</v>
      </c>
      <c r="F433" s="40">
        <f t="shared" si="223"/>
        <v>48.34</v>
      </c>
      <c r="G433" s="3">
        <f t="shared" si="224"/>
        <v>80.610071942449565</v>
      </c>
      <c r="H433" s="3">
        <f t="shared" si="225"/>
        <v>148.0155219248214</v>
      </c>
      <c r="I433">
        <f t="shared" si="210"/>
        <v>1.4801552192482141E-4</v>
      </c>
      <c r="J433" s="4">
        <f t="shared" si="226"/>
        <v>1339.9887440734999</v>
      </c>
      <c r="K433" s="40">
        <f t="shared" si="227"/>
        <v>9.0530285381427351</v>
      </c>
      <c r="L433" s="40">
        <f t="shared" si="211"/>
        <v>0</v>
      </c>
      <c r="M433" s="10">
        <f t="shared" si="228"/>
        <v>1.3203473597771809</v>
      </c>
      <c r="N433" s="10">
        <f t="shared" si="207"/>
        <v>8.26</v>
      </c>
      <c r="O433" s="10">
        <f t="shared" si="208"/>
        <v>0.31900000000000001</v>
      </c>
      <c r="P433" s="10">
        <f t="shared" si="229"/>
        <v>9.0256727623377149</v>
      </c>
      <c r="Q433" s="45">
        <f t="shared" si="230"/>
        <v>1.3917815586307922</v>
      </c>
      <c r="R433" s="4">
        <f t="shared" si="231"/>
        <v>40293.232848997555</v>
      </c>
      <c r="S433">
        <f t="shared" si="212"/>
        <v>4.0293232848997552E-5</v>
      </c>
      <c r="T433" s="44">
        <f t="shared" si="213"/>
        <v>1.9557455278631787E-4</v>
      </c>
      <c r="U433" s="45">
        <f t="shared" si="232"/>
        <v>7.2308221009168561E-2</v>
      </c>
      <c r="V433" s="45">
        <f t="shared" si="233"/>
        <v>0.20164795281028036</v>
      </c>
      <c r="W433" s="45">
        <f t="shared" si="234"/>
        <v>0.20162026794126728</v>
      </c>
      <c r="X433" s="45">
        <f t="shared" si="235"/>
        <v>2.7684869013083757E-5</v>
      </c>
      <c r="Y433" s="45">
        <f t="shared" si="209"/>
        <v>7.3633257431894019E-4</v>
      </c>
      <c r="Z433" s="10">
        <f t="shared" si="236"/>
        <v>3.7649712798957404</v>
      </c>
      <c r="AA433">
        <f t="shared" si="214"/>
        <v>1318216.1107853618</v>
      </c>
      <c r="AB433" s="10">
        <f t="shared" si="215"/>
        <v>1.3182161107853618</v>
      </c>
      <c r="AC433" s="10">
        <f t="shared" si="216"/>
        <v>1.2172161107853618</v>
      </c>
      <c r="AD433" s="3">
        <f t="shared" si="217"/>
        <v>176.5360566766297</v>
      </c>
      <c r="AI433" s="100">
        <f t="shared" si="218"/>
        <v>0.20162026794126728</v>
      </c>
    </row>
    <row r="434" spans="2:35">
      <c r="B434" s="39">
        <f t="shared" si="219"/>
        <v>406</v>
      </c>
      <c r="C434" s="45">
        <f t="shared" si="220"/>
        <v>11.926858513188794</v>
      </c>
      <c r="D434" s="10">
        <f t="shared" si="221"/>
        <v>3.5231414868114364</v>
      </c>
      <c r="E434" s="40">
        <f t="shared" si="222"/>
        <v>41.293717026377131</v>
      </c>
      <c r="F434" s="40">
        <f t="shared" si="223"/>
        <v>48.34</v>
      </c>
      <c r="G434" s="3">
        <f t="shared" si="224"/>
        <v>80.492565947245737</v>
      </c>
      <c r="H434" s="3">
        <f t="shared" si="225"/>
        <v>148.0155219248214</v>
      </c>
      <c r="I434">
        <f t="shared" si="210"/>
        <v>1.4801552192482141E-4</v>
      </c>
      <c r="J434" s="4">
        <f t="shared" si="226"/>
        <v>1343.796988500224</v>
      </c>
      <c r="K434" s="40">
        <f t="shared" si="227"/>
        <v>9.0787572210349143</v>
      </c>
      <c r="L434" s="40">
        <f t="shared" si="211"/>
        <v>0</v>
      </c>
      <c r="M434" s="10">
        <f t="shared" si="228"/>
        <v>1.3182161107853618</v>
      </c>
      <c r="N434" s="10">
        <f t="shared" si="207"/>
        <v>8.26</v>
      </c>
      <c r="O434" s="10">
        <f t="shared" si="208"/>
        <v>0.31900000000000001</v>
      </c>
      <c r="P434" s="10">
        <f t="shared" si="229"/>
        <v>9.0210227393073801</v>
      </c>
      <c r="Q434" s="45">
        <f t="shared" si="230"/>
        <v>1.3950380074448447</v>
      </c>
      <c r="R434" s="4">
        <f t="shared" si="231"/>
        <v>39927.96169124711</v>
      </c>
      <c r="S434">
        <f t="shared" si="212"/>
        <v>3.992796169124711E-5</v>
      </c>
      <c r="T434" s="44">
        <f t="shared" si="213"/>
        <v>1.9593982394406831E-4</v>
      </c>
      <c r="U434" s="45">
        <f t="shared" si="232"/>
        <v>7.1652723653027495E-2</v>
      </c>
      <c r="V434" s="45">
        <f t="shared" si="233"/>
        <v>0.2012920802907775</v>
      </c>
      <c r="W434" s="45">
        <f t="shared" si="234"/>
        <v>0.20126786385449527</v>
      </c>
      <c r="X434" s="45">
        <f t="shared" si="235"/>
        <v>2.4216436282226139E-5</v>
      </c>
      <c r="Y434" s="45">
        <f t="shared" si="209"/>
        <v>7.3641143390415205E-4</v>
      </c>
      <c r="Z434" s="10">
        <f t="shared" si="236"/>
        <v>3.7583550861736161</v>
      </c>
      <c r="AA434">
        <f t="shared" si="214"/>
        <v>1316077.0937804645</v>
      </c>
      <c r="AB434" s="10">
        <f t="shared" si="215"/>
        <v>1.3160770937804644</v>
      </c>
      <c r="AC434" s="10">
        <f t="shared" si="216"/>
        <v>1.2150770937804645</v>
      </c>
      <c r="AD434" s="3">
        <f t="shared" si="217"/>
        <v>176.22582940978455</v>
      </c>
      <c r="AI434" s="100">
        <f t="shared" si="218"/>
        <v>0.20126786385449527</v>
      </c>
    </row>
    <row r="435" spans="2:35">
      <c r="B435" s="39">
        <f t="shared" si="219"/>
        <v>407</v>
      </c>
      <c r="C435" s="45">
        <f t="shared" si="220"/>
        <v>11.956235011989751</v>
      </c>
      <c r="D435" s="10">
        <f t="shared" si="221"/>
        <v>3.4937649880104793</v>
      </c>
      <c r="E435" s="40">
        <f t="shared" si="222"/>
        <v>41.352470023979045</v>
      </c>
      <c r="F435" s="40">
        <f t="shared" si="223"/>
        <v>48.34</v>
      </c>
      <c r="G435" s="3">
        <f t="shared" si="224"/>
        <v>80.375059952041909</v>
      </c>
      <c r="H435" s="3">
        <f t="shared" si="225"/>
        <v>148.0155219248214</v>
      </c>
      <c r="I435">
        <f t="shared" si="210"/>
        <v>1.4801552192482141E-4</v>
      </c>
      <c r="J435" s="4">
        <f t="shared" si="226"/>
        <v>1347.6106551819221</v>
      </c>
      <c r="K435" s="40">
        <f t="shared" si="227"/>
        <v>9.1045225369430334</v>
      </c>
      <c r="L435" s="40">
        <f t="shared" si="211"/>
        <v>0</v>
      </c>
      <c r="M435" s="10">
        <f t="shared" si="228"/>
        <v>1.3160770937804644</v>
      </c>
      <c r="N435" s="10">
        <f t="shared" si="207"/>
        <v>8.26</v>
      </c>
      <c r="O435" s="10">
        <f t="shared" si="208"/>
        <v>0.31900000000000001</v>
      </c>
      <c r="P435" s="10">
        <f t="shared" si="229"/>
        <v>9.0163506171508097</v>
      </c>
      <c r="Q435" s="45">
        <f t="shared" si="230"/>
        <v>1.398296143696232</v>
      </c>
      <c r="R435" s="4">
        <f t="shared" si="231"/>
        <v>39563.149702530733</v>
      </c>
      <c r="S435">
        <f t="shared" si="212"/>
        <v>3.9563149702530734E-5</v>
      </c>
      <c r="T435" s="44">
        <f t="shared" si="213"/>
        <v>1.9630463593278469E-4</v>
      </c>
      <c r="U435" s="45">
        <f t="shared" si="232"/>
        <v>7.0998050298676521E-2</v>
      </c>
      <c r="V435" s="45">
        <f t="shared" si="233"/>
        <v>0.20093492224956008</v>
      </c>
      <c r="W435" s="45">
        <f t="shared" si="234"/>
        <v>0.2009141753192307</v>
      </c>
      <c r="X435" s="45">
        <f t="shared" si="235"/>
        <v>2.0746930329385016E-5</v>
      </c>
      <c r="Y435" s="45">
        <f t="shared" si="209"/>
        <v>7.3647903022996323E-4</v>
      </c>
      <c r="Z435" s="10">
        <f t="shared" si="236"/>
        <v>3.7517149135598404</v>
      </c>
      <c r="AA435">
        <f t="shared" si="214"/>
        <v>1313930.32439419</v>
      </c>
      <c r="AB435" s="10">
        <f t="shared" si="215"/>
        <v>1.31393032439419</v>
      </c>
      <c r="AC435" s="10">
        <f t="shared" si="216"/>
        <v>1.21293032439419</v>
      </c>
      <c r="AD435" s="3">
        <f t="shared" si="217"/>
        <v>175.91447779466134</v>
      </c>
      <c r="AI435" s="100">
        <f t="shared" si="218"/>
        <v>0.2009141753192307</v>
      </c>
    </row>
    <row r="436" spans="2:35">
      <c r="B436" s="39">
        <f t="shared" si="219"/>
        <v>408</v>
      </c>
      <c r="C436" s="45">
        <f t="shared" si="220"/>
        <v>11.985611510790708</v>
      </c>
      <c r="D436" s="10">
        <f t="shared" si="221"/>
        <v>3.4643884892095222</v>
      </c>
      <c r="E436" s="40">
        <f t="shared" si="222"/>
        <v>41.411223021580959</v>
      </c>
      <c r="F436" s="40">
        <f t="shared" si="223"/>
        <v>48.34</v>
      </c>
      <c r="G436" s="3">
        <f t="shared" si="224"/>
        <v>80.25755395683808</v>
      </c>
      <c r="H436" s="3">
        <f t="shared" si="225"/>
        <v>148.0155219248214</v>
      </c>
      <c r="I436">
        <f t="shared" si="210"/>
        <v>1.4801552192482141E-4</v>
      </c>
      <c r="J436" s="4">
        <f t="shared" si="226"/>
        <v>1351.429744118594</v>
      </c>
      <c r="K436" s="40">
        <f t="shared" si="227"/>
        <v>9.1303244858670904</v>
      </c>
      <c r="L436" s="40">
        <f t="shared" si="211"/>
        <v>0</v>
      </c>
      <c r="M436" s="10">
        <f t="shared" si="228"/>
        <v>1.31393032439419</v>
      </c>
      <c r="N436" s="10">
        <f t="shared" si="207"/>
        <v>8.26</v>
      </c>
      <c r="O436" s="10">
        <f t="shared" si="208"/>
        <v>0.31900000000000001</v>
      </c>
      <c r="P436" s="10">
        <f t="shared" si="229"/>
        <v>9.0116563596686383</v>
      </c>
      <c r="Q436" s="45">
        <f t="shared" si="230"/>
        <v>1.4015559771417716</v>
      </c>
      <c r="R436" s="4">
        <f t="shared" si="231"/>
        <v>39198.798794290844</v>
      </c>
      <c r="S436">
        <f t="shared" si="212"/>
        <v>3.9198798794290844E-5</v>
      </c>
      <c r="T436" s="44">
        <f t="shared" si="213"/>
        <v>1.9666898684102458E-4</v>
      </c>
      <c r="U436" s="45">
        <f t="shared" si="232"/>
        <v>7.0344204376294628E-2</v>
      </c>
      <c r="V436" s="45">
        <f t="shared" si="233"/>
        <v>0.20057648137715303</v>
      </c>
      <c r="W436" s="45">
        <f t="shared" si="234"/>
        <v>0.2005592049201905</v>
      </c>
      <c r="X436" s="45">
        <f t="shared" si="235"/>
        <v>1.7276456962533882E-5</v>
      </c>
      <c r="Y436" s="45">
        <f t="shared" si="209"/>
        <v>7.3653534860219016E-4</v>
      </c>
      <c r="Z436" s="10">
        <f t="shared" si="236"/>
        <v>3.7450508106677804</v>
      </c>
      <c r="AA436">
        <f t="shared" si="214"/>
        <v>1311775.818343251</v>
      </c>
      <c r="AB436" s="10">
        <f t="shared" si="215"/>
        <v>1.3117758183432511</v>
      </c>
      <c r="AC436" s="10">
        <f t="shared" si="216"/>
        <v>1.2107758183432511</v>
      </c>
      <c r="AD436" s="3">
        <f t="shared" si="217"/>
        <v>175.6020041106963</v>
      </c>
      <c r="AI436" s="100">
        <f t="shared" si="218"/>
        <v>0.2005592049201905</v>
      </c>
    </row>
    <row r="437" spans="2:35">
      <c r="B437" s="39">
        <f t="shared" si="219"/>
        <v>409</v>
      </c>
      <c r="C437" s="45">
        <f t="shared" si="220"/>
        <v>12.014988009591665</v>
      </c>
      <c r="D437" s="10">
        <f t="shared" si="221"/>
        <v>3.4350119904085652</v>
      </c>
      <c r="E437" s="40">
        <f t="shared" si="222"/>
        <v>41.469976019182873</v>
      </c>
      <c r="F437" s="40">
        <f t="shared" si="223"/>
        <v>48.34</v>
      </c>
      <c r="G437" s="3">
        <f t="shared" si="224"/>
        <v>80.140047961634252</v>
      </c>
      <c r="H437" s="3">
        <f t="shared" si="225"/>
        <v>148.0155219248214</v>
      </c>
      <c r="I437">
        <f t="shared" si="210"/>
        <v>1.4801552192482141E-4</v>
      </c>
      <c r="J437" s="4">
        <f t="shared" si="226"/>
        <v>1355.2542553102401</v>
      </c>
      <c r="K437" s="40">
        <f t="shared" si="227"/>
        <v>9.1561630678070891</v>
      </c>
      <c r="L437" s="40">
        <f t="shared" si="211"/>
        <v>0</v>
      </c>
      <c r="M437" s="10">
        <f t="shared" si="228"/>
        <v>1.3117758183432511</v>
      </c>
      <c r="N437" s="10">
        <f t="shared" si="207"/>
        <v>8.26</v>
      </c>
      <c r="O437" s="10">
        <f t="shared" si="208"/>
        <v>0.31900000000000001</v>
      </c>
      <c r="P437" s="10">
        <f t="shared" si="229"/>
        <v>9.0069399304247622</v>
      </c>
      <c r="Q437" s="45">
        <f t="shared" si="230"/>
        <v>1.4048175175792432</v>
      </c>
      <c r="R437" s="4">
        <f t="shared" si="231"/>
        <v>38834.910877969836</v>
      </c>
      <c r="S437">
        <f t="shared" si="212"/>
        <v>3.8834910877969833E-5</v>
      </c>
      <c r="T437" s="44">
        <f t="shared" si="213"/>
        <v>1.9703287475734559E-4</v>
      </c>
      <c r="U437" s="45">
        <f t="shared" si="232"/>
        <v>6.9691189316060762E-2</v>
      </c>
      <c r="V437" s="45">
        <f t="shared" si="233"/>
        <v>0.2002167603784456</v>
      </c>
      <c r="W437" s="45">
        <f t="shared" si="234"/>
        <v>0.20020295525614823</v>
      </c>
      <c r="X437" s="45">
        <f t="shared" si="235"/>
        <v>1.3805122297372296E-5</v>
      </c>
      <c r="Y437" s="45">
        <f t="shared" si="209"/>
        <v>7.3658037456680728E-4</v>
      </c>
      <c r="Z437" s="10">
        <f t="shared" si="236"/>
        <v>3.738362826375738</v>
      </c>
      <c r="AA437">
        <f t="shared" si="214"/>
        <v>1309613.5914300145</v>
      </c>
      <c r="AB437" s="10">
        <f t="shared" si="215"/>
        <v>1.3096135914300144</v>
      </c>
      <c r="AC437" s="10">
        <f t="shared" si="216"/>
        <v>1.2086135914300145</v>
      </c>
      <c r="AD437" s="3">
        <f t="shared" si="217"/>
        <v>175.2884106497483</v>
      </c>
      <c r="AI437" s="100">
        <f t="shared" si="218"/>
        <v>0.20020295525614823</v>
      </c>
    </row>
    <row r="438" spans="2:35">
      <c r="B438" s="39">
        <f t="shared" si="219"/>
        <v>410</v>
      </c>
      <c r="C438" s="45">
        <f t="shared" si="220"/>
        <v>12.044364508392622</v>
      </c>
      <c r="D438" s="10">
        <f t="shared" si="221"/>
        <v>3.4056354916076081</v>
      </c>
      <c r="E438" s="40">
        <f t="shared" si="222"/>
        <v>41.528729016784787</v>
      </c>
      <c r="F438" s="40">
        <f t="shared" si="223"/>
        <v>48.34</v>
      </c>
      <c r="G438" s="3">
        <f t="shared" si="224"/>
        <v>80.022541966430424</v>
      </c>
      <c r="H438" s="3">
        <f t="shared" si="225"/>
        <v>148.0155219248214</v>
      </c>
      <c r="I438">
        <f t="shared" si="210"/>
        <v>1.4801552192482141E-4</v>
      </c>
      <c r="J438" s="4">
        <f t="shared" si="226"/>
        <v>1359.0841887568599</v>
      </c>
      <c r="K438" s="40">
        <f t="shared" si="227"/>
        <v>9.182038282763024</v>
      </c>
      <c r="L438" s="40">
        <f t="shared" si="211"/>
        <v>0</v>
      </c>
      <c r="M438" s="10">
        <f t="shared" si="228"/>
        <v>1.3096135914300144</v>
      </c>
      <c r="N438" s="10">
        <f t="shared" si="207"/>
        <v>8.26</v>
      </c>
      <c r="O438" s="10">
        <f t="shared" si="208"/>
        <v>0.31900000000000001</v>
      </c>
      <c r="P438" s="10">
        <f t="shared" si="229"/>
        <v>9.0022012927457773</v>
      </c>
      <c r="Q438" s="45">
        <f t="shared" si="230"/>
        <v>1.4080807748477326</v>
      </c>
      <c r="R438" s="4">
        <f t="shared" si="231"/>
        <v>38471.487865010116</v>
      </c>
      <c r="S438">
        <f t="shared" si="212"/>
        <v>3.8471487865010114E-5</v>
      </c>
      <c r="T438" s="44">
        <f t="shared" si="213"/>
        <v>1.9739629777030529E-4</v>
      </c>
      <c r="U438" s="45">
        <f t="shared" si="232"/>
        <v>6.9039008548153896E-2</v>
      </c>
      <c r="V438" s="45">
        <f t="shared" si="233"/>
        <v>0.19985576197268812</v>
      </c>
      <c r="W438" s="45">
        <f t="shared" si="234"/>
        <v>0.19984542894004073</v>
      </c>
      <c r="X438" s="45">
        <f t="shared" si="235"/>
        <v>1.0333032647386053E-5</v>
      </c>
      <c r="Y438" s="45">
        <f t="shared" si="209"/>
        <v>7.3661409391069944E-4</v>
      </c>
      <c r="Z438" s="10">
        <f t="shared" si="236"/>
        <v>3.7316510098271447</v>
      </c>
      <c r="AA438">
        <f t="shared" si="214"/>
        <v>1307443.6595425631</v>
      </c>
      <c r="AB438" s="10">
        <f t="shared" si="215"/>
        <v>1.3074436595425631</v>
      </c>
      <c r="AC438" s="10">
        <f t="shared" si="216"/>
        <v>1.2064436595425632</v>
      </c>
      <c r="AD438" s="3">
        <f t="shared" si="217"/>
        <v>174.97369971610777</v>
      </c>
      <c r="AI438" s="100">
        <f t="shared" si="218"/>
        <v>0.19984542894004073</v>
      </c>
    </row>
    <row r="439" spans="2:35">
      <c r="B439" s="39">
        <f t="shared" si="219"/>
        <v>411</v>
      </c>
      <c r="C439" s="45">
        <f t="shared" si="220"/>
        <v>12.073741007193579</v>
      </c>
      <c r="D439" s="10">
        <f t="shared" si="221"/>
        <v>3.3762589928066511</v>
      </c>
      <c r="E439" s="40">
        <f t="shared" si="222"/>
        <v>41.587482014386701</v>
      </c>
      <c r="F439" s="40">
        <f t="shared" si="223"/>
        <v>48.34</v>
      </c>
      <c r="G439" s="3">
        <f t="shared" si="224"/>
        <v>79.905035971226596</v>
      </c>
      <c r="H439" s="3">
        <f t="shared" si="225"/>
        <v>148.0155219248214</v>
      </c>
      <c r="I439">
        <f t="shared" si="210"/>
        <v>1.4801552192482141E-4</v>
      </c>
      <c r="J439" s="4">
        <f t="shared" si="226"/>
        <v>1362.9195444584536</v>
      </c>
      <c r="K439" s="40">
        <f t="shared" si="227"/>
        <v>9.2079501307349005</v>
      </c>
      <c r="L439" s="40">
        <f t="shared" si="211"/>
        <v>0</v>
      </c>
      <c r="M439" s="10">
        <f t="shared" si="228"/>
        <v>1.3074436595425631</v>
      </c>
      <c r="N439" s="10">
        <f t="shared" si="207"/>
        <v>8.26</v>
      </c>
      <c r="O439" s="10">
        <f t="shared" si="208"/>
        <v>0.31900000000000001</v>
      </c>
      <c r="P439" s="10">
        <f t="shared" si="229"/>
        <v>8.9974404097191236</v>
      </c>
      <c r="Q439" s="45">
        <f t="shared" si="230"/>
        <v>1.4113457588279794</v>
      </c>
      <c r="R439" s="4">
        <f t="shared" si="231"/>
        <v>38108.531666854069</v>
      </c>
      <c r="S439">
        <f t="shared" si="212"/>
        <v>3.8108531666854072E-5</v>
      </c>
      <c r="T439" s="44">
        <f t="shared" si="213"/>
        <v>1.9775925396846135E-4</v>
      </c>
      <c r="U439" s="45">
        <f t="shared" si="232"/>
        <v>6.8387665502752965E-2</v>
      </c>
      <c r="V439" s="45">
        <f t="shared" si="233"/>
        <v>0.1994934888935358</v>
      </c>
      <c r="W439" s="45">
        <f t="shared" si="234"/>
        <v>0.19948662859897778</v>
      </c>
      <c r="X439" s="45">
        <f t="shared" si="235"/>
        <v>6.8602945580142904E-6</v>
      </c>
      <c r="Y439" s="45">
        <f t="shared" si="209"/>
        <v>7.3663649266253114E-4</v>
      </c>
      <c r="Z439" s="10">
        <f t="shared" si="236"/>
        <v>3.724915410431362</v>
      </c>
      <c r="AA439">
        <f t="shared" si="214"/>
        <v>1305266.0386549558</v>
      </c>
      <c r="AB439" s="10">
        <f t="shared" si="215"/>
        <v>1.3052660386549557</v>
      </c>
      <c r="AC439" s="10">
        <f t="shared" si="216"/>
        <v>1.2042660386549557</v>
      </c>
      <c r="AD439" s="3">
        <f t="shared" si="217"/>
        <v>174.65787362653455</v>
      </c>
      <c r="AI439" s="100">
        <f t="shared" si="218"/>
        <v>0.19948662859897778</v>
      </c>
    </row>
    <row r="440" spans="2:35">
      <c r="B440" s="39">
        <f t="shared" si="219"/>
        <v>412</v>
      </c>
      <c r="C440" s="45">
        <f t="shared" si="220"/>
        <v>12.103117505994536</v>
      </c>
      <c r="D440" s="10">
        <f t="shared" si="221"/>
        <v>3.346882494005694</v>
      </c>
      <c r="E440" s="40">
        <f t="shared" si="222"/>
        <v>41.646235011988615</v>
      </c>
      <c r="F440" s="40">
        <f t="shared" si="223"/>
        <v>48.34</v>
      </c>
      <c r="G440" s="3">
        <f t="shared" si="224"/>
        <v>79.787529976022768</v>
      </c>
      <c r="H440" s="3">
        <f t="shared" si="225"/>
        <v>148.0155219248214</v>
      </c>
      <c r="I440">
        <f t="shared" si="210"/>
        <v>1.4801552192482141E-4</v>
      </c>
      <c r="J440" s="4">
        <f t="shared" si="226"/>
        <v>1366.7603224150212</v>
      </c>
      <c r="K440" s="40">
        <f t="shared" si="227"/>
        <v>9.2338986117227133</v>
      </c>
      <c r="L440" s="40">
        <f t="shared" si="211"/>
        <v>0</v>
      </c>
      <c r="M440" s="10">
        <f t="shared" si="228"/>
        <v>1.3052660386549557</v>
      </c>
      <c r="N440" s="10">
        <f t="shared" si="207"/>
        <v>8.26</v>
      </c>
      <c r="O440" s="10">
        <f t="shared" si="208"/>
        <v>0.31900000000000001</v>
      </c>
      <c r="P440" s="10">
        <f t="shared" si="229"/>
        <v>8.9926572441916566</v>
      </c>
      <c r="Q440" s="45">
        <f t="shared" si="230"/>
        <v>1.4146124794427268</v>
      </c>
      <c r="R440" s="4">
        <f t="shared" si="231"/>
        <v>37746.044194944116</v>
      </c>
      <c r="S440">
        <f t="shared" si="212"/>
        <v>3.7746044194944112E-5</v>
      </c>
      <c r="T440" s="44">
        <f t="shared" si="213"/>
        <v>1.9812174144037131E-4</v>
      </c>
      <c r="U440" s="45">
        <f t="shared" si="232"/>
        <v>6.7737163610036955E-2</v>
      </c>
      <c r="V440" s="45">
        <f t="shared" si="233"/>
        <v>0.19912994388909691</v>
      </c>
      <c r="W440" s="45">
        <f t="shared" si="234"/>
        <v>0.19912655687428557</v>
      </c>
      <c r="X440" s="45">
        <f t="shared" si="235"/>
        <v>3.3870148113401832E-6</v>
      </c>
      <c r="Y440" s="45">
        <f t="shared" si="209"/>
        <v>7.3664755709363782E-4</v>
      </c>
      <c r="Z440" s="10">
        <f t="shared" si="236"/>
        <v>3.7181560778646126</v>
      </c>
      <c r="AA440">
        <f t="shared" si="214"/>
        <v>1303080.7448275269</v>
      </c>
      <c r="AB440" s="10">
        <f t="shared" si="215"/>
        <v>1.3030807448275268</v>
      </c>
      <c r="AC440" s="10">
        <f t="shared" si="216"/>
        <v>1.2020807448275268</v>
      </c>
      <c r="AD440" s="3">
        <f t="shared" si="217"/>
        <v>174.34093471030121</v>
      </c>
      <c r="AI440" s="100">
        <f t="shared" si="218"/>
        <v>0.19912655687428557</v>
      </c>
    </row>
    <row r="441" spans="2:35">
      <c r="B441" s="39">
        <f t="shared" si="219"/>
        <v>413</v>
      </c>
      <c r="C441" s="45">
        <f t="shared" si="220"/>
        <v>12.132494004795493</v>
      </c>
      <c r="D441" s="10">
        <f t="shared" si="221"/>
        <v>3.317505995204737</v>
      </c>
      <c r="E441" s="40">
        <f t="shared" si="222"/>
        <v>41.704988009590529</v>
      </c>
      <c r="F441" s="40">
        <f t="shared" si="223"/>
        <v>48.34</v>
      </c>
      <c r="G441" s="3">
        <f t="shared" si="224"/>
        <v>79.670023980818939</v>
      </c>
      <c r="H441" s="3">
        <f t="shared" si="225"/>
        <v>148.0155219248214</v>
      </c>
      <c r="I441">
        <f t="shared" si="210"/>
        <v>1.4801552192482141E-4</v>
      </c>
      <c r="J441" s="4">
        <f t="shared" si="226"/>
        <v>1370.6065226265628</v>
      </c>
      <c r="K441" s="40">
        <f t="shared" si="227"/>
        <v>9.2598837257264677</v>
      </c>
      <c r="L441" s="40">
        <f t="shared" si="211"/>
        <v>0</v>
      </c>
      <c r="M441" s="10">
        <f t="shared" si="228"/>
        <v>1.3030807448275268</v>
      </c>
      <c r="N441" s="10">
        <f t="shared" si="207"/>
        <v>8.26</v>
      </c>
      <c r="O441" s="10">
        <f t="shared" si="208"/>
        <v>0.31900000000000001</v>
      </c>
      <c r="P441" s="10">
        <f t="shared" si="229"/>
        <v>8.9878517587682669</v>
      </c>
      <c r="Q441" s="45">
        <f t="shared" si="230"/>
        <v>1.4178809466570752</v>
      </c>
      <c r="R441" s="4">
        <f t="shared" si="231"/>
        <v>37384.027360722641</v>
      </c>
      <c r="S441">
        <f t="shared" si="212"/>
        <v>3.7384027360722642E-5</v>
      </c>
      <c r="T441" s="44">
        <f t="shared" si="213"/>
        <v>1.9848375827459278E-4</v>
      </c>
      <c r="U441" s="45">
        <f t="shared" si="232"/>
        <v>6.7087506300184799E-2</v>
      </c>
      <c r="V441" s="45">
        <f t="shared" si="233"/>
        <v>0.19876512972203</v>
      </c>
      <c r="W441" s="45">
        <f t="shared" si="234"/>
        <v>0.19876521642155587</v>
      </c>
      <c r="X441" s="45">
        <f t="shared" si="235"/>
        <v>-8.6699525864153415E-8</v>
      </c>
      <c r="Y441" s="45">
        <f t="shared" si="209"/>
        <v>7.3664727371908006E-4</v>
      </c>
      <c r="Z441" s="10">
        <f t="shared" si="236"/>
        <v>3.7113730620717278</v>
      </c>
      <c r="AA441">
        <f t="shared" si="214"/>
        <v>1300887.7942074521</v>
      </c>
      <c r="AB441" s="10">
        <f t="shared" si="215"/>
        <v>1.3008877942074522</v>
      </c>
      <c r="AC441" s="10">
        <f t="shared" si="216"/>
        <v>1.1998877942074522</v>
      </c>
      <c r="AD441" s="3">
        <f t="shared" si="217"/>
        <v>174.02288530927515</v>
      </c>
      <c r="AI441" s="100">
        <f t="shared" si="218"/>
        <v>0.19876521642155587</v>
      </c>
    </row>
    <row r="442" spans="2:35">
      <c r="B442" s="39">
        <f t="shared" si="219"/>
        <v>414</v>
      </c>
      <c r="C442" s="45">
        <f t="shared" si="220"/>
        <v>12.16187050359645</v>
      </c>
      <c r="D442" s="10">
        <f t="shared" si="221"/>
        <v>3.2881294964037799</v>
      </c>
      <c r="E442" s="40">
        <f t="shared" si="222"/>
        <v>41.763741007192444</v>
      </c>
      <c r="F442" s="40">
        <f t="shared" si="223"/>
        <v>48.34</v>
      </c>
      <c r="G442" s="3">
        <f t="shared" si="224"/>
        <v>79.552517985615111</v>
      </c>
      <c r="H442" s="3">
        <f t="shared" si="225"/>
        <v>148.0155219248214</v>
      </c>
      <c r="I442">
        <f t="shared" si="210"/>
        <v>1.4801552192482141E-4</v>
      </c>
      <c r="J442" s="4">
        <f t="shared" si="226"/>
        <v>1374.4581450930782</v>
      </c>
      <c r="K442" s="40">
        <f t="shared" si="227"/>
        <v>9.2859054727461601</v>
      </c>
      <c r="L442" s="40">
        <f t="shared" si="211"/>
        <v>0</v>
      </c>
      <c r="M442" s="10">
        <f t="shared" si="228"/>
        <v>1.3008877942074522</v>
      </c>
      <c r="N442" s="10">
        <f t="shared" si="207"/>
        <v>8.26</v>
      </c>
      <c r="O442" s="10">
        <f t="shared" si="208"/>
        <v>0.31900000000000001</v>
      </c>
      <c r="P442" s="10">
        <f t="shared" si="229"/>
        <v>8.9830239158110974</v>
      </c>
      <c r="Q442" s="45">
        <f t="shared" si="230"/>
        <v>1.4211511704788389</v>
      </c>
      <c r="R442" s="4">
        <f t="shared" si="231"/>
        <v>37022.483075632059</v>
      </c>
      <c r="S442">
        <f t="shared" si="212"/>
        <v>3.702248307563206E-5</v>
      </c>
      <c r="T442" s="44">
        <f t="shared" si="213"/>
        <v>1.9884530255968335E-4</v>
      </c>
      <c r="U442" s="45">
        <f t="shared" si="232"/>
        <v>6.6438697003375499E-2</v>
      </c>
      <c r="V442" s="45">
        <f t="shared" si="233"/>
        <v>0.19839904916948112</v>
      </c>
      <c r="W442" s="45">
        <f t="shared" si="234"/>
        <v>0.19840260991073994</v>
      </c>
      <c r="X442" s="45">
        <f t="shared" si="235"/>
        <v>-3.5607412588178899E-6</v>
      </c>
      <c r="Y442" s="45">
        <f t="shared" si="209"/>
        <v>7.3663562929819236E-4</v>
      </c>
      <c r="Z442" s="10">
        <f t="shared" si="236"/>
        <v>3.7045664132653644</v>
      </c>
      <c r="AA442">
        <f t="shared" si="214"/>
        <v>1298687.2030284954</v>
      </c>
      <c r="AB442" s="10">
        <f t="shared" si="215"/>
        <v>1.2986872030284955</v>
      </c>
      <c r="AC442" s="10">
        <f t="shared" si="216"/>
        <v>1.1976872030284955</v>
      </c>
      <c r="AD442" s="3">
        <f t="shared" si="217"/>
        <v>173.70372777788185</v>
      </c>
      <c r="AI442" s="100">
        <f t="shared" si="218"/>
        <v>0.19840260991073994</v>
      </c>
    </row>
    <row r="443" spans="2:35">
      <c r="B443" s="39">
        <f t="shared" si="219"/>
        <v>415</v>
      </c>
      <c r="C443" s="45">
        <f t="shared" si="220"/>
        <v>12.191247002397407</v>
      </c>
      <c r="D443" s="10">
        <f t="shared" si="221"/>
        <v>3.2587529976028229</v>
      </c>
      <c r="E443" s="40">
        <f t="shared" si="222"/>
        <v>41.822494004794358</v>
      </c>
      <c r="F443" s="40">
        <f t="shared" si="223"/>
        <v>48.34</v>
      </c>
      <c r="G443" s="3">
        <f t="shared" si="224"/>
        <v>79.435011990411283</v>
      </c>
      <c r="H443" s="3">
        <f t="shared" si="225"/>
        <v>148.0155219248214</v>
      </c>
      <c r="I443">
        <f t="shared" si="210"/>
        <v>1.4801552192482141E-4</v>
      </c>
      <c r="J443" s="4">
        <f t="shared" si="226"/>
        <v>1378.3151898145677</v>
      </c>
      <c r="K443" s="40">
        <f t="shared" si="227"/>
        <v>9.3119638527817923</v>
      </c>
      <c r="L443" s="40">
        <f t="shared" si="211"/>
        <v>0</v>
      </c>
      <c r="M443" s="10">
        <f t="shared" si="228"/>
        <v>1.2986872030284955</v>
      </c>
      <c r="N443" s="10">
        <f t="shared" si="207"/>
        <v>8.26</v>
      </c>
      <c r="O443" s="10">
        <f t="shared" si="208"/>
        <v>0.31900000000000001</v>
      </c>
      <c r="P443" s="10">
        <f t="shared" si="229"/>
        <v>8.978173677436903</v>
      </c>
      <c r="Q443" s="45">
        <f t="shared" si="230"/>
        <v>1.4244231609589055</v>
      </c>
      <c r="R443" s="4">
        <f t="shared" si="231"/>
        <v>36661.413251114747</v>
      </c>
      <c r="S443">
        <f t="shared" si="212"/>
        <v>3.6661413251114745E-5</v>
      </c>
      <c r="T443" s="44">
        <f t="shared" si="213"/>
        <v>1.9920637238420068E-4</v>
      </c>
      <c r="U443" s="45">
        <f t="shared" si="232"/>
        <v>6.5790739149787961E-2</v>
      </c>
      <c r="V443" s="45">
        <f t="shared" si="233"/>
        <v>0.19803170502327949</v>
      </c>
      <c r="W443" s="45">
        <f t="shared" si="234"/>
        <v>0.1980387400261063</v>
      </c>
      <c r="X443" s="45">
        <f t="shared" si="235"/>
        <v>-7.0350028268106879E-6</v>
      </c>
      <c r="Y443" s="45">
        <f t="shared" si="209"/>
        <v>7.366126108359158E-4</v>
      </c>
      <c r="Z443" s="10">
        <f t="shared" si="236"/>
        <v>3.6977361819291756</v>
      </c>
      <c r="AA443">
        <f t="shared" si="214"/>
        <v>1296478.9876120342</v>
      </c>
      <c r="AB443" s="10">
        <f t="shared" si="215"/>
        <v>1.2964789876120342</v>
      </c>
      <c r="AC443" s="10">
        <f t="shared" si="216"/>
        <v>1.1954789876120342</v>
      </c>
      <c r="AD443" s="3">
        <f t="shared" si="217"/>
        <v>173.3834644832537</v>
      </c>
      <c r="AI443" s="100">
        <f t="shared" si="218"/>
        <v>0.1980387400261063</v>
      </c>
    </row>
    <row r="444" spans="2:35">
      <c r="B444" s="39">
        <f t="shared" si="219"/>
        <v>416</v>
      </c>
      <c r="C444" s="45">
        <f t="shared" si="220"/>
        <v>12.220623501198364</v>
      </c>
      <c r="D444" s="10">
        <f t="shared" si="221"/>
        <v>3.2293764988018658</v>
      </c>
      <c r="E444" s="40">
        <f t="shared" si="222"/>
        <v>41.881247002396272</v>
      </c>
      <c r="F444" s="40">
        <f t="shared" si="223"/>
        <v>48.34</v>
      </c>
      <c r="G444" s="3">
        <f t="shared" si="224"/>
        <v>79.317505995207455</v>
      </c>
      <c r="H444" s="3">
        <f t="shared" si="225"/>
        <v>148.0155219248214</v>
      </c>
      <c r="I444">
        <f t="shared" si="210"/>
        <v>1.4801552192482141E-4</v>
      </c>
      <c r="J444" s="4">
        <f t="shared" si="226"/>
        <v>1382.177656791031</v>
      </c>
      <c r="K444" s="40">
        <f t="shared" si="227"/>
        <v>9.3380588658333625</v>
      </c>
      <c r="L444" s="40">
        <f t="shared" si="211"/>
        <v>0</v>
      </c>
      <c r="M444" s="10">
        <f t="shared" si="228"/>
        <v>1.2964789876120342</v>
      </c>
      <c r="N444" s="10">
        <f t="shared" si="207"/>
        <v>8.26</v>
      </c>
      <c r="O444" s="10">
        <f t="shared" si="208"/>
        <v>0.31900000000000001</v>
      </c>
      <c r="P444" s="10">
        <f t="shared" si="229"/>
        <v>8.9733010055172588</v>
      </c>
      <c r="Q444" s="45">
        <f t="shared" si="230"/>
        <v>1.427696928191599</v>
      </c>
      <c r="R444" s="4">
        <f t="shared" si="231"/>
        <v>36300.819798613142</v>
      </c>
      <c r="S444">
        <f t="shared" si="212"/>
        <v>3.6300819798613144E-5</v>
      </c>
      <c r="T444" s="44">
        <f t="shared" si="213"/>
        <v>1.9956696583670226E-4</v>
      </c>
      <c r="U444" s="45">
        <f t="shared" si="232"/>
        <v>6.5143636169601213E-2</v>
      </c>
      <c r="V444" s="45">
        <f t="shared" si="233"/>
        <v>0.19766310008984678</v>
      </c>
      <c r="W444" s="45">
        <f t="shared" si="234"/>
        <v>0.19767360946641058</v>
      </c>
      <c r="X444" s="45">
        <f t="shared" si="235"/>
        <v>-1.0509376563799799E-5</v>
      </c>
      <c r="Y444" s="45">
        <f t="shared" si="209"/>
        <v>7.365782055832852E-4</v>
      </c>
      <c r="Z444" s="10">
        <f t="shared" si="236"/>
        <v>3.6908824188167393</v>
      </c>
      <c r="AA444">
        <f t="shared" si="214"/>
        <v>1294263.1643667119</v>
      </c>
      <c r="AB444" s="10">
        <f t="shared" si="215"/>
        <v>1.294263164366712</v>
      </c>
      <c r="AC444" s="10">
        <f t="shared" si="216"/>
        <v>1.193263164366712</v>
      </c>
      <c r="AD444" s="3">
        <f t="shared" si="217"/>
        <v>173.06209780517941</v>
      </c>
      <c r="AI444" s="100">
        <f t="shared" si="218"/>
        <v>0.19767360946641058</v>
      </c>
    </row>
    <row r="445" spans="2:35">
      <c r="B445" s="39">
        <f t="shared" si="219"/>
        <v>417</v>
      </c>
      <c r="C445" s="45">
        <f t="shared" si="220"/>
        <v>12.249999999999321</v>
      </c>
      <c r="D445" s="10">
        <f t="shared" si="221"/>
        <v>3.2000000000009088</v>
      </c>
      <c r="E445" s="40">
        <f t="shared" si="222"/>
        <v>41.939999999998186</v>
      </c>
      <c r="F445" s="40">
        <f t="shared" si="223"/>
        <v>48.34</v>
      </c>
      <c r="G445" s="3">
        <f t="shared" si="224"/>
        <v>79.200000000003627</v>
      </c>
      <c r="H445" s="3">
        <f t="shared" si="225"/>
        <v>148.0155219248214</v>
      </c>
      <c r="I445">
        <f t="shared" si="210"/>
        <v>1.4801552192482141E-4</v>
      </c>
      <c r="J445" s="4">
        <f t="shared" si="226"/>
        <v>1386.0455460224682</v>
      </c>
      <c r="K445" s="40">
        <f t="shared" si="227"/>
        <v>9.3641905119008726</v>
      </c>
      <c r="L445" s="40">
        <f t="shared" si="211"/>
        <v>0</v>
      </c>
      <c r="M445" s="10">
        <f t="shared" si="228"/>
        <v>1.294263164366712</v>
      </c>
      <c r="N445" s="10">
        <f t="shared" si="207"/>
        <v>8.26</v>
      </c>
      <c r="O445" s="10">
        <f t="shared" si="208"/>
        <v>0.31900000000000001</v>
      </c>
      <c r="P445" s="10">
        <f t="shared" si="229"/>
        <v>8.9684058616756666</v>
      </c>
      <c r="Q445" s="45">
        <f t="shared" si="230"/>
        <v>1.430972482315046</v>
      </c>
      <c r="R445" s="4">
        <f t="shared" si="231"/>
        <v>35940.704629569613</v>
      </c>
      <c r="S445">
        <f t="shared" si="212"/>
        <v>3.5940704629569615E-5</v>
      </c>
      <c r="T445" s="44">
        <f t="shared" si="213"/>
        <v>1.9992708100574581E-4</v>
      </c>
      <c r="U445" s="45">
        <f t="shared" si="232"/>
        <v>6.4497391492994147E-2</v>
      </c>
      <c r="V445" s="45">
        <f t="shared" si="233"/>
        <v>0.19729323719034986</v>
      </c>
      <c r="W445" s="45">
        <f t="shared" si="234"/>
        <v>0.19730722094483785</v>
      </c>
      <c r="X445" s="45">
        <f t="shared" si="235"/>
        <v>-1.3983754487995048E-5</v>
      </c>
      <c r="Y445" s="45">
        <f t="shared" si="209"/>
        <v>7.3653240103861077E-4</v>
      </c>
      <c r="Z445" s="10">
        <f t="shared" si="236"/>
        <v>3.6840051749539784</v>
      </c>
      <c r="AA445">
        <f t="shared" si="214"/>
        <v>1292039.7497892214</v>
      </c>
      <c r="AB445" s="10">
        <f t="shared" si="215"/>
        <v>1.2920397497892215</v>
      </c>
      <c r="AC445" s="10">
        <f t="shared" si="216"/>
        <v>1.1910397497892216</v>
      </c>
      <c r="AD445" s="3">
        <f t="shared" si="217"/>
        <v>172.73963013621776</v>
      </c>
      <c r="AI445" s="100">
        <f t="shared" si="218"/>
        <v>0.19730722094483785</v>
      </c>
    </row>
    <row r="446" spans="2:35">
      <c r="B446" s="39">
        <f t="shared" si="219"/>
        <v>418</v>
      </c>
      <c r="C446" s="45">
        <f t="shared" si="220"/>
        <v>12.279376498800278</v>
      </c>
      <c r="D446" s="10">
        <f t="shared" si="221"/>
        <v>3.1706235011999517</v>
      </c>
      <c r="E446" s="40">
        <f t="shared" si="222"/>
        <v>41.9987529976001</v>
      </c>
      <c r="F446" s="40">
        <f t="shared" si="223"/>
        <v>48.34</v>
      </c>
      <c r="G446" s="3">
        <f t="shared" si="224"/>
        <v>79.082494004799798</v>
      </c>
      <c r="H446" s="3">
        <f t="shared" si="225"/>
        <v>148.0155219248214</v>
      </c>
      <c r="I446">
        <f t="shared" si="210"/>
        <v>1.4801552192482141E-4</v>
      </c>
      <c r="J446" s="4">
        <f t="shared" si="226"/>
        <v>1389.9188575088792</v>
      </c>
      <c r="K446" s="40">
        <f t="shared" si="227"/>
        <v>9.3903587909843225</v>
      </c>
      <c r="L446" s="40">
        <f t="shared" si="211"/>
        <v>0</v>
      </c>
      <c r="M446" s="10">
        <f t="shared" si="228"/>
        <v>1.2920397497892215</v>
      </c>
      <c r="N446" s="10">
        <f t="shared" si="207"/>
        <v>8.26</v>
      </c>
      <c r="O446" s="10">
        <f t="shared" si="208"/>
        <v>0.31900000000000001</v>
      </c>
      <c r="P446" s="10">
        <f t="shared" si="229"/>
        <v>8.9634882072871882</v>
      </c>
      <c r="Q446" s="45">
        <f t="shared" si="230"/>
        <v>1.434249833511545</v>
      </c>
      <c r="R446" s="4">
        <f t="shared" si="231"/>
        <v>35581.069655426589</v>
      </c>
      <c r="S446">
        <f t="shared" si="212"/>
        <v>3.5581069655426586E-5</v>
      </c>
      <c r="T446" s="44">
        <f t="shared" si="213"/>
        <v>2.0028671597988883E-4</v>
      </c>
      <c r="U446" s="45">
        <f t="shared" si="232"/>
        <v>6.3852008550145778E-2</v>
      </c>
      <c r="V446" s="45">
        <f t="shared" si="233"/>
        <v>0.19692211916068056</v>
      </c>
      <c r="W446" s="45">
        <f t="shared" si="234"/>
        <v>0.1969395771891323</v>
      </c>
      <c r="X446" s="45">
        <f t="shared" si="235"/>
        <v>-1.7458028451738938E-5</v>
      </c>
      <c r="Y446" s="45">
        <f t="shared" si="209"/>
        <v>7.3647518494817591E-4</v>
      </c>
      <c r="Z446" s="10">
        <f t="shared" si="236"/>
        <v>3.6771045016391741</v>
      </c>
      <c r="AA446">
        <f t="shared" si="214"/>
        <v>1289808.7604643099</v>
      </c>
      <c r="AB446" s="10">
        <f t="shared" si="215"/>
        <v>1.28980876046431</v>
      </c>
      <c r="AC446" s="10">
        <f t="shared" si="216"/>
        <v>1.1888087604643101</v>
      </c>
      <c r="AD446" s="3">
        <f t="shared" si="217"/>
        <v>172.41606388169834</v>
      </c>
      <c r="AI446" s="100">
        <f t="shared" si="218"/>
        <v>0.1969395771891323</v>
      </c>
    </row>
    <row r="447" spans="2:35">
      <c r="B447" s="39">
        <f t="shared" si="219"/>
        <v>419</v>
      </c>
      <c r="C447" s="45">
        <f t="shared" si="220"/>
        <v>12.308752997601236</v>
      </c>
      <c r="D447" s="10">
        <f t="shared" si="221"/>
        <v>3.1412470023989947</v>
      </c>
      <c r="E447" s="40">
        <f t="shared" si="222"/>
        <v>42.057505995202014</v>
      </c>
      <c r="F447" s="40">
        <f t="shared" si="223"/>
        <v>48.34</v>
      </c>
      <c r="G447" s="3">
        <f t="shared" si="224"/>
        <v>78.96498800959597</v>
      </c>
      <c r="H447" s="3">
        <f t="shared" si="225"/>
        <v>148.0155219248214</v>
      </c>
      <c r="I447">
        <f t="shared" si="210"/>
        <v>1.4801552192482141E-4</v>
      </c>
      <c r="J447" s="4">
        <f t="shared" si="226"/>
        <v>1393.7975912502641</v>
      </c>
      <c r="K447" s="40">
        <f t="shared" si="227"/>
        <v>9.4165637030837086</v>
      </c>
      <c r="L447" s="40">
        <f t="shared" si="211"/>
        <v>0</v>
      </c>
      <c r="M447" s="10">
        <f t="shared" si="228"/>
        <v>1.28980876046431</v>
      </c>
      <c r="N447" s="10">
        <f t="shared" si="207"/>
        <v>8.26</v>
      </c>
      <c r="O447" s="10">
        <f t="shared" si="208"/>
        <v>0.31900000000000001</v>
      </c>
      <c r="P447" s="10">
        <f t="shared" si="229"/>
        <v>8.9585480034763041</v>
      </c>
      <c r="Q447" s="45">
        <f t="shared" si="230"/>
        <v>1.4375289920079395</v>
      </c>
      <c r="R447" s="4">
        <f t="shared" si="231"/>
        <v>35221.916787626455</v>
      </c>
      <c r="S447">
        <f t="shared" si="212"/>
        <v>3.5221916787626454E-5</v>
      </c>
      <c r="T447" s="44">
        <f t="shared" si="213"/>
        <v>2.0064586884768895E-4</v>
      </c>
      <c r="U447" s="45">
        <f t="shared" si="232"/>
        <v>6.3207490771235053E-2</v>
      </c>
      <c r="V447" s="45">
        <f t="shared" si="233"/>
        <v>0.19654974885153853</v>
      </c>
      <c r="W447" s="45">
        <f t="shared" si="234"/>
        <v>0.19657068094159788</v>
      </c>
      <c r="X447" s="45">
        <f t="shared" si="235"/>
        <v>-2.093209005935015E-5</v>
      </c>
      <c r="Y447" s="45">
        <f t="shared" si="209"/>
        <v>7.3640654530721052E-4</v>
      </c>
      <c r="Z447" s="10">
        <f t="shared" si="236"/>
        <v>3.6701804504443576</v>
      </c>
      <c r="AA447">
        <f t="shared" si="214"/>
        <v>1287570.2130652268</v>
      </c>
      <c r="AB447" s="10">
        <f t="shared" si="215"/>
        <v>1.2875702130652269</v>
      </c>
      <c r="AC447" s="10">
        <f t="shared" si="216"/>
        <v>1.1865702130652269</v>
      </c>
      <c r="AD447" s="3">
        <f t="shared" si="217"/>
        <v>172.09140145978637</v>
      </c>
      <c r="AI447" s="100">
        <f t="shared" si="218"/>
        <v>0.19657068094159788</v>
      </c>
    </row>
    <row r="448" spans="2:35">
      <c r="B448" s="39">
        <f t="shared" si="219"/>
        <v>420</v>
      </c>
      <c r="C448" s="45">
        <f t="shared" si="220"/>
        <v>12.338129496402193</v>
      </c>
      <c r="D448" s="10">
        <f t="shared" si="221"/>
        <v>3.1118705035980376</v>
      </c>
      <c r="E448" s="40">
        <f t="shared" si="222"/>
        <v>42.116258992803928</v>
      </c>
      <c r="F448" s="40">
        <f t="shared" si="223"/>
        <v>48.34</v>
      </c>
      <c r="G448" s="3">
        <f t="shared" si="224"/>
        <v>78.847482014392142</v>
      </c>
      <c r="H448" s="3">
        <f t="shared" si="225"/>
        <v>148.0155219248214</v>
      </c>
      <c r="I448">
        <f t="shared" si="210"/>
        <v>1.4801552192482141E-4</v>
      </c>
      <c r="J448" s="4">
        <f t="shared" si="226"/>
        <v>1397.681747246623</v>
      </c>
      <c r="K448" s="40">
        <f t="shared" si="227"/>
        <v>9.4428052481990363</v>
      </c>
      <c r="L448" s="40">
        <f t="shared" si="211"/>
        <v>0</v>
      </c>
      <c r="M448" s="10">
        <f t="shared" si="228"/>
        <v>1.2875702130652269</v>
      </c>
      <c r="N448" s="10">
        <f t="shared" si="207"/>
        <v>8.26</v>
      </c>
      <c r="O448" s="10">
        <f t="shared" si="208"/>
        <v>0.31900000000000001</v>
      </c>
      <c r="P448" s="10">
        <f t="shared" si="229"/>
        <v>8.9535852111157581</v>
      </c>
      <c r="Q448" s="45">
        <f t="shared" si="230"/>
        <v>1.440809968075994</v>
      </c>
      <c r="R448" s="4">
        <f t="shared" si="231"/>
        <v>34863.247937611595</v>
      </c>
      <c r="S448">
        <f t="shared" si="212"/>
        <v>3.4863247937611598E-5</v>
      </c>
      <c r="T448" s="44">
        <f t="shared" si="213"/>
        <v>2.0100453769770381E-4</v>
      </c>
      <c r="U448" s="45">
        <f t="shared" si="232"/>
        <v>6.2563841586440877E-2</v>
      </c>
      <c r="V448" s="45">
        <f t="shared" si="233"/>
        <v>0.1961761291284963</v>
      </c>
      <c r="W448" s="45">
        <f t="shared" si="234"/>
        <v>0.19620053495917267</v>
      </c>
      <c r="X448" s="45">
        <f t="shared" si="235"/>
        <v>-2.4405830676366147E-5</v>
      </c>
      <c r="Y448" s="45">
        <f t="shared" si="209"/>
        <v>7.3632647036084038E-4</v>
      </c>
      <c r="Z448" s="10">
        <f t="shared" si="236"/>
        <v>3.6632330732165945</v>
      </c>
      <c r="AA448">
        <f t="shared" si="214"/>
        <v>1285324.1243541408</v>
      </c>
      <c r="AB448" s="10">
        <f t="shared" si="215"/>
        <v>1.2853241243541409</v>
      </c>
      <c r="AC448" s="10">
        <f t="shared" si="216"/>
        <v>1.1843241243541409</v>
      </c>
      <c r="AD448" s="3">
        <f t="shared" si="217"/>
        <v>171.76564530154326</v>
      </c>
      <c r="AI448" s="100">
        <f t="shared" si="218"/>
        <v>0.19620053495917267</v>
      </c>
    </row>
    <row r="449" spans="2:35">
      <c r="B449" s="39">
        <f t="shared" si="219"/>
        <v>421</v>
      </c>
      <c r="C449" s="45">
        <f t="shared" si="220"/>
        <v>12.36750599520315</v>
      </c>
      <c r="D449" s="10">
        <f t="shared" si="221"/>
        <v>3.0824940047970806</v>
      </c>
      <c r="E449" s="40">
        <f t="shared" si="222"/>
        <v>42.175011990405842</v>
      </c>
      <c r="F449" s="40">
        <f t="shared" si="223"/>
        <v>48.34</v>
      </c>
      <c r="G449" s="3">
        <f t="shared" si="224"/>
        <v>78.729976019188314</v>
      </c>
      <c r="H449" s="3">
        <f t="shared" si="225"/>
        <v>148.0155219248214</v>
      </c>
      <c r="I449">
        <f t="shared" si="210"/>
        <v>1.4801552192482141E-4</v>
      </c>
      <c r="J449" s="4">
        <f t="shared" si="226"/>
        <v>1401.571325497956</v>
      </c>
      <c r="K449" s="40">
        <f t="shared" si="227"/>
        <v>9.4690834263303039</v>
      </c>
      <c r="L449" s="40">
        <f t="shared" si="211"/>
        <v>0</v>
      </c>
      <c r="M449" s="10">
        <f t="shared" si="228"/>
        <v>1.2853241243541409</v>
      </c>
      <c r="N449" s="10">
        <f t="shared" si="207"/>
        <v>8.26</v>
      </c>
      <c r="O449" s="10">
        <f t="shared" si="208"/>
        <v>0.31900000000000001</v>
      </c>
      <c r="P449" s="10">
        <f t="shared" si="229"/>
        <v>8.9485997908253054</v>
      </c>
      <c r="Q449" s="45">
        <f t="shared" si="230"/>
        <v>1.4440927720327736</v>
      </c>
      <c r="R449" s="4">
        <f t="shared" si="231"/>
        <v>34505.065016824439</v>
      </c>
      <c r="S449">
        <f t="shared" si="212"/>
        <v>3.450506501682444E-5</v>
      </c>
      <c r="T449" s="44">
        <f t="shared" si="213"/>
        <v>2.0136272061849097E-4</v>
      </c>
      <c r="U449" s="45">
        <f t="shared" si="232"/>
        <v>6.1921064425942293E-2</v>
      </c>
      <c r="V449" s="45">
        <f t="shared" si="233"/>
        <v>0.19580126287198155</v>
      </c>
      <c r="W449" s="45">
        <f t="shared" si="234"/>
        <v>0.19582914201349741</v>
      </c>
      <c r="X449" s="45">
        <f t="shared" si="235"/>
        <v>-2.7879141515863015E-5</v>
      </c>
      <c r="Y449" s="45">
        <f t="shared" si="209"/>
        <v>7.362349486047605E-4</v>
      </c>
      <c r="Z449" s="10">
        <f t="shared" si="236"/>
        <v>3.6562624220779059</v>
      </c>
      <c r="AA449">
        <f t="shared" si="214"/>
        <v>1283070.511182114</v>
      </c>
      <c r="AB449" s="10">
        <f t="shared" si="215"/>
        <v>1.2830705111821141</v>
      </c>
      <c r="AC449" s="10">
        <f t="shared" si="216"/>
        <v>1.1820705111821141</v>
      </c>
      <c r="AD449" s="3">
        <f t="shared" si="217"/>
        <v>171.43879785092304</v>
      </c>
      <c r="AI449" s="100">
        <f t="shared" si="218"/>
        <v>0.19582914201349741</v>
      </c>
    </row>
    <row r="450" spans="2:35">
      <c r="B450" s="39">
        <f t="shared" si="219"/>
        <v>422</v>
      </c>
      <c r="C450" s="45">
        <f t="shared" si="220"/>
        <v>12.396882494004107</v>
      </c>
      <c r="D450" s="10">
        <f t="shared" si="221"/>
        <v>3.0531175059961235</v>
      </c>
      <c r="E450" s="40">
        <f t="shared" si="222"/>
        <v>42.233764988007756</v>
      </c>
      <c r="F450" s="40">
        <f t="shared" si="223"/>
        <v>48.34</v>
      </c>
      <c r="G450" s="3">
        <f t="shared" si="224"/>
        <v>78.612470023984486</v>
      </c>
      <c r="H450" s="3">
        <f t="shared" si="225"/>
        <v>148.0155219248214</v>
      </c>
      <c r="I450">
        <f t="shared" si="210"/>
        <v>1.4801552192482141E-4</v>
      </c>
      <c r="J450" s="4">
        <f t="shared" si="226"/>
        <v>1405.4663260042628</v>
      </c>
      <c r="K450" s="40">
        <f t="shared" si="227"/>
        <v>9.4953982374775094</v>
      </c>
      <c r="L450" s="40">
        <f t="shared" si="211"/>
        <v>0</v>
      </c>
      <c r="M450" s="10">
        <f t="shared" si="228"/>
        <v>1.2830705111821141</v>
      </c>
      <c r="N450" s="10">
        <f t="shared" si="207"/>
        <v>8.26</v>
      </c>
      <c r="O450" s="10">
        <f t="shared" si="208"/>
        <v>0.31900000000000001</v>
      </c>
      <c r="P450" s="10">
        <f t="shared" si="229"/>
        <v>8.9435917029694547</v>
      </c>
      <c r="Q450" s="45">
        <f t="shared" si="230"/>
        <v>1.4473774142410269</v>
      </c>
      <c r="R450" s="4">
        <f t="shared" si="231"/>
        <v>34147.369936707364</v>
      </c>
      <c r="S450">
        <f t="shared" si="212"/>
        <v>3.4147369936707363E-5</v>
      </c>
      <c r="T450" s="44">
        <f t="shared" si="213"/>
        <v>2.0172041569860804E-4</v>
      </c>
      <c r="U450" s="45">
        <f t="shared" si="232"/>
        <v>6.12791627199182E-2</v>
      </c>
      <c r="V450" s="45">
        <f t="shared" si="233"/>
        <v>0.19542515297745056</v>
      </c>
      <c r="W450" s="45">
        <f t="shared" si="234"/>
        <v>0.19545650489091157</v>
      </c>
      <c r="X450" s="45">
        <f t="shared" si="235"/>
        <v>-3.1351913461014069E-5</v>
      </c>
      <c r="Y450" s="45">
        <f t="shared" si="209"/>
        <v>7.3613196878649699E-4</v>
      </c>
      <c r="Z450" s="10">
        <f t="shared" si="236"/>
        <v>3.6492685494281214</v>
      </c>
      <c r="AA450">
        <f t="shared" si="214"/>
        <v>1280809.3904900234</v>
      </c>
      <c r="AB450" s="10">
        <f t="shared" si="215"/>
        <v>1.2808093904900235</v>
      </c>
      <c r="AC450" s="10">
        <f t="shared" si="216"/>
        <v>1.1798093904900235</v>
      </c>
      <c r="AD450" s="3">
        <f t="shared" si="217"/>
        <v>171.11086156490549</v>
      </c>
      <c r="AI450" s="100">
        <f t="shared" si="218"/>
        <v>0.19545650489091157</v>
      </c>
    </row>
    <row r="451" spans="2:35">
      <c r="B451" s="39">
        <f t="shared" si="219"/>
        <v>423</v>
      </c>
      <c r="C451" s="45">
        <f t="shared" si="220"/>
        <v>12.426258992805064</v>
      </c>
      <c r="D451" s="10">
        <f t="shared" si="221"/>
        <v>3.0237410071951665</v>
      </c>
      <c r="E451" s="40">
        <f t="shared" si="222"/>
        <v>42.29251798560967</v>
      </c>
      <c r="F451" s="40">
        <f t="shared" si="223"/>
        <v>48.34</v>
      </c>
      <c r="G451" s="3">
        <f t="shared" si="224"/>
        <v>78.494964028780657</v>
      </c>
      <c r="H451" s="3">
        <f t="shared" si="225"/>
        <v>148.0155219248214</v>
      </c>
      <c r="I451">
        <f t="shared" si="210"/>
        <v>1.4801552192482141E-4</v>
      </c>
      <c r="J451" s="4">
        <f t="shared" si="226"/>
        <v>1409.3667487655432</v>
      </c>
      <c r="K451" s="40">
        <f t="shared" si="227"/>
        <v>9.5217496816406531</v>
      </c>
      <c r="L451" s="40">
        <f t="shared" si="211"/>
        <v>0</v>
      </c>
      <c r="M451" s="10">
        <f t="shared" si="228"/>
        <v>1.2808093904900235</v>
      </c>
      <c r="N451" s="10">
        <f t="shared" si="207"/>
        <v>8.26</v>
      </c>
      <c r="O451" s="10">
        <f t="shared" si="208"/>
        <v>0.31900000000000001</v>
      </c>
      <c r="P451" s="10">
        <f t="shared" si="229"/>
        <v>8.9385609076572976</v>
      </c>
      <c r="Q451" s="45">
        <f t="shared" si="230"/>
        <v>1.4506639051095729</v>
      </c>
      <c r="R451" s="4">
        <f t="shared" si="231"/>
        <v>33790.164608702806</v>
      </c>
      <c r="S451">
        <f t="shared" si="212"/>
        <v>3.3790164608702808E-5</v>
      </c>
      <c r="T451" s="44">
        <f t="shared" si="213"/>
        <v>2.0207762102661262E-4</v>
      </c>
      <c r="U451" s="45">
        <f t="shared" si="232"/>
        <v>6.0638139898547619E-2</v>
      </c>
      <c r="V451" s="45">
        <f t="shared" si="233"/>
        <v>0.19504780235528035</v>
      </c>
      <c r="W451" s="45">
        <f t="shared" si="234"/>
        <v>0.19508262639260554</v>
      </c>
      <c r="X451" s="45">
        <f t="shared" si="235"/>
        <v>-3.4824037325187351E-5</v>
      </c>
      <c r="Y451" s="45">
        <f t="shared" si="209"/>
        <v>7.360175199058219E-4</v>
      </c>
      <c r="Z451" s="10">
        <f t="shared" si="236"/>
        <v>3.6422515079435342</v>
      </c>
      <c r="AA451">
        <f t="shared" si="214"/>
        <v>1278540.7793081275</v>
      </c>
      <c r="AB451" s="10">
        <f t="shared" si="215"/>
        <v>1.2785407793081274</v>
      </c>
      <c r="AC451" s="10">
        <f t="shared" si="216"/>
        <v>1.1775407793081274</v>
      </c>
      <c r="AD451" s="3">
        <f t="shared" si="217"/>
        <v>170.781838913434</v>
      </c>
      <c r="AI451" s="100">
        <f t="shared" si="218"/>
        <v>0.19508262639260554</v>
      </c>
    </row>
    <row r="452" spans="2:35">
      <c r="B452" s="39">
        <f t="shared" si="219"/>
        <v>424</v>
      </c>
      <c r="C452" s="45">
        <f t="shared" si="220"/>
        <v>12.455635491606021</v>
      </c>
      <c r="D452" s="10">
        <f t="shared" si="221"/>
        <v>2.9943645083942094</v>
      </c>
      <c r="E452" s="40">
        <f t="shared" si="222"/>
        <v>42.351270983211585</v>
      </c>
      <c r="F452" s="40">
        <f t="shared" si="223"/>
        <v>48.34</v>
      </c>
      <c r="G452" s="3">
        <f t="shared" si="224"/>
        <v>78.377458033576829</v>
      </c>
      <c r="H452" s="3">
        <f t="shared" si="225"/>
        <v>148.0155219248214</v>
      </c>
      <c r="I452">
        <f t="shared" si="210"/>
        <v>1.4801552192482141E-4</v>
      </c>
      <c r="J452" s="4">
        <f t="shared" si="226"/>
        <v>1413.2725937817979</v>
      </c>
      <c r="K452" s="40">
        <f t="shared" si="227"/>
        <v>9.5481377588197383</v>
      </c>
      <c r="L452" s="40">
        <f t="shared" si="211"/>
        <v>0</v>
      </c>
      <c r="M452" s="10">
        <f t="shared" si="228"/>
        <v>1.2785407793081274</v>
      </c>
      <c r="N452" s="10">
        <f t="shared" si="207"/>
        <v>8.26</v>
      </c>
      <c r="O452" s="10">
        <f t="shared" si="208"/>
        <v>0.31900000000000001</v>
      </c>
      <c r="P452" s="10">
        <f t="shared" si="229"/>
        <v>8.9335073647393255</v>
      </c>
      <c r="Q452" s="45">
        <f t="shared" si="230"/>
        <v>1.4539522550936907</v>
      </c>
      <c r="R452" s="4">
        <f t="shared" si="231"/>
        <v>33433.45094425312</v>
      </c>
      <c r="S452">
        <f t="shared" si="212"/>
        <v>3.343345094425312E-5</v>
      </c>
      <c r="T452" s="44">
        <f t="shared" si="213"/>
        <v>2.0243433469106228E-4</v>
      </c>
      <c r="U452" s="45">
        <f t="shared" si="232"/>
        <v>5.9997999392009435E-2</v>
      </c>
      <c r="V452" s="45">
        <f t="shared" si="233"/>
        <v>0.19466921393098247</v>
      </c>
      <c r="W452" s="45">
        <f t="shared" si="234"/>
        <v>0.19470750933454919</v>
      </c>
      <c r="X452" s="45">
        <f t="shared" si="235"/>
        <v>-3.8295403566729336E-5</v>
      </c>
      <c r="Y452" s="45">
        <f t="shared" si="209"/>
        <v>7.3589159121611146E-4</v>
      </c>
      <c r="Z452" s="10">
        <f t="shared" si="236"/>
        <v>3.6352113505802528</v>
      </c>
      <c r="AA452">
        <f t="shared" si="214"/>
        <v>1276264.6947571484</v>
      </c>
      <c r="AB452" s="10">
        <f t="shared" si="215"/>
        <v>1.2762646947571483</v>
      </c>
      <c r="AC452" s="10">
        <f t="shared" si="216"/>
        <v>1.1752646947571483</v>
      </c>
      <c r="AD452" s="3">
        <f t="shared" si="217"/>
        <v>170.45173237957192</v>
      </c>
      <c r="AI452" s="100">
        <f t="shared" si="218"/>
        <v>0.19470750933454919</v>
      </c>
    </row>
    <row r="453" spans="2:35">
      <c r="B453" s="39">
        <f t="shared" si="219"/>
        <v>425</v>
      </c>
      <c r="C453" s="45">
        <f t="shared" si="220"/>
        <v>12.485011990406978</v>
      </c>
      <c r="D453" s="10">
        <f t="shared" si="221"/>
        <v>2.9649880095932524</v>
      </c>
      <c r="E453" s="40">
        <f t="shared" si="222"/>
        <v>42.410023980813499</v>
      </c>
      <c r="F453" s="40">
        <f t="shared" si="223"/>
        <v>48.34</v>
      </c>
      <c r="G453" s="3">
        <f t="shared" si="224"/>
        <v>78.259952038373001</v>
      </c>
      <c r="H453" s="3">
        <f t="shared" si="225"/>
        <v>148.0155219248214</v>
      </c>
      <c r="I453">
        <f t="shared" si="210"/>
        <v>1.4801552192482141E-4</v>
      </c>
      <c r="J453" s="4">
        <f t="shared" si="226"/>
        <v>1417.1838610530265</v>
      </c>
      <c r="K453" s="40">
        <f t="shared" si="227"/>
        <v>9.5745624690147615</v>
      </c>
      <c r="L453" s="40">
        <f t="shared" si="211"/>
        <v>0</v>
      </c>
      <c r="M453" s="10">
        <f t="shared" si="228"/>
        <v>1.2762646947571483</v>
      </c>
      <c r="N453" s="10">
        <f t="shared" si="207"/>
        <v>8.26</v>
      </c>
      <c r="O453" s="10">
        <f t="shared" si="208"/>
        <v>0.31900000000000001</v>
      </c>
      <c r="P453" s="10">
        <f t="shared" si="229"/>
        <v>8.9284310338075592</v>
      </c>
      <c r="Q453" s="45">
        <f t="shared" si="230"/>
        <v>1.4572424746955137</v>
      </c>
      <c r="R453" s="4">
        <f t="shared" si="231"/>
        <v>33077.230854800735</v>
      </c>
      <c r="S453">
        <f t="shared" si="212"/>
        <v>3.3077230854800732E-5</v>
      </c>
      <c r="T453" s="44">
        <f t="shared" si="213"/>
        <v>2.0279055478051469E-4</v>
      </c>
      <c r="U453" s="45">
        <f t="shared" si="232"/>
        <v>5.935874463048265E-2</v>
      </c>
      <c r="V453" s="45">
        <f t="shared" si="233"/>
        <v>0.19428939064511147</v>
      </c>
      <c r="W453" s="45">
        <f t="shared" si="234"/>
        <v>0.19433115654767044</v>
      </c>
      <c r="X453" s="45">
        <f t="shared" si="235"/>
        <v>-4.1765902558971169E-5</v>
      </c>
      <c r="Y453" s="45">
        <f t="shared" si="209"/>
        <v>7.3575417222482406E-4</v>
      </c>
      <c r="Z453" s="10">
        <f t="shared" si="236"/>
        <v>3.6281481305731882</v>
      </c>
      <c r="AA453">
        <f t="shared" si="214"/>
        <v>1273981.1540479457</v>
      </c>
      <c r="AB453" s="10">
        <f t="shared" si="215"/>
        <v>1.2739811540479458</v>
      </c>
      <c r="AC453" s="10">
        <f t="shared" si="216"/>
        <v>1.1729811540479458</v>
      </c>
      <c r="AD453" s="3">
        <f t="shared" si="217"/>
        <v>170.12054445945552</v>
      </c>
      <c r="AI453" s="100">
        <f t="shared" si="218"/>
        <v>0.19433115654767044</v>
      </c>
    </row>
    <row r="454" spans="2:35">
      <c r="B454" s="39">
        <f t="shared" si="219"/>
        <v>426</v>
      </c>
      <c r="C454" s="45">
        <f t="shared" si="220"/>
        <v>12.514388489207935</v>
      </c>
      <c r="D454" s="10">
        <f t="shared" si="221"/>
        <v>2.9356115107922953</v>
      </c>
      <c r="E454" s="40">
        <f t="shared" si="222"/>
        <v>42.468776978415413</v>
      </c>
      <c r="F454" s="40">
        <f t="shared" si="223"/>
        <v>48.34</v>
      </c>
      <c r="G454" s="3">
        <f t="shared" si="224"/>
        <v>78.142446043169173</v>
      </c>
      <c r="H454" s="3">
        <f t="shared" si="225"/>
        <v>148.0155219248214</v>
      </c>
      <c r="I454">
        <f t="shared" si="210"/>
        <v>1.4801552192482141E-4</v>
      </c>
      <c r="J454" s="4">
        <f t="shared" si="226"/>
        <v>1421.1005505792289</v>
      </c>
      <c r="K454" s="40">
        <f t="shared" si="227"/>
        <v>9.6010238122257228</v>
      </c>
      <c r="L454" s="40">
        <f t="shared" si="211"/>
        <v>0</v>
      </c>
      <c r="M454" s="10">
        <f t="shared" si="228"/>
        <v>1.2739811540479458</v>
      </c>
      <c r="N454" s="10">
        <f t="shared" si="207"/>
        <v>8.26</v>
      </c>
      <c r="O454" s="10">
        <f t="shared" si="208"/>
        <v>0.31900000000000001</v>
      </c>
      <c r="P454" s="10">
        <f t="shared" si="229"/>
        <v>8.9233318741925665</v>
      </c>
      <c r="Q454" s="45">
        <f t="shared" si="230"/>
        <v>1.460534574464426</v>
      </c>
      <c r="R454" s="4">
        <f t="shared" si="231"/>
        <v>32721.506251788051</v>
      </c>
      <c r="S454">
        <f t="shared" si="212"/>
        <v>3.272150625178805E-5</v>
      </c>
      <c r="T454" s="44">
        <f t="shared" si="213"/>
        <v>2.0314627938352735E-4</v>
      </c>
      <c r="U454" s="45">
        <f t="shared" si="232"/>
        <v>5.8720379044146238E-2</v>
      </c>
      <c r="V454" s="45">
        <f t="shared" si="233"/>
        <v>0.19390833545343097</v>
      </c>
      <c r="W454" s="45">
        <f t="shared" si="234"/>
        <v>0.19395357087780163</v>
      </c>
      <c r="X454" s="45">
        <f t="shared" si="235"/>
        <v>-4.5235424370654309E-5</v>
      </c>
      <c r="Y454" s="45">
        <f t="shared" si="209"/>
        <v>7.3560525269470681E-4</v>
      </c>
      <c r="Z454" s="10">
        <f t="shared" si="236"/>
        <v>3.62106190143867</v>
      </c>
      <c r="AA454">
        <f t="shared" si="214"/>
        <v>1271690.1744823619</v>
      </c>
      <c r="AB454" s="10">
        <f t="shared" si="215"/>
        <v>1.2716901744823619</v>
      </c>
      <c r="AC454" s="10">
        <f t="shared" si="216"/>
        <v>1.1706901744823619</v>
      </c>
      <c r="AD454" s="3">
        <f t="shared" si="217"/>
        <v>169.7882776624165</v>
      </c>
      <c r="AI454" s="100">
        <f t="shared" si="218"/>
        <v>0.19395357087780163</v>
      </c>
    </row>
    <row r="455" spans="2:35">
      <c r="B455" s="39">
        <f t="shared" si="219"/>
        <v>427</v>
      </c>
      <c r="C455" s="45">
        <f t="shared" si="220"/>
        <v>12.543764988008892</v>
      </c>
      <c r="D455" s="10">
        <f t="shared" si="221"/>
        <v>2.9062350119913383</v>
      </c>
      <c r="E455" s="40">
        <f t="shared" si="222"/>
        <v>42.527529976017327</v>
      </c>
      <c r="F455" s="40">
        <f t="shared" si="223"/>
        <v>48.34</v>
      </c>
      <c r="G455" s="3">
        <f t="shared" si="224"/>
        <v>78.024940047965345</v>
      </c>
      <c r="H455" s="3">
        <f t="shared" si="225"/>
        <v>148.0155219248214</v>
      </c>
      <c r="I455">
        <f t="shared" si="210"/>
        <v>1.4801552192482141E-4</v>
      </c>
      <c r="J455" s="4">
        <f t="shared" si="226"/>
        <v>1425.0226623604051</v>
      </c>
      <c r="K455" s="40">
        <f t="shared" si="227"/>
        <v>9.6275217884526239</v>
      </c>
      <c r="L455" s="40">
        <f t="shared" si="211"/>
        <v>0</v>
      </c>
      <c r="M455" s="10">
        <f t="shared" si="228"/>
        <v>1.2716901744823619</v>
      </c>
      <c r="N455" s="10">
        <f t="shared" si="207"/>
        <v>8.26</v>
      </c>
      <c r="O455" s="10">
        <f t="shared" si="208"/>
        <v>0.31900000000000001</v>
      </c>
      <c r="P455" s="10">
        <f t="shared" si="229"/>
        <v>8.9182098449630356</v>
      </c>
      <c r="Q455" s="45">
        <f t="shared" si="230"/>
        <v>1.4638285649974645</v>
      </c>
      <c r="R455" s="4">
        <f t="shared" si="231"/>
        <v>32366.279046657462</v>
      </c>
      <c r="S455">
        <f t="shared" si="212"/>
        <v>3.2366279046657459E-5</v>
      </c>
      <c r="T455" s="44">
        <f t="shared" si="213"/>
        <v>2.0350150658865796E-4</v>
      </c>
      <c r="U455" s="45">
        <f t="shared" si="232"/>
        <v>5.8082906063179146E-2</v>
      </c>
      <c r="V455" s="45">
        <f t="shared" si="233"/>
        <v>0.19352605132688983</v>
      </c>
      <c r="W455" s="45">
        <f t="shared" si="234"/>
        <v>0.19357475518581918</v>
      </c>
      <c r="X455" s="45">
        <f t="shared" si="235"/>
        <v>-4.8703858929355359E-5</v>
      </c>
      <c r="Y455" s="45">
        <f t="shared" si="209"/>
        <v>7.3544482264447102E-4</v>
      </c>
      <c r="Z455" s="10">
        <f t="shared" si="236"/>
        <v>3.6139527169744334</v>
      </c>
      <c r="AA455">
        <f t="shared" si="214"/>
        <v>1269391.7734532168</v>
      </c>
      <c r="AB455" s="10">
        <f t="shared" si="215"/>
        <v>1.2693917734532167</v>
      </c>
      <c r="AC455" s="10">
        <f t="shared" si="216"/>
        <v>1.1683917734532168</v>
      </c>
      <c r="AD455" s="3">
        <f t="shared" si="217"/>
        <v>169.45493451098139</v>
      </c>
      <c r="AI455" s="100">
        <f t="shared" si="218"/>
        <v>0.19357475518581918</v>
      </c>
    </row>
    <row r="456" spans="2:35">
      <c r="B456" s="39">
        <f t="shared" si="219"/>
        <v>428</v>
      </c>
      <c r="C456" s="45">
        <f t="shared" si="220"/>
        <v>12.573141486809849</v>
      </c>
      <c r="D456" s="10">
        <f t="shared" si="221"/>
        <v>2.8768585131903812</v>
      </c>
      <c r="E456" s="40">
        <f t="shared" si="222"/>
        <v>42.586282973619241</v>
      </c>
      <c r="F456" s="40">
        <f t="shared" si="223"/>
        <v>48.34</v>
      </c>
      <c r="G456" s="3">
        <f t="shared" si="224"/>
        <v>77.907434052761516</v>
      </c>
      <c r="H456" s="3">
        <f t="shared" si="225"/>
        <v>148.0155219248214</v>
      </c>
      <c r="I456">
        <f t="shared" si="210"/>
        <v>1.4801552192482141E-4</v>
      </c>
      <c r="J456" s="4">
        <f t="shared" si="226"/>
        <v>1428.9501963965554</v>
      </c>
      <c r="K456" s="40">
        <f t="shared" si="227"/>
        <v>9.6540563976954648</v>
      </c>
      <c r="L456" s="40">
        <f t="shared" si="211"/>
        <v>0</v>
      </c>
      <c r="M456" s="10">
        <f t="shared" si="228"/>
        <v>1.2693917734532167</v>
      </c>
      <c r="N456" s="10">
        <f t="shared" si="207"/>
        <v>8.26</v>
      </c>
      <c r="O456" s="10">
        <f t="shared" si="208"/>
        <v>0.31900000000000001</v>
      </c>
      <c r="P456" s="10">
        <f t="shared" si="229"/>
        <v>8.9130649049234574</v>
      </c>
      <c r="Q456" s="45">
        <f t="shared" si="230"/>
        <v>1.4671244569397224</v>
      </c>
      <c r="R456" s="4">
        <f t="shared" si="231"/>
        <v>32011.55115085137</v>
      </c>
      <c r="S456">
        <f t="shared" si="212"/>
        <v>3.2011551150851367E-5</v>
      </c>
      <c r="T456" s="44">
        <f t="shared" si="213"/>
        <v>2.0385623448446405E-4</v>
      </c>
      <c r="U456" s="45">
        <f t="shared" si="232"/>
        <v>5.7446329117760327E-2</v>
      </c>
      <c r="V456" s="45">
        <f t="shared" si="233"/>
        <v>0.19314254125173994</v>
      </c>
      <c r="W456" s="45">
        <f t="shared" si="234"/>
        <v>0.19319471234764266</v>
      </c>
      <c r="X456" s="45">
        <f t="shared" si="235"/>
        <v>-5.2171095902719955E-5</v>
      </c>
      <c r="Y456" s="45">
        <f t="shared" si="209"/>
        <v>7.3527287234986653E-4</v>
      </c>
      <c r="Z456" s="10">
        <f t="shared" si="236"/>
        <v>3.6068206312615958</v>
      </c>
      <c r="AA456">
        <f t="shared" si="214"/>
        <v>1267085.9684449488</v>
      </c>
      <c r="AB456" s="10">
        <f t="shared" si="215"/>
        <v>1.2670859684449487</v>
      </c>
      <c r="AC456" s="10">
        <f t="shared" si="216"/>
        <v>1.1660859684449487</v>
      </c>
      <c r="AD456" s="3">
        <f t="shared" si="217"/>
        <v>169.1205175409643</v>
      </c>
      <c r="AI456" s="100">
        <f t="shared" si="218"/>
        <v>0.19319471234764266</v>
      </c>
    </row>
    <row r="457" spans="2:35">
      <c r="B457" s="39">
        <f t="shared" si="219"/>
        <v>429</v>
      </c>
      <c r="C457" s="45">
        <f t="shared" si="220"/>
        <v>12.602517985610806</v>
      </c>
      <c r="D457" s="10">
        <f t="shared" si="221"/>
        <v>2.8474820143894242</v>
      </c>
      <c r="E457" s="40">
        <f t="shared" si="222"/>
        <v>42.645035971221155</v>
      </c>
      <c r="F457" s="40">
        <f t="shared" si="223"/>
        <v>48.34</v>
      </c>
      <c r="G457" s="3">
        <f t="shared" si="224"/>
        <v>77.789928057557688</v>
      </c>
      <c r="H457" s="3">
        <f t="shared" si="225"/>
        <v>148.0155219248214</v>
      </c>
      <c r="I457">
        <f t="shared" si="210"/>
        <v>1.4801552192482141E-4</v>
      </c>
      <c r="J457" s="4">
        <f t="shared" si="226"/>
        <v>1432.8831526876795</v>
      </c>
      <c r="K457" s="40">
        <f t="shared" si="227"/>
        <v>9.6806276399542437</v>
      </c>
      <c r="L457" s="40">
        <f t="shared" si="211"/>
        <v>0</v>
      </c>
      <c r="M457" s="10">
        <f t="shared" si="228"/>
        <v>1.2670859684449487</v>
      </c>
      <c r="N457" s="10">
        <f t="shared" si="207"/>
        <v>8.26</v>
      </c>
      <c r="O457" s="10">
        <f t="shared" si="208"/>
        <v>0.31900000000000001</v>
      </c>
      <c r="P457" s="10">
        <f t="shared" si="229"/>
        <v>8.9078970126132155</v>
      </c>
      <c r="Q457" s="45">
        <f t="shared" si="230"/>
        <v>1.4704222609847581</v>
      </c>
      <c r="R457" s="4">
        <f t="shared" si="231"/>
        <v>31657.324475812184</v>
      </c>
      <c r="S457">
        <f t="shared" si="212"/>
        <v>3.1657324475812184E-5</v>
      </c>
      <c r="T457" s="44">
        <f t="shared" si="213"/>
        <v>2.0421046115950324E-4</v>
      </c>
      <c r="U457" s="45">
        <f t="shared" si="232"/>
        <v>5.6810651638068754E-2</v>
      </c>
      <c r="V457" s="45">
        <f t="shared" si="233"/>
        <v>0.19275780822952981</v>
      </c>
      <c r="W457" s="45">
        <f t="shared" si="234"/>
        <v>0.19281344525434099</v>
      </c>
      <c r="X457" s="45">
        <f t="shared" si="235"/>
        <v>-5.563702481117816E-5</v>
      </c>
      <c r="Y457" s="45">
        <f t="shared" si="209"/>
        <v>7.3508939234439045E-4</v>
      </c>
      <c r="Z457" s="10">
        <f t="shared" si="236"/>
        <v>3.5996656986648303</v>
      </c>
      <c r="AA457">
        <f t="shared" si="214"/>
        <v>1264772.7770336701</v>
      </c>
      <c r="AB457" s="10">
        <f t="shared" si="215"/>
        <v>1.2647727770336701</v>
      </c>
      <c r="AC457" s="10">
        <f t="shared" si="216"/>
        <v>1.1637727770336701</v>
      </c>
      <c r="AD457" s="3">
        <f t="shared" si="217"/>
        <v>168.78502930147499</v>
      </c>
      <c r="AI457" s="100">
        <f t="shared" si="218"/>
        <v>0.19281344525434099</v>
      </c>
    </row>
    <row r="458" spans="2:35">
      <c r="B458" s="39">
        <f t="shared" si="219"/>
        <v>430</v>
      </c>
      <c r="C458" s="45">
        <f t="shared" si="220"/>
        <v>12.631894484411763</v>
      </c>
      <c r="D458" s="10">
        <f t="shared" si="221"/>
        <v>2.8181055155884671</v>
      </c>
      <c r="E458" s="40">
        <f t="shared" si="222"/>
        <v>42.703788968823069</v>
      </c>
      <c r="F458" s="40">
        <f t="shared" si="223"/>
        <v>48.34</v>
      </c>
      <c r="G458" s="3">
        <f t="shared" si="224"/>
        <v>77.67242206235386</v>
      </c>
      <c r="H458" s="3">
        <f t="shared" si="225"/>
        <v>148.0155219248214</v>
      </c>
      <c r="I458">
        <f t="shared" si="210"/>
        <v>1.4801552192482141E-4</v>
      </c>
      <c r="J458" s="4">
        <f t="shared" si="226"/>
        <v>1436.8215312337775</v>
      </c>
      <c r="K458" s="40">
        <f t="shared" si="227"/>
        <v>9.7072355152289624</v>
      </c>
      <c r="L458" s="40">
        <f t="shared" si="211"/>
        <v>0</v>
      </c>
      <c r="M458" s="10">
        <f t="shared" si="228"/>
        <v>1.2647727770336701</v>
      </c>
      <c r="N458" s="10">
        <f t="shared" si="207"/>
        <v>8.26</v>
      </c>
      <c r="O458" s="10">
        <f t="shared" si="208"/>
        <v>0.31900000000000001</v>
      </c>
      <c r="P458" s="10">
        <f t="shared" si="229"/>
        <v>8.9027061263043468</v>
      </c>
      <c r="Q458" s="45">
        <f t="shared" si="230"/>
        <v>1.4737219878750079</v>
      </c>
      <c r="R458" s="4">
        <f t="shared" si="231"/>
        <v>31303.600932982288</v>
      </c>
      <c r="S458">
        <f t="shared" si="212"/>
        <v>3.1303600932982291E-5</v>
      </c>
      <c r="T458" s="44">
        <f t="shared" si="213"/>
        <v>2.0456418470233311E-4</v>
      </c>
      <c r="U458" s="45">
        <f t="shared" si="232"/>
        <v>5.6175877054283362E-2</v>
      </c>
      <c r="V458" s="45">
        <f t="shared" si="233"/>
        <v>0.19237185527719705</v>
      </c>
      <c r="W458" s="45">
        <f t="shared" si="234"/>
        <v>0.19243095681214134</v>
      </c>
      <c r="X458" s="45">
        <f t="shared" si="235"/>
        <v>-5.9101534944289158E-5</v>
      </c>
      <c r="Y458" s="45">
        <f t="shared" si="209"/>
        <v>7.3489437342027977E-4</v>
      </c>
      <c r="Z458" s="10">
        <f t="shared" si="236"/>
        <v>3.5924879738339559</v>
      </c>
      <c r="AA458">
        <f t="shared" si="214"/>
        <v>1262452.2168876799</v>
      </c>
      <c r="AB458" s="10">
        <f t="shared" si="215"/>
        <v>1.2624522168876799</v>
      </c>
      <c r="AC458" s="10">
        <f t="shared" si="216"/>
        <v>1.16145221688768</v>
      </c>
      <c r="AD458" s="3">
        <f t="shared" si="217"/>
        <v>168.44847235499347</v>
      </c>
      <c r="AI458" s="100">
        <f t="shared" si="218"/>
        <v>0.19243095681214134</v>
      </c>
    </row>
    <row r="459" spans="2:35">
      <c r="B459" s="39">
        <f t="shared" si="219"/>
        <v>431</v>
      </c>
      <c r="C459" s="45">
        <f t="shared" si="220"/>
        <v>12.66127098321272</v>
      </c>
      <c r="D459" s="10">
        <f t="shared" si="221"/>
        <v>2.7887290167875101</v>
      </c>
      <c r="E459" s="40">
        <f t="shared" si="222"/>
        <v>42.762541966424983</v>
      </c>
      <c r="F459" s="40">
        <f t="shared" si="223"/>
        <v>48.34</v>
      </c>
      <c r="G459" s="3">
        <f t="shared" si="224"/>
        <v>77.554916067150032</v>
      </c>
      <c r="H459" s="3">
        <f t="shared" si="225"/>
        <v>148.0155219248214</v>
      </c>
      <c r="I459">
        <f t="shared" si="210"/>
        <v>1.4801552192482141E-4</v>
      </c>
      <c r="J459" s="4">
        <f t="shared" si="226"/>
        <v>1440.7653320348495</v>
      </c>
      <c r="K459" s="40">
        <f t="shared" si="227"/>
        <v>9.733880023519621</v>
      </c>
      <c r="L459" s="40">
        <f t="shared" si="211"/>
        <v>0</v>
      </c>
      <c r="M459" s="10">
        <f t="shared" si="228"/>
        <v>1.2624522168876799</v>
      </c>
      <c r="N459" s="10">
        <f t="shared" si="207"/>
        <v>8.26</v>
      </c>
      <c r="O459" s="10">
        <f t="shared" si="208"/>
        <v>0.31900000000000001</v>
      </c>
      <c r="P459" s="10">
        <f t="shared" si="229"/>
        <v>8.897492204000315</v>
      </c>
      <c r="Q459" s="45">
        <f t="shared" si="230"/>
        <v>1.4770236484022012</v>
      </c>
      <c r="R459" s="4">
        <f t="shared" si="231"/>
        <v>30950.382433804094</v>
      </c>
      <c r="S459">
        <f t="shared" si="212"/>
        <v>3.0950382433804094E-5</v>
      </c>
      <c r="T459" s="44">
        <f t="shared" si="213"/>
        <v>2.0491740320151131E-4</v>
      </c>
      <c r="U459" s="45">
        <f t="shared" si="232"/>
        <v>5.5542008796583137E-2</v>
      </c>
      <c r="V459" s="45">
        <f t="shared" si="233"/>
        <v>0.19198468542707881</v>
      </c>
      <c r="W459" s="45">
        <f t="shared" si="234"/>
        <v>0.19204724994251407</v>
      </c>
      <c r="X459" s="45">
        <f t="shared" si="235"/>
        <v>-6.2564515435264978E-5</v>
      </c>
      <c r="Y459" s="45">
        <f t="shared" si="209"/>
        <v>7.3468780662926418E-4</v>
      </c>
      <c r="Z459" s="10">
        <f t="shared" si="236"/>
        <v>3.5852875117043532</v>
      </c>
      <c r="AA459">
        <f t="shared" si="214"/>
        <v>1260124.3057675995</v>
      </c>
      <c r="AB459" s="10">
        <f t="shared" si="215"/>
        <v>1.2601243057675995</v>
      </c>
      <c r="AC459" s="10">
        <f t="shared" si="216"/>
        <v>1.1591243057675995</v>
      </c>
      <c r="AD459" s="3">
        <f t="shared" si="217"/>
        <v>168.11084927738935</v>
      </c>
      <c r="AI459" s="100">
        <f t="shared" si="218"/>
        <v>0.19204724994251407</v>
      </c>
    </row>
    <row r="460" spans="2:35">
      <c r="B460" s="39">
        <f t="shared" si="219"/>
        <v>432</v>
      </c>
      <c r="C460" s="45">
        <f t="shared" si="220"/>
        <v>12.690647482013677</v>
      </c>
      <c r="D460" s="10">
        <f t="shared" si="221"/>
        <v>2.759352517986553</v>
      </c>
      <c r="E460" s="40">
        <f t="shared" si="222"/>
        <v>42.821294964026897</v>
      </c>
      <c r="F460" s="40">
        <f t="shared" si="223"/>
        <v>48.34</v>
      </c>
      <c r="G460" s="3">
        <f t="shared" si="224"/>
        <v>77.437410071946204</v>
      </c>
      <c r="H460" s="3">
        <f t="shared" si="225"/>
        <v>148.0155219248214</v>
      </c>
      <c r="I460">
        <f t="shared" si="210"/>
        <v>1.4801552192482141E-4</v>
      </c>
      <c r="J460" s="4">
        <f t="shared" si="226"/>
        <v>1444.7145550908954</v>
      </c>
      <c r="K460" s="40">
        <f t="shared" si="227"/>
        <v>9.7605611648262176</v>
      </c>
      <c r="L460" s="40">
        <f t="shared" si="211"/>
        <v>0</v>
      </c>
      <c r="M460" s="10">
        <f t="shared" si="228"/>
        <v>1.2601243057675995</v>
      </c>
      <c r="N460" s="10">
        <f t="shared" si="207"/>
        <v>8.26</v>
      </c>
      <c r="O460" s="10">
        <f t="shared" si="208"/>
        <v>0.31900000000000001</v>
      </c>
      <c r="P460" s="10">
        <f t="shared" si="229"/>
        <v>8.8922552034339102</v>
      </c>
      <c r="Q460" s="45">
        <f t="shared" si="230"/>
        <v>1.4803272534077812</v>
      </c>
      <c r="R460" s="4">
        <f t="shared" si="231"/>
        <v>30597.670889720011</v>
      </c>
      <c r="S460">
        <f t="shared" si="212"/>
        <v>3.0597670889720011E-5</v>
      </c>
      <c r="T460" s="44">
        <f t="shared" si="213"/>
        <v>2.052701147455954E-4</v>
      </c>
      <c r="U460" s="45">
        <f t="shared" si="232"/>
        <v>5.490905029514704E-2</v>
      </c>
      <c r="V460" s="45">
        <f t="shared" si="233"/>
        <v>0.19159630172705464</v>
      </c>
      <c r="W460" s="45">
        <f t="shared" si="234"/>
        <v>0.1916623275821952</v>
      </c>
      <c r="X460" s="45">
        <f t="shared" si="235"/>
        <v>-6.6025855140566803E-5</v>
      </c>
      <c r="Y460" s="45">
        <f t="shared" si="209"/>
        <v>7.3446968328372405E-4</v>
      </c>
      <c r="Z460" s="10">
        <f t="shared" si="236"/>
        <v>3.5780643674993806</v>
      </c>
      <c r="AA460">
        <f t="shared" si="214"/>
        <v>1257789.0615271542</v>
      </c>
      <c r="AB460" s="10">
        <f t="shared" si="215"/>
        <v>1.2577890615271541</v>
      </c>
      <c r="AC460" s="10">
        <f t="shared" si="216"/>
        <v>1.1567890615271541</v>
      </c>
      <c r="AD460" s="3">
        <f t="shared" si="217"/>
        <v>167.77216265803543</v>
      </c>
      <c r="AI460" s="100">
        <f t="shared" si="218"/>
        <v>0.1916623275821952</v>
      </c>
    </row>
    <row r="461" spans="2:35">
      <c r="B461" s="39">
        <f t="shared" si="219"/>
        <v>433</v>
      </c>
      <c r="C461" s="45">
        <f t="shared" si="220"/>
        <v>12.720023980814634</v>
      </c>
      <c r="D461" s="10">
        <f t="shared" si="221"/>
        <v>2.729976019185596</v>
      </c>
      <c r="E461" s="40">
        <f t="shared" si="222"/>
        <v>42.880047961628811</v>
      </c>
      <c r="F461" s="40">
        <f t="shared" si="223"/>
        <v>48.34</v>
      </c>
      <c r="G461" s="3">
        <f t="shared" si="224"/>
        <v>77.319904076742375</v>
      </c>
      <c r="H461" s="3">
        <f t="shared" si="225"/>
        <v>148.0155219248214</v>
      </c>
      <c r="I461">
        <f t="shared" si="210"/>
        <v>1.4801552192482141E-4</v>
      </c>
      <c r="J461" s="4">
        <f t="shared" si="226"/>
        <v>1448.6692004019151</v>
      </c>
      <c r="K461" s="40">
        <f t="shared" si="227"/>
        <v>9.787278939148754</v>
      </c>
      <c r="L461" s="40">
        <f t="shared" si="211"/>
        <v>0</v>
      </c>
      <c r="M461" s="10">
        <f t="shared" si="228"/>
        <v>1.2577890615271541</v>
      </c>
      <c r="N461" s="10">
        <f t="shared" si="207"/>
        <v>8.26</v>
      </c>
      <c r="O461" s="10">
        <f t="shared" si="208"/>
        <v>0.31900000000000001</v>
      </c>
      <c r="P461" s="10">
        <f t="shared" si="229"/>
        <v>8.8869950820665728</v>
      </c>
      <c r="Q461" s="45">
        <f t="shared" si="230"/>
        <v>1.4836328137833279</v>
      </c>
      <c r="R461" s="4">
        <f t="shared" si="231"/>
        <v>30245.468212172433</v>
      </c>
      <c r="S461">
        <f t="shared" si="212"/>
        <v>3.0245468212172432E-5</v>
      </c>
      <c r="T461" s="44">
        <f t="shared" si="213"/>
        <v>2.0562231742314298E-4</v>
      </c>
      <c r="U461" s="45">
        <f t="shared" si="232"/>
        <v>5.4277004980154038E-2</v>
      </c>
      <c r="V461" s="45">
        <f t="shared" si="233"/>
        <v>0.19120670724051145</v>
      </c>
      <c r="W461" s="45">
        <f t="shared" si="234"/>
        <v>0.19127619268331539</v>
      </c>
      <c r="X461" s="45">
        <f t="shared" si="235"/>
        <v>-6.9485442803940423E-5</v>
      </c>
      <c r="Y461" s="45">
        <f t="shared" si="209"/>
        <v>7.3423999495731405E-4</v>
      </c>
      <c r="Z461" s="10">
        <f t="shared" si="236"/>
        <v>3.5708185967301751</v>
      </c>
      <c r="AA461">
        <f t="shared" si="214"/>
        <v>1255446.5021131076</v>
      </c>
      <c r="AB461" s="10">
        <f t="shared" si="215"/>
        <v>1.2554465021131076</v>
      </c>
      <c r="AC461" s="10">
        <f t="shared" si="216"/>
        <v>1.1544465021131076</v>
      </c>
      <c r="AD461" s="3">
        <f t="shared" si="217"/>
        <v>167.43241509979805</v>
      </c>
      <c r="AI461" s="100">
        <f t="shared" si="218"/>
        <v>0.19127619268331539</v>
      </c>
    </row>
    <row r="462" spans="2:35">
      <c r="B462" s="39">
        <f t="shared" si="219"/>
        <v>434</v>
      </c>
      <c r="C462" s="45">
        <f t="shared" si="220"/>
        <v>12.749400479615591</v>
      </c>
      <c r="D462" s="10">
        <f t="shared" si="221"/>
        <v>2.7005995203846389</v>
      </c>
      <c r="E462" s="40">
        <f t="shared" si="222"/>
        <v>42.938800959230726</v>
      </c>
      <c r="F462" s="40">
        <f t="shared" si="223"/>
        <v>48.34</v>
      </c>
      <c r="G462" s="3">
        <f t="shared" si="224"/>
        <v>77.202398081538547</v>
      </c>
      <c r="H462" s="3">
        <f t="shared" si="225"/>
        <v>148.0155219248214</v>
      </c>
      <c r="I462">
        <f t="shared" si="210"/>
        <v>1.4801552192482141E-4</v>
      </c>
      <c r="J462" s="4">
        <f t="shared" si="226"/>
        <v>1452.6292679679088</v>
      </c>
      <c r="K462" s="40">
        <f t="shared" si="227"/>
        <v>9.8140333464872302</v>
      </c>
      <c r="L462" s="40">
        <f t="shared" si="211"/>
        <v>0</v>
      </c>
      <c r="M462" s="10">
        <f t="shared" si="228"/>
        <v>1.2554465021131076</v>
      </c>
      <c r="N462" s="10">
        <f t="shared" si="207"/>
        <v>8.26</v>
      </c>
      <c r="O462" s="10">
        <f t="shared" si="208"/>
        <v>0.31900000000000001</v>
      </c>
      <c r="P462" s="10">
        <f t="shared" si="229"/>
        <v>8.8817117970858153</v>
      </c>
      <c r="Q462" s="45">
        <f t="shared" si="230"/>
        <v>1.4869403404709869</v>
      </c>
      <c r="R462" s="4">
        <f t="shared" si="231"/>
        <v>29893.776312603746</v>
      </c>
      <c r="S462">
        <f t="shared" si="212"/>
        <v>2.9893776312603746E-5</v>
      </c>
      <c r="T462" s="44">
        <f t="shared" si="213"/>
        <v>2.0597400932271167E-4</v>
      </c>
      <c r="U462" s="45">
        <f t="shared" si="232"/>
        <v>5.364587628178305E-2</v>
      </c>
      <c r="V462" s="45">
        <f t="shared" si="233"/>
        <v>0.19081590504646526</v>
      </c>
      <c r="W462" s="45">
        <f t="shared" si="234"/>
        <v>0.19088884821338953</v>
      </c>
      <c r="X462" s="45">
        <f t="shared" si="235"/>
        <v>-7.294316692427194E-5</v>
      </c>
      <c r="Y462" s="45">
        <f t="shared" si="209"/>
        <v>7.3399873348602965E-4</v>
      </c>
      <c r="Z462" s="10">
        <f t="shared" si="236"/>
        <v>3.563550255197637</v>
      </c>
      <c r="AA462">
        <f t="shared" si="214"/>
        <v>1253096.6455659042</v>
      </c>
      <c r="AB462" s="10">
        <f t="shared" si="215"/>
        <v>1.2530966455659043</v>
      </c>
      <c r="AC462" s="10">
        <f t="shared" si="216"/>
        <v>1.1520966455659043</v>
      </c>
      <c r="AD462" s="3">
        <f t="shared" si="217"/>
        <v>167.09160921913042</v>
      </c>
      <c r="AI462" s="100">
        <f t="shared" si="218"/>
        <v>0.19088884821338953</v>
      </c>
    </row>
    <row r="463" spans="2:35">
      <c r="B463" s="39">
        <f t="shared" si="219"/>
        <v>435</v>
      </c>
      <c r="C463" s="45">
        <f t="shared" si="220"/>
        <v>12.778776978416548</v>
      </c>
      <c r="D463" s="10">
        <f t="shared" si="221"/>
        <v>2.6712230215836819</v>
      </c>
      <c r="E463" s="40">
        <f t="shared" si="222"/>
        <v>42.99755395683264</v>
      </c>
      <c r="F463" s="40">
        <f t="shared" si="223"/>
        <v>48.34</v>
      </c>
      <c r="G463" s="3">
        <f t="shared" si="224"/>
        <v>77.084892086334719</v>
      </c>
      <c r="H463" s="3">
        <f t="shared" si="225"/>
        <v>148.0155219248214</v>
      </c>
      <c r="I463">
        <f t="shared" si="210"/>
        <v>1.4801552192482141E-4</v>
      </c>
      <c r="J463" s="4">
        <f t="shared" si="226"/>
        <v>1456.5947577888764</v>
      </c>
      <c r="K463" s="40">
        <f t="shared" si="227"/>
        <v>9.8408243868416445</v>
      </c>
      <c r="L463" s="40">
        <f t="shared" si="211"/>
        <v>0</v>
      </c>
      <c r="M463" s="10">
        <f t="shared" si="228"/>
        <v>1.2530966455659043</v>
      </c>
      <c r="N463" s="10">
        <f t="shared" si="207"/>
        <v>8.26</v>
      </c>
      <c r="O463" s="10">
        <f t="shared" si="208"/>
        <v>0.31900000000000001</v>
      </c>
      <c r="P463" s="10">
        <f t="shared" si="229"/>
        <v>8.8764053054041785</v>
      </c>
      <c r="Q463" s="45">
        <f t="shared" si="230"/>
        <v>1.4902498444639007</v>
      </c>
      <c r="R463" s="4">
        <f t="shared" si="231"/>
        <v>29542.59710245637</v>
      </c>
      <c r="S463">
        <f t="shared" si="212"/>
        <v>2.9542597102456369E-5</v>
      </c>
      <c r="T463" s="44">
        <f t="shared" si="213"/>
        <v>2.0632518853285904E-4</v>
      </c>
      <c r="U463" s="45">
        <f t="shared" si="232"/>
        <v>5.3015667630213072E-2</v>
      </c>
      <c r="V463" s="45">
        <f t="shared" si="233"/>
        <v>0.19042389823953992</v>
      </c>
      <c r="W463" s="45">
        <f t="shared" si="234"/>
        <v>0.19050029715542252</v>
      </c>
      <c r="X463" s="45">
        <f t="shared" si="235"/>
        <v>-7.6398915882597285E-5</v>
      </c>
      <c r="Y463" s="45">
        <f t="shared" si="209"/>
        <v>7.337458909688619E-4</v>
      </c>
      <c r="Z463" s="10">
        <f t="shared" si="236"/>
        <v>3.5562593989924145</v>
      </c>
      <c r="AA463">
        <f t="shared" si="214"/>
        <v>1250739.5100196637</v>
      </c>
      <c r="AB463" s="10">
        <f t="shared" si="215"/>
        <v>1.2507395100196637</v>
      </c>
      <c r="AC463" s="10">
        <f t="shared" si="216"/>
        <v>1.1497395100196637</v>
      </c>
      <c r="AD463" s="3">
        <f t="shared" si="217"/>
        <v>166.7497476460716</v>
      </c>
      <c r="AI463" s="100">
        <f t="shared" si="218"/>
        <v>0.19050029715542252</v>
      </c>
    </row>
    <row r="464" spans="2:35">
      <c r="B464" s="39">
        <f t="shared" si="219"/>
        <v>436</v>
      </c>
      <c r="C464" s="45">
        <f t="shared" si="220"/>
        <v>12.808153477217505</v>
      </c>
      <c r="D464" s="10">
        <f t="shared" si="221"/>
        <v>2.6418465227827248</v>
      </c>
      <c r="E464" s="40">
        <f t="shared" si="222"/>
        <v>43.056306954434554</v>
      </c>
      <c r="F464" s="40">
        <f t="shared" si="223"/>
        <v>48.34</v>
      </c>
      <c r="G464" s="3">
        <f t="shared" si="224"/>
        <v>76.967386091130891</v>
      </c>
      <c r="H464" s="3">
        <f t="shared" si="225"/>
        <v>148.0155219248214</v>
      </c>
      <c r="I464">
        <f t="shared" si="210"/>
        <v>1.4801552192482141E-4</v>
      </c>
      <c r="J464" s="4">
        <f t="shared" si="226"/>
        <v>1460.5656698648179</v>
      </c>
      <c r="K464" s="40">
        <f t="shared" si="227"/>
        <v>9.8676520602119968</v>
      </c>
      <c r="L464" s="40">
        <f t="shared" si="211"/>
        <v>0</v>
      </c>
      <c r="M464" s="10">
        <f t="shared" si="228"/>
        <v>1.2507395100196637</v>
      </c>
      <c r="N464" s="10">
        <f t="shared" si="207"/>
        <v>8.26</v>
      </c>
      <c r="O464" s="10">
        <f t="shared" si="208"/>
        <v>0.31900000000000001</v>
      </c>
      <c r="P464" s="10">
        <f t="shared" si="229"/>
        <v>8.871075563656742</v>
      </c>
      <c r="Q464" s="45">
        <f t="shared" si="230"/>
        <v>1.4935613368066454</v>
      </c>
      <c r="R464" s="4">
        <f t="shared" si="231"/>
        <v>29191.932493172699</v>
      </c>
      <c r="S464">
        <f t="shared" si="212"/>
        <v>2.9191932493172697E-5</v>
      </c>
      <c r="T464" s="44">
        <f t="shared" si="213"/>
        <v>2.0667585314214273E-4</v>
      </c>
      <c r="U464" s="45">
        <f t="shared" si="232"/>
        <v>5.2386382455623062E-2</v>
      </c>
      <c r="V464" s="45">
        <f t="shared" si="233"/>
        <v>0.19003068993010083</v>
      </c>
      <c r="W464" s="45">
        <f t="shared" si="234"/>
        <v>0.19011054250790868</v>
      </c>
      <c r="X464" s="45">
        <f t="shared" si="235"/>
        <v>-7.985257780784849E-5</v>
      </c>
      <c r="Y464" s="45">
        <f t="shared" si="209"/>
        <v>7.3348145976890277E-4</v>
      </c>
      <c r="Z464" s="10">
        <f t="shared" si="236"/>
        <v>3.5489460844970888</v>
      </c>
      <c r="AA464">
        <f t="shared" si="214"/>
        <v>1248375.1137028884</v>
      </c>
      <c r="AB464" s="10">
        <f t="shared" si="215"/>
        <v>1.2483751137028885</v>
      </c>
      <c r="AC464" s="10">
        <f t="shared" si="216"/>
        <v>1.1473751137028885</v>
      </c>
      <c r="AD464" s="3">
        <f t="shared" si="217"/>
        <v>166.40683302434928</v>
      </c>
      <c r="AI464" s="100">
        <f t="shared" si="218"/>
        <v>0.19011054250790868</v>
      </c>
    </row>
    <row r="465" spans="2:35">
      <c r="B465" s="39">
        <f t="shared" si="219"/>
        <v>437</v>
      </c>
      <c r="C465" s="45">
        <f t="shared" si="220"/>
        <v>12.837529976018462</v>
      </c>
      <c r="D465" s="10">
        <f t="shared" si="221"/>
        <v>2.6124700239817678</v>
      </c>
      <c r="E465" s="40">
        <f t="shared" si="222"/>
        <v>43.115059952036468</v>
      </c>
      <c r="F465" s="40">
        <f t="shared" si="223"/>
        <v>48.34</v>
      </c>
      <c r="G465" s="3">
        <f t="shared" si="224"/>
        <v>76.849880095927062</v>
      </c>
      <c r="H465" s="3">
        <f t="shared" si="225"/>
        <v>148.0155219248214</v>
      </c>
      <c r="I465">
        <f t="shared" si="210"/>
        <v>1.4801552192482141E-4</v>
      </c>
      <c r="J465" s="4">
        <f t="shared" si="226"/>
        <v>1464.5420041957334</v>
      </c>
      <c r="K465" s="40">
        <f t="shared" si="227"/>
        <v>9.8945163665982907</v>
      </c>
      <c r="L465" s="40">
        <f t="shared" si="211"/>
        <v>0</v>
      </c>
      <c r="M465" s="10">
        <f t="shared" si="228"/>
        <v>1.2483751137028885</v>
      </c>
      <c r="N465" s="10">
        <f t="shared" si="207"/>
        <v>8.26</v>
      </c>
      <c r="O465" s="10">
        <f t="shared" si="208"/>
        <v>0.31900000000000001</v>
      </c>
      <c r="P465" s="10">
        <f t="shared" si="229"/>
        <v>8.8657225282002017</v>
      </c>
      <c r="Q465" s="45">
        <f t="shared" si="230"/>
        <v>1.4968748285956694</v>
      </c>
      <c r="R465" s="4">
        <f t="shared" si="231"/>
        <v>28841.784396195126</v>
      </c>
      <c r="S465">
        <f t="shared" si="212"/>
        <v>2.8841784396195126E-5</v>
      </c>
      <c r="T465" s="44">
        <f t="shared" si="213"/>
        <v>2.0702600123912029E-4</v>
      </c>
      <c r="U465" s="45">
        <f t="shared" si="232"/>
        <v>5.1758024188191955E-2</v>
      </c>
      <c r="V465" s="45">
        <f t="shared" si="233"/>
        <v>0.18963628324432313</v>
      </c>
      <c r="W465" s="45">
        <f t="shared" si="234"/>
        <v>0.18971958728494848</v>
      </c>
      <c r="X465" s="45">
        <f t="shared" si="235"/>
        <v>-8.330404062534269E-5</v>
      </c>
      <c r="Y465" s="45">
        <f t="shared" si="209"/>
        <v>7.3320543251429815E-4</v>
      </c>
      <c r="Z465" s="10">
        <f t="shared" si="236"/>
        <v>3.541610368387627</v>
      </c>
      <c r="AA465">
        <f t="shared" si="214"/>
        <v>1246003.4749389316</v>
      </c>
      <c r="AB465" s="10">
        <f t="shared" si="215"/>
        <v>1.2460034749389317</v>
      </c>
      <c r="AC465" s="10">
        <f t="shared" si="216"/>
        <v>1.1450034749389317</v>
      </c>
      <c r="AD465" s="3">
        <f t="shared" si="217"/>
        <v>166.06286801144768</v>
      </c>
      <c r="AI465" s="100">
        <f t="shared" si="218"/>
        <v>0.18971958728494848</v>
      </c>
    </row>
    <row r="466" spans="2:35">
      <c r="B466" s="39">
        <f t="shared" si="219"/>
        <v>438</v>
      </c>
      <c r="C466" s="45">
        <f t="shared" si="220"/>
        <v>12.86690647481942</v>
      </c>
      <c r="D466" s="10">
        <f t="shared" si="221"/>
        <v>2.5830935251808107</v>
      </c>
      <c r="E466" s="40">
        <f t="shared" si="222"/>
        <v>43.173812949638382</v>
      </c>
      <c r="F466" s="40">
        <f t="shared" si="223"/>
        <v>48.34</v>
      </c>
      <c r="G466" s="3">
        <f t="shared" si="224"/>
        <v>76.732374100723234</v>
      </c>
      <c r="H466" s="3">
        <f t="shared" si="225"/>
        <v>148.0155219248214</v>
      </c>
      <c r="I466">
        <f t="shared" si="210"/>
        <v>1.4801552192482141E-4</v>
      </c>
      <c r="J466" s="4">
        <f t="shared" si="226"/>
        <v>1468.5237607816225</v>
      </c>
      <c r="K466" s="40">
        <f t="shared" si="227"/>
        <v>9.9214173060005209</v>
      </c>
      <c r="L466" s="40">
        <f t="shared" si="211"/>
        <v>0</v>
      </c>
      <c r="M466" s="10">
        <f t="shared" si="228"/>
        <v>1.2460034749389317</v>
      </c>
      <c r="N466" s="10">
        <f t="shared" si="207"/>
        <v>8.26</v>
      </c>
      <c r="O466" s="10">
        <f t="shared" si="208"/>
        <v>0.31900000000000001</v>
      </c>
      <c r="P466" s="10">
        <f t="shared" si="229"/>
        <v>8.8603461551113867</v>
      </c>
      <c r="Q466" s="45">
        <f t="shared" si="230"/>
        <v>1.5001903309797395</v>
      </c>
      <c r="R466" s="4">
        <f t="shared" si="231"/>
        <v>28492.154722966079</v>
      </c>
      <c r="S466">
        <f t="shared" si="212"/>
        <v>2.8492154722966079E-5</v>
      </c>
      <c r="T466" s="44">
        <f t="shared" si="213"/>
        <v>2.0737563091234934E-4</v>
      </c>
      <c r="U466" s="45">
        <f t="shared" si="232"/>
        <v>5.1130596258098779E-2</v>
      </c>
      <c r="V466" s="45">
        <f t="shared" si="233"/>
        <v>0.189240681324123</v>
      </c>
      <c r="W466" s="45">
        <f t="shared" si="234"/>
        <v>0.18932743451632625</v>
      </c>
      <c r="X466" s="45">
        <f t="shared" si="235"/>
        <v>-8.6753192203248286E-5</v>
      </c>
      <c r="Y466" s="45">
        <f t="shared" si="209"/>
        <v>7.3291780209872254E-4</v>
      </c>
      <c r="Z466" s="10">
        <f t="shared" si="236"/>
        <v>3.5342523076325305</v>
      </c>
      <c r="AA466">
        <f t="shared" si="214"/>
        <v>1243624.6121457235</v>
      </c>
      <c r="AB466" s="10">
        <f t="shared" si="215"/>
        <v>1.2436246121457235</v>
      </c>
      <c r="AC466" s="10">
        <f t="shared" si="216"/>
        <v>1.1426246121457235</v>
      </c>
      <c r="AD466" s="3">
        <f t="shared" si="217"/>
        <v>165.71785527856758</v>
      </c>
      <c r="AI466" s="100">
        <f t="shared" si="218"/>
        <v>0.18932743451632625</v>
      </c>
    </row>
    <row r="467" spans="2:35">
      <c r="B467" s="39">
        <f t="shared" si="219"/>
        <v>439</v>
      </c>
      <c r="C467" s="45">
        <f t="shared" si="220"/>
        <v>12.896282973620377</v>
      </c>
      <c r="D467" s="10">
        <f t="shared" si="221"/>
        <v>2.5537170263798536</v>
      </c>
      <c r="E467" s="40">
        <f t="shared" si="222"/>
        <v>43.232565947240296</v>
      </c>
      <c r="F467" s="40">
        <f t="shared" si="223"/>
        <v>48.34</v>
      </c>
      <c r="G467" s="3">
        <f t="shared" si="224"/>
        <v>76.614868105519406</v>
      </c>
      <c r="H467" s="3">
        <f t="shared" si="225"/>
        <v>148.0155219248214</v>
      </c>
      <c r="I467">
        <f t="shared" si="210"/>
        <v>1.4801552192482141E-4</v>
      </c>
      <c r="J467" s="4">
        <f t="shared" si="226"/>
        <v>1472.5109396224859</v>
      </c>
      <c r="K467" s="40">
        <f t="shared" si="227"/>
        <v>9.9483548784186926</v>
      </c>
      <c r="L467" s="40">
        <f t="shared" si="211"/>
        <v>0</v>
      </c>
      <c r="M467" s="10">
        <f t="shared" si="228"/>
        <v>1.2436246121457235</v>
      </c>
      <c r="N467" s="10">
        <f t="shared" si="207"/>
        <v>8.26</v>
      </c>
      <c r="O467" s="10">
        <f t="shared" si="208"/>
        <v>0.31900000000000001</v>
      </c>
      <c r="P467" s="10">
        <f t="shared" si="229"/>
        <v>8.854946400184085</v>
      </c>
      <c r="Q467" s="45">
        <f t="shared" si="230"/>
        <v>1.5035078551603882</v>
      </c>
      <c r="R467" s="4">
        <f t="shared" si="231"/>
        <v>28143.045384927929</v>
      </c>
      <c r="S467">
        <f t="shared" si="212"/>
        <v>2.8143045384927931E-5</v>
      </c>
      <c r="T467" s="44">
        <f t="shared" si="213"/>
        <v>2.0772474025038747E-4</v>
      </c>
      <c r="U467" s="45">
        <f t="shared" si="232"/>
        <v>5.0504102095522412E-2</v>
      </c>
      <c r="V467" s="45">
        <f t="shared" si="233"/>
        <v>0.18884388732740701</v>
      </c>
      <c r="W467" s="45">
        <f t="shared" si="234"/>
        <v>0.18893408724746449</v>
      </c>
      <c r="X467" s="45">
        <f t="shared" si="235"/>
        <v>-9.019992005748767E-5</v>
      </c>
      <c r="Y467" s="45">
        <f t="shared" si="209"/>
        <v>7.3261856168283922E-4</v>
      </c>
      <c r="Z467" s="10">
        <f t="shared" si="236"/>
        <v>3.5268719594967584</v>
      </c>
      <c r="AA467">
        <f t="shared" si="214"/>
        <v>1241238.543837039</v>
      </c>
      <c r="AB467" s="10">
        <f t="shared" si="215"/>
        <v>1.241238543837039</v>
      </c>
      <c r="AC467" s="10">
        <f t="shared" si="216"/>
        <v>1.140238543837039</v>
      </c>
      <c r="AD467" s="3">
        <f t="shared" si="217"/>
        <v>165.37179751081058</v>
      </c>
      <c r="AI467" s="100">
        <f t="shared" si="218"/>
        <v>0.18893408724746449</v>
      </c>
    </row>
    <row r="468" spans="2:35">
      <c r="B468" s="39">
        <f t="shared" si="219"/>
        <v>440</v>
      </c>
      <c r="C468" s="45">
        <f t="shared" si="220"/>
        <v>12.925659472421334</v>
      </c>
      <c r="D468" s="10">
        <f t="shared" si="221"/>
        <v>2.5243405275788966</v>
      </c>
      <c r="E468" s="40">
        <f t="shared" si="222"/>
        <v>43.29131894484221</v>
      </c>
      <c r="F468" s="40">
        <f t="shared" si="223"/>
        <v>48.34</v>
      </c>
      <c r="G468" s="3">
        <f t="shared" si="224"/>
        <v>76.497362110315578</v>
      </c>
      <c r="H468" s="3">
        <f t="shared" si="225"/>
        <v>148.0155219248214</v>
      </c>
      <c r="I468">
        <f t="shared" si="210"/>
        <v>1.4801552192482141E-4</v>
      </c>
      <c r="J468" s="4">
        <f t="shared" si="226"/>
        <v>1476.5035407183232</v>
      </c>
      <c r="K468" s="40">
        <f t="shared" si="227"/>
        <v>9.9753290838528024</v>
      </c>
      <c r="L468" s="40">
        <f t="shared" si="211"/>
        <v>0</v>
      </c>
      <c r="M468" s="10">
        <f t="shared" si="228"/>
        <v>1.241238543837039</v>
      </c>
      <c r="N468" s="10">
        <f t="shared" si="207"/>
        <v>8.26</v>
      </c>
      <c r="O468" s="10">
        <f t="shared" si="208"/>
        <v>0.31900000000000001</v>
      </c>
      <c r="P468" s="10">
        <f t="shared" si="229"/>
        <v>8.8495232189293205</v>
      </c>
      <c r="Q468" s="45">
        <f t="shared" si="230"/>
        <v>1.5068274123923666</v>
      </c>
      <c r="R468" s="4">
        <f t="shared" si="231"/>
        <v>27794.458293523076</v>
      </c>
      <c r="S468">
        <f t="shared" si="212"/>
        <v>2.7794458293523074E-5</v>
      </c>
      <c r="T468" s="44">
        <f t="shared" si="213"/>
        <v>2.0807332734179234E-4</v>
      </c>
      <c r="U468" s="45">
        <f t="shared" si="232"/>
        <v>4.9878545130641834E-2</v>
      </c>
      <c r="V468" s="45">
        <f t="shared" si="233"/>
        <v>0.18844590442796927</v>
      </c>
      <c r="W468" s="45">
        <f t="shared" si="234"/>
        <v>0.18853954853963392</v>
      </c>
      <c r="X468" s="45">
        <f t="shared" si="235"/>
        <v>-9.3644111664653584E-5</v>
      </c>
      <c r="Y468" s="45">
        <f t="shared" si="209"/>
        <v>7.323077046947306E-4</v>
      </c>
      <c r="Z468" s="10">
        <f t="shared" si="236"/>
        <v>3.5194693815406861</v>
      </c>
      <c r="AA468">
        <f t="shared" si="214"/>
        <v>1238845.2886221614</v>
      </c>
      <c r="AB468" s="10">
        <f t="shared" si="215"/>
        <v>1.2388452886221615</v>
      </c>
      <c r="AC468" s="10">
        <f t="shared" si="216"/>
        <v>1.1378452886221615</v>
      </c>
      <c r="AD468" s="3">
        <f t="shared" si="217"/>
        <v>165.02469740713005</v>
      </c>
      <c r="AI468" s="100">
        <f t="shared" si="218"/>
        <v>0.18853954853963392</v>
      </c>
    </row>
    <row r="469" spans="2:35">
      <c r="B469" s="39">
        <f t="shared" si="219"/>
        <v>441</v>
      </c>
      <c r="C469" s="45">
        <f t="shared" si="220"/>
        <v>12.955035971222291</v>
      </c>
      <c r="D469" s="10">
        <f t="shared" si="221"/>
        <v>2.4949640287779395</v>
      </c>
      <c r="E469" s="40">
        <f t="shared" si="222"/>
        <v>43.350071942444124</v>
      </c>
      <c r="F469" s="40">
        <f t="shared" si="223"/>
        <v>48.34</v>
      </c>
      <c r="G469" s="3">
        <f t="shared" si="224"/>
        <v>76.37985611511175</v>
      </c>
      <c r="H469" s="3">
        <f t="shared" si="225"/>
        <v>148.0155219248214</v>
      </c>
      <c r="I469">
        <f t="shared" si="210"/>
        <v>1.4801552192482141E-4</v>
      </c>
      <c r="J469" s="4">
        <f t="shared" si="226"/>
        <v>1480.501564069134</v>
      </c>
      <c r="K469" s="40">
        <f t="shared" si="227"/>
        <v>10.00233992230285</v>
      </c>
      <c r="L469" s="40">
        <f t="shared" si="211"/>
        <v>0</v>
      </c>
      <c r="M469" s="10">
        <f t="shared" si="228"/>
        <v>1.2388452886221615</v>
      </c>
      <c r="N469" s="10">
        <f t="shared" si="207"/>
        <v>8.26</v>
      </c>
      <c r="O469" s="10">
        <f t="shared" si="208"/>
        <v>0.31900000000000001</v>
      </c>
      <c r="P469" s="10">
        <f t="shared" si="229"/>
        <v>8.8440765665719923</v>
      </c>
      <c r="Q469" s="45">
        <f t="shared" si="230"/>
        <v>1.5101490139841023</v>
      </c>
      <c r="R469" s="4">
        <f t="shared" si="231"/>
        <v>27446.395360193954</v>
      </c>
      <c r="S469">
        <f t="shared" si="212"/>
        <v>2.7446395360193952E-5</v>
      </c>
      <c r="T469" s="44">
        <f t="shared" si="213"/>
        <v>2.0842139027512147E-4</v>
      </c>
      <c r="U469" s="45">
        <f t="shared" si="232"/>
        <v>4.9253928793636055E-2</v>
      </c>
      <c r="V469" s="45">
        <f t="shared" si="233"/>
        <v>0.18804673581559558</v>
      </c>
      <c r="W469" s="45">
        <f t="shared" si="234"/>
        <v>0.18814382146989755</v>
      </c>
      <c r="X469" s="45">
        <f t="shared" si="235"/>
        <v>-9.708565430197047E-5</v>
      </c>
      <c r="Y469" s="45">
        <f t="shared" si="209"/>
        <v>7.3198522483086648E-4</v>
      </c>
      <c r="Z469" s="10">
        <f t="shared" si="236"/>
        <v>3.5120446316216758</v>
      </c>
      <c r="AA469">
        <f t="shared" si="214"/>
        <v>1236444.865206389</v>
      </c>
      <c r="AB469" s="10">
        <f t="shared" si="215"/>
        <v>1.2364448652063891</v>
      </c>
      <c r="AC469" s="10">
        <f t="shared" si="216"/>
        <v>1.1354448652063891</v>
      </c>
      <c r="AD469" s="3">
        <f t="shared" si="217"/>
        <v>164.6765576804045</v>
      </c>
      <c r="AI469" s="100">
        <f t="shared" si="218"/>
        <v>0.18814382146989755</v>
      </c>
    </row>
    <row r="470" spans="2:35">
      <c r="B470" s="39">
        <f t="shared" si="219"/>
        <v>442</v>
      </c>
      <c r="C470" s="45">
        <f t="shared" si="220"/>
        <v>12.984412470023248</v>
      </c>
      <c r="D470" s="10">
        <f t="shared" si="221"/>
        <v>2.4655875299769825</v>
      </c>
      <c r="E470" s="40">
        <f t="shared" si="222"/>
        <v>43.408824940046038</v>
      </c>
      <c r="F470" s="40">
        <f t="shared" si="223"/>
        <v>48.34</v>
      </c>
      <c r="G470" s="3">
        <f t="shared" si="224"/>
        <v>76.262350119907921</v>
      </c>
      <c r="H470" s="3">
        <f t="shared" si="225"/>
        <v>148.0155219248214</v>
      </c>
      <c r="I470">
        <f t="shared" si="210"/>
        <v>1.4801552192482141E-4</v>
      </c>
      <c r="J470" s="4">
        <f t="shared" si="226"/>
        <v>1484.5050096749192</v>
      </c>
      <c r="K470" s="40">
        <f t="shared" si="227"/>
        <v>10.029387393768841</v>
      </c>
      <c r="L470" s="40">
        <f t="shared" si="211"/>
        <v>0</v>
      </c>
      <c r="M470" s="10">
        <f t="shared" si="228"/>
        <v>1.2364448652063891</v>
      </c>
      <c r="N470" s="10">
        <f t="shared" si="207"/>
        <v>8.26</v>
      </c>
      <c r="O470" s="10">
        <f t="shared" si="208"/>
        <v>0.31900000000000001</v>
      </c>
      <c r="P470" s="10">
        <f t="shared" si="229"/>
        <v>8.8386063980493894</v>
      </c>
      <c r="Q470" s="45">
        <f t="shared" si="230"/>
        <v>1.5134726712981603</v>
      </c>
      <c r="R470" s="4">
        <f t="shared" si="231"/>
        <v>27098.858496382931</v>
      </c>
      <c r="S470">
        <f t="shared" si="212"/>
        <v>2.7098858496382931E-5</v>
      </c>
      <c r="T470" s="44">
        <f t="shared" si="213"/>
        <v>2.0876892713893249E-4</v>
      </c>
      <c r="U470" s="45">
        <f t="shared" si="232"/>
        <v>4.8630256514683987E-2</v>
      </c>
      <c r="V470" s="45">
        <f t="shared" si="233"/>
        <v>0.18764638469619857</v>
      </c>
      <c r="W470" s="45">
        <f t="shared" si="234"/>
        <v>0.18774690913119446</v>
      </c>
      <c r="X470" s="45">
        <f t="shared" si="235"/>
        <v>-1.0052443499589114E-4</v>
      </c>
      <c r="Y470" s="45">
        <f t="shared" si="209"/>
        <v>7.3165111605725088E-4</v>
      </c>
      <c r="Z470" s="10">
        <f t="shared" si="236"/>
        <v>3.504597767896505</v>
      </c>
      <c r="AA470">
        <f t="shared" si="214"/>
        <v>1234037.2923918224</v>
      </c>
      <c r="AB470" s="10">
        <f t="shared" si="215"/>
        <v>1.2340372923918224</v>
      </c>
      <c r="AC470" s="10">
        <f t="shared" si="216"/>
        <v>1.1330372923918224</v>
      </c>
      <c r="AD470" s="3">
        <f t="shared" si="217"/>
        <v>164.3273810575522</v>
      </c>
      <c r="AI470" s="100">
        <f t="shared" si="218"/>
        <v>0.18774690913119446</v>
      </c>
    </row>
    <row r="471" spans="2:35">
      <c r="B471" s="39">
        <f t="shared" si="219"/>
        <v>443</v>
      </c>
      <c r="C471" s="45">
        <f t="shared" si="220"/>
        <v>13.013788968824205</v>
      </c>
      <c r="D471" s="10">
        <f t="shared" si="221"/>
        <v>2.4362110311760254</v>
      </c>
      <c r="E471" s="40">
        <f t="shared" si="222"/>
        <v>43.467577937647953</v>
      </c>
      <c r="F471" s="40">
        <f t="shared" si="223"/>
        <v>48.34</v>
      </c>
      <c r="G471" s="3">
        <f t="shared" si="224"/>
        <v>76.144844124704093</v>
      </c>
      <c r="H471" s="3">
        <f t="shared" si="225"/>
        <v>148.0155219248214</v>
      </c>
      <c r="I471">
        <f t="shared" si="210"/>
        <v>1.4801552192482141E-4</v>
      </c>
      <c r="J471" s="4">
        <f t="shared" si="226"/>
        <v>1488.5138775356779</v>
      </c>
      <c r="K471" s="40">
        <f t="shared" si="227"/>
        <v>10.056471498250767</v>
      </c>
      <c r="L471" s="40">
        <f t="shared" si="211"/>
        <v>0</v>
      </c>
      <c r="M471" s="10">
        <f t="shared" si="228"/>
        <v>1.2340372923918224</v>
      </c>
      <c r="N471" s="10">
        <f t="shared" si="207"/>
        <v>8.26</v>
      </c>
      <c r="O471" s="10">
        <f t="shared" si="208"/>
        <v>0.31900000000000001</v>
      </c>
      <c r="P471" s="10">
        <f t="shared" si="229"/>
        <v>8.8331126680103207</v>
      </c>
      <c r="Q471" s="45">
        <f t="shared" si="230"/>
        <v>1.5167983957517095</v>
      </c>
      <c r="R471" s="4">
        <f t="shared" si="231"/>
        <v>26751.849613532424</v>
      </c>
      <c r="S471">
        <f t="shared" si="212"/>
        <v>2.6751849613532423E-5</v>
      </c>
      <c r="T471" s="44">
        <f t="shared" si="213"/>
        <v>2.0911593602178298E-4</v>
      </c>
      <c r="U471" s="45">
        <f t="shared" si="232"/>
        <v>4.800753172396461E-2</v>
      </c>
      <c r="V471" s="45">
        <f t="shared" si="233"/>
        <v>0.18724485429176571</v>
      </c>
      <c r="W471" s="45">
        <f t="shared" si="234"/>
        <v>0.18734881463247036</v>
      </c>
      <c r="X471" s="45">
        <f t="shared" si="235"/>
        <v>-1.0396034070464522E-4</v>
      </c>
      <c r="Y471" s="45">
        <f t="shared" si="209"/>
        <v>7.3130537260997013E-4</v>
      </c>
      <c r="Z471" s="10">
        <f t="shared" si="236"/>
        <v>3.4971288488209344</v>
      </c>
      <c r="AA471">
        <f t="shared" si="214"/>
        <v>1231622.5890772229</v>
      </c>
      <c r="AB471" s="10">
        <f t="shared" si="215"/>
        <v>1.2316225890772228</v>
      </c>
      <c r="AC471" s="10">
        <f t="shared" si="216"/>
        <v>1.1306225890772228</v>
      </c>
      <c r="AD471" s="3">
        <f t="shared" si="217"/>
        <v>163.9771702795102</v>
      </c>
      <c r="AI471" s="100">
        <f t="shared" si="218"/>
        <v>0.18734881463247036</v>
      </c>
    </row>
    <row r="472" spans="2:35">
      <c r="B472" s="39">
        <f t="shared" si="219"/>
        <v>444</v>
      </c>
      <c r="C472" s="45">
        <f t="shared" si="220"/>
        <v>13.043165467625162</v>
      </c>
      <c r="D472" s="10">
        <f t="shared" si="221"/>
        <v>2.4068345323750684</v>
      </c>
      <c r="E472" s="40">
        <f t="shared" si="222"/>
        <v>43.526330935249867</v>
      </c>
      <c r="F472" s="40">
        <f t="shared" si="223"/>
        <v>48.34</v>
      </c>
      <c r="G472" s="3">
        <f t="shared" si="224"/>
        <v>76.027338129500265</v>
      </c>
      <c r="H472" s="3">
        <f t="shared" si="225"/>
        <v>148.0155219248214</v>
      </c>
      <c r="I472">
        <f t="shared" si="210"/>
        <v>1.4801552192482141E-4</v>
      </c>
      <c r="J472" s="4">
        <f t="shared" si="226"/>
        <v>1492.528167651411</v>
      </c>
      <c r="K472" s="40">
        <f t="shared" si="227"/>
        <v>10.083592235748636</v>
      </c>
      <c r="L472" s="40">
        <f t="shared" si="211"/>
        <v>0</v>
      </c>
      <c r="M472" s="10">
        <f t="shared" si="228"/>
        <v>1.2316225890772228</v>
      </c>
      <c r="N472" s="10">
        <f t="shared" si="207"/>
        <v>8.26</v>
      </c>
      <c r="O472" s="10">
        <f t="shared" si="208"/>
        <v>0.31900000000000001</v>
      </c>
      <c r="P472" s="10">
        <f t="shared" si="229"/>
        <v>8.8275953308121125</v>
      </c>
      <c r="Q472" s="45">
        <f t="shared" si="230"/>
        <v>1.520126198816993</v>
      </c>
      <c r="R472" s="4">
        <f t="shared" si="231"/>
        <v>26405.370623084815</v>
      </c>
      <c r="S472">
        <f t="shared" si="212"/>
        <v>2.6405370623084816E-5</v>
      </c>
      <c r="T472" s="44">
        <f t="shared" si="213"/>
        <v>2.094624150122306E-4</v>
      </c>
      <c r="U472" s="45">
        <f t="shared" si="232"/>
        <v>4.7385757851656857E-2</v>
      </c>
      <c r="V472" s="45">
        <f t="shared" si="233"/>
        <v>0.18684214784049727</v>
      </c>
      <c r="W472" s="45">
        <f t="shared" si="234"/>
        <v>0.18694954109865378</v>
      </c>
      <c r="X472" s="45">
        <f t="shared" si="235"/>
        <v>-1.0739325815650735E-4</v>
      </c>
      <c r="Y472" s="45">
        <f t="shared" si="209"/>
        <v>7.3094798899628615E-4</v>
      </c>
      <c r="Z472" s="10">
        <f t="shared" si="236"/>
        <v>3.4896379331519012</v>
      </c>
      <c r="AA472">
        <f t="shared" si="214"/>
        <v>1229200.7742587221</v>
      </c>
      <c r="AB472" s="10">
        <f t="shared" si="215"/>
        <v>1.2292007742587221</v>
      </c>
      <c r="AC472" s="10">
        <f t="shared" si="216"/>
        <v>1.1282007742587221</v>
      </c>
      <c r="AD472" s="3">
        <f t="shared" si="217"/>
        <v>163.62592810133751</v>
      </c>
      <c r="AI472" s="100">
        <f t="shared" si="218"/>
        <v>0.18694954109865378</v>
      </c>
    </row>
    <row r="473" spans="2:35">
      <c r="B473" s="39">
        <f t="shared" si="219"/>
        <v>445</v>
      </c>
      <c r="C473" s="45">
        <f t="shared" si="220"/>
        <v>13.072541966426119</v>
      </c>
      <c r="D473" s="10">
        <f t="shared" si="221"/>
        <v>2.3774580335741113</v>
      </c>
      <c r="E473" s="40">
        <f t="shared" si="222"/>
        <v>43.585083932851781</v>
      </c>
      <c r="F473" s="40">
        <f t="shared" si="223"/>
        <v>48.34</v>
      </c>
      <c r="G473" s="3">
        <f t="shared" si="224"/>
        <v>75.909832134296437</v>
      </c>
      <c r="H473" s="3">
        <f t="shared" si="225"/>
        <v>148.0155219248214</v>
      </c>
      <c r="I473">
        <f t="shared" si="210"/>
        <v>1.4801552192482141E-4</v>
      </c>
      <c r="J473" s="4">
        <f t="shared" si="226"/>
        <v>1496.5478800221176</v>
      </c>
      <c r="K473" s="40">
        <f t="shared" si="227"/>
        <v>10.110749606262441</v>
      </c>
      <c r="L473" s="40">
        <f t="shared" si="211"/>
        <v>0</v>
      </c>
      <c r="M473" s="10">
        <f t="shared" si="228"/>
        <v>1.2292007742587221</v>
      </c>
      <c r="N473" s="10">
        <f t="shared" si="207"/>
        <v>8.26</v>
      </c>
      <c r="O473" s="10">
        <f t="shared" si="208"/>
        <v>0.31900000000000001</v>
      </c>
      <c r="P473" s="10">
        <f t="shared" si="229"/>
        <v>8.8220543405195251</v>
      </c>
      <c r="Q473" s="45">
        <f t="shared" si="230"/>
        <v>1.5234560920218025</v>
      </c>
      <c r="R473" s="4">
        <f t="shared" si="231"/>
        <v>26059.423436482539</v>
      </c>
      <c r="S473">
        <f t="shared" si="212"/>
        <v>2.6059423436482538E-5</v>
      </c>
      <c r="T473" s="44">
        <f t="shared" si="213"/>
        <v>2.0980836219883288E-4</v>
      </c>
      <c r="U473" s="45">
        <f t="shared" si="232"/>
        <v>4.6764938327939737E-2</v>
      </c>
      <c r="V473" s="45">
        <f t="shared" si="233"/>
        <v>0.18643826859685136</v>
      </c>
      <c r="W473" s="45">
        <f t="shared" si="234"/>
        <v>0.18654909167077335</v>
      </c>
      <c r="X473" s="45">
        <f t="shared" si="235"/>
        <v>-1.1082307392198953E-4</v>
      </c>
      <c r="Y473" s="45">
        <f t="shared" si="209"/>
        <v>7.3057895999549722E-4</v>
      </c>
      <c r="Z473" s="10">
        <f t="shared" si="236"/>
        <v>3.4821250799486068</v>
      </c>
      <c r="AA473">
        <f t="shared" si="214"/>
        <v>1226771.8670301738</v>
      </c>
      <c r="AB473" s="10">
        <f t="shared" si="215"/>
        <v>1.2267718670301737</v>
      </c>
      <c r="AC473" s="10">
        <f t="shared" si="216"/>
        <v>1.1257718670301737</v>
      </c>
      <c r="AD473" s="3">
        <f t="shared" si="217"/>
        <v>163.27365729226597</v>
      </c>
      <c r="AI473" s="100">
        <f t="shared" si="218"/>
        <v>0.18654909167077335</v>
      </c>
    </row>
    <row r="474" spans="2:35">
      <c r="B474" s="39">
        <f t="shared" si="219"/>
        <v>446</v>
      </c>
      <c r="C474" s="45">
        <f t="shared" si="220"/>
        <v>13.101918465227076</v>
      </c>
      <c r="D474" s="10">
        <f t="shared" si="221"/>
        <v>2.3480815347731543</v>
      </c>
      <c r="E474" s="40">
        <f t="shared" si="222"/>
        <v>43.643836930453695</v>
      </c>
      <c r="F474" s="40">
        <f t="shared" si="223"/>
        <v>48.34</v>
      </c>
      <c r="G474" s="3">
        <f t="shared" si="224"/>
        <v>75.792326139092609</v>
      </c>
      <c r="H474" s="3">
        <f t="shared" si="225"/>
        <v>148.0155219248214</v>
      </c>
      <c r="I474">
        <f t="shared" si="210"/>
        <v>1.4801552192482141E-4</v>
      </c>
      <c r="J474" s="4">
        <f t="shared" si="226"/>
        <v>1500.5730146477981</v>
      </c>
      <c r="K474" s="40">
        <f t="shared" si="227"/>
        <v>10.137943609792185</v>
      </c>
      <c r="L474" s="40">
        <f t="shared" si="211"/>
        <v>0</v>
      </c>
      <c r="M474" s="10">
        <f t="shared" si="228"/>
        <v>1.2267718670301737</v>
      </c>
      <c r="N474" s="10">
        <f t="shared" si="207"/>
        <v>8.26</v>
      </c>
      <c r="O474" s="10">
        <f t="shared" si="208"/>
        <v>0.31900000000000001</v>
      </c>
      <c r="P474" s="10">
        <f t="shared" si="229"/>
        <v>8.8164896509028221</v>
      </c>
      <c r="Q474" s="45">
        <f t="shared" si="230"/>
        <v>1.5267880869499597</v>
      </c>
      <c r="R474" s="4">
        <f t="shared" si="231"/>
        <v>25714.00996516797</v>
      </c>
      <c r="S474">
        <f t="shared" si="212"/>
        <v>2.5714009965167971E-5</v>
      </c>
      <c r="T474" s="44">
        <f t="shared" si="213"/>
        <v>2.1015377567014745E-4</v>
      </c>
      <c r="U474" s="45">
        <f t="shared" si="232"/>
        <v>4.6145076582992182E-2</v>
      </c>
      <c r="V474" s="45">
        <f t="shared" si="233"/>
        <v>0.18603321983157475</v>
      </c>
      <c r="W474" s="45">
        <f t="shared" si="234"/>
        <v>0.18614746950601638</v>
      </c>
      <c r="X474" s="45">
        <f t="shared" si="235"/>
        <v>-1.1424967444162437E-4</v>
      </c>
      <c r="Y474" s="45">
        <f t="shared" si="209"/>
        <v>7.3019828065971416E-4</v>
      </c>
      <c r="Z474" s="10">
        <f t="shared" si="236"/>
        <v>3.4745903485732117</v>
      </c>
      <c r="AA474">
        <f t="shared" si="214"/>
        <v>1224335.8865833785</v>
      </c>
      <c r="AB474" s="10">
        <f t="shared" si="215"/>
        <v>1.2243358865833784</v>
      </c>
      <c r="AC474" s="10">
        <f t="shared" si="216"/>
        <v>1.1233358865833785</v>
      </c>
      <c r="AD474" s="3">
        <f t="shared" si="217"/>
        <v>162.92036063573292</v>
      </c>
      <c r="AI474" s="100">
        <f t="shared" si="218"/>
        <v>0.18614746950601638</v>
      </c>
    </row>
    <row r="475" spans="2:35">
      <c r="B475" s="39">
        <f t="shared" si="219"/>
        <v>447</v>
      </c>
      <c r="C475" s="45">
        <f t="shared" si="220"/>
        <v>13.131294964028033</v>
      </c>
      <c r="D475" s="10">
        <f t="shared" si="221"/>
        <v>2.3187050359721972</v>
      </c>
      <c r="E475" s="40">
        <f t="shared" si="222"/>
        <v>43.702589928055609</v>
      </c>
      <c r="F475" s="40">
        <f t="shared" si="223"/>
        <v>48.34</v>
      </c>
      <c r="G475" s="3">
        <f t="shared" si="224"/>
        <v>75.67482014388878</v>
      </c>
      <c r="H475" s="3">
        <f t="shared" si="225"/>
        <v>148.0155219248214</v>
      </c>
      <c r="I475">
        <f t="shared" si="210"/>
        <v>1.4801552192482141E-4</v>
      </c>
      <c r="J475" s="4">
        <f t="shared" si="226"/>
        <v>1504.6035715284529</v>
      </c>
      <c r="K475" s="40">
        <f t="shared" si="227"/>
        <v>10.16517424633787</v>
      </c>
      <c r="L475" s="40">
        <f t="shared" si="211"/>
        <v>0</v>
      </c>
      <c r="M475" s="10">
        <f t="shared" si="228"/>
        <v>1.2243358865833784</v>
      </c>
      <c r="N475" s="10">
        <f t="shared" si="207"/>
        <v>8.26</v>
      </c>
      <c r="O475" s="10">
        <f t="shared" si="208"/>
        <v>0.31900000000000001</v>
      </c>
      <c r="P475" s="10">
        <f t="shared" si="229"/>
        <v>8.8109012154355231</v>
      </c>
      <c r="Q475" s="45">
        <f t="shared" si="230"/>
        <v>1.5301221952417987</v>
      </c>
      <c r="R475" s="4">
        <f t="shared" si="231"/>
        <v>25369.132120583505</v>
      </c>
      <c r="S475">
        <f t="shared" si="212"/>
        <v>2.5369132120583504E-5</v>
      </c>
      <c r="T475" s="44">
        <f t="shared" si="213"/>
        <v>2.104986535147319E-4</v>
      </c>
      <c r="U475" s="45">
        <f t="shared" si="232"/>
        <v>4.5526176046993126E-2</v>
      </c>
      <c r="V475" s="45">
        <f t="shared" si="233"/>
        <v>0.18562700483183414</v>
      </c>
      <c r="W475" s="45">
        <f t="shared" si="234"/>
        <v>0.18574467777776571</v>
      </c>
      <c r="X475" s="45">
        <f t="shared" si="235"/>
        <v>-1.1767294593156841E-4</v>
      </c>
      <c r="Y475" s="45">
        <f t="shared" si="209"/>
        <v>7.2980594631495861E-4</v>
      </c>
      <c r="Z475" s="10">
        <f t="shared" si="236"/>
        <v>3.4670337986930764</v>
      </c>
      <c r="AA475">
        <f t="shared" si="214"/>
        <v>1221892.8522088088</v>
      </c>
      <c r="AB475" s="10">
        <f t="shared" si="215"/>
        <v>1.2218928522088088</v>
      </c>
      <c r="AC475" s="10">
        <f t="shared" si="216"/>
        <v>1.1208928522088089</v>
      </c>
      <c r="AD475" s="3">
        <f t="shared" si="217"/>
        <v>162.56604092948641</v>
      </c>
      <c r="AI475" s="100">
        <f t="shared" si="218"/>
        <v>0.18574467777776571</v>
      </c>
    </row>
    <row r="476" spans="2:35">
      <c r="B476" s="39">
        <f t="shared" si="219"/>
        <v>448</v>
      </c>
      <c r="C476" s="45">
        <f t="shared" si="220"/>
        <v>13.16067146282899</v>
      </c>
      <c r="D476" s="10">
        <f t="shared" si="221"/>
        <v>2.2893285371712402</v>
      </c>
      <c r="E476" s="40">
        <f t="shared" si="222"/>
        <v>43.761342925657523</v>
      </c>
      <c r="F476" s="40">
        <f t="shared" si="223"/>
        <v>48.34</v>
      </c>
      <c r="G476" s="3">
        <f t="shared" si="224"/>
        <v>75.557314148684952</v>
      </c>
      <c r="H476" s="3">
        <f t="shared" si="225"/>
        <v>148.0155219248214</v>
      </c>
      <c r="I476">
        <f t="shared" si="210"/>
        <v>1.4801552192482141E-4</v>
      </c>
      <c r="J476" s="4">
        <f t="shared" si="226"/>
        <v>1508.6395506640811</v>
      </c>
      <c r="K476" s="40">
        <f t="shared" si="227"/>
        <v>10.192441515899493</v>
      </c>
      <c r="L476" s="40">
        <f t="shared" si="211"/>
        <v>0</v>
      </c>
      <c r="M476" s="10">
        <f t="shared" si="228"/>
        <v>1.2218928522088088</v>
      </c>
      <c r="N476" s="10">
        <f t="shared" ref="N476:N539" si="237">IF(fueltype=1,VLOOKUP($M476,kndxbn_,4),IF(fueltype=2,VLOOKUP($M476,knsobn_,4),IF(fueltype=3,VLOOKUP($M476,knsbcobn_,4),IF(fueltype=4,VLOOKUP($M476,knsubn_,4),IF(fueltype=5,am_1,IF(fueltype=6,am_0,IF(fueltype=7,am_3,am_4)))))))</f>
        <v>8.26</v>
      </c>
      <c r="O476" s="10">
        <f t="shared" ref="O476:O539" si="238">IF(fueltype=1,VLOOKUP($M476,kndxbn_,5),IF(fueltype=2,VLOOKUP($M476,knsobn_,5),IF(fueltype=3,VLOOKUP($M476,knsbcobn_,5),IF(fueltype=4,VLOOKUP($M476,knsubn_,5),IF(fueltype=5,nm_1,IF(fueltype=6,an_0,IF(fueltype=7,nm_3,nm_4)))))))</f>
        <v>0.31900000000000001</v>
      </c>
      <c r="P476" s="10">
        <f t="shared" si="229"/>
        <v>8.8052889872932916</v>
      </c>
      <c r="Q476" s="45">
        <f t="shared" si="230"/>
        <v>1.5334584285946564</v>
      </c>
      <c r="R476" s="4">
        <f t="shared" si="231"/>
        <v>25024.791814171567</v>
      </c>
      <c r="S476">
        <f t="shared" si="212"/>
        <v>2.5024791814171569E-5</v>
      </c>
      <c r="T476" s="44">
        <f t="shared" si="213"/>
        <v>2.1084299382114385E-4</v>
      </c>
      <c r="U476" s="45">
        <f t="shared" si="232"/>
        <v>4.4908240150121577E-2</v>
      </c>
      <c r="V476" s="45">
        <f t="shared" si="233"/>
        <v>0.18521962690117147</v>
      </c>
      <c r="W476" s="45">
        <f t="shared" si="234"/>
        <v>0.18534071967571963</v>
      </c>
      <c r="X476" s="45">
        <f t="shared" si="235"/>
        <v>-1.2109277454816492E-4</v>
      </c>
      <c r="Y476" s="45">
        <f t="shared" si="209"/>
        <v>7.2940195256172098E-4</v>
      </c>
      <c r="Z476" s="10">
        <f t="shared" si="236"/>
        <v>3.45945549028044</v>
      </c>
      <c r="AA476">
        <f t="shared" si="214"/>
        <v>1219442.7832955029</v>
      </c>
      <c r="AB476" s="10">
        <f t="shared" si="215"/>
        <v>1.2194427832955028</v>
      </c>
      <c r="AC476" s="10">
        <f t="shared" si="216"/>
        <v>1.1184427832955028</v>
      </c>
      <c r="AD476" s="3">
        <f t="shared" si="217"/>
        <v>162.21070098556967</v>
      </c>
      <c r="AI476" s="100">
        <f t="shared" si="218"/>
        <v>0.18534071967571963</v>
      </c>
    </row>
    <row r="477" spans="2:35">
      <c r="B477" s="39">
        <f t="shared" si="219"/>
        <v>449</v>
      </c>
      <c r="C477" s="45">
        <f t="shared" si="220"/>
        <v>13.190047961629947</v>
      </c>
      <c r="D477" s="10">
        <f t="shared" si="221"/>
        <v>2.2599520383702831</v>
      </c>
      <c r="E477" s="40">
        <f t="shared" si="222"/>
        <v>43.820095923259437</v>
      </c>
      <c r="F477" s="40">
        <f t="shared" si="223"/>
        <v>48.34</v>
      </c>
      <c r="G477" s="3">
        <f t="shared" si="224"/>
        <v>75.439808153481124</v>
      </c>
      <c r="H477" s="3">
        <f t="shared" si="225"/>
        <v>148.0155219248214</v>
      </c>
      <c r="I477">
        <f t="shared" si="210"/>
        <v>1.4801552192482141E-4</v>
      </c>
      <c r="J477" s="4">
        <f t="shared" si="226"/>
        <v>1512.6809520546835</v>
      </c>
      <c r="K477" s="40">
        <f t="shared" si="227"/>
        <v>10.219745418477055</v>
      </c>
      <c r="L477" s="40">
        <f t="shared" si="211"/>
        <v>0</v>
      </c>
      <c r="M477" s="10">
        <f t="shared" si="228"/>
        <v>1.2194427832955028</v>
      </c>
      <c r="N477" s="10">
        <f t="shared" si="237"/>
        <v>8.26</v>
      </c>
      <c r="O477" s="10">
        <f t="shared" si="238"/>
        <v>0.31900000000000001</v>
      </c>
      <c r="P477" s="10">
        <f t="shared" si="229"/>
        <v>8.7996529193508692</v>
      </c>
      <c r="Q477" s="45">
        <f t="shared" si="230"/>
        <v>1.5367967987633659</v>
      </c>
      <c r="R477" s="4">
        <f t="shared" si="231"/>
        <v>24680.990957374543</v>
      </c>
      <c r="S477">
        <f t="shared" si="212"/>
        <v>2.4680990957374543E-5</v>
      </c>
      <c r="T477" s="44">
        <f t="shared" si="213"/>
        <v>2.1118679467794086E-4</v>
      </c>
      <c r="U477" s="45">
        <f t="shared" si="232"/>
        <v>4.4291272322556481E-2</v>
      </c>
      <c r="V477" s="45">
        <f t="shared" si="233"/>
        <v>0.18481108935968887</v>
      </c>
      <c r="W477" s="45">
        <f t="shared" si="234"/>
        <v>0.18493559840587448</v>
      </c>
      <c r="X477" s="45">
        <f t="shared" si="235"/>
        <v>-1.2450904618560577E-4</v>
      </c>
      <c r="Y477" s="45">
        <f t="shared" si="209"/>
        <v>7.2898629527620045E-4</v>
      </c>
      <c r="Z477" s="10">
        <f t="shared" si="236"/>
        <v>3.4518554836153559</v>
      </c>
      <c r="AA477">
        <f t="shared" si="214"/>
        <v>1216985.6993320172</v>
      </c>
      <c r="AB477" s="10">
        <f t="shared" si="215"/>
        <v>1.2169856993320172</v>
      </c>
      <c r="AC477" s="10">
        <f t="shared" si="216"/>
        <v>1.1159856993320172</v>
      </c>
      <c r="AD477" s="3">
        <f t="shared" si="217"/>
        <v>161.85434363045934</v>
      </c>
      <c r="AI477" s="100">
        <f t="shared" si="218"/>
        <v>0.18493559840587448</v>
      </c>
    </row>
    <row r="478" spans="2:35">
      <c r="B478" s="39">
        <f t="shared" si="219"/>
        <v>450</v>
      </c>
      <c r="C478" s="45">
        <f t="shared" si="220"/>
        <v>13.219424460430904</v>
      </c>
      <c r="D478" s="10">
        <f t="shared" si="221"/>
        <v>2.2305755395693261</v>
      </c>
      <c r="E478" s="40">
        <f t="shared" si="222"/>
        <v>43.878848920861351</v>
      </c>
      <c r="F478" s="40">
        <f t="shared" si="223"/>
        <v>48.34</v>
      </c>
      <c r="G478" s="3">
        <f t="shared" si="224"/>
        <v>75.322302158277296</v>
      </c>
      <c r="H478" s="3">
        <f t="shared" si="225"/>
        <v>148.0155219248214</v>
      </c>
      <c r="I478">
        <f t="shared" si="210"/>
        <v>1.4801552192482141E-4</v>
      </c>
      <c r="J478" s="4">
        <f t="shared" si="226"/>
        <v>1516.7277757002598</v>
      </c>
      <c r="K478" s="40">
        <f t="shared" si="227"/>
        <v>10.247085954070556</v>
      </c>
      <c r="L478" s="40">
        <f t="shared" si="211"/>
        <v>0</v>
      </c>
      <c r="M478" s="10">
        <f t="shared" si="228"/>
        <v>1.2169856993320172</v>
      </c>
      <c r="N478" s="10">
        <f t="shared" si="237"/>
        <v>8.26</v>
      </c>
      <c r="O478" s="10">
        <f t="shared" si="238"/>
        <v>0.31900000000000001</v>
      </c>
      <c r="P478" s="10">
        <f t="shared" si="229"/>
        <v>8.7939929641814487</v>
      </c>
      <c r="Q478" s="45">
        <f t="shared" si="230"/>
        <v>1.5401373175607553</v>
      </c>
      <c r="R478" s="4">
        <f t="shared" si="231"/>
        <v>24337.731461634838</v>
      </c>
      <c r="S478">
        <f t="shared" si="212"/>
        <v>2.4337731461634837E-5</v>
      </c>
      <c r="T478" s="44">
        <f t="shared" si="213"/>
        <v>2.1153005417368057E-4</v>
      </c>
      <c r="U478" s="45">
        <f t="shared" si="232"/>
        <v>4.3675275994476799E-2</v>
      </c>
      <c r="V478" s="45">
        <f t="shared" si="233"/>
        <v>0.18440139554403404</v>
      </c>
      <c r="W478" s="45">
        <f t="shared" si="234"/>
        <v>0.18452931719068183</v>
      </c>
      <c r="X478" s="45">
        <f t="shared" si="235"/>
        <v>-1.2792164664779393E-4</v>
      </c>
      <c r="Y478" s="45">
        <f t="shared" ref="Y478:Y541" si="239">IF((X478*(Q478-Q477)+Y477)&lt;0,0,X478*(Q478-Q477)+Y477)</f>
        <v>7.285589706109805E-4</v>
      </c>
      <c r="Z478" s="10">
        <f t="shared" si="236"/>
        <v>3.4442338392859484</v>
      </c>
      <c r="AA478">
        <f t="shared" si="214"/>
        <v>1214521.6199065063</v>
      </c>
      <c r="AB478" s="10">
        <f t="shared" si="215"/>
        <v>1.2145216199065063</v>
      </c>
      <c r="AC478" s="10">
        <f t="shared" si="216"/>
        <v>1.1135216199065063</v>
      </c>
      <c r="AD478" s="3">
        <f t="shared" si="217"/>
        <v>161.49697170507704</v>
      </c>
      <c r="AI478" s="100">
        <f t="shared" si="218"/>
        <v>0.18452931719068183</v>
      </c>
    </row>
    <row r="479" spans="2:35">
      <c r="B479" s="39">
        <f t="shared" si="219"/>
        <v>451</v>
      </c>
      <c r="C479" s="45">
        <f t="shared" si="220"/>
        <v>13.248800959231861</v>
      </c>
      <c r="D479" s="10">
        <f t="shared" si="221"/>
        <v>2.201199040768369</v>
      </c>
      <c r="E479" s="40">
        <f t="shared" si="222"/>
        <v>43.937601918463265</v>
      </c>
      <c r="F479" s="40">
        <f t="shared" si="223"/>
        <v>48.34</v>
      </c>
      <c r="G479" s="3">
        <f t="shared" si="224"/>
        <v>75.204796163073468</v>
      </c>
      <c r="H479" s="3">
        <f t="shared" si="225"/>
        <v>148.0155219248214</v>
      </c>
      <c r="I479">
        <f t="shared" si="210"/>
        <v>1.4801552192482141E-4</v>
      </c>
      <c r="J479" s="4">
        <f t="shared" si="226"/>
        <v>1520.78002160081</v>
      </c>
      <c r="K479" s="40">
        <f t="shared" si="227"/>
        <v>10.274463122679997</v>
      </c>
      <c r="L479" s="40">
        <f t="shared" si="211"/>
        <v>0</v>
      </c>
      <c r="M479" s="10">
        <f t="shared" si="228"/>
        <v>1.2145216199065063</v>
      </c>
      <c r="N479" s="10">
        <f t="shared" si="237"/>
        <v>8.26</v>
      </c>
      <c r="O479" s="10">
        <f t="shared" si="238"/>
        <v>0.31900000000000001</v>
      </c>
      <c r="P479" s="10">
        <f t="shared" si="229"/>
        <v>8.7883090740539807</v>
      </c>
      <c r="Q479" s="45">
        <f t="shared" si="230"/>
        <v>1.5434799968581514</v>
      </c>
      <c r="R479" s="4">
        <f t="shared" si="231"/>
        <v>23995.015238394855</v>
      </c>
      <c r="S479">
        <f t="shared" si="212"/>
        <v>2.3995015238394856E-5</v>
      </c>
      <c r="T479" s="44">
        <f t="shared" si="213"/>
        <v>2.1187277039692057E-4</v>
      </c>
      <c r="U479" s="45">
        <f t="shared" si="232"/>
        <v>4.3060254596061484E-2</v>
      </c>
      <c r="V479" s="45">
        <f t="shared" si="233"/>
        <v>0.18399054880748325</v>
      </c>
      <c r="W479" s="45">
        <f t="shared" si="234"/>
        <v>0.18412187926906212</v>
      </c>
      <c r="X479" s="45">
        <f t="shared" si="235"/>
        <v>-1.3133046157887129E-4</v>
      </c>
      <c r="Y479" s="45">
        <f t="shared" si="239"/>
        <v>7.281199749959433E-4</v>
      </c>
      <c r="Z479" s="10">
        <f t="shared" si="236"/>
        <v>3.4365906181898214</v>
      </c>
      <c r="AA479">
        <f t="shared" si="214"/>
        <v>1212050.56470718</v>
      </c>
      <c r="AB479" s="10">
        <f t="shared" si="215"/>
        <v>1.21205056470718</v>
      </c>
      <c r="AC479" s="10">
        <f t="shared" si="216"/>
        <v>1.11105056470718</v>
      </c>
      <c r="AD479" s="3">
        <f t="shared" si="217"/>
        <v>161.1385880648557</v>
      </c>
      <c r="AI479" s="100">
        <f t="shared" si="218"/>
        <v>0.18412187926906212</v>
      </c>
    </row>
    <row r="480" spans="2:35">
      <c r="B480" s="39">
        <f t="shared" si="219"/>
        <v>452</v>
      </c>
      <c r="C480" s="45">
        <f t="shared" si="220"/>
        <v>13.278177458032818</v>
      </c>
      <c r="D480" s="10">
        <f t="shared" si="221"/>
        <v>2.171822541967412</v>
      </c>
      <c r="E480" s="40">
        <f t="shared" si="222"/>
        <v>43.996354916065179</v>
      </c>
      <c r="F480" s="40">
        <f t="shared" si="223"/>
        <v>48.34</v>
      </c>
      <c r="G480" s="3">
        <f t="shared" si="224"/>
        <v>75.087290167869639</v>
      </c>
      <c r="H480" s="3">
        <f t="shared" si="225"/>
        <v>148.0155219248214</v>
      </c>
      <c r="I480">
        <f t="shared" si="210"/>
        <v>1.4801552192482141E-4</v>
      </c>
      <c r="J480" s="4">
        <f t="shared" si="226"/>
        <v>1524.8376897563342</v>
      </c>
      <c r="K480" s="40">
        <f t="shared" si="227"/>
        <v>10.301876924305377</v>
      </c>
      <c r="L480" s="40">
        <f t="shared" si="211"/>
        <v>0</v>
      </c>
      <c r="M480" s="10">
        <f t="shared" si="228"/>
        <v>1.21205056470718</v>
      </c>
      <c r="N480" s="10">
        <f t="shared" si="237"/>
        <v>8.26</v>
      </c>
      <c r="O480" s="10">
        <f t="shared" si="238"/>
        <v>0.31900000000000001</v>
      </c>
      <c r="P480" s="10">
        <f t="shared" si="229"/>
        <v>8.7826012009313441</v>
      </c>
      <c r="Q480" s="45">
        <f t="shared" si="230"/>
        <v>1.5468248485858882</v>
      </c>
      <c r="R480" s="4">
        <f t="shared" si="231"/>
        <v>23652.844199096984</v>
      </c>
      <c r="S480">
        <f t="shared" si="212"/>
        <v>2.3652844199096983E-5</v>
      </c>
      <c r="T480" s="44">
        <f t="shared" si="213"/>
        <v>2.1221494143621844E-4</v>
      </c>
      <c r="U480" s="45">
        <f t="shared" si="232"/>
        <v>4.244621155748949E-2</v>
      </c>
      <c r="V480" s="45">
        <f t="shared" si="233"/>
        <v>0.18357855252001556</v>
      </c>
      <c r="W480" s="45">
        <f t="shared" si="234"/>
        <v>0.18371328789647992</v>
      </c>
      <c r="X480" s="45">
        <f t="shared" si="235"/>
        <v>-1.3473537646435663E-4</v>
      </c>
      <c r="Y480" s="45">
        <f t="shared" si="239"/>
        <v>7.2766930513918921E-4</v>
      </c>
      <c r="Z480" s="10">
        <f t="shared" si="236"/>
        <v>3.428925881535497</v>
      </c>
      <c r="AA480">
        <f t="shared" si="214"/>
        <v>1209572.5535227684</v>
      </c>
      <c r="AB480" s="10">
        <f t="shared" si="215"/>
        <v>1.2095725535227684</v>
      </c>
      <c r="AC480" s="10">
        <f t="shared" si="216"/>
        <v>1.1085725535227684</v>
      </c>
      <c r="AD480" s="3">
        <f t="shared" si="217"/>
        <v>160.77919557980687</v>
      </c>
      <c r="AI480" s="100">
        <f t="shared" si="218"/>
        <v>0.18371328789647992</v>
      </c>
    </row>
    <row r="481" spans="2:35">
      <c r="B481" s="39">
        <f t="shared" si="219"/>
        <v>453</v>
      </c>
      <c r="C481" s="45">
        <f t="shared" si="220"/>
        <v>13.307553956833775</v>
      </c>
      <c r="D481" s="10">
        <f t="shared" si="221"/>
        <v>2.1424460431664549</v>
      </c>
      <c r="E481" s="40">
        <f t="shared" si="222"/>
        <v>44.055107913667094</v>
      </c>
      <c r="F481" s="40">
        <f t="shared" si="223"/>
        <v>48.34</v>
      </c>
      <c r="G481" s="3">
        <f t="shared" si="224"/>
        <v>74.969784172665811</v>
      </c>
      <c r="H481" s="3">
        <f t="shared" si="225"/>
        <v>148.0155219248214</v>
      </c>
      <c r="I481">
        <f t="shared" si="210"/>
        <v>1.4801552192482141E-4</v>
      </c>
      <c r="J481" s="4">
        <f t="shared" si="226"/>
        <v>1528.9007801668322</v>
      </c>
      <c r="K481" s="40">
        <f t="shared" si="227"/>
        <v>10.329327358946696</v>
      </c>
      <c r="L481" s="40">
        <f t="shared" si="211"/>
        <v>0</v>
      </c>
      <c r="M481" s="10">
        <f t="shared" si="228"/>
        <v>1.2095725535227684</v>
      </c>
      <c r="N481" s="10">
        <f t="shared" si="237"/>
        <v>8.26</v>
      </c>
      <c r="O481" s="10">
        <f t="shared" si="238"/>
        <v>0.31900000000000001</v>
      </c>
      <c r="P481" s="10">
        <f t="shared" si="229"/>
        <v>8.776869296468508</v>
      </c>
      <c r="Q481" s="45">
        <f t="shared" si="230"/>
        <v>1.5501718847338206</v>
      </c>
      <c r="R481" s="4">
        <f t="shared" si="231"/>
        <v>23311.220255183634</v>
      </c>
      <c r="S481">
        <f t="shared" si="212"/>
        <v>2.3311220255183633E-5</v>
      </c>
      <c r="T481" s="44">
        <f t="shared" si="213"/>
        <v>2.1255656538013179E-4</v>
      </c>
      <c r="U481" s="45">
        <f t="shared" si="232"/>
        <v>4.183315030893979E-2</v>
      </c>
      <c r="V481" s="45">
        <f t="shared" si="233"/>
        <v>0.18316541006837048</v>
      </c>
      <c r="W481" s="45">
        <f t="shared" si="234"/>
        <v>0.183303546345021</v>
      </c>
      <c r="X481" s="45">
        <f t="shared" si="235"/>
        <v>-1.3813627665051897E-4</v>
      </c>
      <c r="Y481" s="45">
        <f t="shared" si="239"/>
        <v>7.2720695802789908E-4</v>
      </c>
      <c r="Z481" s="10">
        <f t="shared" si="236"/>
        <v>3.4212396908435978</v>
      </c>
      <c r="AA481">
        <f t="shared" si="214"/>
        <v>1207087.606242903</v>
      </c>
      <c r="AB481" s="10">
        <f t="shared" si="215"/>
        <v>1.207087606242903</v>
      </c>
      <c r="AC481" s="10">
        <f t="shared" si="216"/>
        <v>1.106087606242903</v>
      </c>
      <c r="AD481" s="3">
        <f t="shared" si="217"/>
        <v>160.41879713457621</v>
      </c>
      <c r="AI481" s="100">
        <f t="shared" si="218"/>
        <v>0.183303546345021</v>
      </c>
    </row>
    <row r="482" spans="2:35">
      <c r="B482" s="39">
        <f t="shared" si="219"/>
        <v>454</v>
      </c>
      <c r="C482" s="45">
        <f t="shared" si="220"/>
        <v>13.336930455634732</v>
      </c>
      <c r="D482" s="10">
        <f t="shared" si="221"/>
        <v>2.1130695443654979</v>
      </c>
      <c r="E482" s="40">
        <f t="shared" si="222"/>
        <v>44.113860911269008</v>
      </c>
      <c r="F482" s="40">
        <f t="shared" si="223"/>
        <v>48.34</v>
      </c>
      <c r="G482" s="3">
        <f t="shared" si="224"/>
        <v>74.852278177461983</v>
      </c>
      <c r="H482" s="3">
        <f t="shared" si="225"/>
        <v>148.0155219248214</v>
      </c>
      <c r="I482">
        <f t="shared" si="210"/>
        <v>1.4801552192482141E-4</v>
      </c>
      <c r="J482" s="4">
        <f t="shared" si="226"/>
        <v>1532.9692928323041</v>
      </c>
      <c r="K482" s="40">
        <f t="shared" si="227"/>
        <v>10.356814426603954</v>
      </c>
      <c r="L482" s="40">
        <f t="shared" si="211"/>
        <v>0</v>
      </c>
      <c r="M482" s="10">
        <f t="shared" si="228"/>
        <v>1.207087606242903</v>
      </c>
      <c r="N482" s="10">
        <f t="shared" si="237"/>
        <v>8.26</v>
      </c>
      <c r="O482" s="10">
        <f t="shared" si="238"/>
        <v>0.31900000000000001</v>
      </c>
      <c r="P482" s="10">
        <f t="shared" si="229"/>
        <v>8.7711133120104634</v>
      </c>
      <c r="Q482" s="45">
        <f t="shared" si="230"/>
        <v>1.5535211173518433</v>
      </c>
      <c r="R482" s="4">
        <f t="shared" si="231"/>
        <v>22970.145318097206</v>
      </c>
      <c r="S482">
        <f t="shared" si="212"/>
        <v>2.2970145318097205E-5</v>
      </c>
      <c r="T482" s="44">
        <f t="shared" si="213"/>
        <v>2.128976403172182E-4</v>
      </c>
      <c r="U482" s="45">
        <f t="shared" si="232"/>
        <v>4.1221074280591338E-2</v>
      </c>
      <c r="V482" s="45">
        <f t="shared" si="233"/>
        <v>0.18275112485612038</v>
      </c>
      <c r="W482" s="45">
        <f t="shared" si="234"/>
        <v>0.18289265790345502</v>
      </c>
      <c r="X482" s="45">
        <f t="shared" si="235"/>
        <v>-1.4153304733463545E-4</v>
      </c>
      <c r="Y482" s="45">
        <f t="shared" si="239"/>
        <v>7.2673293092923778E-4</v>
      </c>
      <c r="Z482" s="10">
        <f t="shared" si="236"/>
        <v>3.4135321079482295</v>
      </c>
      <c r="AA482">
        <f t="shared" si="214"/>
        <v>1204595.7428585649</v>
      </c>
      <c r="AB482" s="10">
        <f t="shared" si="215"/>
        <v>1.204595742858565</v>
      </c>
      <c r="AC482" s="10">
        <f t="shared" si="216"/>
        <v>1.103595742858565</v>
      </c>
      <c r="AD482" s="3">
        <f t="shared" si="217"/>
        <v>160.05739562850835</v>
      </c>
      <c r="AI482" s="100">
        <f t="shared" si="218"/>
        <v>0.18289265790345502</v>
      </c>
    </row>
    <row r="483" spans="2:35">
      <c r="B483" s="39">
        <f t="shared" si="219"/>
        <v>455</v>
      </c>
      <c r="C483" s="45">
        <f t="shared" si="220"/>
        <v>13.366306954435689</v>
      </c>
      <c r="D483" s="10">
        <f t="shared" si="221"/>
        <v>2.0836930455645408</v>
      </c>
      <c r="E483" s="40">
        <f t="shared" si="222"/>
        <v>44.172613908870922</v>
      </c>
      <c r="F483" s="40">
        <f t="shared" si="223"/>
        <v>48.34</v>
      </c>
      <c r="G483" s="3">
        <f t="shared" si="224"/>
        <v>74.734772182258155</v>
      </c>
      <c r="H483" s="3">
        <f t="shared" si="225"/>
        <v>148.0155219248214</v>
      </c>
      <c r="I483">
        <f t="shared" si="210"/>
        <v>1.4801552192482141E-4</v>
      </c>
      <c r="J483" s="4">
        <f t="shared" si="226"/>
        <v>1537.0432277527498</v>
      </c>
      <c r="K483" s="40">
        <f t="shared" si="227"/>
        <v>10.38433812727715</v>
      </c>
      <c r="L483" s="40">
        <f t="shared" si="211"/>
        <v>0</v>
      </c>
      <c r="M483" s="10">
        <f t="shared" si="228"/>
        <v>1.204595742858565</v>
      </c>
      <c r="N483" s="10">
        <f t="shared" si="237"/>
        <v>8.26</v>
      </c>
      <c r="O483" s="10">
        <f t="shared" si="238"/>
        <v>0.31900000000000001</v>
      </c>
      <c r="P483" s="10">
        <f t="shared" si="229"/>
        <v>8.7653331985903034</v>
      </c>
      <c r="Q483" s="45">
        <f t="shared" si="230"/>
        <v>1.5568725585504144</v>
      </c>
      <c r="R483" s="4">
        <f t="shared" si="231"/>
        <v>22629.621299280105</v>
      </c>
      <c r="S483">
        <f t="shared" si="212"/>
        <v>2.2629621299280103E-5</v>
      </c>
      <c r="T483" s="44">
        <f t="shared" si="213"/>
        <v>2.1323816433603532E-4</v>
      </c>
      <c r="U483" s="45">
        <f t="shared" si="232"/>
        <v>4.0609986902623109E-2</v>
      </c>
      <c r="V483" s="45">
        <f t="shared" si="233"/>
        <v>0.18233570030372789</v>
      </c>
      <c r="W483" s="45">
        <f t="shared" si="234"/>
        <v>0.18248062587731029</v>
      </c>
      <c r="X483" s="45">
        <f t="shared" si="235"/>
        <v>-1.44925573582394E-4</v>
      </c>
      <c r="Y483" s="45">
        <f t="shared" si="239"/>
        <v>7.2624722139120719E-4</v>
      </c>
      <c r="Z483" s="10">
        <f t="shared" si="236"/>
        <v>3.4058031949981387</v>
      </c>
      <c r="AA483">
        <f t="shared" si="214"/>
        <v>1202096.9834624592</v>
      </c>
      <c r="AB483" s="10">
        <f t="shared" si="215"/>
        <v>1.2020969834624591</v>
      </c>
      <c r="AC483" s="10">
        <f t="shared" si="216"/>
        <v>1.1010969834624591</v>
      </c>
      <c r="AD483" s="3">
        <f t="shared" si="217"/>
        <v>159.69499397570112</v>
      </c>
      <c r="AI483" s="100">
        <f t="shared" si="218"/>
        <v>0.18248062587731029</v>
      </c>
    </row>
    <row r="484" spans="2:35">
      <c r="B484" s="39">
        <f t="shared" si="219"/>
        <v>456</v>
      </c>
      <c r="C484" s="45">
        <f t="shared" si="220"/>
        <v>13.395683453236646</v>
      </c>
      <c r="D484" s="10">
        <f t="shared" si="221"/>
        <v>2.0543165467635838</v>
      </c>
      <c r="E484" s="40">
        <f t="shared" si="222"/>
        <v>44.231366906472836</v>
      </c>
      <c r="F484" s="40">
        <f t="shared" si="223"/>
        <v>48.34</v>
      </c>
      <c r="G484" s="3">
        <f t="shared" si="224"/>
        <v>74.617266187054327</v>
      </c>
      <c r="H484" s="3">
        <f t="shared" si="225"/>
        <v>148.0155219248214</v>
      </c>
      <c r="I484">
        <f t="shared" si="210"/>
        <v>1.4801552192482141E-4</v>
      </c>
      <c r="J484" s="4">
        <f t="shared" si="226"/>
        <v>1541.1225849281695</v>
      </c>
      <c r="K484" s="40">
        <f t="shared" si="227"/>
        <v>10.411898460966286</v>
      </c>
      <c r="L484" s="40">
        <f t="shared" si="211"/>
        <v>0</v>
      </c>
      <c r="M484" s="10">
        <f t="shared" si="228"/>
        <v>1.2020969834624591</v>
      </c>
      <c r="N484" s="10">
        <f t="shared" si="237"/>
        <v>8.26</v>
      </c>
      <c r="O484" s="10">
        <f t="shared" si="238"/>
        <v>0.31900000000000001</v>
      </c>
      <c r="P484" s="10">
        <f t="shared" si="229"/>
        <v>8.7595289069270752</v>
      </c>
      <c r="Q484" s="45">
        <f t="shared" si="230"/>
        <v>1.5602262205010846</v>
      </c>
      <c r="R484" s="4">
        <f t="shared" si="231"/>
        <v>22289.65011017472</v>
      </c>
      <c r="S484">
        <f t="shared" si="212"/>
        <v>2.2289650110174718E-5</v>
      </c>
      <c r="T484" s="44">
        <f t="shared" si="213"/>
        <v>2.1357813552514069E-4</v>
      </c>
      <c r="U484" s="45">
        <f t="shared" si="232"/>
        <v>3.9999891605214041E-2</v>
      </c>
      <c r="V484" s="45">
        <f t="shared" si="233"/>
        <v>0.18191913984864883</v>
      </c>
      <c r="W484" s="45">
        <f t="shared" si="234"/>
        <v>0.18206745358893489</v>
      </c>
      <c r="X484" s="45">
        <f t="shared" si="235"/>
        <v>-1.483137402860657E-4</v>
      </c>
      <c r="Y484" s="45">
        <f t="shared" si="239"/>
        <v>7.2574982724364818E-4</v>
      </c>
      <c r="Z484" s="10">
        <f t="shared" si="236"/>
        <v>3.3980530144585832</v>
      </c>
      <c r="AA484">
        <f t="shared" si="214"/>
        <v>1199591.3482496182</v>
      </c>
      <c r="AB484" s="10">
        <f t="shared" si="215"/>
        <v>1.1995913482496181</v>
      </c>
      <c r="AC484" s="10">
        <f t="shared" si="216"/>
        <v>1.0985913482496181</v>
      </c>
      <c r="AD484" s="3">
        <f t="shared" si="217"/>
        <v>159.33159510509327</v>
      </c>
      <c r="AI484" s="100">
        <f t="shared" si="218"/>
        <v>0.18206745358893489</v>
      </c>
    </row>
    <row r="485" spans="2:35">
      <c r="B485" s="39">
        <f t="shared" si="219"/>
        <v>457</v>
      </c>
      <c r="C485" s="45">
        <f t="shared" si="220"/>
        <v>13.425059952037603</v>
      </c>
      <c r="D485" s="10">
        <f t="shared" si="221"/>
        <v>2.0249400479626267</v>
      </c>
      <c r="E485" s="40">
        <f t="shared" si="222"/>
        <v>44.29011990407475</v>
      </c>
      <c r="F485" s="40">
        <f t="shared" si="223"/>
        <v>48.34</v>
      </c>
      <c r="G485" s="3">
        <f t="shared" si="224"/>
        <v>74.499760191850498</v>
      </c>
      <c r="H485" s="3">
        <f t="shared" si="225"/>
        <v>148.0155219248214</v>
      </c>
      <c r="I485">
        <f t="shared" si="210"/>
        <v>1.4801552192482141E-4</v>
      </c>
      <c r="J485" s="4">
        <f t="shared" si="226"/>
        <v>1545.2073643585632</v>
      </c>
      <c r="K485" s="40">
        <f t="shared" si="227"/>
        <v>10.439495427671362</v>
      </c>
      <c r="L485" s="40">
        <f t="shared" si="211"/>
        <v>0</v>
      </c>
      <c r="M485" s="10">
        <f t="shared" si="228"/>
        <v>1.1995913482496181</v>
      </c>
      <c r="N485" s="10">
        <f t="shared" si="237"/>
        <v>8.26</v>
      </c>
      <c r="O485" s="10">
        <f t="shared" si="238"/>
        <v>0.31900000000000001</v>
      </c>
      <c r="P485" s="10">
        <f t="shared" si="229"/>
        <v>8.7537003874241748</v>
      </c>
      <c r="Q485" s="45">
        <f t="shared" si="230"/>
        <v>1.563582115437032</v>
      </c>
      <c r="R485" s="4">
        <f t="shared" si="231"/>
        <v>21950.233662223462</v>
      </c>
      <c r="S485">
        <f t="shared" si="212"/>
        <v>2.1950233662223462E-5</v>
      </c>
      <c r="T485" s="44">
        <f t="shared" si="213"/>
        <v>2.1391755197309195E-4</v>
      </c>
      <c r="U485" s="45">
        <f t="shared" si="232"/>
        <v>3.939079181854311E-2</v>
      </c>
      <c r="V485" s="45">
        <f t="shared" si="233"/>
        <v>0.18150144694532488</v>
      </c>
      <c r="W485" s="45">
        <f t="shared" si="234"/>
        <v>0.18165314437759714</v>
      </c>
      <c r="X485" s="45">
        <f t="shared" si="235"/>
        <v>-1.5169743227225196E-4</v>
      </c>
      <c r="Y485" s="45">
        <f t="shared" si="239"/>
        <v>7.2524074659888953E-4</v>
      </c>
      <c r="Z485" s="10">
        <f t="shared" si="236"/>
        <v>3.390281629111553</v>
      </c>
      <c r="AA485">
        <f t="shared" si="214"/>
        <v>1197078.8575174739</v>
      </c>
      <c r="AB485" s="10">
        <f t="shared" si="215"/>
        <v>1.1970788575174738</v>
      </c>
      <c r="AC485" s="10">
        <f t="shared" si="216"/>
        <v>1.0960788575174738</v>
      </c>
      <c r="AD485" s="3">
        <f t="shared" si="217"/>
        <v>158.96720196047482</v>
      </c>
      <c r="AI485" s="100">
        <f t="shared" si="218"/>
        <v>0.18165314437759714</v>
      </c>
    </row>
    <row r="486" spans="2:35">
      <c r="B486" s="39">
        <f t="shared" si="219"/>
        <v>458</v>
      </c>
      <c r="C486" s="45">
        <f t="shared" si="220"/>
        <v>13.454436450838561</v>
      </c>
      <c r="D486" s="10">
        <f t="shared" si="221"/>
        <v>1.9955635491616697</v>
      </c>
      <c r="E486" s="40">
        <f t="shared" si="222"/>
        <v>44.348872901676664</v>
      </c>
      <c r="F486" s="40">
        <f t="shared" si="223"/>
        <v>48.34</v>
      </c>
      <c r="G486" s="3">
        <f t="shared" si="224"/>
        <v>74.38225419664667</v>
      </c>
      <c r="H486" s="3">
        <f t="shared" si="225"/>
        <v>148.0155219248214</v>
      </c>
      <c r="I486">
        <f t="shared" si="210"/>
        <v>1.4801552192482141E-4</v>
      </c>
      <c r="J486" s="4">
        <f t="shared" si="226"/>
        <v>1549.2975660439308</v>
      </c>
      <c r="K486" s="40">
        <f t="shared" si="227"/>
        <v>10.467129027392376</v>
      </c>
      <c r="L486" s="40">
        <f t="shared" si="211"/>
        <v>0</v>
      </c>
      <c r="M486" s="10">
        <f t="shared" si="228"/>
        <v>1.1970788575174738</v>
      </c>
      <c r="N486" s="10">
        <f t="shared" si="237"/>
        <v>8.26</v>
      </c>
      <c r="O486" s="10">
        <f t="shared" si="238"/>
        <v>0.31900000000000001</v>
      </c>
      <c r="P486" s="10">
        <f t="shared" si="229"/>
        <v>8.7478475901664527</v>
      </c>
      <c r="Q486" s="45">
        <f t="shared" si="230"/>
        <v>1.5669402556536014</v>
      </c>
      <c r="R486" s="4">
        <f t="shared" si="231"/>
        <v>21611.373866868733</v>
      </c>
      <c r="S486">
        <f t="shared" si="212"/>
        <v>2.1611373866868732E-5</v>
      </c>
      <c r="T486" s="44">
        <f t="shared" si="213"/>
        <v>2.1425641176844667E-4</v>
      </c>
      <c r="U486" s="45">
        <f t="shared" si="232"/>
        <v>3.8782690972789288E-2</v>
      </c>
      <c r="V486" s="45">
        <f t="shared" si="233"/>
        <v>0.18108262506532158</v>
      </c>
      <c r="W486" s="45">
        <f t="shared" si="234"/>
        <v>0.18123770159949701</v>
      </c>
      <c r="X486" s="45">
        <f t="shared" si="235"/>
        <v>-1.550765341754301E-4</v>
      </c>
      <c r="Y486" s="45">
        <f t="shared" si="239"/>
        <v>7.2471997785282885E-4</v>
      </c>
      <c r="Z486" s="10">
        <f t="shared" si="236"/>
        <v>3.3824891020580306</v>
      </c>
      <c r="AA486">
        <f t="shared" si="214"/>
        <v>1194559.5316665897</v>
      </c>
      <c r="AB486" s="10">
        <f t="shared" si="215"/>
        <v>1.1945595316665896</v>
      </c>
      <c r="AC486" s="10">
        <f t="shared" si="216"/>
        <v>1.0935595316665896</v>
      </c>
      <c r="AD486" s="3">
        <f t="shared" si="217"/>
        <v>158.60181750059314</v>
      </c>
      <c r="AI486" s="100">
        <f t="shared" si="218"/>
        <v>0.18123770159949701</v>
      </c>
    </row>
    <row r="487" spans="2:35">
      <c r="B487" s="39">
        <f t="shared" si="219"/>
        <v>459</v>
      </c>
      <c r="C487" s="45">
        <f t="shared" si="220"/>
        <v>13.483812949639518</v>
      </c>
      <c r="D487" s="10">
        <f t="shared" si="221"/>
        <v>1.9661870503607126</v>
      </c>
      <c r="E487" s="40">
        <f t="shared" si="222"/>
        <v>44.407625899278578</v>
      </c>
      <c r="F487" s="40">
        <f t="shared" si="223"/>
        <v>48.34</v>
      </c>
      <c r="G487" s="3">
        <f t="shared" si="224"/>
        <v>74.264748201442842</v>
      </c>
      <c r="H487" s="3">
        <f t="shared" si="225"/>
        <v>148.0155219248214</v>
      </c>
      <c r="I487">
        <f t="shared" ref="I487:I550" si="240">H487/1000^2</f>
        <v>1.4801552192482141E-4</v>
      </c>
      <c r="J487" s="4">
        <f t="shared" si="226"/>
        <v>1553.3931899842723</v>
      </c>
      <c r="K487" s="40">
        <f t="shared" si="227"/>
        <v>10.49479926012933</v>
      </c>
      <c r="L487" s="40">
        <f t="shared" ref="L487:L550" si="241">IF((gstar-K487)&lt;0,0,gstar-K487)</f>
        <v>0</v>
      </c>
      <c r="M487" s="10">
        <f t="shared" si="228"/>
        <v>1.1945595316665896</v>
      </c>
      <c r="N487" s="10">
        <f t="shared" si="237"/>
        <v>8.26</v>
      </c>
      <c r="O487" s="10">
        <f t="shared" si="238"/>
        <v>0.31900000000000001</v>
      </c>
      <c r="P487" s="10">
        <f t="shared" si="229"/>
        <v>8.741970464918829</v>
      </c>
      <c r="Q487" s="45">
        <f t="shared" si="230"/>
        <v>1.5703006535088497</v>
      </c>
      <c r="R487" s="4">
        <f t="shared" si="231"/>
        <v>21273.072635552919</v>
      </c>
      <c r="S487">
        <f t="shared" ref="S487:S550" si="242">R487/1000^3</f>
        <v>2.1273072635552918E-5</v>
      </c>
      <c r="T487" s="44">
        <f t="shared" ref="T487:T550" si="243">(vc/1000^3-S487)</f>
        <v>2.145947129997625E-4</v>
      </c>
      <c r="U487" s="45">
        <f t="shared" si="232"/>
        <v>3.8175592498131489E-2</v>
      </c>
      <c r="V487" s="45">
        <f t="shared" si="233"/>
        <v>0.18066267769741071</v>
      </c>
      <c r="W487" s="45">
        <f t="shared" si="234"/>
        <v>0.18082112862788743</v>
      </c>
      <c r="X487" s="45">
        <f t="shared" si="235"/>
        <v>-1.5845093047672787E-4</v>
      </c>
      <c r="Y487" s="45">
        <f t="shared" si="239"/>
        <v>7.2418751968589279E-4</v>
      </c>
      <c r="Z487" s="10">
        <f t="shared" si="236"/>
        <v>3.3746754967196897</v>
      </c>
      <c r="AA487">
        <f t="shared" ref="AA487:AA550" si="244">Z487*rat*to+patm*1000000</f>
        <v>1192033.3912012074</v>
      </c>
      <c r="AB487" s="10">
        <f t="shared" ref="AB487:AB550" si="245">AA487/1000000</f>
        <v>1.1920333912012073</v>
      </c>
      <c r="AC487" s="10">
        <f t="shared" ref="AC487:AC550" si="246">AB487-patm</f>
        <v>1.0910333912012073</v>
      </c>
      <c r="AD487" s="3">
        <f t="shared" ref="AD487:AD550" si="247">AC487*1000000/6895</f>
        <v>158.2354446992324</v>
      </c>
      <c r="AI487" s="100">
        <f t="shared" ref="AI487:AI550" si="248">($M487-patm)*1000000*$I487/SQRT(rat*to)*SQRT(k)*(2/(k+1))^((k+1)/2/(k-1))</f>
        <v>0.18082112862788743</v>
      </c>
    </row>
    <row r="488" spans="2:35">
      <c r="B488" s="39">
        <f t="shared" ref="B488:B551" si="249">1+B487</f>
        <v>460</v>
      </c>
      <c r="C488" s="45">
        <f t="shared" ref="C488:C551" si="250">xincp+C487</f>
        <v>13.513189448440475</v>
      </c>
      <c r="D488" s="10">
        <f t="shared" ref="D488:D551" si="251">(F488-E488)/2</f>
        <v>1.9368105515597556</v>
      </c>
      <c r="E488" s="40">
        <f t="shared" ref="E488:E551" si="252">E487+ci*2*xincp</f>
        <v>44.466378896880492</v>
      </c>
      <c r="F488" s="40">
        <f t="shared" ref="F488:F551" si="253">F487-osi*2*xincp</f>
        <v>48.34</v>
      </c>
      <c r="G488" s="3">
        <f t="shared" ref="G488:G551" si="254">G487-ei*n*2*xincp</f>
        <v>74.147242206239014</v>
      </c>
      <c r="H488" s="3">
        <f t="shared" ref="H488:H551" si="255">PI()/4*(dto+erate*(two-D488)/two)^2</f>
        <v>148.0155219248214</v>
      </c>
      <c r="I488">
        <f t="shared" si="240"/>
        <v>1.4801552192482141E-4</v>
      </c>
      <c r="J488" s="4">
        <f t="shared" ref="J488:J551" si="256">PI()/4*dc^2-PI()/4*(F488^2-E488^2)</f>
        <v>1557.4942361795875</v>
      </c>
      <c r="K488" s="40">
        <f t="shared" ref="K488:K551" si="257">J488/H488</f>
        <v>10.522506125882222</v>
      </c>
      <c r="L488" s="40">
        <f t="shared" si="241"/>
        <v>0</v>
      </c>
      <c r="M488" s="10">
        <f t="shared" ref="M488:M551" si="258">AB487</f>
        <v>1.1920333912012073</v>
      </c>
      <c r="N488" s="10">
        <f t="shared" si="237"/>
        <v>8.26</v>
      </c>
      <c r="O488" s="10">
        <f t="shared" si="238"/>
        <v>0.31900000000000001</v>
      </c>
      <c r="P488" s="10">
        <f t="shared" ref="P488:P551" si="259">(1+kv*L488)*N488*M488^O488</f>
        <v>8.7360689611244666</v>
      </c>
      <c r="Q488" s="45">
        <f t="shared" ref="Q488:Q551" si="260">xincp/P488+Q487</f>
        <v>1.5736633214240967</v>
      </c>
      <c r="R488" s="4">
        <f t="shared" ref="R488:R551" si="261">PI()/4*(F488^2-E488^2)*G488</f>
        <v>20935.331879718447</v>
      </c>
      <c r="S488">
        <f t="shared" si="242"/>
        <v>2.0935331879718449E-5</v>
      </c>
      <c r="T488" s="44">
        <f t="shared" si="243"/>
        <v>2.1493245375559696E-4</v>
      </c>
      <c r="U488" s="45">
        <f t="shared" ref="U488:U551" si="262">rhopgrain*R488/1000^2</f>
        <v>3.7569499824748741E-2</v>
      </c>
      <c r="V488" s="45">
        <f t="shared" ref="V488:V551" si="263">(U487-U488)/(Q488-Q487)</f>
        <v>0.18024160834752923</v>
      </c>
      <c r="W488" s="45">
        <f t="shared" ref="W488:W551" si="264">IF(V488&lt;AI488,IF(AB487&gt;pbd,AI488,0),AI488)</f>
        <v>0.18040342885316474</v>
      </c>
      <c r="X488" s="45">
        <f t="shared" ref="X488:X551" si="265">V488-W488</f>
        <v>-1.6182050563551265E-4</v>
      </c>
      <c r="Y488" s="45">
        <f t="shared" si="239"/>
        <v>7.2364337106356317E-4</v>
      </c>
      <c r="Z488" s="10">
        <f t="shared" ref="Z488:Z551" si="266">Y488/T488</f>
        <v>3.3668408768385873</v>
      </c>
      <c r="AA488">
        <f t="shared" si="244"/>
        <v>1189500.4567291492</v>
      </c>
      <c r="AB488" s="10">
        <f t="shared" si="245"/>
        <v>1.1895004567291492</v>
      </c>
      <c r="AC488" s="10">
        <f t="shared" si="246"/>
        <v>1.0885004567291492</v>
      </c>
      <c r="AD488" s="3">
        <f t="shared" si="247"/>
        <v>157.8680865451993</v>
      </c>
      <c r="AI488" s="100">
        <f t="shared" si="248"/>
        <v>0.18040342885316474</v>
      </c>
    </row>
    <row r="489" spans="2:35">
      <c r="B489" s="39">
        <f t="shared" si="249"/>
        <v>461</v>
      </c>
      <c r="C489" s="45">
        <f t="shared" si="250"/>
        <v>13.542565947241432</v>
      </c>
      <c r="D489" s="10">
        <f t="shared" si="251"/>
        <v>1.9074340527587985</v>
      </c>
      <c r="E489" s="40">
        <f t="shared" si="252"/>
        <v>44.525131894482406</v>
      </c>
      <c r="F489" s="40">
        <f t="shared" si="253"/>
        <v>48.34</v>
      </c>
      <c r="G489" s="3">
        <f t="shared" si="254"/>
        <v>74.029736211035186</v>
      </c>
      <c r="H489" s="3">
        <f t="shared" si="255"/>
        <v>148.0155219248214</v>
      </c>
      <c r="I489">
        <f t="shared" si="240"/>
        <v>1.4801552192482141E-4</v>
      </c>
      <c r="J489" s="4">
        <f t="shared" si="256"/>
        <v>1561.6007046298769</v>
      </c>
      <c r="K489" s="40">
        <f t="shared" si="257"/>
        <v>10.550249624651054</v>
      </c>
      <c r="L489" s="40">
        <f t="shared" si="241"/>
        <v>0</v>
      </c>
      <c r="M489" s="10">
        <f t="shared" si="258"/>
        <v>1.1895004567291492</v>
      </c>
      <c r="N489" s="10">
        <f t="shared" si="237"/>
        <v>8.26</v>
      </c>
      <c r="O489" s="10">
        <f t="shared" si="238"/>
        <v>0.31900000000000001</v>
      </c>
      <c r="P489" s="10">
        <f t="shared" si="259"/>
        <v>8.7301430279014021</v>
      </c>
      <c r="Q489" s="45">
        <f t="shared" si="260"/>
        <v>1.577028271884481</v>
      </c>
      <c r="R489" s="4">
        <f t="shared" si="261"/>
        <v>20598.153510807693</v>
      </c>
      <c r="S489">
        <f t="shared" si="242"/>
        <v>2.0598153510807695E-5</v>
      </c>
      <c r="T489" s="44">
        <f t="shared" si="243"/>
        <v>2.1526963212450771E-4</v>
      </c>
      <c r="U489" s="45">
        <f t="shared" si="262"/>
        <v>3.6964416382819942E-2</v>
      </c>
      <c r="V489" s="45">
        <f t="shared" si="263"/>
        <v>0.17981942053901451</v>
      </c>
      <c r="W489" s="45">
        <f t="shared" si="264"/>
        <v>0.17998460568285224</v>
      </c>
      <c r="X489" s="45">
        <f t="shared" si="265"/>
        <v>-1.6518514383773164E-4</v>
      </c>
      <c r="Y489" s="45">
        <f t="shared" si="239"/>
        <v>7.2308753123775775E-4</v>
      </c>
      <c r="Z489" s="10">
        <f t="shared" si="266"/>
        <v>3.3589853064808426</v>
      </c>
      <c r="AA489">
        <f t="shared" si="244"/>
        <v>1186960.7489630065</v>
      </c>
      <c r="AB489" s="10">
        <f t="shared" si="245"/>
        <v>1.1869607489630065</v>
      </c>
      <c r="AC489" s="10">
        <f t="shared" si="246"/>
        <v>1.0859607489630065</v>
      </c>
      <c r="AD489" s="3">
        <f t="shared" si="247"/>
        <v>157.4997460424955</v>
      </c>
      <c r="AI489" s="100">
        <f t="shared" si="248"/>
        <v>0.17998460568285224</v>
      </c>
    </row>
    <row r="490" spans="2:35">
      <c r="B490" s="39">
        <f t="shared" si="249"/>
        <v>462</v>
      </c>
      <c r="C490" s="45">
        <f t="shared" si="250"/>
        <v>13.571942446042389</v>
      </c>
      <c r="D490" s="10">
        <f t="shared" si="251"/>
        <v>1.8780575539578415</v>
      </c>
      <c r="E490" s="40">
        <f t="shared" si="252"/>
        <v>44.58388489208432</v>
      </c>
      <c r="F490" s="40">
        <f t="shared" si="253"/>
        <v>48.34</v>
      </c>
      <c r="G490" s="3">
        <f t="shared" si="254"/>
        <v>73.912230215831357</v>
      </c>
      <c r="H490" s="3">
        <f t="shared" si="255"/>
        <v>148.0155219248214</v>
      </c>
      <c r="I490">
        <f t="shared" si="240"/>
        <v>1.4801552192482141E-4</v>
      </c>
      <c r="J490" s="4">
        <f t="shared" si="256"/>
        <v>1565.7125953351401</v>
      </c>
      <c r="K490" s="40">
        <f t="shared" si="257"/>
        <v>10.578029756435825</v>
      </c>
      <c r="L490" s="40">
        <f t="shared" si="241"/>
        <v>0</v>
      </c>
      <c r="M490" s="10">
        <f t="shared" si="258"/>
        <v>1.1869607489630065</v>
      </c>
      <c r="N490" s="10">
        <f t="shared" si="237"/>
        <v>8.26</v>
      </c>
      <c r="O490" s="10">
        <f t="shared" si="238"/>
        <v>0.31900000000000001</v>
      </c>
      <c r="P490" s="10">
        <f t="shared" si="259"/>
        <v>8.7241926140421473</v>
      </c>
      <c r="Q490" s="45">
        <f t="shared" si="260"/>
        <v>1.5803955174395223</v>
      </c>
      <c r="R490" s="4">
        <f t="shared" si="261"/>
        <v>20261.539440263055</v>
      </c>
      <c r="S490">
        <f t="shared" si="242"/>
        <v>2.0261539440263056E-5</v>
      </c>
      <c r="T490" s="44">
        <f t="shared" si="243"/>
        <v>2.1560624619505235E-4</v>
      </c>
      <c r="U490" s="45">
        <f t="shared" si="262"/>
        <v>3.6360345602524068E-2</v>
      </c>
      <c r="V490" s="45">
        <f t="shared" si="263"/>
        <v>0.17939611781251991</v>
      </c>
      <c r="W490" s="45">
        <f t="shared" si="264"/>
        <v>0.17956466254179709</v>
      </c>
      <c r="X490" s="45">
        <f t="shared" si="265"/>
        <v>-1.6854472927718689E-4</v>
      </c>
      <c r="Y490" s="45">
        <f t="shared" si="239"/>
        <v>7.2251999974727349E-4</v>
      </c>
      <c r="Z490" s="10">
        <f t="shared" si="266"/>
        <v>3.3511088500359669</v>
      </c>
      <c r="AA490">
        <f t="shared" si="244"/>
        <v>1184414.2887199242</v>
      </c>
      <c r="AB490" s="10">
        <f t="shared" si="245"/>
        <v>1.1844142887199243</v>
      </c>
      <c r="AC490" s="10">
        <f t="shared" si="246"/>
        <v>1.0834142887199243</v>
      </c>
      <c r="AD490" s="3">
        <f t="shared" si="247"/>
        <v>157.13042621028634</v>
      </c>
      <c r="AI490" s="100">
        <f t="shared" si="248"/>
        <v>0.17956466254179709</v>
      </c>
    </row>
    <row r="491" spans="2:35">
      <c r="B491" s="39">
        <f t="shared" si="249"/>
        <v>463</v>
      </c>
      <c r="C491" s="45">
        <f t="shared" si="250"/>
        <v>13.601318944843346</v>
      </c>
      <c r="D491" s="10">
        <f t="shared" si="251"/>
        <v>1.8486810551568844</v>
      </c>
      <c r="E491" s="40">
        <f t="shared" si="252"/>
        <v>44.642637889686235</v>
      </c>
      <c r="F491" s="40">
        <f t="shared" si="253"/>
        <v>48.34</v>
      </c>
      <c r="G491" s="3">
        <f t="shared" si="254"/>
        <v>73.794724220627529</v>
      </c>
      <c r="H491" s="3">
        <f t="shared" si="255"/>
        <v>148.0155219248214</v>
      </c>
      <c r="I491">
        <f t="shared" si="240"/>
        <v>1.4801552192482141E-4</v>
      </c>
      <c r="J491" s="4">
        <f t="shared" si="256"/>
        <v>1569.8299082953772</v>
      </c>
      <c r="K491" s="40">
        <f t="shared" si="257"/>
        <v>10.605846521236536</v>
      </c>
      <c r="L491" s="40">
        <f t="shared" si="241"/>
        <v>0</v>
      </c>
      <c r="M491" s="10">
        <f t="shared" si="258"/>
        <v>1.1844142887199243</v>
      </c>
      <c r="N491" s="10">
        <f t="shared" si="237"/>
        <v>8.26</v>
      </c>
      <c r="O491" s="10">
        <f t="shared" si="238"/>
        <v>0.31900000000000001</v>
      </c>
      <c r="P491" s="10">
        <f t="shared" si="259"/>
        <v>8.718217668009995</v>
      </c>
      <c r="Q491" s="45">
        <f t="shared" si="260"/>
        <v>1.583765070703689</v>
      </c>
      <c r="R491" s="4">
        <f t="shared" si="261"/>
        <v>19925.491579526966</v>
      </c>
      <c r="S491">
        <f t="shared" si="242"/>
        <v>1.9925491579526966E-5</v>
      </c>
      <c r="T491" s="44">
        <f t="shared" si="243"/>
        <v>2.1594229405578845E-4</v>
      </c>
      <c r="U491" s="45">
        <f t="shared" si="262"/>
        <v>3.5757290914040119E-2</v>
      </c>
      <c r="V491" s="45">
        <f t="shared" si="263"/>
        <v>0.17897170372615959</v>
      </c>
      <c r="W491" s="45">
        <f t="shared" si="264"/>
        <v>0.17914360287213421</v>
      </c>
      <c r="X491" s="45">
        <f t="shared" si="265"/>
        <v>-1.7189914597462441E-4</v>
      </c>
      <c r="Y491" s="45">
        <f t="shared" si="239"/>
        <v>7.219407764188472E-4</v>
      </c>
      <c r="Z491" s="10">
        <f t="shared" si="266"/>
        <v>3.3432115722190789</v>
      </c>
      <c r="AA491">
        <f t="shared" si="244"/>
        <v>1181861.096922315</v>
      </c>
      <c r="AB491" s="10">
        <f t="shared" si="245"/>
        <v>1.1818610969223149</v>
      </c>
      <c r="AC491" s="10">
        <f t="shared" si="246"/>
        <v>1.0808610969223149</v>
      </c>
      <c r="AD491" s="3">
        <f t="shared" si="247"/>
        <v>156.76013008300436</v>
      </c>
      <c r="AI491" s="100">
        <f t="shared" si="248"/>
        <v>0.17914360287213421</v>
      </c>
    </row>
    <row r="492" spans="2:35">
      <c r="B492" s="39">
        <f t="shared" si="249"/>
        <v>464</v>
      </c>
      <c r="C492" s="45">
        <f t="shared" si="250"/>
        <v>13.630695443644303</v>
      </c>
      <c r="D492" s="10">
        <f t="shared" si="251"/>
        <v>1.8193045563559274</v>
      </c>
      <c r="E492" s="40">
        <f t="shared" si="252"/>
        <v>44.701390887288149</v>
      </c>
      <c r="F492" s="40">
        <f t="shared" si="253"/>
        <v>48.34</v>
      </c>
      <c r="G492" s="3">
        <f t="shared" si="254"/>
        <v>73.677218225423701</v>
      </c>
      <c r="H492" s="3">
        <f t="shared" si="255"/>
        <v>148.0155219248214</v>
      </c>
      <c r="I492">
        <f t="shared" si="240"/>
        <v>1.4801552192482141E-4</v>
      </c>
      <c r="J492" s="4">
        <f t="shared" si="256"/>
        <v>1573.9526435105884</v>
      </c>
      <c r="K492" s="40">
        <f t="shared" si="257"/>
        <v>10.633699919053186</v>
      </c>
      <c r="L492" s="40">
        <f t="shared" si="241"/>
        <v>0</v>
      </c>
      <c r="M492" s="10">
        <f t="shared" si="258"/>
        <v>1.1818610969223149</v>
      </c>
      <c r="N492" s="10">
        <f t="shared" si="237"/>
        <v>8.26</v>
      </c>
      <c r="O492" s="10">
        <f t="shared" si="238"/>
        <v>0.31900000000000001</v>
      </c>
      <c r="P492" s="10">
        <f t="shared" si="259"/>
        <v>8.7122181379374535</v>
      </c>
      <c r="Q492" s="45">
        <f t="shared" si="260"/>
        <v>1.5871369443569712</v>
      </c>
      <c r="R492" s="4">
        <f t="shared" si="261"/>
        <v>19590.011840041796</v>
      </c>
      <c r="S492">
        <f t="shared" si="242"/>
        <v>1.9590011840041795E-5</v>
      </c>
      <c r="T492" s="44">
        <f t="shared" si="243"/>
        <v>2.1627777379527361E-4</v>
      </c>
      <c r="U492" s="45">
        <f t="shared" si="262"/>
        <v>3.5155255747547E-2</v>
      </c>
      <c r="V492" s="45">
        <f t="shared" si="263"/>
        <v>0.17854618185562757</v>
      </c>
      <c r="W492" s="45">
        <f t="shared" si="264"/>
        <v>0.17872143013340491</v>
      </c>
      <c r="X492" s="45">
        <f t="shared" si="265"/>
        <v>-1.7524827777734564E-4</v>
      </c>
      <c r="Y492" s="45">
        <f t="shared" si="239"/>
        <v>7.2134986136822667E-4</v>
      </c>
      <c r="Z492" s="10">
        <f t="shared" si="266"/>
        <v>3.3352935380731692</v>
      </c>
      <c r="AA492">
        <f t="shared" si="244"/>
        <v>1179301.1945985935</v>
      </c>
      <c r="AB492" s="10">
        <f t="shared" si="245"/>
        <v>1.1793011945985936</v>
      </c>
      <c r="AC492" s="10">
        <f t="shared" si="246"/>
        <v>1.0783011945985936</v>
      </c>
      <c r="AD492" s="3">
        <f t="shared" si="247"/>
        <v>156.38886071045596</v>
      </c>
      <c r="AI492" s="100">
        <f t="shared" si="248"/>
        <v>0.17872143013340491</v>
      </c>
    </row>
    <row r="493" spans="2:35">
      <c r="B493" s="39">
        <f t="shared" si="249"/>
        <v>465</v>
      </c>
      <c r="C493" s="45">
        <f t="shared" si="250"/>
        <v>13.66007194244526</v>
      </c>
      <c r="D493" s="10">
        <f t="shared" si="251"/>
        <v>1.7899280575549703</v>
      </c>
      <c r="E493" s="40">
        <f t="shared" si="252"/>
        <v>44.760143884890063</v>
      </c>
      <c r="F493" s="40">
        <f t="shared" si="253"/>
        <v>48.34</v>
      </c>
      <c r="G493" s="3">
        <f t="shared" si="254"/>
        <v>73.559712230219873</v>
      </c>
      <c r="H493" s="3">
        <f t="shared" si="255"/>
        <v>148.0155219248214</v>
      </c>
      <c r="I493">
        <f t="shared" si="240"/>
        <v>1.4801552192482141E-4</v>
      </c>
      <c r="J493" s="4">
        <f t="shared" si="256"/>
        <v>1578.0808009807733</v>
      </c>
      <c r="K493" s="40">
        <f t="shared" si="257"/>
        <v>10.661589949885775</v>
      </c>
      <c r="L493" s="40">
        <f t="shared" si="241"/>
        <v>0</v>
      </c>
      <c r="M493" s="10">
        <f t="shared" si="258"/>
        <v>1.1793011945985936</v>
      </c>
      <c r="N493" s="10">
        <f t="shared" si="237"/>
        <v>8.26</v>
      </c>
      <c r="O493" s="10">
        <f t="shared" si="238"/>
        <v>0.31900000000000001</v>
      </c>
      <c r="P493" s="10">
        <f t="shared" si="259"/>
        <v>8.7061939716247192</v>
      </c>
      <c r="Q493" s="45">
        <f t="shared" si="260"/>
        <v>1.5905111511454602</v>
      </c>
      <c r="R493" s="4">
        <f t="shared" si="261"/>
        <v>19255.102133249959</v>
      </c>
      <c r="S493">
        <f t="shared" si="242"/>
        <v>1.9255102133249958E-5</v>
      </c>
      <c r="T493" s="44">
        <f t="shared" si="243"/>
        <v>2.1661268350206544E-4</v>
      </c>
      <c r="U493" s="45">
        <f t="shared" si="262"/>
        <v>3.4554243533223707E-2</v>
      </c>
      <c r="V493" s="45">
        <f t="shared" si="263"/>
        <v>0.17811955579415872</v>
      </c>
      <c r="W493" s="45">
        <f t="shared" si="264"/>
        <v>0.17829814780267805</v>
      </c>
      <c r="X493" s="45">
        <f t="shared" si="265"/>
        <v>-1.7859200851932933E-4</v>
      </c>
      <c r="Y493" s="45">
        <f t="shared" si="239"/>
        <v>7.2074725500071086E-4</v>
      </c>
      <c r="Z493" s="10">
        <f t="shared" si="266"/>
        <v>3.3273548129689203</v>
      </c>
      <c r="AA493">
        <f t="shared" si="244"/>
        <v>1176734.6028831168</v>
      </c>
      <c r="AB493" s="10">
        <f t="shared" si="245"/>
        <v>1.1767346028831167</v>
      </c>
      <c r="AC493" s="10">
        <f t="shared" si="246"/>
        <v>1.0757346028831167</v>
      </c>
      <c r="AD493" s="3">
        <f t="shared" si="247"/>
        <v>156.01662115781244</v>
      </c>
      <c r="AI493" s="100">
        <f t="shared" si="248"/>
        <v>0.17829814780267805</v>
      </c>
    </row>
    <row r="494" spans="2:35">
      <c r="B494" s="39">
        <f t="shared" si="249"/>
        <v>466</v>
      </c>
      <c r="C494" s="45">
        <f t="shared" si="250"/>
        <v>13.689448441246217</v>
      </c>
      <c r="D494" s="10">
        <f t="shared" si="251"/>
        <v>1.7605515587540133</v>
      </c>
      <c r="E494" s="40">
        <f t="shared" si="252"/>
        <v>44.818896882491977</v>
      </c>
      <c r="F494" s="40">
        <f t="shared" si="253"/>
        <v>48.34</v>
      </c>
      <c r="G494" s="3">
        <f t="shared" si="254"/>
        <v>73.442206235016045</v>
      </c>
      <c r="H494" s="3">
        <f t="shared" si="255"/>
        <v>148.0155219248214</v>
      </c>
      <c r="I494">
        <f t="shared" si="240"/>
        <v>1.4801552192482141E-4</v>
      </c>
      <c r="J494" s="4">
        <f t="shared" si="256"/>
        <v>1582.2143807059322</v>
      </c>
      <c r="K494" s="40">
        <f t="shared" si="257"/>
        <v>10.689516613734302</v>
      </c>
      <c r="L494" s="40">
        <f t="shared" si="241"/>
        <v>0</v>
      </c>
      <c r="M494" s="10">
        <f t="shared" si="258"/>
        <v>1.1767346028831167</v>
      </c>
      <c r="N494" s="10">
        <f t="shared" si="237"/>
        <v>8.26</v>
      </c>
      <c r="O494" s="10">
        <f t="shared" si="238"/>
        <v>0.31900000000000001</v>
      </c>
      <c r="P494" s="10">
        <f t="shared" si="259"/>
        <v>8.7001451165362429</v>
      </c>
      <c r="Q494" s="45">
        <f t="shared" si="260"/>
        <v>1.5938877038819337</v>
      </c>
      <c r="R494" s="4">
        <f t="shared" si="261"/>
        <v>18920.764370593846</v>
      </c>
      <c r="S494">
        <f t="shared" si="242"/>
        <v>1.8920764370593847E-5</v>
      </c>
      <c r="T494" s="44">
        <f t="shared" si="243"/>
        <v>2.1694702126472156E-4</v>
      </c>
      <c r="U494" s="45">
        <f t="shared" si="262"/>
        <v>3.3954257701249185E-2</v>
      </c>
      <c r="V494" s="45">
        <f t="shared" si="263"/>
        <v>0.17769182915269582</v>
      </c>
      <c r="W494" s="45">
        <f t="shared" si="264"/>
        <v>0.17787375937453986</v>
      </c>
      <c r="X494" s="45">
        <f t="shared" si="265"/>
        <v>-1.8193022184403995E-4</v>
      </c>
      <c r="Y494" s="45">
        <f t="shared" si="239"/>
        <v>7.2013295801229608E-4</v>
      </c>
      <c r="Z494" s="10">
        <f t="shared" si="266"/>
        <v>3.3193954626073459</v>
      </c>
      <c r="AA494">
        <f t="shared" si="244"/>
        <v>1174161.3430170384</v>
      </c>
      <c r="AB494" s="10">
        <f t="shared" si="245"/>
        <v>1.1741613430170383</v>
      </c>
      <c r="AC494" s="10">
        <f t="shared" si="246"/>
        <v>1.0731613430170384</v>
      </c>
      <c r="AD494" s="3">
        <f t="shared" si="247"/>
        <v>155.64341450573437</v>
      </c>
      <c r="AI494" s="100">
        <f t="shared" si="248"/>
        <v>0.17787375937453986</v>
      </c>
    </row>
    <row r="495" spans="2:35">
      <c r="B495" s="39">
        <f t="shared" si="249"/>
        <v>467</v>
      </c>
      <c r="C495" s="45">
        <f t="shared" si="250"/>
        <v>13.718824940047174</v>
      </c>
      <c r="D495" s="10">
        <f t="shared" si="251"/>
        <v>1.7311750599530562</v>
      </c>
      <c r="E495" s="40">
        <f t="shared" si="252"/>
        <v>44.877649880093891</v>
      </c>
      <c r="F495" s="40">
        <f t="shared" si="253"/>
        <v>48.34</v>
      </c>
      <c r="G495" s="3">
        <f t="shared" si="254"/>
        <v>73.324700239812216</v>
      </c>
      <c r="H495" s="3">
        <f t="shared" si="255"/>
        <v>148.0155219248214</v>
      </c>
      <c r="I495">
        <f t="shared" si="240"/>
        <v>1.4801552192482141E-4</v>
      </c>
      <c r="J495" s="4">
        <f t="shared" si="256"/>
        <v>1586.3533826860651</v>
      </c>
      <c r="K495" s="40">
        <f t="shared" si="257"/>
        <v>10.717479910598769</v>
      </c>
      <c r="L495" s="40">
        <f t="shared" si="241"/>
        <v>0</v>
      </c>
      <c r="M495" s="10">
        <f t="shared" si="258"/>
        <v>1.1741613430170383</v>
      </c>
      <c r="N495" s="10">
        <f t="shared" si="237"/>
        <v>8.26</v>
      </c>
      <c r="O495" s="10">
        <f t="shared" si="238"/>
        <v>0.31900000000000001</v>
      </c>
      <c r="P495" s="10">
        <f t="shared" si="259"/>
        <v>8.6940715197994098</v>
      </c>
      <c r="Q495" s="45">
        <f t="shared" si="260"/>
        <v>1.5972666154464472</v>
      </c>
      <c r="R495" s="4">
        <f t="shared" si="261"/>
        <v>18587.000463515869</v>
      </c>
      <c r="S495">
        <f t="shared" si="242"/>
        <v>1.858700046351587E-5</v>
      </c>
      <c r="T495" s="44">
        <f t="shared" si="243"/>
        <v>2.1728078517179955E-4</v>
      </c>
      <c r="U495" s="45">
        <f t="shared" si="262"/>
        <v>3.3355301681802403E-2</v>
      </c>
      <c r="V495" s="45">
        <f t="shared" si="263"/>
        <v>0.17726300555990285</v>
      </c>
      <c r="W495" s="45">
        <f t="shared" si="264"/>
        <v>0.17744826836123581</v>
      </c>
      <c r="X495" s="45">
        <f t="shared" si="265"/>
        <v>-1.852628013329638E-4</v>
      </c>
      <c r="Y495" s="45">
        <f t="shared" si="239"/>
        <v>7.1950697139039799E-4</v>
      </c>
      <c r="Z495" s="10">
        <f t="shared" si="266"/>
        <v>3.3114155530204767</v>
      </c>
      <c r="AA495">
        <f t="shared" si="244"/>
        <v>1171581.4363485295</v>
      </c>
      <c r="AB495" s="10">
        <f t="shared" si="245"/>
        <v>1.1715814363485295</v>
      </c>
      <c r="AC495" s="10">
        <f t="shared" si="246"/>
        <v>1.0705814363485295</v>
      </c>
      <c r="AD495" s="3">
        <f t="shared" si="247"/>
        <v>155.26924385040311</v>
      </c>
      <c r="AI495" s="100">
        <f t="shared" si="248"/>
        <v>0.17744826836123581</v>
      </c>
    </row>
    <row r="496" spans="2:35">
      <c r="B496" s="39">
        <f t="shared" si="249"/>
        <v>468</v>
      </c>
      <c r="C496" s="45">
        <f t="shared" si="250"/>
        <v>13.748201438848131</v>
      </c>
      <c r="D496" s="10">
        <f t="shared" si="251"/>
        <v>1.7017985611520992</v>
      </c>
      <c r="E496" s="40">
        <f t="shared" si="252"/>
        <v>44.936402877695805</v>
      </c>
      <c r="F496" s="40">
        <f t="shared" si="253"/>
        <v>48.34</v>
      </c>
      <c r="G496" s="3">
        <f t="shared" si="254"/>
        <v>73.207194244608388</v>
      </c>
      <c r="H496" s="3">
        <f t="shared" si="255"/>
        <v>148.0155219248214</v>
      </c>
      <c r="I496">
        <f t="shared" si="240"/>
        <v>1.4801552192482141E-4</v>
      </c>
      <c r="J496" s="4">
        <f t="shared" si="256"/>
        <v>1590.4978069211716</v>
      </c>
      <c r="K496" s="40">
        <f t="shared" si="257"/>
        <v>10.745479840479174</v>
      </c>
      <c r="L496" s="40">
        <f t="shared" si="241"/>
        <v>0</v>
      </c>
      <c r="M496" s="10">
        <f t="shared" si="258"/>
        <v>1.1715814363485295</v>
      </c>
      <c r="N496" s="10">
        <f t="shared" si="237"/>
        <v>8.26</v>
      </c>
      <c r="O496" s="10">
        <f t="shared" si="238"/>
        <v>0.31900000000000001</v>
      </c>
      <c r="P496" s="10">
        <f t="shared" si="259"/>
        <v>8.6879731282017296</v>
      </c>
      <c r="Q496" s="45">
        <f t="shared" si="260"/>
        <v>1.6006478987869308</v>
      </c>
      <c r="R496" s="4">
        <f t="shared" si="261"/>
        <v>18253.812323458427</v>
      </c>
      <c r="S496">
        <f t="shared" si="242"/>
        <v>1.8253812323458427E-5</v>
      </c>
      <c r="T496" s="44">
        <f t="shared" si="243"/>
        <v>2.1761397331185699E-4</v>
      </c>
      <c r="U496" s="45">
        <f t="shared" si="262"/>
        <v>3.275737890506232E-2</v>
      </c>
      <c r="V496" s="45">
        <f t="shared" si="263"/>
        <v>0.17683308866229663</v>
      </c>
      <c r="W496" s="45">
        <f t="shared" si="264"/>
        <v>0.17702167829270662</v>
      </c>
      <c r="X496" s="45">
        <f t="shared" si="265"/>
        <v>-1.8858963040999099E-4</v>
      </c>
      <c r="Y496" s="45">
        <f t="shared" si="239"/>
        <v>7.1886929641490468E-4</v>
      </c>
      <c r="Z496" s="10">
        <f t="shared" si="266"/>
        <v>3.3034151505735871</v>
      </c>
      <c r="AA496">
        <f t="shared" si="244"/>
        <v>1168994.9043334988</v>
      </c>
      <c r="AB496" s="10">
        <f t="shared" si="245"/>
        <v>1.1689949043334988</v>
      </c>
      <c r="AC496" s="10">
        <f t="shared" si="246"/>
        <v>1.0679949043334989</v>
      </c>
      <c r="AD496" s="3">
        <f t="shared" si="247"/>
        <v>154.89411230362563</v>
      </c>
      <c r="AI496" s="100">
        <f t="shared" si="248"/>
        <v>0.17702167829270662</v>
      </c>
    </row>
    <row r="497" spans="2:35">
      <c r="B497" s="39">
        <f t="shared" si="249"/>
        <v>469</v>
      </c>
      <c r="C497" s="45">
        <f t="shared" si="250"/>
        <v>13.777577937649088</v>
      </c>
      <c r="D497" s="10">
        <f t="shared" si="251"/>
        <v>1.6724220623511421</v>
      </c>
      <c r="E497" s="40">
        <f t="shared" si="252"/>
        <v>44.995155875297719</v>
      </c>
      <c r="F497" s="40">
        <f t="shared" si="253"/>
        <v>48.34</v>
      </c>
      <c r="G497" s="3">
        <f t="shared" si="254"/>
        <v>73.08968824940456</v>
      </c>
      <c r="H497" s="3">
        <f t="shared" si="255"/>
        <v>148.0155219248214</v>
      </c>
      <c r="I497">
        <f t="shared" si="240"/>
        <v>1.4801552192482141E-4</v>
      </c>
      <c r="J497" s="4">
        <f t="shared" si="256"/>
        <v>1594.6476534112521</v>
      </c>
      <c r="K497" s="40">
        <f t="shared" si="257"/>
        <v>10.773516403375519</v>
      </c>
      <c r="L497" s="40">
        <f t="shared" si="241"/>
        <v>0</v>
      </c>
      <c r="M497" s="10">
        <f t="shared" si="258"/>
        <v>1.1689949043334988</v>
      </c>
      <c r="N497" s="10">
        <f t="shared" si="237"/>
        <v>8.26</v>
      </c>
      <c r="O497" s="10">
        <f t="shared" si="238"/>
        <v>0.31900000000000001</v>
      </c>
      <c r="P497" s="10">
        <f t="shared" si="259"/>
        <v>8.6818498881891255</v>
      </c>
      <c r="Q497" s="45">
        <f t="shared" si="260"/>
        <v>1.6040315669197929</v>
      </c>
      <c r="R497" s="4">
        <f t="shared" si="261"/>
        <v>17921.201861863927</v>
      </c>
      <c r="S497">
        <f t="shared" si="242"/>
        <v>1.7921201861863928E-5</v>
      </c>
      <c r="T497" s="44">
        <f t="shared" si="243"/>
        <v>2.1794658377345148E-4</v>
      </c>
      <c r="U497" s="45">
        <f t="shared" si="262"/>
        <v>3.2160492801207904E-2</v>
      </c>
      <c r="V497" s="45">
        <f t="shared" si="263"/>
        <v>0.17640208212427216</v>
      </c>
      <c r="W497" s="45">
        <f t="shared" si="264"/>
        <v>0.17659399271670764</v>
      </c>
      <c r="X497" s="45">
        <f t="shared" si="265"/>
        <v>-1.9191059243547914E-4</v>
      </c>
      <c r="Y497" s="45">
        <f t="shared" si="239"/>
        <v>7.1821993465892207E-4</v>
      </c>
      <c r="Z497" s="10">
        <f t="shared" si="266"/>
        <v>3.2953943219660133</v>
      </c>
      <c r="AA497">
        <f t="shared" si="244"/>
        <v>1166401.7685358583</v>
      </c>
      <c r="AB497" s="10">
        <f t="shared" si="245"/>
        <v>1.1664017685358583</v>
      </c>
      <c r="AC497" s="10">
        <f t="shared" si="246"/>
        <v>1.0654017685358583</v>
      </c>
      <c r="AD497" s="3">
        <f t="shared" si="247"/>
        <v>154.51802299287283</v>
      </c>
      <c r="AI497" s="100">
        <f t="shared" si="248"/>
        <v>0.17659399271670764</v>
      </c>
    </row>
    <row r="498" spans="2:35">
      <c r="B498" s="39">
        <f t="shared" si="249"/>
        <v>470</v>
      </c>
      <c r="C498" s="45">
        <f t="shared" si="250"/>
        <v>13.806954436450045</v>
      </c>
      <c r="D498" s="10">
        <f t="shared" si="251"/>
        <v>1.6430455635501851</v>
      </c>
      <c r="E498" s="40">
        <f t="shared" si="252"/>
        <v>45.053908872899633</v>
      </c>
      <c r="F498" s="40">
        <f t="shared" si="253"/>
        <v>48.34</v>
      </c>
      <c r="G498" s="3">
        <f t="shared" si="254"/>
        <v>72.972182254200732</v>
      </c>
      <c r="H498" s="3">
        <f t="shared" si="255"/>
        <v>148.0155219248214</v>
      </c>
      <c r="I498">
        <f t="shared" si="240"/>
        <v>1.4801552192482141E-4</v>
      </c>
      <c r="J498" s="4">
        <f t="shared" si="256"/>
        <v>1598.8029221563065</v>
      </c>
      <c r="K498" s="40">
        <f t="shared" si="257"/>
        <v>10.801589599287803</v>
      </c>
      <c r="L498" s="40">
        <f t="shared" si="241"/>
        <v>0</v>
      </c>
      <c r="M498" s="10">
        <f t="shared" si="258"/>
        <v>1.1664017685358583</v>
      </c>
      <c r="N498" s="10">
        <f t="shared" si="237"/>
        <v>8.26</v>
      </c>
      <c r="O498" s="10">
        <f t="shared" si="238"/>
        <v>0.31900000000000001</v>
      </c>
      <c r="P498" s="10">
        <f t="shared" si="259"/>
        <v>8.6757017458631651</v>
      </c>
      <c r="Q498" s="45">
        <f t="shared" si="260"/>
        <v>1.6074176329305296</v>
      </c>
      <c r="R498" s="4">
        <f t="shared" si="261"/>
        <v>17589.17099017476</v>
      </c>
      <c r="S498">
        <f t="shared" si="242"/>
        <v>1.7589170990174762E-5</v>
      </c>
      <c r="T498" s="44">
        <f t="shared" si="243"/>
        <v>2.1827861464514064E-4</v>
      </c>
      <c r="U498" s="45">
        <f t="shared" si="262"/>
        <v>3.1564646800418109E-2</v>
      </c>
      <c r="V498" s="45">
        <f t="shared" si="263"/>
        <v>0.17596998962821378</v>
      </c>
      <c r="W498" s="45">
        <f t="shared" si="264"/>
        <v>0.17616521519885259</v>
      </c>
      <c r="X498" s="45">
        <f t="shared" si="265"/>
        <v>-1.952255706388073E-4</v>
      </c>
      <c r="Y498" s="45">
        <f t="shared" si="239"/>
        <v>7.1755888798975527E-4</v>
      </c>
      <c r="Z498" s="10">
        <f t="shared" si="266"/>
        <v>3.2873531342330686</v>
      </c>
      <c r="AA498">
        <f t="shared" si="244"/>
        <v>1163802.0506281399</v>
      </c>
      <c r="AB498" s="10">
        <f t="shared" si="245"/>
        <v>1.1638020506281399</v>
      </c>
      <c r="AC498" s="10">
        <f t="shared" si="246"/>
        <v>1.0628020506281399</v>
      </c>
      <c r="AD498" s="3">
        <f t="shared" si="247"/>
        <v>154.14097906136908</v>
      </c>
      <c r="AI498" s="100">
        <f t="shared" si="248"/>
        <v>0.17616521519885259</v>
      </c>
    </row>
    <row r="499" spans="2:35">
      <c r="B499" s="39">
        <f t="shared" si="249"/>
        <v>471</v>
      </c>
      <c r="C499" s="45">
        <f t="shared" si="250"/>
        <v>13.836330935251002</v>
      </c>
      <c r="D499" s="10">
        <f t="shared" si="251"/>
        <v>1.613669064749228</v>
      </c>
      <c r="E499" s="40">
        <f t="shared" si="252"/>
        <v>45.112661870501547</v>
      </c>
      <c r="F499" s="40">
        <f t="shared" si="253"/>
        <v>48.34</v>
      </c>
      <c r="G499" s="3">
        <f t="shared" si="254"/>
        <v>72.854676258996903</v>
      </c>
      <c r="H499" s="3">
        <f t="shared" si="255"/>
        <v>148.0155219248214</v>
      </c>
      <c r="I499">
        <f t="shared" si="240"/>
        <v>1.4801552192482141E-4</v>
      </c>
      <c r="J499" s="4">
        <f t="shared" si="256"/>
        <v>1602.963613156335</v>
      </c>
      <c r="K499" s="40">
        <f t="shared" si="257"/>
        <v>10.829699428216026</v>
      </c>
      <c r="L499" s="40">
        <f t="shared" si="241"/>
        <v>0</v>
      </c>
      <c r="M499" s="10">
        <f t="shared" si="258"/>
        <v>1.1638020506281399</v>
      </c>
      <c r="N499" s="10">
        <f t="shared" si="237"/>
        <v>8.26</v>
      </c>
      <c r="O499" s="10">
        <f t="shared" si="238"/>
        <v>0.31900000000000001</v>
      </c>
      <c r="P499" s="10">
        <f t="shared" si="259"/>
        <v>8.6695286469790585</v>
      </c>
      <c r="Q499" s="45">
        <f t="shared" si="260"/>
        <v>1.6108061099743416</v>
      </c>
      <c r="R499" s="4">
        <f t="shared" si="261"/>
        <v>17257.721619833323</v>
      </c>
      <c r="S499">
        <f t="shared" si="242"/>
        <v>1.7257721619833323E-5</v>
      </c>
      <c r="T499" s="44">
        <f t="shared" si="243"/>
        <v>2.1861006401548209E-4</v>
      </c>
      <c r="U499" s="45">
        <f t="shared" si="262"/>
        <v>3.0969844332871886E-2</v>
      </c>
      <c r="V499" s="45">
        <f t="shared" si="263"/>
        <v>0.17553681487453254</v>
      </c>
      <c r="W499" s="45">
        <f t="shared" si="264"/>
        <v>0.17573534932271559</v>
      </c>
      <c r="X499" s="45">
        <f t="shared" si="265"/>
        <v>-1.9853444818304644E-4</v>
      </c>
      <c r="Y499" s="45">
        <f t="shared" si="239"/>
        <v>7.1688615856968117E-4</v>
      </c>
      <c r="Z499" s="10">
        <f t="shared" si="266"/>
        <v>3.279291654747015</v>
      </c>
      <c r="AA499">
        <f t="shared" si="244"/>
        <v>1161195.7723918124</v>
      </c>
      <c r="AB499" s="10">
        <f t="shared" si="245"/>
        <v>1.1611957723918125</v>
      </c>
      <c r="AC499" s="10">
        <f t="shared" si="246"/>
        <v>1.0601957723918125</v>
      </c>
      <c r="AD499" s="3">
        <f t="shared" si="247"/>
        <v>153.76298366813813</v>
      </c>
      <c r="AI499" s="100">
        <f t="shared" si="248"/>
        <v>0.17573534932271559</v>
      </c>
    </row>
    <row r="500" spans="2:35">
      <c r="B500" s="39">
        <f t="shared" si="249"/>
        <v>472</v>
      </c>
      <c r="C500" s="45">
        <f t="shared" si="250"/>
        <v>13.865707434051959</v>
      </c>
      <c r="D500" s="10">
        <f t="shared" si="251"/>
        <v>1.5842925659482709</v>
      </c>
      <c r="E500" s="40">
        <f t="shared" si="252"/>
        <v>45.171414868103462</v>
      </c>
      <c r="F500" s="40">
        <f t="shared" si="253"/>
        <v>48.34</v>
      </c>
      <c r="G500" s="3">
        <f t="shared" si="254"/>
        <v>72.737170263793075</v>
      </c>
      <c r="H500" s="3">
        <f t="shared" si="255"/>
        <v>148.0155219248214</v>
      </c>
      <c r="I500">
        <f t="shared" si="240"/>
        <v>1.4801552192482141E-4</v>
      </c>
      <c r="J500" s="4">
        <f t="shared" si="256"/>
        <v>1607.1297264113373</v>
      </c>
      <c r="K500" s="40">
        <f t="shared" si="257"/>
        <v>10.857845890160188</v>
      </c>
      <c r="L500" s="40">
        <f t="shared" si="241"/>
        <v>0</v>
      </c>
      <c r="M500" s="10">
        <f t="shared" si="258"/>
        <v>1.1611957723918125</v>
      </c>
      <c r="N500" s="10">
        <f t="shared" si="237"/>
        <v>8.26</v>
      </c>
      <c r="O500" s="10">
        <f t="shared" si="238"/>
        <v>0.31900000000000001</v>
      </c>
      <c r="P500" s="10">
        <f t="shared" si="259"/>
        <v>8.6633305369429419</v>
      </c>
      <c r="Q500" s="45">
        <f t="shared" si="260"/>
        <v>1.614197011276755</v>
      </c>
      <c r="R500" s="4">
        <f t="shared" si="261"/>
        <v>16926.855662282025</v>
      </c>
      <c r="S500">
        <f t="shared" si="242"/>
        <v>1.6926855662282026E-5</v>
      </c>
      <c r="T500" s="44">
        <f t="shared" si="243"/>
        <v>2.1894092997303338E-4</v>
      </c>
      <c r="U500" s="45">
        <f t="shared" si="262"/>
        <v>3.0376088828748204E-2</v>
      </c>
      <c r="V500" s="45">
        <f t="shared" si="263"/>
        <v>0.17510256158181123</v>
      </c>
      <c r="W500" s="45">
        <f t="shared" si="264"/>
        <v>0.17530439868988376</v>
      </c>
      <c r="X500" s="45">
        <f t="shared" si="265"/>
        <v>-2.0183710807253341E-4</v>
      </c>
      <c r="Y500" s="45">
        <f t="shared" si="239"/>
        <v>7.1620174885704264E-4</v>
      </c>
      <c r="Z500" s="10">
        <f t="shared" si="266"/>
        <v>3.271209951219519</v>
      </c>
      <c r="AA500">
        <f t="shared" si="244"/>
        <v>1158582.9557180738</v>
      </c>
      <c r="AB500" s="10">
        <f t="shared" si="245"/>
        <v>1.1585829557180738</v>
      </c>
      <c r="AC500" s="10">
        <f t="shared" si="246"/>
        <v>1.0575829557180738</v>
      </c>
      <c r="AD500" s="3">
        <f t="shared" si="247"/>
        <v>153.38403998811802</v>
      </c>
      <c r="AI500" s="100">
        <f t="shared" si="248"/>
        <v>0.17530439868988376</v>
      </c>
    </row>
    <row r="501" spans="2:35">
      <c r="B501" s="39">
        <f t="shared" si="249"/>
        <v>473</v>
      </c>
      <c r="C501" s="45">
        <f t="shared" si="250"/>
        <v>13.895083932852916</v>
      </c>
      <c r="D501" s="10">
        <f t="shared" si="251"/>
        <v>1.5549160671473139</v>
      </c>
      <c r="E501" s="40">
        <f t="shared" si="252"/>
        <v>45.230167865705376</v>
      </c>
      <c r="F501" s="40">
        <f t="shared" si="253"/>
        <v>48.34</v>
      </c>
      <c r="G501" s="3">
        <f t="shared" si="254"/>
        <v>72.619664268589247</v>
      </c>
      <c r="H501" s="3">
        <f t="shared" si="255"/>
        <v>148.0155219248214</v>
      </c>
      <c r="I501">
        <f t="shared" si="240"/>
        <v>1.4801552192482141E-4</v>
      </c>
      <c r="J501" s="4">
        <f t="shared" si="256"/>
        <v>1611.3012619213137</v>
      </c>
      <c r="K501" s="40">
        <f t="shared" si="257"/>
        <v>10.886028985120291</v>
      </c>
      <c r="L501" s="40">
        <f t="shared" si="241"/>
        <v>0</v>
      </c>
      <c r="M501" s="10">
        <f t="shared" si="258"/>
        <v>1.1585829557180738</v>
      </c>
      <c r="N501" s="10">
        <f t="shared" si="237"/>
        <v>8.26</v>
      </c>
      <c r="O501" s="10">
        <f t="shared" si="238"/>
        <v>0.31900000000000001</v>
      </c>
      <c r="P501" s="10">
        <f t="shared" si="259"/>
        <v>8.6571073608102314</v>
      </c>
      <c r="Q501" s="45">
        <f t="shared" si="260"/>
        <v>1.6175903501342517</v>
      </c>
      <c r="R501" s="4">
        <f t="shared" si="261"/>
        <v>16596.575028963256</v>
      </c>
      <c r="S501">
        <f t="shared" si="242"/>
        <v>1.6596575028963256E-5</v>
      </c>
      <c r="T501" s="44">
        <f t="shared" si="243"/>
        <v>2.1927121060635215E-4</v>
      </c>
      <c r="U501" s="45">
        <f t="shared" si="262"/>
        <v>2.978338371822601E-2</v>
      </c>
      <c r="V501" s="45">
        <f t="shared" si="263"/>
        <v>0.1746672334867958</v>
      </c>
      <c r="W501" s="45">
        <f t="shared" si="264"/>
        <v>0.17487236692008779</v>
      </c>
      <c r="X501" s="45">
        <f t="shared" si="265"/>
        <v>-2.0513343329198186E-4</v>
      </c>
      <c r="Y501" s="45">
        <f t="shared" si="239"/>
        <v>7.1550566160688122E-4</v>
      </c>
      <c r="Z501" s="10">
        <f t="shared" si="266"/>
        <v>3.2631080917020006</v>
      </c>
      <c r="AA501">
        <f t="shared" si="244"/>
        <v>1155963.6226079641</v>
      </c>
      <c r="AB501" s="10">
        <f t="shared" si="245"/>
        <v>1.1559636226079641</v>
      </c>
      <c r="AC501" s="10">
        <f t="shared" si="246"/>
        <v>1.0549636226079642</v>
      </c>
      <c r="AD501" s="3">
        <f t="shared" si="247"/>
        <v>153.00415121217753</v>
      </c>
      <c r="AI501" s="100">
        <f t="shared" si="248"/>
        <v>0.17487236692008779</v>
      </c>
    </row>
    <row r="502" spans="2:35">
      <c r="B502" s="39">
        <f t="shared" si="249"/>
        <v>474</v>
      </c>
      <c r="C502" s="45">
        <f t="shared" si="250"/>
        <v>13.924460431653873</v>
      </c>
      <c r="D502" s="10">
        <f t="shared" si="251"/>
        <v>1.5255395683463568</v>
      </c>
      <c r="E502" s="40">
        <f t="shared" si="252"/>
        <v>45.28892086330729</v>
      </c>
      <c r="F502" s="40">
        <f t="shared" si="253"/>
        <v>48.34</v>
      </c>
      <c r="G502" s="3">
        <f t="shared" si="254"/>
        <v>72.502158273385419</v>
      </c>
      <c r="H502" s="3">
        <f t="shared" si="255"/>
        <v>148.0155219248214</v>
      </c>
      <c r="I502">
        <f t="shared" si="240"/>
        <v>1.4801552192482141E-4</v>
      </c>
      <c r="J502" s="4">
        <f t="shared" si="256"/>
        <v>1615.4782196862639</v>
      </c>
      <c r="K502" s="40">
        <f t="shared" si="257"/>
        <v>10.914248713096331</v>
      </c>
      <c r="L502" s="40">
        <f t="shared" si="241"/>
        <v>0</v>
      </c>
      <c r="M502" s="10">
        <f t="shared" si="258"/>
        <v>1.1559636226079641</v>
      </c>
      <c r="N502" s="10">
        <f t="shared" si="237"/>
        <v>8.26</v>
      </c>
      <c r="O502" s="10">
        <f t="shared" si="238"/>
        <v>0.31900000000000001</v>
      </c>
      <c r="P502" s="10">
        <f t="shared" si="259"/>
        <v>8.6508590632823505</v>
      </c>
      <c r="Q502" s="45">
        <f t="shared" si="260"/>
        <v>1.6209861399149039</v>
      </c>
      <c r="R502" s="4">
        <f t="shared" si="261"/>
        <v>16266.881631319429</v>
      </c>
      <c r="S502">
        <f t="shared" si="242"/>
        <v>1.6266881631319429E-5</v>
      </c>
      <c r="T502" s="44">
        <f t="shared" si="243"/>
        <v>2.1960090400399598E-4</v>
      </c>
      <c r="U502" s="45">
        <f t="shared" si="262"/>
        <v>2.919173243148428E-2</v>
      </c>
      <c r="V502" s="45">
        <f t="shared" si="263"/>
        <v>0.1742308343445477</v>
      </c>
      <c r="W502" s="45">
        <f t="shared" si="264"/>
        <v>0.17443925765122098</v>
      </c>
      <c r="X502" s="45">
        <f t="shared" si="265"/>
        <v>-2.0842330667328324E-4</v>
      </c>
      <c r="Y502" s="45">
        <f t="shared" si="239"/>
        <v>7.1479789987203039E-4</v>
      </c>
      <c r="Z502" s="10">
        <f t="shared" si="266"/>
        <v>3.2549861445881092</v>
      </c>
      <c r="AA502">
        <f t="shared" si="244"/>
        <v>1153337.7951731663</v>
      </c>
      <c r="AB502" s="10">
        <f t="shared" si="245"/>
        <v>1.1533377951731663</v>
      </c>
      <c r="AC502" s="10">
        <f t="shared" si="246"/>
        <v>1.0523377951731663</v>
      </c>
      <c r="AD502" s="3">
        <f t="shared" si="247"/>
        <v>152.62332054723225</v>
      </c>
      <c r="AI502" s="100">
        <f t="shared" si="248"/>
        <v>0.17443925765122098</v>
      </c>
    </row>
    <row r="503" spans="2:35">
      <c r="B503" s="39">
        <f t="shared" si="249"/>
        <v>475</v>
      </c>
      <c r="C503" s="45">
        <f t="shared" si="250"/>
        <v>13.95383693045483</v>
      </c>
      <c r="D503" s="10">
        <f t="shared" si="251"/>
        <v>1.4961630695453998</v>
      </c>
      <c r="E503" s="40">
        <f t="shared" si="252"/>
        <v>45.347673860909204</v>
      </c>
      <c r="F503" s="40">
        <f t="shared" si="253"/>
        <v>48.34</v>
      </c>
      <c r="G503" s="3">
        <f t="shared" si="254"/>
        <v>72.384652278181591</v>
      </c>
      <c r="H503" s="3">
        <f t="shared" si="255"/>
        <v>148.0155219248214</v>
      </c>
      <c r="I503">
        <f t="shared" si="240"/>
        <v>1.4801552192482141E-4</v>
      </c>
      <c r="J503" s="4">
        <f t="shared" si="256"/>
        <v>1619.6605997061881</v>
      </c>
      <c r="K503" s="40">
        <f t="shared" si="257"/>
        <v>10.942505074088313</v>
      </c>
      <c r="L503" s="40">
        <f t="shared" si="241"/>
        <v>0</v>
      </c>
      <c r="M503" s="10">
        <f t="shared" si="258"/>
        <v>1.1533377951731663</v>
      </c>
      <c r="N503" s="10">
        <f t="shared" si="237"/>
        <v>8.26</v>
      </c>
      <c r="O503" s="10">
        <f t="shared" si="238"/>
        <v>0.31900000000000001</v>
      </c>
      <c r="P503" s="10">
        <f t="shared" si="259"/>
        <v>8.6445855887050467</v>
      </c>
      <c r="Q503" s="45">
        <f t="shared" si="260"/>
        <v>1.624384394059017</v>
      </c>
      <c r="R503" s="4">
        <f t="shared" si="261"/>
        <v>15937.777380792946</v>
      </c>
      <c r="S503">
        <f t="shared" si="242"/>
        <v>1.5937777380792947E-5</v>
      </c>
      <c r="T503" s="44">
        <f t="shared" si="243"/>
        <v>2.1993000825452246E-4</v>
      </c>
      <c r="U503" s="45">
        <f t="shared" si="262"/>
        <v>2.8601138398701979E-2</v>
      </c>
      <c r="V503" s="45">
        <f t="shared" si="263"/>
        <v>0.17379336792847153</v>
      </c>
      <c r="W503" s="45">
        <f t="shared" si="264"/>
        <v>0.17400507453947162</v>
      </c>
      <c r="X503" s="45">
        <f t="shared" si="265"/>
        <v>-2.1170661100008981E-4</v>
      </c>
      <c r="Y503" s="45">
        <f t="shared" si="239"/>
        <v>7.1407846700386314E-4</v>
      </c>
      <c r="Z503" s="10">
        <f t="shared" si="266"/>
        <v>3.2468441786146269</v>
      </c>
      <c r="AA503">
        <f t="shared" si="244"/>
        <v>1150705.4956362988</v>
      </c>
      <c r="AB503" s="10">
        <f t="shared" si="245"/>
        <v>1.1507054956362988</v>
      </c>
      <c r="AC503" s="10">
        <f t="shared" si="246"/>
        <v>1.0497054956362988</v>
      </c>
      <c r="AD503" s="3">
        <f t="shared" si="247"/>
        <v>152.24155121628698</v>
      </c>
      <c r="AI503" s="100">
        <f t="shared" si="248"/>
        <v>0.17400507453947162</v>
      </c>
    </row>
    <row r="504" spans="2:35">
      <c r="B504" s="39">
        <f t="shared" si="249"/>
        <v>476</v>
      </c>
      <c r="C504" s="45">
        <f t="shared" si="250"/>
        <v>13.983213429255787</v>
      </c>
      <c r="D504" s="10">
        <f t="shared" si="251"/>
        <v>1.4667865707444427</v>
      </c>
      <c r="E504" s="40">
        <f t="shared" si="252"/>
        <v>45.406426858511118</v>
      </c>
      <c r="F504" s="40">
        <f t="shared" si="253"/>
        <v>48.34</v>
      </c>
      <c r="G504" s="3">
        <f t="shared" si="254"/>
        <v>72.267146282977762</v>
      </c>
      <c r="H504" s="3">
        <f t="shared" si="255"/>
        <v>148.0155219248214</v>
      </c>
      <c r="I504">
        <f t="shared" si="240"/>
        <v>1.4801552192482141E-4</v>
      </c>
      <c r="J504" s="4">
        <f t="shared" si="256"/>
        <v>1623.8484019810858</v>
      </c>
      <c r="K504" s="40">
        <f t="shared" si="257"/>
        <v>10.970798068096229</v>
      </c>
      <c r="L504" s="40">
        <f t="shared" si="241"/>
        <v>0</v>
      </c>
      <c r="M504" s="10">
        <f t="shared" si="258"/>
        <v>1.1507054956362988</v>
      </c>
      <c r="N504" s="10">
        <f t="shared" si="237"/>
        <v>8.26</v>
      </c>
      <c r="O504" s="10">
        <f t="shared" si="238"/>
        <v>0.31900000000000001</v>
      </c>
      <c r="P504" s="10">
        <f t="shared" si="259"/>
        <v>8.6382868810654898</v>
      </c>
      <c r="Q504" s="45">
        <f t="shared" si="260"/>
        <v>1.6277851260797778</v>
      </c>
      <c r="R504" s="4">
        <f t="shared" si="261"/>
        <v>15609.264188826219</v>
      </c>
      <c r="S504">
        <f t="shared" si="242"/>
        <v>1.560926418882622E-5</v>
      </c>
      <c r="T504" s="44">
        <f t="shared" si="243"/>
        <v>2.2025852144648918E-4</v>
      </c>
      <c r="U504" s="45">
        <f t="shared" si="262"/>
        <v>2.8011605050058088E-2</v>
      </c>
      <c r="V504" s="45">
        <f t="shared" si="263"/>
        <v>0.17335483803043458</v>
      </c>
      <c r="W504" s="45">
        <f t="shared" si="264"/>
        <v>0.17356982125937112</v>
      </c>
      <c r="X504" s="45">
        <f t="shared" si="265"/>
        <v>-2.1498322893653832E-4</v>
      </c>
      <c r="Y504" s="45">
        <f t="shared" si="239"/>
        <v>7.1334736665329206E-4</v>
      </c>
      <c r="Z504" s="10">
        <f t="shared" si="266"/>
        <v>3.2386822628635352</v>
      </c>
      <c r="AA504">
        <f t="shared" si="244"/>
        <v>1148066.7463315825</v>
      </c>
      <c r="AB504" s="10">
        <f t="shared" si="245"/>
        <v>1.1480667463315826</v>
      </c>
      <c r="AC504" s="10">
        <f t="shared" si="246"/>
        <v>1.0470667463315826</v>
      </c>
      <c r="AD504" s="3">
        <f t="shared" si="247"/>
        <v>151.85884645853264</v>
      </c>
      <c r="AI504" s="100">
        <f t="shared" si="248"/>
        <v>0.17356982125937112</v>
      </c>
    </row>
    <row r="505" spans="2:35">
      <c r="B505" s="39">
        <f t="shared" si="249"/>
        <v>477</v>
      </c>
      <c r="C505" s="45">
        <f t="shared" si="250"/>
        <v>14.012589928056745</v>
      </c>
      <c r="D505" s="10">
        <f t="shared" si="251"/>
        <v>1.4374100719434857</v>
      </c>
      <c r="E505" s="40">
        <f t="shared" si="252"/>
        <v>45.465179856113032</v>
      </c>
      <c r="F505" s="40">
        <f t="shared" si="253"/>
        <v>48.34</v>
      </c>
      <c r="G505" s="3">
        <f t="shared" si="254"/>
        <v>72.149640287773934</v>
      </c>
      <c r="H505" s="3">
        <f t="shared" si="255"/>
        <v>148.0155219248214</v>
      </c>
      <c r="I505">
        <f t="shared" si="240"/>
        <v>1.4801552192482141E-4</v>
      </c>
      <c r="J505" s="4">
        <f t="shared" si="256"/>
        <v>1628.0416265109577</v>
      </c>
      <c r="K505" s="40">
        <f t="shared" si="257"/>
        <v>10.999127695120089</v>
      </c>
      <c r="L505" s="40">
        <f t="shared" si="241"/>
        <v>0</v>
      </c>
      <c r="M505" s="10">
        <f t="shared" si="258"/>
        <v>1.1480667463315826</v>
      </c>
      <c r="N505" s="10">
        <f t="shared" si="237"/>
        <v>8.26</v>
      </c>
      <c r="O505" s="10">
        <f t="shared" si="238"/>
        <v>0.31900000000000001</v>
      </c>
      <c r="P505" s="10">
        <f t="shared" si="259"/>
        <v>8.6319628839901963</v>
      </c>
      <c r="Q505" s="45">
        <f t="shared" si="260"/>
        <v>1.6311883495639106</v>
      </c>
      <c r="R505" s="4">
        <f t="shared" si="261"/>
        <v>15281.343966861621</v>
      </c>
      <c r="S505">
        <f t="shared" si="242"/>
        <v>1.5281343966861621E-5</v>
      </c>
      <c r="T505" s="44">
        <f t="shared" si="243"/>
        <v>2.2058644166845378E-4</v>
      </c>
      <c r="U505" s="45">
        <f t="shared" si="262"/>
        <v>2.7423135815731518E-2</v>
      </c>
      <c r="V505" s="45">
        <f t="shared" si="263"/>
        <v>0.17291524846083442</v>
      </c>
      <c r="W505" s="45">
        <f t="shared" si="264"/>
        <v>0.17313350150390458</v>
      </c>
      <c r="X505" s="45">
        <f t="shared" si="265"/>
        <v>-2.1825304307016014E-4</v>
      </c>
      <c r="Y505" s="45">
        <f t="shared" si="239"/>
        <v>7.1260460277163223E-4</v>
      </c>
      <c r="Z505" s="10">
        <f t="shared" si="266"/>
        <v>3.2305004667634671</v>
      </c>
      <c r="AA505">
        <f t="shared" si="244"/>
        <v>1145421.5697053112</v>
      </c>
      <c r="AB505" s="10">
        <f t="shared" si="245"/>
        <v>1.1454215697053112</v>
      </c>
      <c r="AC505" s="10">
        <f t="shared" si="246"/>
        <v>1.0444215697053112</v>
      </c>
      <c r="AD505" s="3">
        <f t="shared" si="247"/>
        <v>151.47520952941423</v>
      </c>
      <c r="AI505" s="100">
        <f t="shared" si="248"/>
        <v>0.17313350150390458</v>
      </c>
    </row>
    <row r="506" spans="2:35">
      <c r="B506" s="39">
        <f t="shared" si="249"/>
        <v>478</v>
      </c>
      <c r="C506" s="45">
        <f t="shared" si="250"/>
        <v>14.041966426857702</v>
      </c>
      <c r="D506" s="10">
        <f t="shared" si="251"/>
        <v>1.4080335731425286</v>
      </c>
      <c r="E506" s="40">
        <f t="shared" si="252"/>
        <v>45.523932853714946</v>
      </c>
      <c r="F506" s="40">
        <f t="shared" si="253"/>
        <v>48.34</v>
      </c>
      <c r="G506" s="3">
        <f t="shared" si="254"/>
        <v>72.032134292570106</v>
      </c>
      <c r="H506" s="3">
        <f t="shared" si="255"/>
        <v>148.0155219248214</v>
      </c>
      <c r="I506">
        <f t="shared" si="240"/>
        <v>1.4801552192482141E-4</v>
      </c>
      <c r="J506" s="4">
        <f t="shared" si="256"/>
        <v>1632.2402732958035</v>
      </c>
      <c r="K506" s="40">
        <f t="shared" si="257"/>
        <v>11.027493955159885</v>
      </c>
      <c r="L506" s="40">
        <f t="shared" si="241"/>
        <v>0</v>
      </c>
      <c r="M506" s="10">
        <f t="shared" si="258"/>
        <v>1.1454215697053112</v>
      </c>
      <c r="N506" s="10">
        <f t="shared" si="237"/>
        <v>8.26</v>
      </c>
      <c r="O506" s="10">
        <f t="shared" si="238"/>
        <v>0.31900000000000001</v>
      </c>
      <c r="P506" s="10">
        <f t="shared" si="259"/>
        <v>8.6256135407424832</v>
      </c>
      <c r="Q506" s="45">
        <f t="shared" si="260"/>
        <v>1.6345940781723394</v>
      </c>
      <c r="R506" s="4">
        <f t="shared" si="261"/>
        <v>14954.01862634156</v>
      </c>
      <c r="S506">
        <f t="shared" si="242"/>
        <v>1.4954018626341559E-5</v>
      </c>
      <c r="T506" s="44">
        <f t="shared" si="243"/>
        <v>2.2091376700897385E-4</v>
      </c>
      <c r="U506" s="45">
        <f t="shared" si="262"/>
        <v>2.6835734125901244E-2</v>
      </c>
      <c r="V506" s="45">
        <f t="shared" si="263"/>
        <v>0.17247460304867493</v>
      </c>
      <c r="W506" s="45">
        <f t="shared" si="264"/>
        <v>0.17269611898458845</v>
      </c>
      <c r="X506" s="45">
        <f t="shared" si="265"/>
        <v>-2.2151593591351881E-4</v>
      </c>
      <c r="Y506" s="45">
        <f t="shared" si="239"/>
        <v>7.1185017961146869E-4</v>
      </c>
      <c r="Z506" s="10">
        <f t="shared" si="266"/>
        <v>3.2222988600911968</v>
      </c>
      <c r="AA506">
        <f t="shared" si="244"/>
        <v>1142769.988316332</v>
      </c>
      <c r="AB506" s="10">
        <f t="shared" si="245"/>
        <v>1.142769988316332</v>
      </c>
      <c r="AC506" s="10">
        <f t="shared" si="246"/>
        <v>1.0417699883163321</v>
      </c>
      <c r="AD506" s="3">
        <f t="shared" si="247"/>
        <v>151.09064370070081</v>
      </c>
      <c r="AI506" s="100">
        <f t="shared" si="248"/>
        <v>0.17269611898458845</v>
      </c>
    </row>
    <row r="507" spans="2:35">
      <c r="B507" s="39">
        <f t="shared" si="249"/>
        <v>479</v>
      </c>
      <c r="C507" s="45">
        <f t="shared" si="250"/>
        <v>14.071342925658659</v>
      </c>
      <c r="D507" s="10">
        <f t="shared" si="251"/>
        <v>1.3786570743415716</v>
      </c>
      <c r="E507" s="40">
        <f t="shared" si="252"/>
        <v>45.58268585131686</v>
      </c>
      <c r="F507" s="40">
        <f t="shared" si="253"/>
        <v>48.34</v>
      </c>
      <c r="G507" s="3">
        <f t="shared" si="254"/>
        <v>71.914628297366278</v>
      </c>
      <c r="H507" s="3">
        <f t="shared" si="255"/>
        <v>148.0155219248214</v>
      </c>
      <c r="I507">
        <f t="shared" si="240"/>
        <v>1.4801552192482141E-4</v>
      </c>
      <c r="J507" s="4">
        <f t="shared" si="256"/>
        <v>1636.4443423356233</v>
      </c>
      <c r="K507" s="40">
        <f t="shared" si="257"/>
        <v>11.055896848215623</v>
      </c>
      <c r="L507" s="40">
        <f t="shared" si="241"/>
        <v>0</v>
      </c>
      <c r="M507" s="10">
        <f t="shared" si="258"/>
        <v>1.142769988316332</v>
      </c>
      <c r="N507" s="10">
        <f t="shared" si="237"/>
        <v>8.26</v>
      </c>
      <c r="O507" s="10">
        <f t="shared" si="238"/>
        <v>0.31900000000000001</v>
      </c>
      <c r="P507" s="10">
        <f t="shared" si="259"/>
        <v>8.6192387942198856</v>
      </c>
      <c r="Q507" s="45">
        <f t="shared" si="260"/>
        <v>1.638002325640858</v>
      </c>
      <c r="R507" s="4">
        <f t="shared" si="261"/>
        <v>14627.290078708429</v>
      </c>
      <c r="S507">
        <f t="shared" si="242"/>
        <v>1.462729007870843E-5</v>
      </c>
      <c r="T507" s="44">
        <f t="shared" si="243"/>
        <v>2.2124049555660697E-4</v>
      </c>
      <c r="U507" s="45">
        <f t="shared" si="262"/>
        <v>2.6249403410746209E-2</v>
      </c>
      <c r="V507" s="45">
        <f t="shared" si="263"/>
        <v>0.1720329056416427</v>
      </c>
      <c r="W507" s="45">
        <f t="shared" si="264"/>
        <v>0.17225767743155004</v>
      </c>
      <c r="X507" s="45">
        <f t="shared" si="265"/>
        <v>-2.2477178990734648E-4</v>
      </c>
      <c r="Y507" s="45">
        <f t="shared" si="239"/>
        <v>7.1108410172752252E-4</v>
      </c>
      <c r="Z507" s="10">
        <f t="shared" si="266"/>
        <v>3.2140775129731316</v>
      </c>
      <c r="AA507">
        <f t="shared" si="244"/>
        <v>1140112.0248365295</v>
      </c>
      <c r="AB507" s="10">
        <f t="shared" si="245"/>
        <v>1.1401120248365295</v>
      </c>
      <c r="AC507" s="10">
        <f t="shared" si="246"/>
        <v>1.0391120248365295</v>
      </c>
      <c r="AD507" s="3">
        <f t="shared" si="247"/>
        <v>150.70515226055539</v>
      </c>
      <c r="AI507" s="100">
        <f t="shared" si="248"/>
        <v>0.17225767743155004</v>
      </c>
    </row>
    <row r="508" spans="2:35">
      <c r="B508" s="39">
        <f t="shared" si="249"/>
        <v>480</v>
      </c>
      <c r="C508" s="45">
        <f t="shared" si="250"/>
        <v>14.100719424459616</v>
      </c>
      <c r="D508" s="10">
        <f t="shared" si="251"/>
        <v>1.3492805755406145</v>
      </c>
      <c r="E508" s="40">
        <f t="shared" si="252"/>
        <v>45.641438848918774</v>
      </c>
      <c r="F508" s="40">
        <f t="shared" si="253"/>
        <v>48.34</v>
      </c>
      <c r="G508" s="3">
        <f t="shared" si="254"/>
        <v>71.79712230216245</v>
      </c>
      <c r="H508" s="3">
        <f t="shared" si="255"/>
        <v>148.0155219248214</v>
      </c>
      <c r="I508">
        <f t="shared" si="240"/>
        <v>1.4801552192482141E-4</v>
      </c>
      <c r="J508" s="4">
        <f t="shared" si="256"/>
        <v>1640.653833630417</v>
      </c>
      <c r="K508" s="40">
        <f t="shared" si="257"/>
        <v>11.084336374287298</v>
      </c>
      <c r="L508" s="40">
        <f t="shared" si="241"/>
        <v>0</v>
      </c>
      <c r="M508" s="10">
        <f t="shared" si="258"/>
        <v>1.1401120248365295</v>
      </c>
      <c r="N508" s="10">
        <f t="shared" si="237"/>
        <v>8.26</v>
      </c>
      <c r="O508" s="10">
        <f t="shared" si="238"/>
        <v>0.31900000000000001</v>
      </c>
      <c r="P508" s="10">
        <f t="shared" si="259"/>
        <v>8.6128385869515789</v>
      </c>
      <c r="Q508" s="45">
        <f t="shared" si="260"/>
        <v>1.6414131057808066</v>
      </c>
      <c r="R508" s="4">
        <f t="shared" si="261"/>
        <v>14301.160235404661</v>
      </c>
      <c r="S508">
        <f t="shared" si="242"/>
        <v>1.4301160235404661E-5</v>
      </c>
      <c r="T508" s="44">
        <f t="shared" si="243"/>
        <v>2.2156662539991076E-4</v>
      </c>
      <c r="U508" s="45">
        <f t="shared" si="262"/>
        <v>2.5664147100445431E-2</v>
      </c>
      <c r="V508" s="45">
        <f t="shared" si="263"/>
        <v>0.17159016010618758</v>
      </c>
      <c r="W508" s="45">
        <f t="shared" si="264"/>
        <v>0.17181818059360726</v>
      </c>
      <c r="X508" s="45">
        <f t="shared" si="265"/>
        <v>-2.2802048741968339E-4</v>
      </c>
      <c r="Y508" s="45">
        <f t="shared" si="239"/>
        <v>7.1030637397753011E-4</v>
      </c>
      <c r="Z508" s="10">
        <f t="shared" si="266"/>
        <v>3.2058364958868766</v>
      </c>
      <c r="AA508">
        <f t="shared" si="244"/>
        <v>1137447.7020513304</v>
      </c>
      <c r="AB508" s="10">
        <f t="shared" si="245"/>
        <v>1.1374477020513303</v>
      </c>
      <c r="AC508" s="10">
        <f t="shared" si="246"/>
        <v>1.0364477020513303</v>
      </c>
      <c r="AD508" s="3">
        <f t="shared" si="247"/>
        <v>150.31873851360845</v>
      </c>
      <c r="AI508" s="100">
        <f t="shared" si="248"/>
        <v>0.17181818059360726</v>
      </c>
    </row>
    <row r="509" spans="2:35">
      <c r="B509" s="39">
        <f t="shared" si="249"/>
        <v>481</v>
      </c>
      <c r="C509" s="45">
        <f t="shared" si="250"/>
        <v>14.130095923260573</v>
      </c>
      <c r="D509" s="10">
        <f t="shared" si="251"/>
        <v>1.3199040767396575</v>
      </c>
      <c r="E509" s="40">
        <f t="shared" si="252"/>
        <v>45.700191846520688</v>
      </c>
      <c r="F509" s="40">
        <f t="shared" si="253"/>
        <v>48.34</v>
      </c>
      <c r="G509" s="3">
        <f t="shared" si="254"/>
        <v>71.679616306958621</v>
      </c>
      <c r="H509" s="3">
        <f t="shared" si="255"/>
        <v>148.0155219248214</v>
      </c>
      <c r="I509">
        <f t="shared" si="240"/>
        <v>1.4801552192482141E-4</v>
      </c>
      <c r="J509" s="4">
        <f t="shared" si="256"/>
        <v>1644.8687471801845</v>
      </c>
      <c r="K509" s="40">
        <f t="shared" si="257"/>
        <v>11.112812533374914</v>
      </c>
      <c r="L509" s="40">
        <f t="shared" si="241"/>
        <v>0</v>
      </c>
      <c r="M509" s="10">
        <f t="shared" si="258"/>
        <v>1.1374477020513303</v>
      </c>
      <c r="N509" s="10">
        <f t="shared" si="237"/>
        <v>8.26</v>
      </c>
      <c r="O509" s="10">
        <f t="shared" si="238"/>
        <v>0.31900000000000001</v>
      </c>
      <c r="P509" s="10">
        <f t="shared" si="259"/>
        <v>8.606412861095782</v>
      </c>
      <c r="Q509" s="45">
        <f t="shared" si="260"/>
        <v>1.6448264324797557</v>
      </c>
      <c r="R509" s="4">
        <f t="shared" si="261"/>
        <v>13975.631007872629</v>
      </c>
      <c r="S509">
        <f t="shared" si="242"/>
        <v>1.3975631007872629E-5</v>
      </c>
      <c r="T509" s="44">
        <f t="shared" si="243"/>
        <v>2.2189215462744278E-4</v>
      </c>
      <c r="U509" s="45">
        <f t="shared" si="262"/>
        <v>2.5079968625177827E-2</v>
      </c>
      <c r="V509" s="45">
        <f t="shared" si="263"/>
        <v>0.17114637032765112</v>
      </c>
      <c r="W509" s="45">
        <f t="shared" si="264"/>
        <v>0.17137763223835265</v>
      </c>
      <c r="X509" s="45">
        <f t="shared" si="265"/>
        <v>-2.3126191070152458E-4</v>
      </c>
      <c r="Y509" s="45">
        <f t="shared" si="239"/>
        <v>7.0951700152328259E-4</v>
      </c>
      <c r="Z509" s="10">
        <f t="shared" si="266"/>
        <v>3.1975758796635354</v>
      </c>
      <c r="AA509">
        <f t="shared" si="244"/>
        <v>1134777.042860447</v>
      </c>
      <c r="AB509" s="10">
        <f t="shared" si="245"/>
        <v>1.1347770428604469</v>
      </c>
      <c r="AC509" s="10">
        <f t="shared" si="246"/>
        <v>1.0337770428604469</v>
      </c>
      <c r="AD509" s="3">
        <f t="shared" si="247"/>
        <v>149.93140578106554</v>
      </c>
      <c r="AI509" s="100">
        <f t="shared" si="248"/>
        <v>0.17137763223835265</v>
      </c>
    </row>
    <row r="510" spans="2:35">
      <c r="B510" s="39">
        <f t="shared" si="249"/>
        <v>482</v>
      </c>
      <c r="C510" s="45">
        <f t="shared" si="250"/>
        <v>14.15947242206153</v>
      </c>
      <c r="D510" s="10">
        <f t="shared" si="251"/>
        <v>1.2905275779387004</v>
      </c>
      <c r="E510" s="40">
        <f t="shared" si="252"/>
        <v>45.758944844122603</v>
      </c>
      <c r="F510" s="40">
        <f t="shared" si="253"/>
        <v>48.34</v>
      </c>
      <c r="G510" s="3">
        <f t="shared" si="254"/>
        <v>71.562110311754793</v>
      </c>
      <c r="H510" s="3">
        <f t="shared" si="255"/>
        <v>148.0155219248214</v>
      </c>
      <c r="I510">
        <f t="shared" si="240"/>
        <v>1.4801552192482141E-4</v>
      </c>
      <c r="J510" s="4">
        <f t="shared" si="256"/>
        <v>1649.0890829849259</v>
      </c>
      <c r="K510" s="40">
        <f t="shared" si="257"/>
        <v>11.141325325478466</v>
      </c>
      <c r="L510" s="40">
        <f t="shared" si="241"/>
        <v>0</v>
      </c>
      <c r="M510" s="10">
        <f t="shared" si="258"/>
        <v>1.1347770428604469</v>
      </c>
      <c r="N510" s="10">
        <f t="shared" si="237"/>
        <v>8.26</v>
      </c>
      <c r="O510" s="10">
        <f t="shared" si="238"/>
        <v>0.31900000000000001</v>
      </c>
      <c r="P510" s="10">
        <f t="shared" si="259"/>
        <v>8.5999615584377302</v>
      </c>
      <c r="Q510" s="45">
        <f t="shared" si="260"/>
        <v>1.6482423197021974</v>
      </c>
      <c r="R510" s="4">
        <f t="shared" si="261"/>
        <v>13650.704307554755</v>
      </c>
      <c r="S510">
        <f t="shared" si="242"/>
        <v>1.3650704307554755E-5</v>
      </c>
      <c r="T510" s="44">
        <f t="shared" si="243"/>
        <v>2.2221708132776066E-4</v>
      </c>
      <c r="U510" s="45">
        <f t="shared" si="262"/>
        <v>2.4496871415122384E-2</v>
      </c>
      <c r="V510" s="45">
        <f t="shared" si="263"/>
        <v>0.17070154021028949</v>
      </c>
      <c r="W510" s="45">
        <f t="shared" si="264"/>
        <v>0.17093603615227584</v>
      </c>
      <c r="X510" s="45">
        <f t="shared" si="265"/>
        <v>-2.3449594198635126E-4</v>
      </c>
      <c r="Y510" s="45">
        <f t="shared" si="239"/>
        <v>7.0871598983133696E-4</v>
      </c>
      <c r="Z510" s="10">
        <f t="shared" si="266"/>
        <v>3.189295735488539</v>
      </c>
      <c r="AA510">
        <f t="shared" si="244"/>
        <v>1132100.0702781461</v>
      </c>
      <c r="AB510" s="10">
        <f t="shared" si="245"/>
        <v>1.1321000702781461</v>
      </c>
      <c r="AC510" s="10">
        <f t="shared" si="246"/>
        <v>1.0311000702781461</v>
      </c>
      <c r="AD510" s="3">
        <f t="shared" si="247"/>
        <v>149.54315740074634</v>
      </c>
      <c r="AI510" s="100">
        <f t="shared" si="248"/>
        <v>0.17093603615227584</v>
      </c>
    </row>
    <row r="511" spans="2:35">
      <c r="B511" s="39">
        <f t="shared" si="249"/>
        <v>483</v>
      </c>
      <c r="C511" s="45">
        <f t="shared" si="250"/>
        <v>14.188848920862487</v>
      </c>
      <c r="D511" s="10">
        <f t="shared" si="251"/>
        <v>1.2611510791377434</v>
      </c>
      <c r="E511" s="40">
        <f t="shared" si="252"/>
        <v>45.817697841724517</v>
      </c>
      <c r="F511" s="40">
        <f t="shared" si="253"/>
        <v>48.34</v>
      </c>
      <c r="G511" s="3">
        <f t="shared" si="254"/>
        <v>71.444604316550965</v>
      </c>
      <c r="H511" s="3">
        <f t="shared" si="255"/>
        <v>148.0155219248214</v>
      </c>
      <c r="I511">
        <f t="shared" si="240"/>
        <v>1.4801552192482141E-4</v>
      </c>
      <c r="J511" s="4">
        <f t="shared" si="256"/>
        <v>1653.3148410446411</v>
      </c>
      <c r="K511" s="40">
        <f t="shared" si="257"/>
        <v>11.169874750597959</v>
      </c>
      <c r="L511" s="40">
        <f t="shared" si="241"/>
        <v>0</v>
      </c>
      <c r="M511" s="10">
        <f t="shared" si="258"/>
        <v>1.1321000702781461</v>
      </c>
      <c r="N511" s="10">
        <f t="shared" si="237"/>
        <v>8.26</v>
      </c>
      <c r="O511" s="10">
        <f t="shared" si="238"/>
        <v>0.31900000000000001</v>
      </c>
      <c r="P511" s="10">
        <f t="shared" si="259"/>
        <v>8.5934846203864517</v>
      </c>
      <c r="Q511" s="45">
        <f t="shared" si="260"/>
        <v>1.651660781490244</v>
      </c>
      <c r="R511" s="4">
        <f t="shared" si="261"/>
        <v>13326.382045893421</v>
      </c>
      <c r="S511">
        <f t="shared" si="242"/>
        <v>1.332638204589342E-5</v>
      </c>
      <c r="T511" s="44">
        <f t="shared" si="243"/>
        <v>2.2254140358942198E-4</v>
      </c>
      <c r="U511" s="45">
        <f t="shared" si="262"/>
        <v>2.3914858900458035E-2</v>
      </c>
      <c r="V511" s="45">
        <f t="shared" si="263"/>
        <v>0.17025567367740699</v>
      </c>
      <c r="W511" s="45">
        <f t="shared" si="264"/>
        <v>0.17049339614080808</v>
      </c>
      <c r="X511" s="45">
        <f t="shared" si="265"/>
        <v>-2.3772246340109104E-4</v>
      </c>
      <c r="Y511" s="45">
        <f t="shared" si="239"/>
        <v>7.0790334467404003E-4</v>
      </c>
      <c r="Z511" s="10">
        <f t="shared" si="266"/>
        <v>3.1809961349038991</v>
      </c>
      <c r="AA511">
        <f t="shared" si="244"/>
        <v>1129416.8074339773</v>
      </c>
      <c r="AB511" s="10">
        <f t="shared" si="245"/>
        <v>1.1294168074339772</v>
      </c>
      <c r="AC511" s="10">
        <f t="shared" si="246"/>
        <v>1.0284168074339772</v>
      </c>
      <c r="AD511" s="3">
        <f t="shared" si="247"/>
        <v>149.15399672719033</v>
      </c>
      <c r="AI511" s="100">
        <f t="shared" si="248"/>
        <v>0.17049339614080808</v>
      </c>
    </row>
    <row r="512" spans="2:35">
      <c r="B512" s="39">
        <f t="shared" si="249"/>
        <v>484</v>
      </c>
      <c r="C512" s="45">
        <f t="shared" si="250"/>
        <v>14.218225419663444</v>
      </c>
      <c r="D512" s="10">
        <f t="shared" si="251"/>
        <v>1.2317745803367863</v>
      </c>
      <c r="E512" s="40">
        <f t="shared" si="252"/>
        <v>45.876450839326431</v>
      </c>
      <c r="F512" s="40">
        <f t="shared" si="253"/>
        <v>48.34</v>
      </c>
      <c r="G512" s="3">
        <f t="shared" si="254"/>
        <v>71.327098321347137</v>
      </c>
      <c r="H512" s="3">
        <f t="shared" si="255"/>
        <v>148.0155219248214</v>
      </c>
      <c r="I512">
        <f t="shared" si="240"/>
        <v>1.4801552192482141E-4</v>
      </c>
      <c r="J512" s="4">
        <f t="shared" si="256"/>
        <v>1657.5460213593306</v>
      </c>
      <c r="K512" s="40">
        <f t="shared" si="257"/>
        <v>11.198460808733392</v>
      </c>
      <c r="L512" s="40">
        <f t="shared" si="241"/>
        <v>0</v>
      </c>
      <c r="M512" s="10">
        <f t="shared" si="258"/>
        <v>1.1294168074339772</v>
      </c>
      <c r="N512" s="10">
        <f t="shared" si="237"/>
        <v>8.26</v>
      </c>
      <c r="O512" s="10">
        <f t="shared" si="238"/>
        <v>0.31900000000000001</v>
      </c>
      <c r="P512" s="10">
        <f t="shared" si="259"/>
        <v>8.5869819879726244</v>
      </c>
      <c r="Q512" s="45">
        <f t="shared" si="260"/>
        <v>1.6550818319643341</v>
      </c>
      <c r="R512" s="4">
        <f t="shared" si="261"/>
        <v>13002.666134331024</v>
      </c>
      <c r="S512">
        <f t="shared" si="242"/>
        <v>1.3002666134331025E-5</v>
      </c>
      <c r="T512" s="44">
        <f t="shared" si="243"/>
        <v>2.228651195009844E-4</v>
      </c>
      <c r="U512" s="45">
        <f t="shared" si="262"/>
        <v>2.333393451136374E-2</v>
      </c>
      <c r="V512" s="45">
        <f t="shared" si="263"/>
        <v>0.16980877467141076</v>
      </c>
      <c r="W512" s="45">
        <f t="shared" si="264"/>
        <v>0.17004971602844285</v>
      </c>
      <c r="X512" s="45">
        <f t="shared" si="265"/>
        <v>-2.4094135703209285E-4</v>
      </c>
      <c r="Y512" s="45">
        <f t="shared" si="239"/>
        <v>7.0707907213033751E-4</v>
      </c>
      <c r="Z512" s="10">
        <f t="shared" si="266"/>
        <v>3.1726771498095032</v>
      </c>
      <c r="AA512">
        <f t="shared" si="244"/>
        <v>1126727.2775731911</v>
      </c>
      <c r="AB512" s="10">
        <f t="shared" si="245"/>
        <v>1.1267272775731911</v>
      </c>
      <c r="AC512" s="10">
        <f t="shared" si="246"/>
        <v>1.0257272775731912</v>
      </c>
      <c r="AD512" s="3">
        <f t="shared" si="247"/>
        <v>148.76392713171737</v>
      </c>
      <c r="AI512" s="100">
        <f t="shared" si="248"/>
        <v>0.17004971602844285</v>
      </c>
    </row>
    <row r="513" spans="2:35">
      <c r="B513" s="39">
        <f t="shared" si="249"/>
        <v>485</v>
      </c>
      <c r="C513" s="45">
        <f t="shared" si="250"/>
        <v>14.247601918464401</v>
      </c>
      <c r="D513" s="10">
        <f t="shared" si="251"/>
        <v>1.2023980815358293</v>
      </c>
      <c r="E513" s="40">
        <f t="shared" si="252"/>
        <v>45.935203836928345</v>
      </c>
      <c r="F513" s="40">
        <f t="shared" si="253"/>
        <v>48.34</v>
      </c>
      <c r="G513" s="3">
        <f t="shared" si="254"/>
        <v>71.209592326143309</v>
      </c>
      <c r="H513" s="3">
        <f t="shared" si="255"/>
        <v>148.0155219248214</v>
      </c>
      <c r="I513">
        <f t="shared" si="240"/>
        <v>1.4801552192482141E-4</v>
      </c>
      <c r="J513" s="4">
        <f t="shared" si="256"/>
        <v>1661.7826239289936</v>
      </c>
      <c r="K513" s="40">
        <f t="shared" si="257"/>
        <v>11.227083499884763</v>
      </c>
      <c r="L513" s="40">
        <f t="shared" si="241"/>
        <v>0</v>
      </c>
      <c r="M513" s="10">
        <f t="shared" si="258"/>
        <v>1.1267272775731911</v>
      </c>
      <c r="N513" s="10">
        <f t="shared" si="237"/>
        <v>8.26</v>
      </c>
      <c r="O513" s="10">
        <f t="shared" si="238"/>
        <v>0.31900000000000001</v>
      </c>
      <c r="P513" s="10">
        <f t="shared" si="259"/>
        <v>8.5804536018456528</v>
      </c>
      <c r="Q513" s="45">
        <f t="shared" si="260"/>
        <v>1.6585054853239465</v>
      </c>
      <c r="R513" s="4">
        <f t="shared" si="261"/>
        <v>12679.558484309991</v>
      </c>
      <c r="S513">
        <f t="shared" si="242"/>
        <v>1.2679558484309991E-5</v>
      </c>
      <c r="T513" s="44">
        <f t="shared" si="243"/>
        <v>2.2318822715100542E-4</v>
      </c>
      <c r="U513" s="45">
        <f t="shared" si="262"/>
        <v>2.2754101678018494E-2</v>
      </c>
      <c r="V513" s="45">
        <f t="shared" si="263"/>
        <v>0.1693608471538999</v>
      </c>
      <c r="W513" s="45">
        <f t="shared" si="264"/>
        <v>0.16960499965880493</v>
      </c>
      <c r="X513" s="45">
        <f t="shared" si="265"/>
        <v>-2.4415250490503193E-4</v>
      </c>
      <c r="Y513" s="45">
        <f t="shared" si="239"/>
        <v>7.0624317858666158E-4</v>
      </c>
      <c r="Z513" s="10">
        <f t="shared" si="266"/>
        <v>3.1643388524647817</v>
      </c>
      <c r="AA513">
        <f t="shared" si="244"/>
        <v>1124031.5040572786</v>
      </c>
      <c r="AB513" s="10">
        <f t="shared" si="245"/>
        <v>1.1240315040572786</v>
      </c>
      <c r="AC513" s="10">
        <f t="shared" si="246"/>
        <v>1.0230315040572786</v>
      </c>
      <c r="AD513" s="3">
        <f t="shared" si="247"/>
        <v>148.37295200250597</v>
      </c>
      <c r="AI513" s="100">
        <f t="shared" si="248"/>
        <v>0.16960499965880493</v>
      </c>
    </row>
    <row r="514" spans="2:35">
      <c r="B514" s="39">
        <f t="shared" si="249"/>
        <v>486</v>
      </c>
      <c r="C514" s="45">
        <f t="shared" si="250"/>
        <v>14.276978417265358</v>
      </c>
      <c r="D514" s="10">
        <f t="shared" si="251"/>
        <v>1.1730215827348722</v>
      </c>
      <c r="E514" s="40">
        <f t="shared" si="252"/>
        <v>45.993956834530259</v>
      </c>
      <c r="F514" s="40">
        <f t="shared" si="253"/>
        <v>48.34</v>
      </c>
      <c r="G514" s="3">
        <f t="shared" si="254"/>
        <v>71.09208633093948</v>
      </c>
      <c r="H514" s="3">
        <f t="shared" si="255"/>
        <v>148.0155219248214</v>
      </c>
      <c r="I514">
        <f t="shared" si="240"/>
        <v>1.4801552192482141E-4</v>
      </c>
      <c r="J514" s="4">
        <f t="shared" si="256"/>
        <v>1666.0246487536308</v>
      </c>
      <c r="K514" s="40">
        <f t="shared" si="257"/>
        <v>11.255742824052072</v>
      </c>
      <c r="L514" s="40">
        <f t="shared" si="241"/>
        <v>0</v>
      </c>
      <c r="M514" s="10">
        <f t="shared" si="258"/>
        <v>1.1240315040572786</v>
      </c>
      <c r="N514" s="10">
        <f t="shared" si="237"/>
        <v>8.26</v>
      </c>
      <c r="O514" s="10">
        <f t="shared" si="238"/>
        <v>0.31900000000000001</v>
      </c>
      <c r="P514" s="10">
        <f t="shared" si="259"/>
        <v>8.5738994022709871</v>
      </c>
      <c r="Q514" s="45">
        <f t="shared" si="260"/>
        <v>1.6619317558483215</v>
      </c>
      <c r="R514" s="4">
        <f t="shared" si="261"/>
        <v>12357.061007272699</v>
      </c>
      <c r="S514">
        <f t="shared" si="242"/>
        <v>1.23570610072727E-5</v>
      </c>
      <c r="T514" s="44">
        <f t="shared" si="243"/>
        <v>2.2351072462804272E-4</v>
      </c>
      <c r="U514" s="45">
        <f t="shared" si="262"/>
        <v>2.2175363830601223E-2</v>
      </c>
      <c r="V514" s="45">
        <f t="shared" si="263"/>
        <v>0.16891189510578186</v>
      </c>
      <c r="W514" s="45">
        <f t="shared" si="264"/>
        <v>0.16915925089473938</v>
      </c>
      <c r="X514" s="45">
        <f t="shared" si="265"/>
        <v>-2.4735578895751509E-4</v>
      </c>
      <c r="Y514" s="45">
        <f t="shared" si="239"/>
        <v>7.0539567073792293E-4</v>
      </c>
      <c r="Z514" s="10">
        <f t="shared" si="266"/>
        <v>3.1559813154908478</v>
      </c>
      <c r="AA514">
        <f t="shared" si="244"/>
        <v>1121329.5103646631</v>
      </c>
      <c r="AB514" s="10">
        <f t="shared" si="245"/>
        <v>1.121329510364663</v>
      </c>
      <c r="AC514" s="10">
        <f t="shared" si="246"/>
        <v>1.020329510364663</v>
      </c>
      <c r="AD514" s="3">
        <f t="shared" si="247"/>
        <v>147.9810747446937</v>
      </c>
      <c r="AI514" s="100">
        <f t="shared" si="248"/>
        <v>0.16915925089473938</v>
      </c>
    </row>
    <row r="515" spans="2:35">
      <c r="B515" s="39">
        <f t="shared" si="249"/>
        <v>487</v>
      </c>
      <c r="C515" s="45">
        <f t="shared" si="250"/>
        <v>14.306354916066315</v>
      </c>
      <c r="D515" s="10">
        <f t="shared" si="251"/>
        <v>1.1436450839339152</v>
      </c>
      <c r="E515" s="40">
        <f t="shared" si="252"/>
        <v>46.052709832132173</v>
      </c>
      <c r="F515" s="40">
        <f t="shared" si="253"/>
        <v>48.34</v>
      </c>
      <c r="G515" s="3">
        <f t="shared" si="254"/>
        <v>70.974580335735652</v>
      </c>
      <c r="H515" s="3">
        <f t="shared" si="255"/>
        <v>148.0155219248214</v>
      </c>
      <c r="I515">
        <f t="shared" si="240"/>
        <v>1.4801552192482141E-4</v>
      </c>
      <c r="J515" s="4">
        <f t="shared" si="256"/>
        <v>1670.2720958332418</v>
      </c>
      <c r="K515" s="40">
        <f t="shared" si="257"/>
        <v>11.284438781235323</v>
      </c>
      <c r="L515" s="40">
        <f t="shared" si="241"/>
        <v>0</v>
      </c>
      <c r="M515" s="10">
        <f t="shared" si="258"/>
        <v>1.121329510364663</v>
      </c>
      <c r="N515" s="10">
        <f t="shared" si="237"/>
        <v>8.26</v>
      </c>
      <c r="O515" s="10">
        <f t="shared" si="238"/>
        <v>0.31900000000000001</v>
      </c>
      <c r="P515" s="10">
        <f t="shared" si="259"/>
        <v>8.5673193291277929</v>
      </c>
      <c r="Q515" s="45">
        <f t="shared" si="260"/>
        <v>1.6653606578971902</v>
      </c>
      <c r="R515" s="4">
        <f t="shared" si="261"/>
        <v>12035.175614661548</v>
      </c>
      <c r="S515">
        <f t="shared" si="242"/>
        <v>1.2035175614661548E-5</v>
      </c>
      <c r="T515" s="44">
        <f t="shared" si="243"/>
        <v>2.2383261002065387E-4</v>
      </c>
      <c r="U515" s="45">
        <f t="shared" si="262"/>
        <v>2.159772439929088E-2</v>
      </c>
      <c r="V515" s="45">
        <f t="shared" si="263"/>
        <v>0.16846192252733616</v>
      </c>
      <c r="W515" s="45">
        <f t="shared" si="264"/>
        <v>0.16871247361842628</v>
      </c>
      <c r="X515" s="45">
        <f t="shared" si="265"/>
        <v>-2.5055109109012319E-4</v>
      </c>
      <c r="Y515" s="45">
        <f t="shared" si="239"/>
        <v>7.0453655558833767E-4</v>
      </c>
      <c r="Z515" s="10">
        <f t="shared" si="266"/>
        <v>3.1476046118719139</v>
      </c>
      <c r="AA515">
        <f t="shared" si="244"/>
        <v>1118621.3200911577</v>
      </c>
      <c r="AB515" s="10">
        <f t="shared" si="245"/>
        <v>1.1186213200911577</v>
      </c>
      <c r="AC515" s="10">
        <f t="shared" si="246"/>
        <v>1.0176213200911577</v>
      </c>
      <c r="AD515" s="3">
        <f t="shared" si="247"/>
        <v>147.58829878044347</v>
      </c>
      <c r="AI515" s="100">
        <f t="shared" si="248"/>
        <v>0.16871247361842628</v>
      </c>
    </row>
    <row r="516" spans="2:35">
      <c r="B516" s="39">
        <f t="shared" si="249"/>
        <v>488</v>
      </c>
      <c r="C516" s="45">
        <f t="shared" si="250"/>
        <v>14.335731414867272</v>
      </c>
      <c r="D516" s="10">
        <f t="shared" si="251"/>
        <v>1.1142685851329581</v>
      </c>
      <c r="E516" s="40">
        <f t="shared" si="252"/>
        <v>46.111462829734087</v>
      </c>
      <c r="F516" s="40">
        <f t="shared" si="253"/>
        <v>48.34</v>
      </c>
      <c r="G516" s="3">
        <f t="shared" si="254"/>
        <v>70.857074340531824</v>
      </c>
      <c r="H516" s="3">
        <f t="shared" si="255"/>
        <v>148.0155219248214</v>
      </c>
      <c r="I516">
        <f t="shared" si="240"/>
        <v>1.4801552192482141E-4</v>
      </c>
      <c r="J516" s="4">
        <f t="shared" si="256"/>
        <v>1674.5249651678266</v>
      </c>
      <c r="K516" s="40">
        <f t="shared" si="257"/>
        <v>11.31317137143451</v>
      </c>
      <c r="L516" s="40">
        <f t="shared" si="241"/>
        <v>0</v>
      </c>
      <c r="M516" s="10">
        <f t="shared" si="258"/>
        <v>1.1186213200911577</v>
      </c>
      <c r="N516" s="10">
        <f t="shared" si="237"/>
        <v>8.26</v>
      </c>
      <c r="O516" s="10">
        <f t="shared" si="238"/>
        <v>0.31900000000000001</v>
      </c>
      <c r="P516" s="10">
        <f t="shared" si="259"/>
        <v>8.5607133219060003</v>
      </c>
      <c r="Q516" s="45">
        <f t="shared" si="260"/>
        <v>1.6687922059115112</v>
      </c>
      <c r="R516" s="4">
        <f t="shared" si="261"/>
        <v>11713.904217918962</v>
      </c>
      <c r="S516">
        <f t="shared" si="242"/>
        <v>1.1713904217918962E-5</v>
      </c>
      <c r="T516" s="44">
        <f t="shared" si="243"/>
        <v>2.2415388141739645E-4</v>
      </c>
      <c r="U516" s="45">
        <f t="shared" si="262"/>
        <v>2.1021186814266471E-2</v>
      </c>
      <c r="V516" s="45">
        <f t="shared" si="263"/>
        <v>0.16801093343829826</v>
      </c>
      <c r="W516" s="45">
        <f t="shared" si="264"/>
        <v>0.16826467173145634</v>
      </c>
      <c r="X516" s="45">
        <f t="shared" si="265"/>
        <v>-2.5373829315808449E-4</v>
      </c>
      <c r="Y516" s="45">
        <f t="shared" si="239"/>
        <v>7.0366584045229383E-4</v>
      </c>
      <c r="Z516" s="10">
        <f t="shared" si="266"/>
        <v>3.1392088149568966</v>
      </c>
      <c r="AA516">
        <f t="shared" si="244"/>
        <v>1115906.9569504848</v>
      </c>
      <c r="AB516" s="10">
        <f t="shared" si="245"/>
        <v>1.1159069569504847</v>
      </c>
      <c r="AC516" s="10">
        <f t="shared" si="246"/>
        <v>1.0149069569504847</v>
      </c>
      <c r="AD516" s="3">
        <f t="shared" si="247"/>
        <v>147.19462754901883</v>
      </c>
      <c r="AI516" s="100">
        <f t="shared" si="248"/>
        <v>0.16826467173145634</v>
      </c>
    </row>
    <row r="517" spans="2:35">
      <c r="B517" s="39">
        <f t="shared" si="249"/>
        <v>489</v>
      </c>
      <c r="C517" s="45">
        <f t="shared" si="250"/>
        <v>14.365107913668229</v>
      </c>
      <c r="D517" s="10">
        <f t="shared" si="251"/>
        <v>1.0848920863320011</v>
      </c>
      <c r="E517" s="40">
        <f t="shared" si="252"/>
        <v>46.170215827336001</v>
      </c>
      <c r="F517" s="40">
        <f t="shared" si="253"/>
        <v>48.34</v>
      </c>
      <c r="G517" s="3">
        <f t="shared" si="254"/>
        <v>70.739568345327996</v>
      </c>
      <c r="H517" s="3">
        <f t="shared" si="255"/>
        <v>148.0155219248214</v>
      </c>
      <c r="I517">
        <f t="shared" si="240"/>
        <v>1.4801552192482141E-4</v>
      </c>
      <c r="J517" s="4">
        <f t="shared" si="256"/>
        <v>1678.7832567573855</v>
      </c>
      <c r="K517" s="40">
        <f t="shared" si="257"/>
        <v>11.341940594649639</v>
      </c>
      <c r="L517" s="40">
        <f t="shared" si="241"/>
        <v>0</v>
      </c>
      <c r="M517" s="10">
        <f t="shared" si="258"/>
        <v>1.1159069569504847</v>
      </c>
      <c r="N517" s="10">
        <f t="shared" si="237"/>
        <v>8.26</v>
      </c>
      <c r="O517" s="10">
        <f t="shared" si="238"/>
        <v>0.31900000000000001</v>
      </c>
      <c r="P517" s="10">
        <f t="shared" si="259"/>
        <v>8.5540813197034797</v>
      </c>
      <c r="Q517" s="45">
        <f t="shared" si="260"/>
        <v>1.6722264144142165</v>
      </c>
      <c r="R517" s="4">
        <f t="shared" si="261"/>
        <v>11393.24872848732</v>
      </c>
      <c r="S517">
        <f t="shared" si="242"/>
        <v>1.1393248728487321E-5</v>
      </c>
      <c r="T517" s="44">
        <f t="shared" si="243"/>
        <v>2.2447453690682808E-4</v>
      </c>
      <c r="U517" s="45">
        <f t="shared" si="262"/>
        <v>2.0445754505706917E-2</v>
      </c>
      <c r="V517" s="45">
        <f t="shared" si="263"/>
        <v>0.1675589318779751</v>
      </c>
      <c r="W517" s="45">
        <f t="shared" si="264"/>
        <v>0.1678158491549164</v>
      </c>
      <c r="X517" s="45">
        <f t="shared" si="265"/>
        <v>-2.5691727694129862E-4</v>
      </c>
      <c r="Y517" s="45">
        <f t="shared" si="239"/>
        <v>7.0278353295533016E-4</v>
      </c>
      <c r="Z517" s="10">
        <f t="shared" si="266"/>
        <v>3.1307939984615372</v>
      </c>
      <c r="AA517">
        <f t="shared" si="244"/>
        <v>1113186.4447749611</v>
      </c>
      <c r="AB517" s="10">
        <f t="shared" si="245"/>
        <v>1.1131864447749611</v>
      </c>
      <c r="AC517" s="10">
        <f t="shared" si="246"/>
        <v>1.0121864447749611</v>
      </c>
      <c r="AD517" s="3">
        <f t="shared" si="247"/>
        <v>146.80006450688342</v>
      </c>
      <c r="AI517" s="100">
        <f t="shared" si="248"/>
        <v>0.1678158491549164</v>
      </c>
    </row>
    <row r="518" spans="2:35">
      <c r="B518" s="39">
        <f t="shared" si="249"/>
        <v>490</v>
      </c>
      <c r="C518" s="45">
        <f t="shared" si="250"/>
        <v>14.394484412469186</v>
      </c>
      <c r="D518" s="10">
        <f t="shared" si="251"/>
        <v>1.055515587531044</v>
      </c>
      <c r="E518" s="40">
        <f t="shared" si="252"/>
        <v>46.228968824937915</v>
      </c>
      <c r="F518" s="40">
        <f t="shared" si="253"/>
        <v>48.34</v>
      </c>
      <c r="G518" s="3">
        <f t="shared" si="254"/>
        <v>70.622062350124168</v>
      </c>
      <c r="H518" s="3">
        <f t="shared" si="255"/>
        <v>148.0155219248214</v>
      </c>
      <c r="I518">
        <f t="shared" si="240"/>
        <v>1.4801552192482141E-4</v>
      </c>
      <c r="J518" s="4">
        <f t="shared" si="256"/>
        <v>1683.046970601918</v>
      </c>
      <c r="K518" s="40">
        <f t="shared" si="257"/>
        <v>11.370746450880704</v>
      </c>
      <c r="L518" s="40">
        <f t="shared" si="241"/>
        <v>0</v>
      </c>
      <c r="M518" s="10">
        <f t="shared" si="258"/>
        <v>1.1131864447749611</v>
      </c>
      <c r="N518" s="10">
        <f t="shared" si="237"/>
        <v>8.26</v>
      </c>
      <c r="O518" s="10">
        <f t="shared" si="238"/>
        <v>0.31900000000000001</v>
      </c>
      <c r="P518" s="10">
        <f t="shared" si="259"/>
        <v>8.5474232612235781</v>
      </c>
      <c r="Q518" s="45">
        <f t="shared" si="260"/>
        <v>1.675663298010964</v>
      </c>
      <c r="R518" s="4">
        <f t="shared" si="261"/>
        <v>11073.211057809047</v>
      </c>
      <c r="S518">
        <f t="shared" si="242"/>
        <v>1.1073211057809048E-5</v>
      </c>
      <c r="T518" s="44">
        <f t="shared" si="243"/>
        <v>2.2479457457750637E-4</v>
      </c>
      <c r="U518" s="45">
        <f t="shared" si="262"/>
        <v>1.9871430903791225E-2</v>
      </c>
      <c r="V518" s="45">
        <f t="shared" si="263"/>
        <v>0.16710592190529744</v>
      </c>
      <c r="W518" s="45">
        <f t="shared" si="264"/>
        <v>0.16736600982950317</v>
      </c>
      <c r="X518" s="45">
        <f t="shared" si="265"/>
        <v>-2.600879242057319E-4</v>
      </c>
      <c r="Y518" s="45">
        <f t="shared" si="239"/>
        <v>7.0188964103491539E-4</v>
      </c>
      <c r="Z518" s="10">
        <f t="shared" si="266"/>
        <v>3.1223602364696421</v>
      </c>
      <c r="AA518">
        <f t="shared" si="244"/>
        <v>1110459.8075158987</v>
      </c>
      <c r="AB518" s="10">
        <f t="shared" si="245"/>
        <v>1.1104598075158987</v>
      </c>
      <c r="AC518" s="10">
        <f t="shared" si="246"/>
        <v>1.0094598075158987</v>
      </c>
      <c r="AD518" s="3">
        <f t="shared" si="247"/>
        <v>146.40461312775906</v>
      </c>
      <c r="AI518" s="100">
        <f t="shared" si="248"/>
        <v>0.16736600982950317</v>
      </c>
    </row>
    <row r="519" spans="2:35">
      <c r="B519" s="39">
        <f t="shared" si="249"/>
        <v>491</v>
      </c>
      <c r="C519" s="45">
        <f t="shared" si="250"/>
        <v>14.423860911270143</v>
      </c>
      <c r="D519" s="10">
        <f t="shared" si="251"/>
        <v>1.026139088730087</v>
      </c>
      <c r="E519" s="40">
        <f t="shared" si="252"/>
        <v>46.287721822539829</v>
      </c>
      <c r="F519" s="40">
        <f t="shared" si="253"/>
        <v>48.34</v>
      </c>
      <c r="G519" s="3">
        <f t="shared" si="254"/>
        <v>70.504556354920339</v>
      </c>
      <c r="H519" s="3">
        <f t="shared" si="255"/>
        <v>148.0155219248214</v>
      </c>
      <c r="I519">
        <f t="shared" si="240"/>
        <v>1.4801552192482141E-4</v>
      </c>
      <c r="J519" s="4">
        <f t="shared" si="256"/>
        <v>1687.3161067014248</v>
      </c>
      <c r="K519" s="40">
        <f t="shared" si="257"/>
        <v>11.399588940127712</v>
      </c>
      <c r="L519" s="40">
        <f t="shared" si="241"/>
        <v>0</v>
      </c>
      <c r="M519" s="10">
        <f t="shared" si="258"/>
        <v>1.1104598075158987</v>
      </c>
      <c r="N519" s="10">
        <f t="shared" si="237"/>
        <v>8.26</v>
      </c>
      <c r="O519" s="10">
        <f t="shared" si="238"/>
        <v>0.31900000000000001</v>
      </c>
      <c r="P519" s="10">
        <f t="shared" si="259"/>
        <v>8.5407390847719125</v>
      </c>
      <c r="Q519" s="45">
        <f t="shared" si="260"/>
        <v>1.6791028713908998</v>
      </c>
      <c r="R519" s="4">
        <f t="shared" si="261"/>
        <v>10753.793117326517</v>
      </c>
      <c r="S519">
        <f t="shared" si="242"/>
        <v>1.0753793117326517E-5</v>
      </c>
      <c r="T519" s="44">
        <f t="shared" si="243"/>
        <v>2.251139925179889E-4</v>
      </c>
      <c r="U519" s="45">
        <f t="shared" si="262"/>
        <v>1.9298219438698298E-2</v>
      </c>
      <c r="V519" s="45">
        <f t="shared" si="263"/>
        <v>0.16665190759897042</v>
      </c>
      <c r="W519" s="45">
        <f t="shared" si="264"/>
        <v>0.16691515771558935</v>
      </c>
      <c r="X519" s="45">
        <f t="shared" si="265"/>
        <v>-2.6325011661892939E-4</v>
      </c>
      <c r="Y519" s="45">
        <f t="shared" si="239"/>
        <v>7.0098417294152794E-4</v>
      </c>
      <c r="Z519" s="10">
        <f t="shared" si="266"/>
        <v>3.1139076034356781</v>
      </c>
      <c r="AA519">
        <f t="shared" si="244"/>
        <v>1107727.0692444444</v>
      </c>
      <c r="AB519" s="10">
        <f t="shared" si="245"/>
        <v>1.1077270692444443</v>
      </c>
      <c r="AC519" s="10">
        <f t="shared" si="246"/>
        <v>1.0067270692444443</v>
      </c>
      <c r="AD519" s="3">
        <f t="shared" si="247"/>
        <v>146.00827690274755</v>
      </c>
      <c r="AI519" s="100">
        <f t="shared" si="248"/>
        <v>0.16691515771558935</v>
      </c>
    </row>
    <row r="520" spans="2:35">
      <c r="B520" s="39">
        <f t="shared" si="249"/>
        <v>492</v>
      </c>
      <c r="C520" s="45">
        <f t="shared" si="250"/>
        <v>14.4532374100711</v>
      </c>
      <c r="D520" s="10">
        <f t="shared" si="251"/>
        <v>0.99676258992912992</v>
      </c>
      <c r="E520" s="40">
        <f t="shared" si="252"/>
        <v>46.346474820141744</v>
      </c>
      <c r="F520" s="40">
        <f t="shared" si="253"/>
        <v>48.34</v>
      </c>
      <c r="G520" s="3">
        <f t="shared" si="254"/>
        <v>70.387050359716511</v>
      </c>
      <c r="H520" s="3">
        <f t="shared" si="255"/>
        <v>148.0155219248214</v>
      </c>
      <c r="I520">
        <f t="shared" si="240"/>
        <v>1.4801552192482141E-4</v>
      </c>
      <c r="J520" s="4">
        <f t="shared" si="256"/>
        <v>1691.5906650559054</v>
      </c>
      <c r="K520" s="40">
        <f t="shared" si="257"/>
        <v>11.428468062390657</v>
      </c>
      <c r="L520" s="40">
        <f t="shared" si="241"/>
        <v>0</v>
      </c>
      <c r="M520" s="10">
        <f t="shared" si="258"/>
        <v>1.1077270692444443</v>
      </c>
      <c r="N520" s="10">
        <f t="shared" si="237"/>
        <v>8.26</v>
      </c>
      <c r="O520" s="10">
        <f t="shared" si="238"/>
        <v>0.31900000000000001</v>
      </c>
      <c r="P520" s="10">
        <f t="shared" si="259"/>
        <v>8.5340287282542224</v>
      </c>
      <c r="Q520" s="45">
        <f t="shared" si="260"/>
        <v>1.6825451493274268</v>
      </c>
      <c r="R520" s="4">
        <f t="shared" si="261"/>
        <v>10434.996818482134</v>
      </c>
      <c r="S520">
        <f t="shared" si="242"/>
        <v>1.0434996818482133E-5</v>
      </c>
      <c r="T520" s="44">
        <f t="shared" si="243"/>
        <v>2.2543278881683327E-4</v>
      </c>
      <c r="U520" s="45">
        <f t="shared" si="262"/>
        <v>1.8726123540607108E-2</v>
      </c>
      <c r="V520" s="45">
        <f t="shared" si="263"/>
        <v>0.16619689305750243</v>
      </c>
      <c r="W520" s="45">
        <f t="shared" si="264"/>
        <v>0.16646329679336233</v>
      </c>
      <c r="X520" s="45">
        <f t="shared" si="265"/>
        <v>-2.6640373585989918E-4</v>
      </c>
      <c r="Y520" s="45">
        <f t="shared" si="239"/>
        <v>7.0006713723936903E-4</v>
      </c>
      <c r="Z520" s="10">
        <f t="shared" si="266"/>
        <v>3.1054361741857419</v>
      </c>
      <c r="AA520">
        <f t="shared" si="244"/>
        <v>1104988.2541518928</v>
      </c>
      <c r="AB520" s="10">
        <f t="shared" si="245"/>
        <v>1.1049882541518929</v>
      </c>
      <c r="AC520" s="10">
        <f t="shared" si="246"/>
        <v>1.003988254151893</v>
      </c>
      <c r="AD520" s="3">
        <f t="shared" si="247"/>
        <v>145.61105934037607</v>
      </c>
      <c r="AI520" s="100">
        <f t="shared" si="248"/>
        <v>0.16646329679336233</v>
      </c>
    </row>
    <row r="521" spans="2:35">
      <c r="B521" s="39">
        <f t="shared" si="249"/>
        <v>493</v>
      </c>
      <c r="C521" s="45">
        <f t="shared" si="250"/>
        <v>14.482613908872057</v>
      </c>
      <c r="D521" s="10">
        <f t="shared" si="251"/>
        <v>0.96738609112817286</v>
      </c>
      <c r="E521" s="40">
        <f t="shared" si="252"/>
        <v>46.405227817743658</v>
      </c>
      <c r="F521" s="40">
        <f t="shared" si="253"/>
        <v>48.34</v>
      </c>
      <c r="G521" s="3">
        <f t="shared" si="254"/>
        <v>70.269544364512683</v>
      </c>
      <c r="H521" s="3">
        <f t="shared" si="255"/>
        <v>148.0155219248214</v>
      </c>
      <c r="I521">
        <f t="shared" si="240"/>
        <v>1.4801552192482141E-4</v>
      </c>
      <c r="J521" s="4">
        <f t="shared" si="256"/>
        <v>1695.8706456653597</v>
      </c>
      <c r="K521" s="40">
        <f t="shared" si="257"/>
        <v>11.457383817669539</v>
      </c>
      <c r="L521" s="40">
        <f t="shared" si="241"/>
        <v>0</v>
      </c>
      <c r="M521" s="10">
        <f t="shared" si="258"/>
        <v>1.1049882541518929</v>
      </c>
      <c r="N521" s="10">
        <f t="shared" si="237"/>
        <v>8.26</v>
      </c>
      <c r="O521" s="10">
        <f t="shared" si="238"/>
        <v>0.31900000000000001</v>
      </c>
      <c r="P521" s="10">
        <f t="shared" si="259"/>
        <v>8.527292129172876</v>
      </c>
      <c r="Q521" s="45">
        <f t="shared" si="260"/>
        <v>1.6859901466789844</v>
      </c>
      <c r="R521" s="4">
        <f t="shared" si="261"/>
        <v>10116.82407271832</v>
      </c>
      <c r="S521">
        <f t="shared" si="242"/>
        <v>1.0116824072718321E-5</v>
      </c>
      <c r="T521" s="44">
        <f t="shared" si="243"/>
        <v>2.2575096156259708E-4</v>
      </c>
      <c r="U521" s="45">
        <f t="shared" si="262"/>
        <v>1.8155146639696661E-2</v>
      </c>
      <c r="V521" s="45">
        <f t="shared" si="263"/>
        <v>0.16574088239931314</v>
      </c>
      <c r="W521" s="45">
        <f t="shared" si="264"/>
        <v>0.16601043106287619</v>
      </c>
      <c r="X521" s="45">
        <f t="shared" si="265"/>
        <v>-2.6954866356304619E-4</v>
      </c>
      <c r="Y521" s="45">
        <f t="shared" si="239"/>
        <v>6.9913854280727848E-4</v>
      </c>
      <c r="Z521" s="10">
        <f t="shared" si="266"/>
        <v>3.0969460239194539</v>
      </c>
      <c r="AA521">
        <f t="shared" si="244"/>
        <v>1102243.3865502998</v>
      </c>
      <c r="AB521" s="10">
        <f t="shared" si="245"/>
        <v>1.1022433865502999</v>
      </c>
      <c r="AC521" s="10">
        <f t="shared" si="246"/>
        <v>1.0012433865502999</v>
      </c>
      <c r="AD521" s="3">
        <f t="shared" si="247"/>
        <v>145.21296396668598</v>
      </c>
      <c r="AI521" s="100">
        <f t="shared" si="248"/>
        <v>0.16601043106287619</v>
      </c>
    </row>
    <row r="522" spans="2:35">
      <c r="B522" s="39">
        <f t="shared" si="249"/>
        <v>494</v>
      </c>
      <c r="C522" s="45">
        <f t="shared" si="250"/>
        <v>14.511990407673014</v>
      </c>
      <c r="D522" s="10">
        <f t="shared" si="251"/>
        <v>0.93800959232721581</v>
      </c>
      <c r="E522" s="40">
        <f t="shared" si="252"/>
        <v>46.463980815345572</v>
      </c>
      <c r="F522" s="40">
        <f t="shared" si="253"/>
        <v>48.34</v>
      </c>
      <c r="G522" s="3">
        <f t="shared" si="254"/>
        <v>70.152038369308855</v>
      </c>
      <c r="H522" s="3">
        <f t="shared" si="255"/>
        <v>148.0155219248214</v>
      </c>
      <c r="I522">
        <f t="shared" si="240"/>
        <v>1.4801552192482141E-4</v>
      </c>
      <c r="J522" s="4">
        <f t="shared" si="256"/>
        <v>1700.156048529788</v>
      </c>
      <c r="K522" s="40">
        <f t="shared" si="257"/>
        <v>11.486336205964363</v>
      </c>
      <c r="L522" s="40">
        <f t="shared" si="241"/>
        <v>0</v>
      </c>
      <c r="M522" s="10">
        <f t="shared" si="258"/>
        <v>1.1022433865502999</v>
      </c>
      <c r="N522" s="10">
        <f t="shared" si="237"/>
        <v>8.26</v>
      </c>
      <c r="O522" s="10">
        <f t="shared" si="238"/>
        <v>0.31900000000000001</v>
      </c>
      <c r="P522" s="10">
        <f t="shared" si="259"/>
        <v>8.5205292246240649</v>
      </c>
      <c r="Q522" s="45">
        <f t="shared" si="260"/>
        <v>1.6894378783898341</v>
      </c>
      <c r="R522" s="4">
        <f t="shared" si="261"/>
        <v>9799.276791477454</v>
      </c>
      <c r="S522">
        <f t="shared" si="242"/>
        <v>9.7992767914774544E-6</v>
      </c>
      <c r="T522" s="44">
        <f t="shared" si="243"/>
        <v>2.2606850884383795E-4</v>
      </c>
      <c r="U522" s="45">
        <f t="shared" si="262"/>
        <v>1.7585292166145863E-2</v>
      </c>
      <c r="V522" s="45">
        <f t="shared" si="263"/>
        <v>0.16528387976289524</v>
      </c>
      <c r="W522" s="45">
        <f t="shared" si="264"/>
        <v>0.16555656454415291</v>
      </c>
      <c r="X522" s="45">
        <f t="shared" si="265"/>
        <v>-2.7268478125766493E-4</v>
      </c>
      <c r="Y522" s="45">
        <f t="shared" si="239"/>
        <v>6.9819839883987034E-4</v>
      </c>
      <c r="Z522" s="10">
        <f t="shared" si="266"/>
        <v>3.0884372282128294</v>
      </c>
      <c r="AA522">
        <f t="shared" si="244"/>
        <v>1099492.4908734085</v>
      </c>
      <c r="AB522" s="10">
        <f t="shared" si="245"/>
        <v>1.0994924908734085</v>
      </c>
      <c r="AC522" s="10">
        <f t="shared" si="246"/>
        <v>0.99849249087340852</v>
      </c>
      <c r="AD522" s="3">
        <f t="shared" si="247"/>
        <v>144.81399432536745</v>
      </c>
      <c r="AI522" s="100">
        <f t="shared" si="248"/>
        <v>0.16555656454415291</v>
      </c>
    </row>
    <row r="523" spans="2:35">
      <c r="B523" s="39">
        <f t="shared" si="249"/>
        <v>495</v>
      </c>
      <c r="C523" s="45">
        <f t="shared" si="250"/>
        <v>14.541366906473971</v>
      </c>
      <c r="D523" s="10">
        <f t="shared" si="251"/>
        <v>0.90863309352625876</v>
      </c>
      <c r="E523" s="40">
        <f t="shared" si="252"/>
        <v>46.522733812947486</v>
      </c>
      <c r="F523" s="40">
        <f t="shared" si="253"/>
        <v>48.34</v>
      </c>
      <c r="G523" s="3">
        <f t="shared" si="254"/>
        <v>70.034532374105027</v>
      </c>
      <c r="H523" s="3">
        <f t="shared" si="255"/>
        <v>148.0155219248214</v>
      </c>
      <c r="I523">
        <f t="shared" si="240"/>
        <v>1.4801552192482141E-4</v>
      </c>
      <c r="J523" s="4">
        <f t="shared" si="256"/>
        <v>1704.4468736491904</v>
      </c>
      <c r="K523" s="40">
        <f t="shared" si="257"/>
        <v>11.515325227275126</v>
      </c>
      <c r="L523" s="40">
        <f t="shared" si="241"/>
        <v>0</v>
      </c>
      <c r="M523" s="10">
        <f t="shared" si="258"/>
        <v>1.0994924908734085</v>
      </c>
      <c r="N523" s="10">
        <f t="shared" si="237"/>
        <v>8.26</v>
      </c>
      <c r="O523" s="10">
        <f t="shared" si="238"/>
        <v>0.31900000000000001</v>
      </c>
      <c r="P523" s="10">
        <f t="shared" si="259"/>
        <v>8.5137399512957614</v>
      </c>
      <c r="Q523" s="45">
        <f t="shared" si="260"/>
        <v>1.6928883594908555</v>
      </c>
      <c r="R523" s="4">
        <f t="shared" si="261"/>
        <v>9482.3568862019347</v>
      </c>
      <c r="S523">
        <f t="shared" si="242"/>
        <v>9.4823568862019349E-6</v>
      </c>
      <c r="T523" s="44">
        <f t="shared" si="243"/>
        <v>2.2638542874911348E-4</v>
      </c>
      <c r="U523" s="45">
        <f t="shared" si="262"/>
        <v>1.701656355013368E-2</v>
      </c>
      <c r="V523" s="45">
        <f t="shared" si="263"/>
        <v>0.16482588930680622</v>
      </c>
      <c r="W523" s="45">
        <f t="shared" si="264"/>
        <v>0.16510170127733562</v>
      </c>
      <c r="X523" s="45">
        <f t="shared" si="265"/>
        <v>-2.7581197052939377E-4</v>
      </c>
      <c r="Y523" s="45">
        <f t="shared" si="239"/>
        <v>6.9724671484812319E-4</v>
      </c>
      <c r="Z523" s="10">
        <f t="shared" si="266"/>
        <v>3.0799098630187505</v>
      </c>
      <c r="AA523">
        <f t="shared" si="244"/>
        <v>1096735.5916768042</v>
      </c>
      <c r="AB523" s="10">
        <f t="shared" si="245"/>
        <v>1.0967355916768042</v>
      </c>
      <c r="AC523" s="10">
        <f t="shared" si="246"/>
        <v>0.99573559167680425</v>
      </c>
      <c r="AD523" s="3">
        <f t="shared" si="247"/>
        <v>144.41415397778161</v>
      </c>
      <c r="AI523" s="100">
        <f t="shared" si="248"/>
        <v>0.16510170127733562</v>
      </c>
    </row>
    <row r="524" spans="2:35">
      <c r="B524" s="39">
        <f t="shared" si="249"/>
        <v>496</v>
      </c>
      <c r="C524" s="45">
        <f t="shared" si="250"/>
        <v>14.570743405274929</v>
      </c>
      <c r="D524" s="10">
        <f t="shared" si="251"/>
        <v>0.87925659472530171</v>
      </c>
      <c r="E524" s="40">
        <f t="shared" si="252"/>
        <v>46.5814868105494</v>
      </c>
      <c r="F524" s="40">
        <f t="shared" si="253"/>
        <v>48.34</v>
      </c>
      <c r="G524" s="3">
        <f t="shared" si="254"/>
        <v>69.917026378901198</v>
      </c>
      <c r="H524" s="3">
        <f t="shared" si="255"/>
        <v>148.0155219248214</v>
      </c>
      <c r="I524">
        <f t="shared" si="240"/>
        <v>1.4801552192482141E-4</v>
      </c>
      <c r="J524" s="4">
        <f t="shared" si="256"/>
        <v>1708.7431210235666</v>
      </c>
      <c r="K524" s="40">
        <f t="shared" si="257"/>
        <v>11.544350881601828</v>
      </c>
      <c r="L524" s="40">
        <f t="shared" si="241"/>
        <v>0</v>
      </c>
      <c r="M524" s="10">
        <f t="shared" si="258"/>
        <v>1.0967355916768042</v>
      </c>
      <c r="N524" s="10">
        <f t="shared" si="237"/>
        <v>8.26</v>
      </c>
      <c r="O524" s="10">
        <f t="shared" si="238"/>
        <v>0.31900000000000001</v>
      </c>
      <c r="P524" s="10">
        <f t="shared" si="259"/>
        <v>8.5069242454637077</v>
      </c>
      <c r="Q524" s="45">
        <f t="shared" si="260"/>
        <v>1.6963416051003508</v>
      </c>
      <c r="R524" s="4">
        <f t="shared" si="261"/>
        <v>9166.0662683341907</v>
      </c>
      <c r="S524">
        <f t="shared" si="242"/>
        <v>9.1660662683341903E-6</v>
      </c>
      <c r="T524" s="44">
        <f t="shared" si="243"/>
        <v>2.2670171936698124E-4</v>
      </c>
      <c r="U524" s="45">
        <f t="shared" si="262"/>
        <v>1.644896422183912E-2</v>
      </c>
      <c r="V524" s="45">
        <f t="shared" si="263"/>
        <v>0.16436691520980753</v>
      </c>
      <c r="W524" s="45">
        <f t="shared" si="264"/>
        <v>0.16464584532271412</v>
      </c>
      <c r="X524" s="45">
        <f t="shared" si="265"/>
        <v>-2.7893011290658354E-4</v>
      </c>
      <c r="Y524" s="45">
        <f t="shared" si="239"/>
        <v>6.9628350066037244E-4</v>
      </c>
      <c r="Z524" s="10">
        <f t="shared" si="266"/>
        <v>3.0713640046692343</v>
      </c>
      <c r="AA524">
        <f t="shared" si="244"/>
        <v>1093972.7136386461</v>
      </c>
      <c r="AB524" s="10">
        <f t="shared" si="245"/>
        <v>1.0939727136386461</v>
      </c>
      <c r="AC524" s="10">
        <f t="shared" si="246"/>
        <v>0.99297271363864614</v>
      </c>
      <c r="AD524" s="3">
        <f t="shared" si="247"/>
        <v>144.01344650306689</v>
      </c>
      <c r="AI524" s="100">
        <f t="shared" si="248"/>
        <v>0.16464584532271412</v>
      </c>
    </row>
    <row r="525" spans="2:35">
      <c r="B525" s="39">
        <f t="shared" si="249"/>
        <v>497</v>
      </c>
      <c r="C525" s="45">
        <f t="shared" si="250"/>
        <v>14.600119904075886</v>
      </c>
      <c r="D525" s="10">
        <f t="shared" si="251"/>
        <v>0.84988009592434466</v>
      </c>
      <c r="E525" s="40">
        <f t="shared" si="252"/>
        <v>46.640239808151314</v>
      </c>
      <c r="F525" s="40">
        <f t="shared" si="253"/>
        <v>48.34</v>
      </c>
      <c r="G525" s="3">
        <f t="shared" si="254"/>
        <v>69.79952038369737</v>
      </c>
      <c r="H525" s="3">
        <f t="shared" si="255"/>
        <v>148.0155219248214</v>
      </c>
      <c r="I525">
        <f t="shared" si="240"/>
        <v>1.4801552192482141E-4</v>
      </c>
      <c r="J525" s="4">
        <f t="shared" si="256"/>
        <v>1713.0447906529166</v>
      </c>
      <c r="K525" s="40">
        <f t="shared" si="257"/>
        <v>11.573413168944468</v>
      </c>
      <c r="L525" s="40">
        <f t="shared" si="241"/>
        <v>0</v>
      </c>
      <c r="M525" s="10">
        <f t="shared" si="258"/>
        <v>1.0939727136386461</v>
      </c>
      <c r="N525" s="10">
        <f t="shared" si="237"/>
        <v>8.26</v>
      </c>
      <c r="O525" s="10">
        <f t="shared" si="238"/>
        <v>0.31900000000000001</v>
      </c>
      <c r="P525" s="10">
        <f t="shared" si="259"/>
        <v>8.5000820429887938</v>
      </c>
      <c r="Q525" s="45">
        <f t="shared" si="260"/>
        <v>1.6997976304248579</v>
      </c>
      <c r="R525" s="4">
        <f t="shared" si="261"/>
        <v>8850.406849316596</v>
      </c>
      <c r="S525">
        <f t="shared" si="242"/>
        <v>8.8504068493165961E-6</v>
      </c>
      <c r="T525" s="44">
        <f t="shared" si="243"/>
        <v>2.2701737878599881E-4</v>
      </c>
      <c r="U525" s="45">
        <f t="shared" si="262"/>
        <v>1.5882497611441098E-2</v>
      </c>
      <c r="V525" s="45">
        <f t="shared" si="263"/>
        <v>0.16390696167101088</v>
      </c>
      <c r="W525" s="45">
        <f t="shared" si="264"/>
        <v>0.16418900076084597</v>
      </c>
      <c r="X525" s="45">
        <f t="shared" si="265"/>
        <v>-2.8203908983509551E-4</v>
      </c>
      <c r="Y525" s="45">
        <f t="shared" si="239"/>
        <v>6.9530876642340147E-4</v>
      </c>
      <c r="Z525" s="10">
        <f t="shared" si="266"/>
        <v>3.0627997298781442</v>
      </c>
      <c r="AA525">
        <f t="shared" si="244"/>
        <v>1091203.881560544</v>
      </c>
      <c r="AB525" s="10">
        <f t="shared" si="245"/>
        <v>1.091203881560544</v>
      </c>
      <c r="AC525" s="10">
        <f t="shared" si="246"/>
        <v>0.99020388156054406</v>
      </c>
      <c r="AD525" s="3">
        <f t="shared" si="247"/>
        <v>143.61187549826599</v>
      </c>
      <c r="AI525" s="100">
        <f t="shared" si="248"/>
        <v>0.16418900076084597</v>
      </c>
    </row>
    <row r="526" spans="2:35">
      <c r="B526" s="39">
        <f t="shared" si="249"/>
        <v>498</v>
      </c>
      <c r="C526" s="45">
        <f t="shared" si="250"/>
        <v>14.629496402876843</v>
      </c>
      <c r="D526" s="10">
        <f t="shared" si="251"/>
        <v>0.82050359712338761</v>
      </c>
      <c r="E526" s="40">
        <f t="shared" si="252"/>
        <v>46.698992805753228</v>
      </c>
      <c r="F526" s="40">
        <f t="shared" si="253"/>
        <v>48.34</v>
      </c>
      <c r="G526" s="3">
        <f t="shared" si="254"/>
        <v>69.682014388493542</v>
      </c>
      <c r="H526" s="3">
        <f t="shared" si="255"/>
        <v>148.0155219248214</v>
      </c>
      <c r="I526">
        <f t="shared" si="240"/>
        <v>1.4801552192482141E-4</v>
      </c>
      <c r="J526" s="4">
        <f t="shared" si="256"/>
        <v>1717.351882537241</v>
      </c>
      <c r="K526" s="40">
        <f t="shared" si="257"/>
        <v>11.602512089303049</v>
      </c>
      <c r="L526" s="40">
        <f t="shared" si="241"/>
        <v>0</v>
      </c>
      <c r="M526" s="10">
        <f t="shared" si="258"/>
        <v>1.091203881560544</v>
      </c>
      <c r="N526" s="10">
        <f t="shared" si="237"/>
        <v>8.26</v>
      </c>
      <c r="O526" s="10">
        <f t="shared" si="238"/>
        <v>0.31900000000000001</v>
      </c>
      <c r="P526" s="10">
        <f t="shared" si="259"/>
        <v>8.4932132793147534</v>
      </c>
      <c r="Q526" s="45">
        <f t="shared" si="260"/>
        <v>1.7032564507599723</v>
      </c>
      <c r="R526" s="4">
        <f t="shared" si="261"/>
        <v>8535.38054059155</v>
      </c>
      <c r="S526">
        <f t="shared" si="242"/>
        <v>8.5353805405915498E-6</v>
      </c>
      <c r="T526" s="44">
        <f t="shared" si="243"/>
        <v>2.2733240509472386E-4</v>
      </c>
      <c r="U526" s="45">
        <f t="shared" si="262"/>
        <v>1.5317167149118564E-2</v>
      </c>
      <c r="V526" s="45">
        <f t="shared" si="263"/>
        <v>0.16344603290989523</v>
      </c>
      <c r="W526" s="45">
        <f t="shared" si="264"/>
        <v>0.1637311716927014</v>
      </c>
      <c r="X526" s="45">
        <f t="shared" si="265"/>
        <v>-2.8513878280617133E-4</v>
      </c>
      <c r="Y526" s="45">
        <f t="shared" si="239"/>
        <v>6.9432252260310167E-4</v>
      </c>
      <c r="Z526" s="10">
        <f t="shared" si="266"/>
        <v>3.0542171157420097</v>
      </c>
      <c r="AA526">
        <f t="shared" si="244"/>
        <v>1088429.1203678248</v>
      </c>
      <c r="AB526" s="10">
        <f t="shared" si="245"/>
        <v>1.0884291203678249</v>
      </c>
      <c r="AC526" s="10">
        <f t="shared" si="246"/>
        <v>0.98742912036782493</v>
      </c>
      <c r="AD526" s="3">
        <f t="shared" si="247"/>
        <v>143.20944457836475</v>
      </c>
      <c r="AI526" s="100">
        <f t="shared" si="248"/>
        <v>0.1637311716927014</v>
      </c>
    </row>
    <row r="527" spans="2:35">
      <c r="B527" s="39">
        <f t="shared" si="249"/>
        <v>499</v>
      </c>
      <c r="C527" s="45">
        <f t="shared" si="250"/>
        <v>14.6588729016778</v>
      </c>
      <c r="D527" s="10">
        <f t="shared" si="251"/>
        <v>0.79112709832243056</v>
      </c>
      <c r="E527" s="40">
        <f t="shared" si="252"/>
        <v>46.757745803355142</v>
      </c>
      <c r="F527" s="40">
        <f t="shared" si="253"/>
        <v>48.34</v>
      </c>
      <c r="G527" s="3">
        <f t="shared" si="254"/>
        <v>69.564508393289714</v>
      </c>
      <c r="H527" s="3">
        <f t="shared" si="255"/>
        <v>148.0155219248214</v>
      </c>
      <c r="I527">
        <f t="shared" si="240"/>
        <v>1.4801552192482141E-4</v>
      </c>
      <c r="J527" s="4">
        <f t="shared" si="256"/>
        <v>1721.6643966765387</v>
      </c>
      <c r="K527" s="40">
        <f t="shared" si="257"/>
        <v>11.631647642677567</v>
      </c>
      <c r="L527" s="40">
        <f t="shared" si="241"/>
        <v>0</v>
      </c>
      <c r="M527" s="10">
        <f t="shared" si="258"/>
        <v>1.0884291203678249</v>
      </c>
      <c r="N527" s="10">
        <f t="shared" si="237"/>
        <v>8.26</v>
      </c>
      <c r="O527" s="10">
        <f t="shared" si="238"/>
        <v>0.31900000000000001</v>
      </c>
      <c r="P527" s="10">
        <f t="shared" si="259"/>
        <v>8.4863178894643241</v>
      </c>
      <c r="Q527" s="45">
        <f t="shared" si="260"/>
        <v>1.7067180814911789</v>
      </c>
      <c r="R527" s="4">
        <f t="shared" si="261"/>
        <v>8220.9892536014831</v>
      </c>
      <c r="S527">
        <f t="shared" si="242"/>
        <v>8.2209892536014828E-6</v>
      </c>
      <c r="T527" s="44">
        <f t="shared" si="243"/>
        <v>2.2764679638171393E-4</v>
      </c>
      <c r="U527" s="45">
        <f t="shared" si="262"/>
        <v>1.475297626505054E-2</v>
      </c>
      <c r="V527" s="45">
        <f t="shared" si="263"/>
        <v>0.16298413316644517</v>
      </c>
      <c r="W527" s="45">
        <f t="shared" si="264"/>
        <v>0.16327236223970742</v>
      </c>
      <c r="X527" s="45">
        <f t="shared" si="265"/>
        <v>-2.8822907326225833E-4</v>
      </c>
      <c r="Y527" s="45">
        <f t="shared" si="239"/>
        <v>6.9332477998546981E-4</v>
      </c>
      <c r="Z527" s="10">
        <f t="shared" si="266"/>
        <v>3.0456162397423578</v>
      </c>
      <c r="AA527">
        <f t="shared" si="244"/>
        <v>1085648.4551102845</v>
      </c>
      <c r="AB527" s="10">
        <f t="shared" si="245"/>
        <v>1.0856484551102845</v>
      </c>
      <c r="AC527" s="10">
        <f t="shared" si="246"/>
        <v>0.98464845511028454</v>
      </c>
      <c r="AD527" s="3">
        <f t="shared" si="247"/>
        <v>142.80615737640093</v>
      </c>
      <c r="AI527" s="100">
        <f t="shared" si="248"/>
        <v>0.16327236223970742</v>
      </c>
    </row>
    <row r="528" spans="2:35">
      <c r="B528" s="39">
        <f t="shared" si="249"/>
        <v>500</v>
      </c>
      <c r="C528" s="45">
        <f t="shared" si="250"/>
        <v>14.688249400478757</v>
      </c>
      <c r="D528" s="10">
        <f t="shared" si="251"/>
        <v>0.7617505995214735</v>
      </c>
      <c r="E528" s="40">
        <f t="shared" si="252"/>
        <v>46.816498800957056</v>
      </c>
      <c r="F528" s="40">
        <f t="shared" si="253"/>
        <v>48.34</v>
      </c>
      <c r="G528" s="3">
        <f t="shared" si="254"/>
        <v>69.447002398085885</v>
      </c>
      <c r="H528" s="3">
        <f t="shared" si="255"/>
        <v>148.0155219248214</v>
      </c>
      <c r="I528">
        <f t="shared" si="240"/>
        <v>1.4801552192482141E-4</v>
      </c>
      <c r="J528" s="4">
        <f t="shared" si="256"/>
        <v>1725.9823330708107</v>
      </c>
      <c r="K528" s="40">
        <f t="shared" si="257"/>
        <v>11.660819829068027</v>
      </c>
      <c r="L528" s="40">
        <f t="shared" si="241"/>
        <v>0</v>
      </c>
      <c r="M528" s="10">
        <f t="shared" si="258"/>
        <v>1.0856484551102845</v>
      </c>
      <c r="N528" s="10">
        <f t="shared" si="237"/>
        <v>8.26</v>
      </c>
      <c r="O528" s="10">
        <f t="shared" si="238"/>
        <v>0.31900000000000001</v>
      </c>
      <c r="P528" s="10">
        <f t="shared" si="259"/>
        <v>8.479395808036541</v>
      </c>
      <c r="Q528" s="45">
        <f t="shared" si="260"/>
        <v>1.7101825380946925</v>
      </c>
      <c r="R528" s="4">
        <f t="shared" si="261"/>
        <v>7907.2348997887666</v>
      </c>
      <c r="S528">
        <f t="shared" si="242"/>
        <v>7.9072348997887672E-6</v>
      </c>
      <c r="T528" s="44">
        <f t="shared" si="243"/>
        <v>2.2796055073552663E-4</v>
      </c>
      <c r="U528" s="45">
        <f t="shared" si="262"/>
        <v>1.4189928389415931E-2</v>
      </c>
      <c r="V528" s="45">
        <f t="shared" si="263"/>
        <v>0.16252126670127079</v>
      </c>
      <c r="W528" s="45">
        <f t="shared" si="264"/>
        <v>0.16281257654387196</v>
      </c>
      <c r="X528" s="45">
        <f t="shared" si="265"/>
        <v>-2.9130984260117287E-4</v>
      </c>
      <c r="Y528" s="45">
        <f t="shared" si="239"/>
        <v>6.9231554967760171E-4</v>
      </c>
      <c r="Z528" s="10">
        <f t="shared" si="266"/>
        <v>3.0369971797480284</v>
      </c>
      <c r="AA528">
        <f t="shared" si="244"/>
        <v>1082861.9109629374</v>
      </c>
      <c r="AB528" s="10">
        <f t="shared" si="245"/>
        <v>1.0828619109629374</v>
      </c>
      <c r="AC528" s="10">
        <f t="shared" si="246"/>
        <v>0.9818619109629374</v>
      </c>
      <c r="AD528" s="3">
        <f t="shared" si="247"/>
        <v>142.40201754357324</v>
      </c>
      <c r="AI528" s="100">
        <f t="shared" si="248"/>
        <v>0.16281257654387196</v>
      </c>
    </row>
    <row r="529" spans="2:35">
      <c r="B529" s="39">
        <f t="shared" si="249"/>
        <v>501</v>
      </c>
      <c r="C529" s="45">
        <f t="shared" si="250"/>
        <v>14.717625899279714</v>
      </c>
      <c r="D529" s="10">
        <f t="shared" si="251"/>
        <v>0.73237410072051645</v>
      </c>
      <c r="E529" s="40">
        <f t="shared" si="252"/>
        <v>46.875251798558971</v>
      </c>
      <c r="F529" s="40">
        <f t="shared" si="253"/>
        <v>48.34</v>
      </c>
      <c r="G529" s="3">
        <f t="shared" si="254"/>
        <v>69.329496402882057</v>
      </c>
      <c r="H529" s="3">
        <f t="shared" si="255"/>
        <v>148.0155219248214</v>
      </c>
      <c r="I529">
        <f t="shared" si="240"/>
        <v>1.4801552192482141E-4</v>
      </c>
      <c r="J529" s="4">
        <f t="shared" si="256"/>
        <v>1730.3056917200565</v>
      </c>
      <c r="K529" s="40">
        <f t="shared" si="257"/>
        <v>11.690028648474424</v>
      </c>
      <c r="L529" s="40">
        <f t="shared" si="241"/>
        <v>0</v>
      </c>
      <c r="M529" s="10">
        <f t="shared" si="258"/>
        <v>1.0828619109629374</v>
      </c>
      <c r="N529" s="10">
        <f t="shared" si="237"/>
        <v>8.26</v>
      </c>
      <c r="O529" s="10">
        <f t="shared" si="238"/>
        <v>0.31900000000000001</v>
      </c>
      <c r="P529" s="10">
        <f t="shared" si="259"/>
        <v>8.4724469692040039</v>
      </c>
      <c r="Q529" s="45">
        <f t="shared" si="260"/>
        <v>1.7136498361383081</v>
      </c>
      <c r="R529" s="4">
        <f t="shared" si="261"/>
        <v>7594.1193905958035</v>
      </c>
      <c r="S529">
        <f t="shared" si="242"/>
        <v>7.5941193905958031E-6</v>
      </c>
      <c r="T529" s="44">
        <f t="shared" si="243"/>
        <v>2.2827366624471961E-4</v>
      </c>
      <c r="U529" s="45">
        <f t="shared" si="262"/>
        <v>1.3628026952393698E-2</v>
      </c>
      <c r="V529" s="45">
        <f t="shared" si="263"/>
        <v>0.1620574377956519</v>
      </c>
      <c r="W529" s="45">
        <f t="shared" si="264"/>
        <v>0.16235181876790813</v>
      </c>
      <c r="X529" s="45">
        <f t="shared" si="265"/>
        <v>-2.9438097225623072E-4</v>
      </c>
      <c r="Y529" s="45">
        <f t="shared" si="239"/>
        <v>6.9129484310841995E-4</v>
      </c>
      <c r="Z529" s="10">
        <f t="shared" si="266"/>
        <v>3.028360014016338</v>
      </c>
      <c r="AA529">
        <f t="shared" si="244"/>
        <v>1080069.5132263927</v>
      </c>
      <c r="AB529" s="10">
        <f t="shared" si="245"/>
        <v>1.0800695132263927</v>
      </c>
      <c r="AC529" s="10">
        <f t="shared" si="246"/>
        <v>0.97906951322639268</v>
      </c>
      <c r="AD529" s="3">
        <f t="shared" si="247"/>
        <v>141.99702874929554</v>
      </c>
      <c r="AI529" s="100">
        <f t="shared" si="248"/>
        <v>0.16235181876790813</v>
      </c>
    </row>
    <row r="530" spans="2:35">
      <c r="B530" s="39">
        <f t="shared" si="249"/>
        <v>502</v>
      </c>
      <c r="C530" s="45">
        <f t="shared" si="250"/>
        <v>14.747002398080671</v>
      </c>
      <c r="D530" s="10">
        <f t="shared" si="251"/>
        <v>0.7029976019195594</v>
      </c>
      <c r="E530" s="40">
        <f t="shared" si="252"/>
        <v>46.934004796160885</v>
      </c>
      <c r="F530" s="40">
        <f t="shared" si="253"/>
        <v>48.34</v>
      </c>
      <c r="G530" s="3">
        <f t="shared" si="254"/>
        <v>69.211990407678229</v>
      </c>
      <c r="H530" s="3">
        <f t="shared" si="255"/>
        <v>148.0155219248214</v>
      </c>
      <c r="I530">
        <f t="shared" si="240"/>
        <v>1.4801552192482141E-4</v>
      </c>
      <c r="J530" s="4">
        <f t="shared" si="256"/>
        <v>1734.6344726242762</v>
      </c>
      <c r="K530" s="40">
        <f t="shared" si="257"/>
        <v>11.719274100896762</v>
      </c>
      <c r="L530" s="40">
        <f t="shared" si="241"/>
        <v>0</v>
      </c>
      <c r="M530" s="10">
        <f t="shared" si="258"/>
        <v>1.0800695132263927</v>
      </c>
      <c r="N530" s="10">
        <f t="shared" si="237"/>
        <v>8.26</v>
      </c>
      <c r="O530" s="10">
        <f t="shared" si="238"/>
        <v>0.31900000000000001</v>
      </c>
      <c r="P530" s="10">
        <f t="shared" si="259"/>
        <v>8.4654713067091691</v>
      </c>
      <c r="Q530" s="45">
        <f t="shared" si="260"/>
        <v>1.7171199912822606</v>
      </c>
      <c r="R530" s="4">
        <f t="shared" si="261"/>
        <v>7281.6446374650204</v>
      </c>
      <c r="S530">
        <f t="shared" si="242"/>
        <v>7.2816446374650201E-6</v>
      </c>
      <c r="T530" s="44">
        <f t="shared" si="243"/>
        <v>2.2858614099785038E-4</v>
      </c>
      <c r="U530" s="45">
        <f t="shared" si="262"/>
        <v>1.3067275384162851E-2</v>
      </c>
      <c r="V530" s="45">
        <f t="shared" si="263"/>
        <v>0.16159265075167883</v>
      </c>
      <c r="W530" s="45">
        <f t="shared" si="264"/>
        <v>0.16189009309529617</v>
      </c>
      <c r="X530" s="45">
        <f t="shared" si="265"/>
        <v>-2.974423436173379E-4</v>
      </c>
      <c r="Y530" s="45">
        <f t="shared" si="239"/>
        <v>6.9026267202968697E-4</v>
      </c>
      <c r="Z530" s="10">
        <f t="shared" si="266"/>
        <v>3.0197048211955169</v>
      </c>
      <c r="AA530">
        <f t="shared" si="244"/>
        <v>1077271.2873276416</v>
      </c>
      <c r="AB530" s="10">
        <f t="shared" si="245"/>
        <v>1.0772712873276415</v>
      </c>
      <c r="AC530" s="10">
        <f t="shared" si="246"/>
        <v>0.97627128732764157</v>
      </c>
      <c r="AD530" s="3">
        <f t="shared" si="247"/>
        <v>141.59119468131132</v>
      </c>
      <c r="AI530" s="100">
        <f t="shared" si="248"/>
        <v>0.16189009309529617</v>
      </c>
    </row>
    <row r="531" spans="2:35">
      <c r="B531" s="39">
        <f t="shared" si="249"/>
        <v>503</v>
      </c>
      <c r="C531" s="45">
        <f t="shared" si="250"/>
        <v>14.776378896881628</v>
      </c>
      <c r="D531" s="10">
        <f t="shared" si="251"/>
        <v>0.67362110311860235</v>
      </c>
      <c r="E531" s="40">
        <f t="shared" si="252"/>
        <v>46.992757793762799</v>
      </c>
      <c r="F531" s="40">
        <f t="shared" si="253"/>
        <v>48.34</v>
      </c>
      <c r="G531" s="3">
        <f t="shared" si="254"/>
        <v>69.094484412474401</v>
      </c>
      <c r="H531" s="3">
        <f t="shared" si="255"/>
        <v>148.0155219248214</v>
      </c>
      <c r="I531">
        <f t="shared" si="240"/>
        <v>1.4801552192482141E-4</v>
      </c>
      <c r="J531" s="4">
        <f t="shared" si="256"/>
        <v>1738.9686757834697</v>
      </c>
      <c r="K531" s="40">
        <f t="shared" si="257"/>
        <v>11.748556186335037</v>
      </c>
      <c r="L531" s="40">
        <f t="shared" si="241"/>
        <v>0</v>
      </c>
      <c r="M531" s="10">
        <f t="shared" si="258"/>
        <v>1.0772712873276415</v>
      </c>
      <c r="N531" s="10">
        <f t="shared" si="237"/>
        <v>8.26</v>
      </c>
      <c r="O531" s="10">
        <f t="shared" si="238"/>
        <v>0.31900000000000001</v>
      </c>
      <c r="P531" s="10">
        <f t="shared" si="259"/>
        <v>8.4584687538616077</v>
      </c>
      <c r="Q531" s="45">
        <f t="shared" si="260"/>
        <v>1.7205930192800936</v>
      </c>
      <c r="R531" s="4">
        <f t="shared" si="261"/>
        <v>6969.8125518387915</v>
      </c>
      <c r="S531">
        <f t="shared" si="242"/>
        <v>6.9698125518387914E-6</v>
      </c>
      <c r="T531" s="44">
        <f t="shared" si="243"/>
        <v>2.2889797308347663E-4</v>
      </c>
      <c r="U531" s="45">
        <f t="shared" si="262"/>
        <v>1.2507677114902303E-2</v>
      </c>
      <c r="V531" s="45">
        <f t="shared" si="263"/>
        <v>0.16112690989237907</v>
      </c>
      <c r="W531" s="45">
        <f t="shared" si="264"/>
        <v>0.16142740373041373</v>
      </c>
      <c r="X531" s="45">
        <f t="shared" si="265"/>
        <v>-3.0049383803465446E-4</v>
      </c>
      <c r="Y531" s="45">
        <f t="shared" si="239"/>
        <v>6.8921904851701628E-4</v>
      </c>
      <c r="Z531" s="10">
        <f t="shared" si="266"/>
        <v>3.0110316803271364</v>
      </c>
      <c r="AA531">
        <f t="shared" si="244"/>
        <v>1074467.2588208439</v>
      </c>
      <c r="AB531" s="10">
        <f t="shared" si="245"/>
        <v>1.0744672588208439</v>
      </c>
      <c r="AC531" s="10">
        <f t="shared" si="246"/>
        <v>0.97346725882084395</v>
      </c>
      <c r="AD531" s="3">
        <f t="shared" si="247"/>
        <v>141.18451904580769</v>
      </c>
      <c r="AI531" s="100">
        <f t="shared" si="248"/>
        <v>0.16142740373041373</v>
      </c>
    </row>
    <row r="532" spans="2:35">
      <c r="B532" s="39">
        <f t="shared" si="249"/>
        <v>504</v>
      </c>
      <c r="C532" s="45">
        <f t="shared" si="250"/>
        <v>14.805755395682585</v>
      </c>
      <c r="D532" s="10">
        <f t="shared" si="251"/>
        <v>0.6442446043176453</v>
      </c>
      <c r="E532" s="40">
        <f t="shared" si="252"/>
        <v>47.051510791364713</v>
      </c>
      <c r="F532" s="40">
        <f t="shared" si="253"/>
        <v>48.34</v>
      </c>
      <c r="G532" s="3">
        <f t="shared" si="254"/>
        <v>68.976978417270573</v>
      </c>
      <c r="H532" s="3">
        <f t="shared" si="255"/>
        <v>148.0155219248214</v>
      </c>
      <c r="I532">
        <f t="shared" si="240"/>
        <v>1.4801552192482141E-4</v>
      </c>
      <c r="J532" s="4">
        <f t="shared" si="256"/>
        <v>1743.3083011976371</v>
      </c>
      <c r="K532" s="40">
        <f t="shared" si="257"/>
        <v>11.77787490478925</v>
      </c>
      <c r="L532" s="40">
        <f t="shared" si="241"/>
        <v>0</v>
      </c>
      <c r="M532" s="10">
        <f t="shared" si="258"/>
        <v>1.0744672588208439</v>
      </c>
      <c r="N532" s="10">
        <f t="shared" si="237"/>
        <v>8.26</v>
      </c>
      <c r="O532" s="10">
        <f t="shared" si="238"/>
        <v>0.31900000000000001</v>
      </c>
      <c r="P532" s="10">
        <f t="shared" si="259"/>
        <v>8.4514392435352512</v>
      </c>
      <c r="Q532" s="45">
        <f t="shared" si="260"/>
        <v>1.7240689359795396</v>
      </c>
      <c r="R532" s="4">
        <f t="shared" si="261"/>
        <v>6658.6250451595415</v>
      </c>
      <c r="S532">
        <f t="shared" si="242"/>
        <v>6.6586250451595414E-6</v>
      </c>
      <c r="T532" s="44">
        <f t="shared" si="243"/>
        <v>2.2920916059015586E-4</v>
      </c>
      <c r="U532" s="45">
        <f t="shared" si="262"/>
        <v>1.1949235574791056E-2</v>
      </c>
      <c r="V532" s="45">
        <f t="shared" si="263"/>
        <v>0.16066021956171994</v>
      </c>
      <c r="W532" s="45">
        <f t="shared" si="264"/>
        <v>0.16096375489866593</v>
      </c>
      <c r="X532" s="45">
        <f t="shared" si="265"/>
        <v>-3.0353533694599255E-4</v>
      </c>
      <c r="Y532" s="45">
        <f t="shared" si="239"/>
        <v>6.8816398497045371E-4</v>
      </c>
      <c r="Z532" s="10">
        <f t="shared" si="266"/>
        <v>3.0023406708466833</v>
      </c>
      <c r="AA532">
        <f t="shared" si="244"/>
        <v>1071657.45338751</v>
      </c>
      <c r="AB532" s="10">
        <f t="shared" si="245"/>
        <v>1.0716574533875101</v>
      </c>
      <c r="AC532" s="10">
        <f t="shared" si="246"/>
        <v>0.97065745338751008</v>
      </c>
      <c r="AD532" s="3">
        <f t="shared" si="247"/>
        <v>140.77700556744162</v>
      </c>
      <c r="AI532" s="100">
        <f t="shared" si="248"/>
        <v>0.16096375489866593</v>
      </c>
    </row>
    <row r="533" spans="2:35">
      <c r="B533" s="39">
        <f t="shared" si="249"/>
        <v>505</v>
      </c>
      <c r="C533" s="45">
        <f t="shared" si="250"/>
        <v>14.835131894483542</v>
      </c>
      <c r="D533" s="10">
        <f t="shared" si="251"/>
        <v>0.61486810551668825</v>
      </c>
      <c r="E533" s="40">
        <f t="shared" si="252"/>
        <v>47.110263788966627</v>
      </c>
      <c r="F533" s="40">
        <f t="shared" si="253"/>
        <v>48.34</v>
      </c>
      <c r="G533" s="3">
        <f t="shared" si="254"/>
        <v>68.859472422066744</v>
      </c>
      <c r="H533" s="3">
        <f t="shared" si="255"/>
        <v>148.0155219248214</v>
      </c>
      <c r="I533">
        <f t="shared" si="240"/>
        <v>1.4801552192482141E-4</v>
      </c>
      <c r="J533" s="4">
        <f t="shared" si="256"/>
        <v>1747.6533488667785</v>
      </c>
      <c r="K533" s="40">
        <f t="shared" si="257"/>
        <v>11.807230256259405</v>
      </c>
      <c r="L533" s="40">
        <f t="shared" si="241"/>
        <v>0</v>
      </c>
      <c r="M533" s="10">
        <f t="shared" si="258"/>
        <v>1.0716574533875101</v>
      </c>
      <c r="N533" s="10">
        <f t="shared" si="237"/>
        <v>8.26</v>
      </c>
      <c r="O533" s="10">
        <f t="shared" si="238"/>
        <v>0.31900000000000001</v>
      </c>
      <c r="P533" s="10">
        <f t="shared" si="259"/>
        <v>8.4443827081640386</v>
      </c>
      <c r="Q533" s="45">
        <f t="shared" si="260"/>
        <v>1.7275477573234084</v>
      </c>
      <c r="R533" s="4">
        <f t="shared" si="261"/>
        <v>6348.0840288696509</v>
      </c>
      <c r="S533">
        <f t="shared" si="242"/>
        <v>6.3480840288696508E-6</v>
      </c>
      <c r="T533" s="44">
        <f t="shared" si="243"/>
        <v>2.2951970160644576E-4</v>
      </c>
      <c r="U533" s="45">
        <f t="shared" si="262"/>
        <v>1.1391954194008031E-2</v>
      </c>
      <c r="V533" s="45">
        <f t="shared" si="263"/>
        <v>0.16019258412485005</v>
      </c>
      <c r="W533" s="45">
        <f t="shared" si="264"/>
        <v>0.16049915084651531</v>
      </c>
      <c r="X533" s="45">
        <f t="shared" si="265"/>
        <v>-3.0656672166526344E-4</v>
      </c>
      <c r="Y533" s="45">
        <f t="shared" si="239"/>
        <v>6.8709749411580471E-4</v>
      </c>
      <c r="Z533" s="10">
        <f t="shared" si="266"/>
        <v>2.9936318725873967</v>
      </c>
      <c r="AA533">
        <f t="shared" si="244"/>
        <v>1068841.8968377463</v>
      </c>
      <c r="AB533" s="10">
        <f t="shared" si="245"/>
        <v>1.0688418968377462</v>
      </c>
      <c r="AC533" s="10">
        <f t="shared" si="246"/>
        <v>0.96784189683774624</v>
      </c>
      <c r="AD533" s="3">
        <f t="shared" si="247"/>
        <v>140.36865798952084</v>
      </c>
      <c r="AI533" s="100">
        <f t="shared" si="248"/>
        <v>0.16049915084651531</v>
      </c>
    </row>
    <row r="534" spans="2:35">
      <c r="B534" s="39">
        <f t="shared" si="249"/>
        <v>506</v>
      </c>
      <c r="C534" s="45">
        <f t="shared" si="250"/>
        <v>14.864508393284499</v>
      </c>
      <c r="D534" s="10">
        <f t="shared" si="251"/>
        <v>0.58549160671573119</v>
      </c>
      <c r="E534" s="40">
        <f t="shared" si="252"/>
        <v>47.169016786568541</v>
      </c>
      <c r="F534" s="40">
        <f t="shared" si="253"/>
        <v>48.34</v>
      </c>
      <c r="G534" s="3">
        <f t="shared" si="254"/>
        <v>68.741966426862916</v>
      </c>
      <c r="H534" s="3">
        <f t="shared" si="255"/>
        <v>148.0155219248214</v>
      </c>
      <c r="I534">
        <f t="shared" si="240"/>
        <v>1.4801552192482141E-4</v>
      </c>
      <c r="J534" s="4">
        <f t="shared" si="256"/>
        <v>1752.003818790894</v>
      </c>
      <c r="K534" s="40">
        <f t="shared" si="257"/>
        <v>11.836622240745498</v>
      </c>
      <c r="L534" s="40">
        <f t="shared" si="241"/>
        <v>0</v>
      </c>
      <c r="M534" s="10">
        <f t="shared" si="258"/>
        <v>1.0688418968377462</v>
      </c>
      <c r="N534" s="10">
        <f t="shared" si="237"/>
        <v>8.26</v>
      </c>
      <c r="O534" s="10">
        <f t="shared" si="238"/>
        <v>0.31900000000000001</v>
      </c>
      <c r="P534" s="10">
        <f t="shared" si="259"/>
        <v>8.4372990797402156</v>
      </c>
      <c r="Q534" s="45">
        <f t="shared" si="260"/>
        <v>1.7310294993504864</v>
      </c>
      <c r="R534" s="4">
        <f t="shared" si="261"/>
        <v>6038.1914144115162</v>
      </c>
      <c r="S534">
        <f t="shared" si="242"/>
        <v>6.0381914144115162E-6</v>
      </c>
      <c r="T534" s="44">
        <f t="shared" si="243"/>
        <v>2.298295942209039E-4</v>
      </c>
      <c r="U534" s="45">
        <f t="shared" si="262"/>
        <v>1.0835836402732186E-2</v>
      </c>
      <c r="V534" s="45">
        <f t="shared" si="263"/>
        <v>0.15972400796808814</v>
      </c>
      <c r="W534" s="45">
        <f t="shared" si="264"/>
        <v>0.16003359584168805</v>
      </c>
      <c r="X534" s="45">
        <f t="shared" si="265"/>
        <v>-3.0958787359991469E-4</v>
      </c>
      <c r="Y534" s="45">
        <f t="shared" si="239"/>
        <v>6.8601958900521814E-4</v>
      </c>
      <c r="Z534" s="10">
        <f t="shared" si="266"/>
        <v>2.9849053657808788</v>
      </c>
      <c r="AA534">
        <f t="shared" si="244"/>
        <v>1066020.6151104483</v>
      </c>
      <c r="AB534" s="10">
        <f t="shared" si="245"/>
        <v>1.0660206151104483</v>
      </c>
      <c r="AC534" s="10">
        <f t="shared" si="246"/>
        <v>0.96502061511044834</v>
      </c>
      <c r="AD534" s="3">
        <f t="shared" si="247"/>
        <v>139.95948007403166</v>
      </c>
      <c r="AI534" s="100">
        <f t="shared" si="248"/>
        <v>0.16003359584168805</v>
      </c>
    </row>
    <row r="535" spans="2:35">
      <c r="B535" s="39">
        <f t="shared" si="249"/>
        <v>507</v>
      </c>
      <c r="C535" s="45">
        <f t="shared" si="250"/>
        <v>14.893884892085456</v>
      </c>
      <c r="D535" s="10">
        <f t="shared" si="251"/>
        <v>0.55611510791477414</v>
      </c>
      <c r="E535" s="40">
        <f t="shared" si="252"/>
        <v>47.227769784170455</v>
      </c>
      <c r="F535" s="40">
        <f t="shared" si="253"/>
        <v>48.34</v>
      </c>
      <c r="G535" s="3">
        <f t="shared" si="254"/>
        <v>68.624460431659088</v>
      </c>
      <c r="H535" s="3">
        <f t="shared" si="255"/>
        <v>148.0155219248214</v>
      </c>
      <c r="I535">
        <f t="shared" si="240"/>
        <v>1.4801552192482141E-4</v>
      </c>
      <c r="J535" s="4">
        <f t="shared" si="256"/>
        <v>1756.3597109699831</v>
      </c>
      <c r="K535" s="40">
        <f t="shared" si="257"/>
        <v>11.866050858247529</v>
      </c>
      <c r="L535" s="40">
        <f t="shared" si="241"/>
        <v>0</v>
      </c>
      <c r="M535" s="10">
        <f t="shared" si="258"/>
        <v>1.0660206151104483</v>
      </c>
      <c r="N535" s="10">
        <f t="shared" si="237"/>
        <v>8.26</v>
      </c>
      <c r="O535" s="10">
        <f t="shared" si="238"/>
        <v>0.31900000000000001</v>
      </c>
      <c r="P535" s="10">
        <f t="shared" si="259"/>
        <v>8.4301882898099461</v>
      </c>
      <c r="Q535" s="45">
        <f t="shared" si="260"/>
        <v>1.7345141781964462</v>
      </c>
      <c r="R535" s="4">
        <f t="shared" si="261"/>
        <v>5728.9491132275652</v>
      </c>
      <c r="S535">
        <f t="shared" si="242"/>
        <v>5.7289491132275656E-6</v>
      </c>
      <c r="T535" s="44">
        <f t="shared" si="243"/>
        <v>2.3013883652208786E-4</v>
      </c>
      <c r="U535" s="45">
        <f t="shared" si="262"/>
        <v>1.0280885631142525E-2</v>
      </c>
      <c r="V535" s="45">
        <f t="shared" si="263"/>
        <v>0.15925449549908877</v>
      </c>
      <c r="W535" s="45">
        <f t="shared" si="264"/>
        <v>0.15956709417320569</v>
      </c>
      <c r="X535" s="45">
        <f t="shared" si="265"/>
        <v>-3.1259867411692621E-4</v>
      </c>
      <c r="Y535" s="45">
        <f t="shared" si="239"/>
        <v>6.8493028301824788E-4</v>
      </c>
      <c r="Z535" s="10">
        <f t="shared" si="266"/>
        <v>2.9761612310598036</v>
      </c>
      <c r="AA535">
        <f t="shared" si="244"/>
        <v>1063193.6342741787</v>
      </c>
      <c r="AB535" s="10">
        <f t="shared" si="245"/>
        <v>1.0631936342741786</v>
      </c>
      <c r="AC535" s="10">
        <f t="shared" si="246"/>
        <v>0.96219363427417859</v>
      </c>
      <c r="AD535" s="3">
        <f t="shared" si="247"/>
        <v>139.54947560176629</v>
      </c>
      <c r="AI535" s="100">
        <f t="shared" si="248"/>
        <v>0.15956709417320569</v>
      </c>
    </row>
    <row r="536" spans="2:35">
      <c r="B536" s="39">
        <f t="shared" si="249"/>
        <v>508</v>
      </c>
      <c r="C536" s="45">
        <f t="shared" si="250"/>
        <v>14.923261390886413</v>
      </c>
      <c r="D536" s="10">
        <f t="shared" si="251"/>
        <v>0.52673860911381709</v>
      </c>
      <c r="E536" s="40">
        <f t="shared" si="252"/>
        <v>47.286522781772369</v>
      </c>
      <c r="F536" s="40">
        <f t="shared" si="253"/>
        <v>48.34</v>
      </c>
      <c r="G536" s="3">
        <f t="shared" si="254"/>
        <v>68.50695443645526</v>
      </c>
      <c r="H536" s="3">
        <f t="shared" si="255"/>
        <v>148.0155219248214</v>
      </c>
      <c r="I536">
        <f t="shared" si="240"/>
        <v>1.4801552192482141E-4</v>
      </c>
      <c r="J536" s="4">
        <f t="shared" si="256"/>
        <v>1760.7210254040463</v>
      </c>
      <c r="K536" s="40">
        <f t="shared" si="257"/>
        <v>11.895516108765502</v>
      </c>
      <c r="L536" s="40">
        <f t="shared" si="241"/>
        <v>0</v>
      </c>
      <c r="M536" s="10">
        <f t="shared" si="258"/>
        <v>1.0631936342741786</v>
      </c>
      <c r="N536" s="10">
        <f t="shared" si="237"/>
        <v>8.26</v>
      </c>
      <c r="O536" s="10">
        <f t="shared" si="238"/>
        <v>0.31900000000000001</v>
      </c>
      <c r="P536" s="10">
        <f t="shared" si="259"/>
        <v>8.4230502694705702</v>
      </c>
      <c r="Q536" s="45">
        <f t="shared" si="260"/>
        <v>1.7380018100947661</v>
      </c>
      <c r="R536" s="4">
        <f t="shared" si="261"/>
        <v>5420.3590367601737</v>
      </c>
      <c r="S536">
        <f t="shared" si="242"/>
        <v>5.4203590367601738E-6</v>
      </c>
      <c r="T536" s="44">
        <f t="shared" si="243"/>
        <v>2.3044742659855525E-4</v>
      </c>
      <c r="U536" s="45">
        <f t="shared" si="262"/>
        <v>9.7271053094179702E-3</v>
      </c>
      <c r="V536" s="45">
        <f t="shared" si="263"/>
        <v>0.15878405114694782</v>
      </c>
      <c r="W536" s="45">
        <f t="shared" si="264"/>
        <v>0.1590996501515303</v>
      </c>
      <c r="X536" s="45">
        <f t="shared" si="265"/>
        <v>-3.1559900458247303E-4</v>
      </c>
      <c r="Y536" s="45">
        <f t="shared" si="239"/>
        <v>6.8382958986278801E-4</v>
      </c>
      <c r="Z536" s="10">
        <f t="shared" si="266"/>
        <v>2.9673995494600813</v>
      </c>
      <c r="AA536">
        <f t="shared" si="244"/>
        <v>1060360.9805278669</v>
      </c>
      <c r="AB536" s="10">
        <f t="shared" si="245"/>
        <v>1.0603609805278669</v>
      </c>
      <c r="AC536" s="10">
        <f t="shared" si="246"/>
        <v>0.95936098052786689</v>
      </c>
      <c r="AD536" s="3">
        <f t="shared" si="247"/>
        <v>139.13864837242448</v>
      </c>
      <c r="AI536" s="100">
        <f t="shared" si="248"/>
        <v>0.1590996501515303</v>
      </c>
    </row>
    <row r="537" spans="2:35">
      <c r="B537" s="39">
        <f t="shared" si="249"/>
        <v>509</v>
      </c>
      <c r="C537" s="45">
        <f t="shared" si="250"/>
        <v>14.95263788968737</v>
      </c>
      <c r="D537" s="10">
        <f t="shared" si="251"/>
        <v>0.49736211031286004</v>
      </c>
      <c r="E537" s="40">
        <f t="shared" si="252"/>
        <v>47.345275779374283</v>
      </c>
      <c r="F537" s="40">
        <f t="shared" si="253"/>
        <v>48.34</v>
      </c>
      <c r="G537" s="3">
        <f t="shared" si="254"/>
        <v>68.389448441251432</v>
      </c>
      <c r="H537" s="3">
        <f t="shared" si="255"/>
        <v>148.0155219248214</v>
      </c>
      <c r="I537">
        <f t="shared" si="240"/>
        <v>1.4801552192482141E-4</v>
      </c>
      <c r="J537" s="4">
        <f t="shared" si="256"/>
        <v>1765.0877620930835</v>
      </c>
      <c r="K537" s="40">
        <f t="shared" si="257"/>
        <v>11.925017992299413</v>
      </c>
      <c r="L537" s="40">
        <f t="shared" si="241"/>
        <v>0</v>
      </c>
      <c r="M537" s="10">
        <f t="shared" si="258"/>
        <v>1.0603609805278669</v>
      </c>
      <c r="N537" s="10">
        <f t="shared" si="237"/>
        <v>8.26</v>
      </c>
      <c r="O537" s="10">
        <f t="shared" si="238"/>
        <v>0.31900000000000001</v>
      </c>
      <c r="P537" s="10">
        <f t="shared" si="259"/>
        <v>8.4158849493674115</v>
      </c>
      <c r="Q537" s="45">
        <f t="shared" si="260"/>
        <v>1.7414924113776609</v>
      </c>
      <c r="R537" s="4">
        <f t="shared" si="261"/>
        <v>5112.4230964517419</v>
      </c>
      <c r="S537">
        <f t="shared" si="242"/>
        <v>5.1124230964517416E-6</v>
      </c>
      <c r="T537" s="44">
        <f t="shared" si="243"/>
        <v>2.3075536253886367E-4</v>
      </c>
      <c r="U537" s="45">
        <f t="shared" si="262"/>
        <v>9.1744988677374736E-3</v>
      </c>
      <c r="V537" s="45">
        <f t="shared" si="263"/>
        <v>0.15831267936228252</v>
      </c>
      <c r="W537" s="45">
        <f t="shared" si="264"/>
        <v>0.15863126810868031</v>
      </c>
      <c r="X537" s="45">
        <f t="shared" si="265"/>
        <v>-3.1858874639778545E-4</v>
      </c>
      <c r="Y537" s="45">
        <f t="shared" si="239"/>
        <v>6.8271752357589607E-4</v>
      </c>
      <c r="Z537" s="10">
        <f t="shared" si="266"/>
        <v>2.9586204024225577</v>
      </c>
      <c r="AA537">
        <f t="shared" si="244"/>
        <v>1057522.6802013572</v>
      </c>
      <c r="AB537" s="10">
        <f t="shared" si="245"/>
        <v>1.0575226802013573</v>
      </c>
      <c r="AC537" s="10">
        <f t="shared" si="246"/>
        <v>0.95652268020135733</v>
      </c>
      <c r="AD537" s="3">
        <f t="shared" si="247"/>
        <v>138.72700220469287</v>
      </c>
      <c r="AI537" s="100">
        <f t="shared" si="248"/>
        <v>0.15863126810868031</v>
      </c>
    </row>
    <row r="538" spans="2:35">
      <c r="B538" s="39">
        <f t="shared" si="249"/>
        <v>510</v>
      </c>
      <c r="C538" s="45">
        <f t="shared" si="250"/>
        <v>14.982014388488327</v>
      </c>
      <c r="D538" s="10">
        <f t="shared" si="251"/>
        <v>0.46798561151190299</v>
      </c>
      <c r="E538" s="40">
        <f t="shared" si="252"/>
        <v>47.404028776976197</v>
      </c>
      <c r="F538" s="40">
        <f t="shared" si="253"/>
        <v>48.34</v>
      </c>
      <c r="G538" s="3">
        <f t="shared" si="254"/>
        <v>68.271942446047603</v>
      </c>
      <c r="H538" s="3">
        <f t="shared" si="255"/>
        <v>148.0155219248214</v>
      </c>
      <c r="I538">
        <f t="shared" si="240"/>
        <v>1.4801552192482141E-4</v>
      </c>
      <c r="J538" s="4">
        <f t="shared" si="256"/>
        <v>1769.4599210370943</v>
      </c>
      <c r="K538" s="40">
        <f t="shared" si="257"/>
        <v>11.954556508849262</v>
      </c>
      <c r="L538" s="40">
        <f t="shared" si="241"/>
        <v>0</v>
      </c>
      <c r="M538" s="10">
        <f t="shared" si="258"/>
        <v>1.0575226802013573</v>
      </c>
      <c r="N538" s="10">
        <f t="shared" si="237"/>
        <v>8.26</v>
      </c>
      <c r="O538" s="10">
        <f t="shared" si="238"/>
        <v>0.31900000000000001</v>
      </c>
      <c r="P538" s="10">
        <f t="shared" si="259"/>
        <v>8.408692259690115</v>
      </c>
      <c r="Q538" s="45">
        <f t="shared" si="260"/>
        <v>1.7449859984770228</v>
      </c>
      <c r="R538" s="4">
        <f t="shared" si="261"/>
        <v>4805.1432037446966</v>
      </c>
      <c r="S538">
        <f t="shared" si="242"/>
        <v>4.8051432037446962E-6</v>
      </c>
      <c r="T538" s="44">
        <f t="shared" si="243"/>
        <v>2.3106264243157073E-4</v>
      </c>
      <c r="U538" s="45">
        <f t="shared" si="262"/>
        <v>8.6230697362800444E-3</v>
      </c>
      <c r="V538" s="45">
        <f t="shared" si="263"/>
        <v>0.15784038461732755</v>
      </c>
      <c r="W538" s="45">
        <f t="shared" si="264"/>
        <v>0.15816195239832095</v>
      </c>
      <c r="X538" s="45">
        <f t="shared" si="265"/>
        <v>-3.2156778099340366E-4</v>
      </c>
      <c r="Y538" s="45">
        <f t="shared" si="239"/>
        <v>6.8159409852464709E-4</v>
      </c>
      <c r="Z538" s="10">
        <f t="shared" si="266"/>
        <v>2.9498238717948593</v>
      </c>
      <c r="AA538">
        <f t="shared" si="244"/>
        <v>1054678.7597560072</v>
      </c>
      <c r="AB538" s="10">
        <f t="shared" si="245"/>
        <v>1.0546787597560072</v>
      </c>
      <c r="AC538" s="10">
        <f t="shared" si="246"/>
        <v>0.95367875975600724</v>
      </c>
      <c r="AD538" s="3">
        <f t="shared" si="247"/>
        <v>138.31454093633172</v>
      </c>
      <c r="AI538" s="100">
        <f t="shared" si="248"/>
        <v>0.15816195239832095</v>
      </c>
    </row>
    <row r="539" spans="2:35">
      <c r="B539" s="39">
        <f t="shared" si="249"/>
        <v>511</v>
      </c>
      <c r="C539" s="45">
        <f t="shared" si="250"/>
        <v>15.011390887289284</v>
      </c>
      <c r="D539" s="10">
        <f t="shared" si="251"/>
        <v>0.43860911271094594</v>
      </c>
      <c r="E539" s="40">
        <f t="shared" si="252"/>
        <v>47.462781774578112</v>
      </c>
      <c r="F539" s="40">
        <f t="shared" si="253"/>
        <v>48.34</v>
      </c>
      <c r="G539" s="3">
        <f t="shared" si="254"/>
        <v>68.154436450843775</v>
      </c>
      <c r="H539" s="3">
        <f t="shared" si="255"/>
        <v>148.0155219248214</v>
      </c>
      <c r="I539">
        <f t="shared" si="240"/>
        <v>1.4801552192482141E-4</v>
      </c>
      <c r="J539" s="4">
        <f t="shared" si="256"/>
        <v>1773.8375022360792</v>
      </c>
      <c r="K539" s="40">
        <f t="shared" si="257"/>
        <v>11.98413165841505</v>
      </c>
      <c r="L539" s="40">
        <f t="shared" si="241"/>
        <v>0</v>
      </c>
      <c r="M539" s="10">
        <f t="shared" si="258"/>
        <v>1.0546787597560072</v>
      </c>
      <c r="N539" s="10">
        <f t="shared" si="237"/>
        <v>8.26</v>
      </c>
      <c r="O539" s="10">
        <f t="shared" si="238"/>
        <v>0.31900000000000001</v>
      </c>
      <c r="P539" s="10">
        <f t="shared" si="259"/>
        <v>8.4014721301690969</v>
      </c>
      <c r="Q539" s="45">
        <f t="shared" si="260"/>
        <v>1.7484825879253731</v>
      </c>
      <c r="R539" s="4">
        <f t="shared" si="261"/>
        <v>4498.5212700814127</v>
      </c>
      <c r="S539">
        <f t="shared" si="242"/>
        <v>4.4985212700814131E-6</v>
      </c>
      <c r="T539" s="44">
        <f t="shared" si="243"/>
        <v>2.3136926436523401E-4</v>
      </c>
      <c r="U539" s="45">
        <f t="shared" si="262"/>
        <v>8.072821345224598E-3</v>
      </c>
      <c r="V539" s="45">
        <f t="shared" si="263"/>
        <v>0.1573671714061414</v>
      </c>
      <c r="W539" s="45">
        <f t="shared" si="264"/>
        <v>0.15769170739586333</v>
      </c>
      <c r="X539" s="45">
        <f t="shared" si="265"/>
        <v>-3.2453598972193021E-4</v>
      </c>
      <c r="Y539" s="45">
        <f t="shared" si="239"/>
        <v>6.8045932940737552E-4</v>
      </c>
      <c r="Z539" s="10">
        <f t="shared" si="266"/>
        <v>2.9410100398349308</v>
      </c>
      <c r="AA539">
        <f t="shared" si="244"/>
        <v>1051829.2457858296</v>
      </c>
      <c r="AB539" s="10">
        <f t="shared" si="245"/>
        <v>1.0518292457858296</v>
      </c>
      <c r="AC539" s="10">
        <f t="shared" si="246"/>
        <v>0.95082924578582961</v>
      </c>
      <c r="AD539" s="3">
        <f t="shared" si="247"/>
        <v>137.90126842434077</v>
      </c>
      <c r="AI539" s="100">
        <f t="shared" si="248"/>
        <v>0.15769170739586333</v>
      </c>
    </row>
    <row r="540" spans="2:35">
      <c r="B540" s="39">
        <f t="shared" si="249"/>
        <v>512</v>
      </c>
      <c r="C540" s="45">
        <f t="shared" si="250"/>
        <v>15.040767386090241</v>
      </c>
      <c r="D540" s="10">
        <f t="shared" si="251"/>
        <v>0.40923261390998888</v>
      </c>
      <c r="E540" s="40">
        <f t="shared" si="252"/>
        <v>47.521534772180026</v>
      </c>
      <c r="F540" s="40">
        <f t="shared" si="253"/>
        <v>48.34</v>
      </c>
      <c r="G540" s="3">
        <f t="shared" si="254"/>
        <v>68.036930455639947</v>
      </c>
      <c r="H540" s="3">
        <f t="shared" si="255"/>
        <v>148.0155219248214</v>
      </c>
      <c r="I540">
        <f t="shared" si="240"/>
        <v>1.4801552192482141E-4</v>
      </c>
      <c r="J540" s="4">
        <f t="shared" si="256"/>
        <v>1778.220505690038</v>
      </c>
      <c r="K540" s="40">
        <f t="shared" si="257"/>
        <v>12.013743440996778</v>
      </c>
      <c r="L540" s="40">
        <f t="shared" si="241"/>
        <v>0</v>
      </c>
      <c r="M540" s="10">
        <f t="shared" si="258"/>
        <v>1.0518292457858296</v>
      </c>
      <c r="N540" s="10">
        <f t="shared" ref="N540:N603" si="267">IF(fueltype=1,VLOOKUP($M540,kndxbn_,4),IF(fueltype=2,VLOOKUP($M540,knsobn_,4),IF(fueltype=3,VLOOKUP($M540,knsbcobn_,4),IF(fueltype=4,VLOOKUP($M540,knsubn_,4),IF(fueltype=5,am_1,IF(fueltype=6,am_0,IF(fueltype=7,am_3,am_4)))))))</f>
        <v>8.26</v>
      </c>
      <c r="O540" s="10">
        <f t="shared" ref="O540:O603" si="268">IF(fueltype=1,VLOOKUP($M540,kndxbn_,5),IF(fueltype=2,VLOOKUP($M540,knsobn_,5),IF(fueltype=3,VLOOKUP($M540,knsbcobn_,5),IF(fueltype=4,VLOOKUP($M540,knsubn_,5),IF(fueltype=5,nm_1,IF(fueltype=6,an_0,IF(fueltype=7,nm_3,nm_4)))))))</f>
        <v>0.31900000000000001</v>
      </c>
      <c r="P540" s="10">
        <f t="shared" si="259"/>
        <v>8.3942244900732934</v>
      </c>
      <c r="Q540" s="45">
        <f t="shared" si="260"/>
        <v>1.7519821963568247</v>
      </c>
      <c r="R540" s="4">
        <f t="shared" si="261"/>
        <v>4192.5592069043159</v>
      </c>
      <c r="S540">
        <f t="shared" si="242"/>
        <v>4.192559206904316E-6</v>
      </c>
      <c r="T540" s="44">
        <f t="shared" si="243"/>
        <v>2.316752264284111E-4</v>
      </c>
      <c r="U540" s="45">
        <f t="shared" si="262"/>
        <v>7.5237571247501397E-3</v>
      </c>
      <c r="V540" s="45">
        <f t="shared" si="263"/>
        <v>0.15689304424458564</v>
      </c>
      <c r="W540" s="45">
        <f t="shared" si="264"/>
        <v>0.1572205374986532</v>
      </c>
      <c r="X540" s="45">
        <f t="shared" si="265"/>
        <v>-3.274932540675568E-4</v>
      </c>
      <c r="Y540" s="45">
        <f t="shared" si="239"/>
        <v>6.7931323125419718E-4</v>
      </c>
      <c r="Z540" s="10">
        <f t="shared" si="266"/>
        <v>2.9321789892114714</v>
      </c>
      <c r="AA540">
        <f t="shared" si="244"/>
        <v>1048974.1650176349</v>
      </c>
      <c r="AB540" s="10">
        <f t="shared" si="245"/>
        <v>1.048974165017635</v>
      </c>
      <c r="AC540" s="10">
        <f t="shared" si="246"/>
        <v>0.94797416501763498</v>
      </c>
      <c r="AD540" s="3">
        <f t="shared" si="247"/>
        <v>137.48718854497969</v>
      </c>
      <c r="AI540" s="100">
        <f t="shared" si="248"/>
        <v>0.1572205374986532</v>
      </c>
    </row>
    <row r="541" spans="2:35">
      <c r="B541" s="39">
        <f t="shared" si="249"/>
        <v>513</v>
      </c>
      <c r="C541" s="45">
        <f t="shared" si="250"/>
        <v>15.070143884891198</v>
      </c>
      <c r="D541" s="10">
        <f t="shared" si="251"/>
        <v>0.37985611510903183</v>
      </c>
      <c r="E541" s="40">
        <f t="shared" si="252"/>
        <v>47.58028776978194</v>
      </c>
      <c r="F541" s="40">
        <f t="shared" si="253"/>
        <v>48.34</v>
      </c>
      <c r="G541" s="3">
        <f t="shared" si="254"/>
        <v>67.919424460436119</v>
      </c>
      <c r="H541" s="3">
        <f t="shared" si="255"/>
        <v>148.0155219248214</v>
      </c>
      <c r="I541">
        <f t="shared" si="240"/>
        <v>1.4801552192482141E-4</v>
      </c>
      <c r="J541" s="4">
        <f t="shared" si="256"/>
        <v>1782.6089313989705</v>
      </c>
      <c r="K541" s="40">
        <f t="shared" si="257"/>
        <v>12.043391856594445</v>
      </c>
      <c r="L541" s="40">
        <f t="shared" si="241"/>
        <v>0</v>
      </c>
      <c r="M541" s="10">
        <f t="shared" si="258"/>
        <v>1.048974165017635</v>
      </c>
      <c r="N541" s="10">
        <f t="shared" si="267"/>
        <v>8.26</v>
      </c>
      <c r="O541" s="10">
        <f t="shared" si="268"/>
        <v>0.31900000000000001</v>
      </c>
      <c r="P541" s="10">
        <f t="shared" si="259"/>
        <v>8.3869492682053579</v>
      </c>
      <c r="Q541" s="45">
        <f t="shared" si="260"/>
        <v>1.7554848405080565</v>
      </c>
      <c r="R541" s="4">
        <f t="shared" si="261"/>
        <v>3887.258925655784</v>
      </c>
      <c r="S541">
        <f t="shared" si="242"/>
        <v>3.8872589256557839E-6</v>
      </c>
      <c r="T541" s="44">
        <f t="shared" si="243"/>
        <v>2.3198052670965962E-4</v>
      </c>
      <c r="U541" s="45">
        <f t="shared" si="262"/>
        <v>6.9758805050355865E-3</v>
      </c>
      <c r="V541" s="45">
        <f t="shared" si="263"/>
        <v>0.15641800767054137</v>
      </c>
      <c r="W541" s="45">
        <f t="shared" si="264"/>
        <v>0.1567484471259947</v>
      </c>
      <c r="X541" s="45">
        <f t="shared" si="265"/>
        <v>-3.3043945545332964E-4</v>
      </c>
      <c r="Y541" s="45">
        <f t="shared" si="239"/>
        <v>6.7815581942821739E-4</v>
      </c>
      <c r="Z541" s="10">
        <f t="shared" si="266"/>
        <v>2.9233308030073504</v>
      </c>
      <c r="AA541">
        <f t="shared" si="244"/>
        <v>1046113.5443121342</v>
      </c>
      <c r="AB541" s="10">
        <f t="shared" si="245"/>
        <v>1.0461135443121341</v>
      </c>
      <c r="AC541" s="10">
        <f t="shared" si="246"/>
        <v>0.94511354431213412</v>
      </c>
      <c r="AD541" s="3">
        <f t="shared" si="247"/>
        <v>137.07230519392809</v>
      </c>
      <c r="AI541" s="100">
        <f t="shared" si="248"/>
        <v>0.1567484471259947</v>
      </c>
    </row>
    <row r="542" spans="2:35">
      <c r="B542" s="39">
        <f t="shared" si="249"/>
        <v>514</v>
      </c>
      <c r="C542" s="45">
        <f t="shared" si="250"/>
        <v>15.099520383692155</v>
      </c>
      <c r="D542" s="10">
        <f t="shared" si="251"/>
        <v>0.35047961630807478</v>
      </c>
      <c r="E542" s="40">
        <f t="shared" si="252"/>
        <v>47.639040767383854</v>
      </c>
      <c r="F542" s="40">
        <f t="shared" si="253"/>
        <v>48.34</v>
      </c>
      <c r="G542" s="3">
        <f t="shared" si="254"/>
        <v>67.801918465232291</v>
      </c>
      <c r="H542" s="3">
        <f t="shared" si="255"/>
        <v>148.0155219248214</v>
      </c>
      <c r="I542">
        <f t="shared" si="240"/>
        <v>1.4801552192482141E-4</v>
      </c>
      <c r="J542" s="4">
        <f t="shared" si="256"/>
        <v>1787.0027793628772</v>
      </c>
      <c r="K542" s="40">
        <f t="shared" si="257"/>
        <v>12.073076905208051</v>
      </c>
      <c r="L542" s="40">
        <f t="shared" si="241"/>
        <v>0</v>
      </c>
      <c r="M542" s="10">
        <f t="shared" si="258"/>
        <v>1.0461135443121341</v>
      </c>
      <c r="N542" s="10">
        <f t="shared" si="267"/>
        <v>8.26</v>
      </c>
      <c r="O542" s="10">
        <f t="shared" si="268"/>
        <v>0.31900000000000001</v>
      </c>
      <c r="P542" s="10">
        <f t="shared" si="259"/>
        <v>8.3796463928992289</v>
      </c>
      <c r="Q542" s="45">
        <f t="shared" si="260"/>
        <v>1.7589905372192987</v>
      </c>
      <c r="R542" s="4">
        <f t="shared" si="261"/>
        <v>3582.6223377782162</v>
      </c>
      <c r="S542">
        <f t="shared" si="242"/>
        <v>3.582622337778216E-6</v>
      </c>
      <c r="T542" s="44">
        <f t="shared" si="243"/>
        <v>2.3228516329753718E-4</v>
      </c>
      <c r="U542" s="45">
        <f t="shared" si="262"/>
        <v>6.4291949162598979E-3</v>
      </c>
      <c r="V542" s="45">
        <f t="shared" si="263"/>
        <v>0.15594206624394197</v>
      </c>
      <c r="W542" s="45">
        <f t="shared" si="264"/>
        <v>0.15627544071933239</v>
      </c>
      <c r="X542" s="45">
        <f t="shared" si="265"/>
        <v>-3.3337447539041887E-4</v>
      </c>
      <c r="Y542" s="45">
        <f t="shared" ref="Y542:Y605" si="269">IF((X542*(Q542-Q541)+Y541)&lt;0,0,X542*(Q542-Q541)+Y541)</f>
        <v>6.7698710962622909E-4</v>
      </c>
      <c r="Z542" s="10">
        <f t="shared" si="266"/>
        <v>2.9144655647208393</v>
      </c>
      <c r="AA542">
        <f t="shared" si="244"/>
        <v>1043247.410664339</v>
      </c>
      <c r="AB542" s="10">
        <f t="shared" si="245"/>
        <v>1.043247410664339</v>
      </c>
      <c r="AC542" s="10">
        <f t="shared" si="246"/>
        <v>0.94224741066433904</v>
      </c>
      <c r="AD542" s="3">
        <f t="shared" si="247"/>
        <v>136.65662228634361</v>
      </c>
      <c r="AI542" s="100">
        <f t="shared" si="248"/>
        <v>0.15627544071933239</v>
      </c>
    </row>
    <row r="543" spans="2:35">
      <c r="B543" s="39">
        <f t="shared" si="249"/>
        <v>515</v>
      </c>
      <c r="C543" s="45">
        <f t="shared" si="250"/>
        <v>15.128896882493112</v>
      </c>
      <c r="D543" s="10">
        <f t="shared" si="251"/>
        <v>0.32110311750711773</v>
      </c>
      <c r="E543" s="40">
        <f t="shared" si="252"/>
        <v>47.697793764985768</v>
      </c>
      <c r="F543" s="40">
        <f t="shared" si="253"/>
        <v>48.34</v>
      </c>
      <c r="G543" s="3">
        <f t="shared" si="254"/>
        <v>67.684412470028462</v>
      </c>
      <c r="H543" s="3">
        <f t="shared" si="255"/>
        <v>148.0155219248214</v>
      </c>
      <c r="I543">
        <f t="shared" si="240"/>
        <v>1.4801552192482141E-4</v>
      </c>
      <c r="J543" s="4">
        <f t="shared" si="256"/>
        <v>1791.4020495817576</v>
      </c>
      <c r="K543" s="40">
        <f t="shared" si="257"/>
        <v>12.102798586837595</v>
      </c>
      <c r="L543" s="40">
        <f t="shared" si="241"/>
        <v>0</v>
      </c>
      <c r="M543" s="10">
        <f t="shared" si="258"/>
        <v>1.043247410664339</v>
      </c>
      <c r="N543" s="10">
        <f t="shared" si="267"/>
        <v>8.26</v>
      </c>
      <c r="O543" s="10">
        <f t="shared" si="268"/>
        <v>0.31900000000000001</v>
      </c>
      <c r="P543" s="10">
        <f t="shared" si="259"/>
        <v>8.3723157920158595</v>
      </c>
      <c r="Q543" s="45">
        <f t="shared" si="260"/>
        <v>1.7624993034353285</v>
      </c>
      <c r="R543" s="4">
        <f t="shared" si="261"/>
        <v>3278.651354714038</v>
      </c>
      <c r="S543">
        <f t="shared" si="242"/>
        <v>3.2786513547140382E-6</v>
      </c>
      <c r="T543" s="44">
        <f t="shared" si="243"/>
        <v>2.3258913428060137E-4</v>
      </c>
      <c r="U543" s="45">
        <f t="shared" si="262"/>
        <v>5.8837037886020765E-3</v>
      </c>
      <c r="V543" s="45">
        <f t="shared" si="263"/>
        <v>0.15546522454694889</v>
      </c>
      <c r="W543" s="45">
        <f t="shared" si="264"/>
        <v>0.15580152274231757</v>
      </c>
      <c r="X543" s="45">
        <f t="shared" si="265"/>
        <v>-3.3629819536867833E-4</v>
      </c>
      <c r="Y543" s="45">
        <f t="shared" si="269"/>
        <v>6.7580711787980764E-4</v>
      </c>
      <c r="Z543" s="10">
        <f t="shared" si="266"/>
        <v>2.9055833582685637</v>
      </c>
      <c r="AA543">
        <f t="shared" si="244"/>
        <v>1040375.7912045137</v>
      </c>
      <c r="AB543" s="10">
        <f t="shared" si="245"/>
        <v>1.0403757912045137</v>
      </c>
      <c r="AC543" s="10">
        <f t="shared" si="246"/>
        <v>0.93937579120451375</v>
      </c>
      <c r="AD543" s="3">
        <f t="shared" si="247"/>
        <v>136.24014375699983</v>
      </c>
      <c r="AI543" s="100">
        <f t="shared" si="248"/>
        <v>0.15580152274231757</v>
      </c>
    </row>
    <row r="544" spans="2:35">
      <c r="B544" s="39">
        <f t="shared" si="249"/>
        <v>516</v>
      </c>
      <c r="C544" s="45">
        <f t="shared" si="250"/>
        <v>15.15827338129407</v>
      </c>
      <c r="D544" s="10">
        <f t="shared" si="251"/>
        <v>0.29172661870616068</v>
      </c>
      <c r="E544" s="40">
        <f t="shared" si="252"/>
        <v>47.756546762587682</v>
      </c>
      <c r="F544" s="40">
        <f t="shared" si="253"/>
        <v>48.34</v>
      </c>
      <c r="G544" s="3">
        <f t="shared" si="254"/>
        <v>67.566906474824634</v>
      </c>
      <c r="H544" s="3">
        <f t="shared" si="255"/>
        <v>148.0155219248214</v>
      </c>
      <c r="I544">
        <f t="shared" si="240"/>
        <v>1.4801552192482141E-4</v>
      </c>
      <c r="J544" s="4">
        <f t="shared" si="256"/>
        <v>1795.8067420556124</v>
      </c>
      <c r="K544" s="40">
        <f t="shared" si="257"/>
        <v>12.132556901483083</v>
      </c>
      <c r="L544" s="40">
        <f t="shared" si="241"/>
        <v>0</v>
      </c>
      <c r="M544" s="10">
        <f t="shared" si="258"/>
        <v>1.0403757912045137</v>
      </c>
      <c r="N544" s="10">
        <f t="shared" si="267"/>
        <v>8.26</v>
      </c>
      <c r="O544" s="10">
        <f t="shared" si="268"/>
        <v>0.31900000000000001</v>
      </c>
      <c r="P544" s="10">
        <f t="shared" si="259"/>
        <v>8.3649573929403171</v>
      </c>
      <c r="Q544" s="45">
        <f t="shared" si="260"/>
        <v>1.7660111562064795</v>
      </c>
      <c r="R544" s="4">
        <f t="shared" si="261"/>
        <v>2975.347887905602</v>
      </c>
      <c r="S544">
        <f t="shared" si="242"/>
        <v>2.9753478879056018E-6</v>
      </c>
      <c r="T544" s="44">
        <f t="shared" si="243"/>
        <v>2.3289243774740981E-4</v>
      </c>
      <c r="U544" s="45">
        <f t="shared" si="262"/>
        <v>5.339410552240997E-3</v>
      </c>
      <c r="V544" s="45">
        <f t="shared" si="263"/>
        <v>0.1549874871840593</v>
      </c>
      <c r="W544" s="45">
        <f t="shared" si="264"/>
        <v>0.15532669768096583</v>
      </c>
      <c r="X544" s="45">
        <f t="shared" si="265"/>
        <v>-3.3921049690652239E-4</v>
      </c>
      <c r="Y544" s="45">
        <f t="shared" si="269"/>
        <v>6.7461586055624296E-4</v>
      </c>
      <c r="Z544" s="10">
        <f t="shared" si="266"/>
        <v>2.8966842679877693</v>
      </c>
      <c r="AA544">
        <f t="shared" si="244"/>
        <v>1037498.7131989104</v>
      </c>
      <c r="AB544" s="10">
        <f t="shared" si="245"/>
        <v>1.0374987131989104</v>
      </c>
      <c r="AC544" s="10">
        <f t="shared" si="246"/>
        <v>0.93649871319891043</v>
      </c>
      <c r="AD544" s="3">
        <f t="shared" si="247"/>
        <v>135.82287356039311</v>
      </c>
      <c r="AI544" s="100">
        <f t="shared" si="248"/>
        <v>0.15532669768096583</v>
      </c>
    </row>
    <row r="545" spans="2:35">
      <c r="B545" s="39">
        <f t="shared" si="249"/>
        <v>517</v>
      </c>
      <c r="C545" s="45">
        <f t="shared" si="250"/>
        <v>15.187649880095027</v>
      </c>
      <c r="D545" s="10">
        <f t="shared" si="251"/>
        <v>0.26235011990520363</v>
      </c>
      <c r="E545" s="40">
        <f t="shared" si="252"/>
        <v>47.815299760189596</v>
      </c>
      <c r="F545" s="40">
        <f t="shared" si="253"/>
        <v>48.34</v>
      </c>
      <c r="G545" s="3">
        <f t="shared" si="254"/>
        <v>67.449400479620806</v>
      </c>
      <c r="H545" s="3">
        <f t="shared" si="255"/>
        <v>148.0155219248214</v>
      </c>
      <c r="I545">
        <f t="shared" si="240"/>
        <v>1.4801552192482141E-4</v>
      </c>
      <c r="J545" s="4">
        <f t="shared" si="256"/>
        <v>1800.2168567844406</v>
      </c>
      <c r="K545" s="40">
        <f t="shared" si="257"/>
        <v>12.162351849144505</v>
      </c>
      <c r="L545" s="40">
        <f t="shared" si="241"/>
        <v>0</v>
      </c>
      <c r="M545" s="10">
        <f t="shared" si="258"/>
        <v>1.0374987131989104</v>
      </c>
      <c r="N545" s="10">
        <f t="shared" si="267"/>
        <v>8.26</v>
      </c>
      <c r="O545" s="10">
        <f t="shared" si="268"/>
        <v>0.31900000000000001</v>
      </c>
      <c r="P545" s="10">
        <f t="shared" si="259"/>
        <v>8.3575711225782783</v>
      </c>
      <c r="Q545" s="45">
        <f t="shared" si="260"/>
        <v>1.7695261126896611</v>
      </c>
      <c r="R545" s="4">
        <f t="shared" si="261"/>
        <v>2672.7138487953821</v>
      </c>
      <c r="S545">
        <f t="shared" si="242"/>
        <v>2.6727138487953822E-6</v>
      </c>
      <c r="T545" s="44">
        <f t="shared" si="243"/>
        <v>2.3319507178652004E-4</v>
      </c>
      <c r="U545" s="45">
        <f t="shared" si="262"/>
        <v>4.7963186373557532E-3</v>
      </c>
      <c r="V545" s="45">
        <f t="shared" si="263"/>
        <v>0.15450885878213322</v>
      </c>
      <c r="W545" s="45">
        <f t="shared" si="264"/>
        <v>0.15485097004377826</v>
      </c>
      <c r="X545" s="45">
        <f t="shared" si="265"/>
        <v>-3.4211126164504502E-4</v>
      </c>
      <c r="Y545" s="45">
        <f t="shared" si="269"/>
        <v>6.7341335435915431E-4</v>
      </c>
      <c r="Z545" s="10">
        <f t="shared" si="266"/>
        <v>2.8877683786372423</v>
      </c>
      <c r="AA545">
        <f t="shared" si="244"/>
        <v>1034616.2040500646</v>
      </c>
      <c r="AB545" s="10">
        <f t="shared" si="245"/>
        <v>1.0346162040500646</v>
      </c>
      <c r="AC545" s="10">
        <f t="shared" si="246"/>
        <v>0.93361620405006462</v>
      </c>
      <c r="AD545" s="3">
        <f t="shared" si="247"/>
        <v>135.4048156707853</v>
      </c>
      <c r="AI545" s="100">
        <f t="shared" si="248"/>
        <v>0.15485097004377826</v>
      </c>
    </row>
    <row r="546" spans="2:35">
      <c r="B546" s="39">
        <f t="shared" si="249"/>
        <v>518</v>
      </c>
      <c r="C546" s="45">
        <f t="shared" si="250"/>
        <v>15.217026378895984</v>
      </c>
      <c r="D546" s="10">
        <f t="shared" si="251"/>
        <v>0.23297362110424658</v>
      </c>
      <c r="E546" s="40">
        <f t="shared" si="252"/>
        <v>47.87405275779151</v>
      </c>
      <c r="F546" s="40">
        <f t="shared" si="253"/>
        <v>48.34</v>
      </c>
      <c r="G546" s="3">
        <f t="shared" si="254"/>
        <v>67.331894484416978</v>
      </c>
      <c r="H546" s="3">
        <f t="shared" si="255"/>
        <v>148.0155219248214</v>
      </c>
      <c r="I546">
        <f t="shared" si="240"/>
        <v>1.4801552192482141E-4</v>
      </c>
      <c r="J546" s="4">
        <f t="shared" si="256"/>
        <v>1804.632393768243</v>
      </c>
      <c r="K546" s="40">
        <f t="shared" si="257"/>
        <v>12.192183429821869</v>
      </c>
      <c r="L546" s="40">
        <f t="shared" si="241"/>
        <v>0</v>
      </c>
      <c r="M546" s="10">
        <f t="shared" si="258"/>
        <v>1.0346162040500646</v>
      </c>
      <c r="N546" s="10">
        <f t="shared" si="267"/>
        <v>8.26</v>
      </c>
      <c r="O546" s="10">
        <f t="shared" si="268"/>
        <v>0.31900000000000001</v>
      </c>
      <c r="P546" s="10">
        <f t="shared" si="259"/>
        <v>8.3501569073513195</v>
      </c>
      <c r="Q546" s="45">
        <f t="shared" si="260"/>
        <v>1.7730441901493907</v>
      </c>
      <c r="R546" s="4">
        <f t="shared" si="261"/>
        <v>2370.7511488257064</v>
      </c>
      <c r="S546">
        <f t="shared" si="242"/>
        <v>2.3707511488257064E-6</v>
      </c>
      <c r="T546" s="44">
        <f t="shared" si="243"/>
        <v>2.3349703448648972E-4</v>
      </c>
      <c r="U546" s="45">
        <f t="shared" si="262"/>
        <v>4.2544314741251709E-3</v>
      </c>
      <c r="V546" s="45">
        <f t="shared" si="263"/>
        <v>0.15402934399068743</v>
      </c>
      <c r="W546" s="45">
        <f t="shared" si="264"/>
        <v>0.15437434436179076</v>
      </c>
      <c r="X546" s="45">
        <f t="shared" si="265"/>
        <v>-3.4500037110332671E-4</v>
      </c>
      <c r="Y546" s="45">
        <f t="shared" si="269"/>
        <v>6.7219961632997735E-4</v>
      </c>
      <c r="Z546" s="10">
        <f t="shared" si="266"/>
        <v>2.8788357754019835</v>
      </c>
      <c r="AA546">
        <f t="shared" si="244"/>
        <v>1031728.2912983074</v>
      </c>
      <c r="AB546" s="10">
        <f t="shared" si="245"/>
        <v>1.0317282912983075</v>
      </c>
      <c r="AC546" s="10">
        <f t="shared" si="246"/>
        <v>0.93072829129830748</v>
      </c>
      <c r="AD546" s="3">
        <f t="shared" si="247"/>
        <v>134.98597408242313</v>
      </c>
      <c r="AI546" s="100">
        <f t="shared" si="248"/>
        <v>0.15437434436179076</v>
      </c>
    </row>
    <row r="547" spans="2:35">
      <c r="B547" s="39">
        <f t="shared" si="249"/>
        <v>519</v>
      </c>
      <c r="C547" s="45">
        <f t="shared" si="250"/>
        <v>15.246402877696941</v>
      </c>
      <c r="D547" s="10">
        <f t="shared" si="251"/>
        <v>0.20359712230328952</v>
      </c>
      <c r="E547" s="40">
        <f t="shared" si="252"/>
        <v>47.932805755393424</v>
      </c>
      <c r="F547" s="40">
        <f t="shared" si="253"/>
        <v>48.34</v>
      </c>
      <c r="G547" s="3">
        <f t="shared" si="254"/>
        <v>67.21438848921315</v>
      </c>
      <c r="H547" s="3">
        <f t="shared" si="255"/>
        <v>148.0155219248214</v>
      </c>
      <c r="I547">
        <f t="shared" si="240"/>
        <v>1.4801552192482141E-4</v>
      </c>
      <c r="J547" s="4">
        <f t="shared" si="256"/>
        <v>1809.053353007019</v>
      </c>
      <c r="K547" s="40">
        <f t="shared" si="257"/>
        <v>12.22205164351517</v>
      </c>
      <c r="L547" s="40">
        <f t="shared" si="241"/>
        <v>0</v>
      </c>
      <c r="M547" s="10">
        <f t="shared" si="258"/>
        <v>1.0317282912983075</v>
      </c>
      <c r="N547" s="10">
        <f t="shared" si="267"/>
        <v>8.26</v>
      </c>
      <c r="O547" s="10">
        <f t="shared" si="268"/>
        <v>0.31900000000000001</v>
      </c>
      <c r="P547" s="10">
        <f t="shared" si="259"/>
        <v>8.342714673195335</v>
      </c>
      <c r="Q547" s="45">
        <f t="shared" si="260"/>
        <v>1.7765654059588374</v>
      </c>
      <c r="R547" s="4">
        <f t="shared" si="261"/>
        <v>2069.4616994390244</v>
      </c>
      <c r="S547">
        <f t="shared" si="242"/>
        <v>2.0694616994390243E-6</v>
      </c>
      <c r="T547" s="44">
        <f t="shared" si="243"/>
        <v>2.337983239358764E-4</v>
      </c>
      <c r="U547" s="45">
        <f t="shared" si="262"/>
        <v>3.7137524927283012E-3</v>
      </c>
      <c r="V547" s="45">
        <f t="shared" si="263"/>
        <v>0.15354894748181799</v>
      </c>
      <c r="W547" s="45">
        <f t="shared" si="264"/>
        <v>0.15389682518882375</v>
      </c>
      <c r="X547" s="45">
        <f t="shared" si="265"/>
        <v>-3.4787770700575593E-4</v>
      </c>
      <c r="Y547" s="45">
        <f t="shared" si="269"/>
        <v>6.7097466384831461E-4</v>
      </c>
      <c r="Z547" s="10">
        <f t="shared" si="266"/>
        <v>2.8698865438930268</v>
      </c>
      <c r="AA547">
        <f t="shared" si="244"/>
        <v>1028835.0026217063</v>
      </c>
      <c r="AB547" s="10">
        <f t="shared" si="245"/>
        <v>1.0288350026217064</v>
      </c>
      <c r="AC547" s="10">
        <f t="shared" si="246"/>
        <v>0.92783500262170637</v>
      </c>
      <c r="AD547" s="3">
        <f t="shared" si="247"/>
        <v>134.56635280952958</v>
      </c>
      <c r="AI547" s="100">
        <f t="shared" si="248"/>
        <v>0.15389682518882375</v>
      </c>
    </row>
    <row r="548" spans="2:35">
      <c r="B548" s="39">
        <f t="shared" si="249"/>
        <v>520</v>
      </c>
      <c r="C548" s="45">
        <f t="shared" si="250"/>
        <v>15.275779376497898</v>
      </c>
      <c r="D548" s="10">
        <f t="shared" si="251"/>
        <v>0.17422062350233247</v>
      </c>
      <c r="E548" s="40">
        <f t="shared" si="252"/>
        <v>47.991558752995338</v>
      </c>
      <c r="F548" s="40">
        <f t="shared" si="253"/>
        <v>48.34</v>
      </c>
      <c r="G548" s="3">
        <f t="shared" si="254"/>
        <v>67.096882494009321</v>
      </c>
      <c r="H548" s="3">
        <f t="shared" si="255"/>
        <v>148.0155219248214</v>
      </c>
      <c r="I548">
        <f t="shared" si="240"/>
        <v>1.4801552192482141E-4</v>
      </c>
      <c r="J548" s="4">
        <f t="shared" si="256"/>
        <v>1813.4797345007689</v>
      </c>
      <c r="K548" s="40">
        <f t="shared" si="257"/>
        <v>12.25195649022441</v>
      </c>
      <c r="L548" s="40">
        <f t="shared" si="241"/>
        <v>0</v>
      </c>
      <c r="M548" s="10">
        <f t="shared" si="258"/>
        <v>1.0288350026217064</v>
      </c>
      <c r="N548" s="10">
        <f t="shared" si="267"/>
        <v>8.26</v>
      </c>
      <c r="O548" s="10">
        <f t="shared" si="268"/>
        <v>0.31900000000000001</v>
      </c>
      <c r="P548" s="10">
        <f t="shared" si="259"/>
        <v>8.3352443455547984</v>
      </c>
      <c r="Q548" s="45">
        <f t="shared" si="260"/>
        <v>1.7800897776008786</v>
      </c>
      <c r="R548" s="4">
        <f t="shared" si="261"/>
        <v>1768.8474120777357</v>
      </c>
      <c r="S548">
        <f t="shared" si="242"/>
        <v>1.7688474120777358E-6</v>
      </c>
      <c r="T548" s="44">
        <f t="shared" si="243"/>
        <v>2.3409893822323767E-4</v>
      </c>
      <c r="U548" s="45">
        <f t="shared" si="262"/>
        <v>3.1742851233441008E-3</v>
      </c>
      <c r="V548" s="45">
        <f t="shared" si="263"/>
        <v>0.15306767395045631</v>
      </c>
      <c r="W548" s="45">
        <f t="shared" si="264"/>
        <v>0.15341841710147258</v>
      </c>
      <c r="X548" s="45">
        <f t="shared" si="265"/>
        <v>-3.5074315101626952E-4</v>
      </c>
      <c r="Y548" s="45">
        <f t="shared" si="269"/>
        <v>6.6973851463323264E-4</v>
      </c>
      <c r="Z548" s="10">
        <f t="shared" si="266"/>
        <v>2.8609207701513251</v>
      </c>
      <c r="AA548">
        <f t="shared" si="244"/>
        <v>1025936.3658373222</v>
      </c>
      <c r="AB548" s="10">
        <f t="shared" si="245"/>
        <v>1.0259363658373222</v>
      </c>
      <c r="AC548" s="10">
        <f t="shared" si="246"/>
        <v>0.92493636583732219</v>
      </c>
      <c r="AD548" s="3">
        <f t="shared" si="247"/>
        <v>134.14595588648618</v>
      </c>
      <c r="AI548" s="100">
        <f t="shared" si="248"/>
        <v>0.15341841710147258</v>
      </c>
    </row>
    <row r="549" spans="2:35">
      <c r="B549" s="39">
        <f t="shared" si="249"/>
        <v>521</v>
      </c>
      <c r="C549" s="45">
        <f t="shared" si="250"/>
        <v>15.305155875298855</v>
      </c>
      <c r="D549" s="10">
        <f t="shared" si="251"/>
        <v>0.14484412470137542</v>
      </c>
      <c r="E549" s="40">
        <f t="shared" si="252"/>
        <v>48.050311750597253</v>
      </c>
      <c r="F549" s="40">
        <f t="shared" si="253"/>
        <v>48.34</v>
      </c>
      <c r="G549" s="3">
        <f t="shared" si="254"/>
        <v>66.979376498805493</v>
      </c>
      <c r="H549" s="3">
        <f t="shared" si="255"/>
        <v>148.0155219248214</v>
      </c>
      <c r="I549">
        <f t="shared" si="240"/>
        <v>1.4801552192482141E-4</v>
      </c>
      <c r="J549" s="4">
        <f t="shared" si="256"/>
        <v>1817.9115382494929</v>
      </c>
      <c r="K549" s="40">
        <f t="shared" si="257"/>
        <v>12.28189796994959</v>
      </c>
      <c r="L549" s="40">
        <f t="shared" si="241"/>
        <v>0</v>
      </c>
      <c r="M549" s="10">
        <f t="shared" si="258"/>
        <v>1.0259363658373222</v>
      </c>
      <c r="N549" s="10">
        <f t="shared" si="267"/>
        <v>8.26</v>
      </c>
      <c r="O549" s="10">
        <f t="shared" si="268"/>
        <v>0.31900000000000001</v>
      </c>
      <c r="P549" s="10">
        <f t="shared" si="259"/>
        <v>8.3277458493804044</v>
      </c>
      <c r="Q549" s="45">
        <f t="shared" si="260"/>
        <v>1.7836173226691689</v>
      </c>
      <c r="R549" s="4">
        <f t="shared" si="261"/>
        <v>1468.9101981842184</v>
      </c>
      <c r="S549">
        <f t="shared" si="242"/>
        <v>1.4689101981842184E-6</v>
      </c>
      <c r="T549" s="44">
        <f t="shared" si="243"/>
        <v>2.3439887543713118E-4</v>
      </c>
      <c r="U549" s="45">
        <f t="shared" si="262"/>
        <v>2.6360327961514889E-3</v>
      </c>
      <c r="V549" s="45">
        <f t="shared" si="263"/>
        <v>0.15258552811445197</v>
      </c>
      <c r="W549" s="45">
        <f t="shared" si="264"/>
        <v>0.15293912469931512</v>
      </c>
      <c r="X549" s="45">
        <f t="shared" si="265"/>
        <v>-3.5359658486314172E-4</v>
      </c>
      <c r="Y549" s="45">
        <f t="shared" si="269"/>
        <v>6.6849118674413438E-4</v>
      </c>
      <c r="Z549" s="10">
        <f t="shared" si="266"/>
        <v>2.8519385406498352</v>
      </c>
      <c r="AA549">
        <f t="shared" si="244"/>
        <v>1023032.4089018825</v>
      </c>
      <c r="AB549" s="10">
        <f t="shared" si="245"/>
        <v>1.0230324089018825</v>
      </c>
      <c r="AC549" s="10">
        <f t="shared" si="246"/>
        <v>0.92203240890188254</v>
      </c>
      <c r="AD549" s="3">
        <f t="shared" si="247"/>
        <v>133.72478736793076</v>
      </c>
      <c r="AI549" s="100">
        <f t="shared" si="248"/>
        <v>0.15293912469931512</v>
      </c>
    </row>
    <row r="550" spans="2:35">
      <c r="B550" s="39">
        <f t="shared" si="249"/>
        <v>522</v>
      </c>
      <c r="C550" s="45">
        <f t="shared" si="250"/>
        <v>15.334532374099812</v>
      </c>
      <c r="D550" s="10">
        <f t="shared" si="251"/>
        <v>0.11546762590041837</v>
      </c>
      <c r="E550" s="40">
        <f t="shared" si="252"/>
        <v>48.109064748199167</v>
      </c>
      <c r="F550" s="40">
        <f t="shared" si="253"/>
        <v>48.34</v>
      </c>
      <c r="G550" s="3">
        <f t="shared" si="254"/>
        <v>66.861870503601665</v>
      </c>
      <c r="H550" s="3">
        <f t="shared" si="255"/>
        <v>148.0155219248214</v>
      </c>
      <c r="I550">
        <f t="shared" si="240"/>
        <v>1.4801552192482141E-4</v>
      </c>
      <c r="J550" s="4">
        <f t="shared" si="256"/>
        <v>1822.3487642531909</v>
      </c>
      <c r="K550" s="40">
        <f t="shared" si="257"/>
        <v>12.311876082690709</v>
      </c>
      <c r="L550" s="40">
        <f t="shared" si="241"/>
        <v>0</v>
      </c>
      <c r="M550" s="10">
        <f t="shared" si="258"/>
        <v>1.0230324089018825</v>
      </c>
      <c r="N550" s="10">
        <f t="shared" si="267"/>
        <v>8.26</v>
      </c>
      <c r="O550" s="10">
        <f t="shared" si="268"/>
        <v>0.31900000000000001</v>
      </c>
      <c r="P550" s="10">
        <f t="shared" si="259"/>
        <v>8.3202191091251478</v>
      </c>
      <c r="Q550" s="45">
        <f t="shared" si="260"/>
        <v>1.7871480588692217</v>
      </c>
      <c r="R550" s="4">
        <f t="shared" si="261"/>
        <v>1169.6519692008728</v>
      </c>
      <c r="S550">
        <f t="shared" si="242"/>
        <v>1.1696519692008727E-6</v>
      </c>
      <c r="T550" s="44">
        <f t="shared" si="243"/>
        <v>2.3469813366611454E-4</v>
      </c>
      <c r="U550" s="45">
        <f t="shared" si="262"/>
        <v>2.0989989413294262E-3</v>
      </c>
      <c r="V550" s="45">
        <f t="shared" si="263"/>
        <v>0.1521025147146485</v>
      </c>
      <c r="W550" s="45">
        <f t="shared" si="264"/>
        <v>0.15245895260502343</v>
      </c>
      <c r="X550" s="45">
        <f t="shared" si="265"/>
        <v>-3.5643789037492768E-4</v>
      </c>
      <c r="Y550" s="45">
        <f t="shared" si="269"/>
        <v>6.672326985815172E-4</v>
      </c>
      <c r="Z550" s="10">
        <f t="shared" si="266"/>
        <v>2.8429399422951249</v>
      </c>
      <c r="AA550">
        <f t="shared" si="244"/>
        <v>1020123.1599123009</v>
      </c>
      <c r="AB550" s="10">
        <f t="shared" si="245"/>
        <v>1.0201231599123008</v>
      </c>
      <c r="AC550" s="10">
        <f t="shared" si="246"/>
        <v>0.91912315991230087</v>
      </c>
      <c r="AD550" s="3">
        <f t="shared" si="247"/>
        <v>133.30285132883262</v>
      </c>
      <c r="AI550" s="100">
        <f t="shared" si="248"/>
        <v>0.15245895260502343</v>
      </c>
    </row>
    <row r="551" spans="2:35">
      <c r="B551" s="39">
        <f t="shared" si="249"/>
        <v>523</v>
      </c>
      <c r="C551" s="45">
        <f t="shared" si="250"/>
        <v>15.363908872900769</v>
      </c>
      <c r="D551" s="10">
        <f t="shared" si="251"/>
        <v>8.6091127099461318E-2</v>
      </c>
      <c r="E551" s="40">
        <f t="shared" si="252"/>
        <v>48.167817745801081</v>
      </c>
      <c r="F551" s="40">
        <f t="shared" si="253"/>
        <v>48.34</v>
      </c>
      <c r="G551" s="3">
        <f t="shared" si="254"/>
        <v>66.744364508397837</v>
      </c>
      <c r="H551" s="3">
        <f t="shared" si="255"/>
        <v>148.0155219248214</v>
      </c>
      <c r="I551">
        <f t="shared" ref="I551:I614" si="270">H551/1000^2</f>
        <v>1.4801552192482141E-4</v>
      </c>
      <c r="J551" s="4">
        <f t="shared" si="256"/>
        <v>1826.7914125118627</v>
      </c>
      <c r="K551" s="40">
        <f t="shared" si="257"/>
        <v>12.341890828447768</v>
      </c>
      <c r="L551" s="40">
        <f t="shared" ref="L551:L614" si="271">IF((gstar-K551)&lt;0,0,gstar-K551)</f>
        <v>0</v>
      </c>
      <c r="M551" s="10">
        <f t="shared" si="258"/>
        <v>1.0201231599123008</v>
      </c>
      <c r="N551" s="10">
        <f t="shared" si="267"/>
        <v>8.26</v>
      </c>
      <c r="O551" s="10">
        <f t="shared" si="268"/>
        <v>0.31900000000000001</v>
      </c>
      <c r="P551" s="10">
        <f t="shared" si="259"/>
        <v>8.3126640487399275</v>
      </c>
      <c r="Q551" s="45">
        <f t="shared" si="260"/>
        <v>1.7906820040195024</v>
      </c>
      <c r="R551" s="4">
        <f t="shared" si="261"/>
        <v>871.0746365701001</v>
      </c>
      <c r="S551">
        <f t="shared" ref="S551:S614" si="272">R551/1000^3</f>
        <v>8.7107463657010009E-7</v>
      </c>
      <c r="T551" s="44">
        <f t="shared" ref="T551:T614" si="273">(vc/1000^3-S551)</f>
        <v>2.3499671099874532E-4</v>
      </c>
      <c r="U551" s="45">
        <f t="shared" si="262"/>
        <v>1.5631869890568731E-3</v>
      </c>
      <c r="V551" s="45">
        <f t="shared" si="263"/>
        <v>0.15161863851508603</v>
      </c>
      <c r="W551" s="45">
        <f t="shared" si="264"/>
        <v>0.15197790546444942</v>
      </c>
      <c r="X551" s="45">
        <f t="shared" si="265"/>
        <v>-3.5926694936339043E-4</v>
      </c>
      <c r="Y551" s="45">
        <f t="shared" si="269"/>
        <v>6.659630688881583E-4</v>
      </c>
      <c r="Z551" s="10">
        <f t="shared" si="266"/>
        <v>2.833925062430827</v>
      </c>
      <c r="AA551">
        <f t="shared" ref="AA551:AA614" si="274">Z551*rat*to+patm*1000000</f>
        <v>1017208.647106795</v>
      </c>
      <c r="AB551" s="10">
        <f t="shared" ref="AB551:AB614" si="275">AA551/1000000</f>
        <v>1.0172086471067949</v>
      </c>
      <c r="AC551" s="10">
        <f t="shared" ref="AC551:AC614" si="276">AB551-patm</f>
        <v>0.91620864710679495</v>
      </c>
      <c r="AD551" s="3">
        <f t="shared" ref="AD551:AD614" si="277">AC551*1000000/6895</f>
        <v>132.88015186465483</v>
      </c>
      <c r="AI551" s="100">
        <f t="shared" ref="AI551:AI614" si="278">($M551-patm)*1000000*$I551/SQRT(rat*to)*SQRT(k)*(2/(k+1))^((k+1)/2/(k-1))</f>
        <v>0.15197790546444942</v>
      </c>
    </row>
    <row r="552" spans="2:35">
      <c r="B552" s="39">
        <f t="shared" ref="B552:B615" si="279">1+B551</f>
        <v>524</v>
      </c>
      <c r="C552" s="45">
        <f t="shared" ref="C552:C615" si="280">xincp+C551</f>
        <v>15.393285371701726</v>
      </c>
      <c r="D552" s="10">
        <f t="shared" ref="D552:D615" si="281">(F552-E552)/2</f>
        <v>5.6714628298504266E-2</v>
      </c>
      <c r="E552" s="40">
        <f t="shared" ref="E552:E615" si="282">E551+ci*2*xincp</f>
        <v>48.226570743402995</v>
      </c>
      <c r="F552" s="40">
        <f t="shared" ref="F552:F615" si="283">F551-osi*2*xincp</f>
        <v>48.34</v>
      </c>
      <c r="G552" s="3">
        <f t="shared" ref="G552:G615" si="284">G551-ei*n*2*xincp</f>
        <v>66.626858513194009</v>
      </c>
      <c r="H552" s="3">
        <f t="shared" ref="H552:H615" si="285">PI()/4*(dto+erate*(two-D552)/two)^2</f>
        <v>148.0155219248214</v>
      </c>
      <c r="I552">
        <f t="shared" si="270"/>
        <v>1.4801552192482141E-4</v>
      </c>
      <c r="J552" s="4">
        <f t="shared" ref="J552:J615" si="286">PI()/4*dc^2-PI()/4*(F552^2-E552^2)</f>
        <v>1831.2394830255084</v>
      </c>
      <c r="K552" s="40">
        <f t="shared" ref="K552:K615" si="287">J552/H552</f>
        <v>12.371942207220766</v>
      </c>
      <c r="L552" s="40">
        <f t="shared" si="271"/>
        <v>0</v>
      </c>
      <c r="M552" s="10">
        <f t="shared" ref="M552:M615" si="288">AB551</f>
        <v>1.0172086471067949</v>
      </c>
      <c r="N552" s="10">
        <f t="shared" si="267"/>
        <v>8.26</v>
      </c>
      <c r="O552" s="10">
        <f t="shared" si="268"/>
        <v>0.31900000000000001</v>
      </c>
      <c r="P552" s="10">
        <f t="shared" ref="P552:P615" si="289">(1+kv*L552)*N552*M552^O552</f>
        <v>8.3050805916706754</v>
      </c>
      <c r="Q552" s="45">
        <f t="shared" ref="Q552:Q615" si="290">xincp/P552+Q551</f>
        <v>1.7942191760525372</v>
      </c>
      <c r="R552" s="4">
        <f t="shared" ref="R552:R615" si="291">PI()/4*(F552^2-E552^2)*G552</f>
        <v>573.1801117343249</v>
      </c>
      <c r="S552">
        <f t="shared" si="272"/>
        <v>5.7318011173432487E-7</v>
      </c>
      <c r="T552" s="44">
        <f t="shared" si="273"/>
        <v>2.3529460552358108E-4</v>
      </c>
      <c r="U552" s="45">
        <f t="shared" ref="U552:U615" si="292">rhopgrain*R552/1000^2</f>
        <v>1.0286003695128326E-3</v>
      </c>
      <c r="V552" s="45">
        <f t="shared" ref="V552:V615" si="293">(U551-U552)/(Q552-Q551)</f>
        <v>0.15113390430303011</v>
      </c>
      <c r="W552" s="45">
        <f t="shared" ref="W552:W615" si="294">IF(V552&lt;AI552,IF(AB551&gt;pbd,AI552,0),AI552)</f>
        <v>0.15149598794680968</v>
      </c>
      <c r="X552" s="45">
        <f t="shared" ref="X552:X615" si="295">V552-W552</f>
        <v>-3.6208364377957047E-4</v>
      </c>
      <c r="Y552" s="45">
        <f t="shared" si="269"/>
        <v>6.6468231674976183E-4</v>
      </c>
      <c r="Z552" s="10">
        <f t="shared" ref="Z552:Z615" si="296">Y552/T552</f>
        <v>2.824893988838804</v>
      </c>
      <c r="AA552">
        <f t="shared" si="274"/>
        <v>1014288.8988652618</v>
      </c>
      <c r="AB552" s="10">
        <f t="shared" si="275"/>
        <v>1.0142888988652619</v>
      </c>
      <c r="AC552" s="10">
        <f t="shared" si="276"/>
        <v>0.91328889886526188</v>
      </c>
      <c r="AD552" s="3">
        <f t="shared" si="277"/>
        <v>132.45669309140854</v>
      </c>
      <c r="AI552" s="100">
        <f t="shared" si="278"/>
        <v>0.15149598794680968</v>
      </c>
    </row>
    <row r="553" spans="2:35">
      <c r="B553" s="39">
        <f t="shared" si="279"/>
        <v>525</v>
      </c>
      <c r="C553" s="45">
        <f t="shared" si="280"/>
        <v>15.422661870502683</v>
      </c>
      <c r="D553" s="10">
        <f t="shared" si="281"/>
        <v>2.7338129497547214E-2</v>
      </c>
      <c r="E553" s="40">
        <f t="shared" si="282"/>
        <v>48.285323741004909</v>
      </c>
      <c r="F553" s="40">
        <f t="shared" si="283"/>
        <v>48.34</v>
      </c>
      <c r="G553" s="3">
        <f t="shared" si="284"/>
        <v>66.50935251799018</v>
      </c>
      <c r="H553" s="3">
        <f t="shared" si="285"/>
        <v>148.0155219248214</v>
      </c>
      <c r="I553">
        <f t="shared" si="270"/>
        <v>1.4801552192482141E-4</v>
      </c>
      <c r="J553" s="4">
        <f t="shared" si="286"/>
        <v>1835.6929757941282</v>
      </c>
      <c r="K553" s="40">
        <f t="shared" si="287"/>
        <v>12.402030219009703</v>
      </c>
      <c r="L553" s="40">
        <f t="shared" si="271"/>
        <v>0</v>
      </c>
      <c r="M553" s="10">
        <f t="shared" si="288"/>
        <v>1.0142888988652619</v>
      </c>
      <c r="N553" s="10">
        <f t="shared" si="267"/>
        <v>8.26</v>
      </c>
      <c r="O553" s="10">
        <f t="shared" si="268"/>
        <v>0.31900000000000001</v>
      </c>
      <c r="P553" s="10">
        <f t="shared" si="289"/>
        <v>8.2974686608534824</v>
      </c>
      <c r="Q553" s="45">
        <f t="shared" si="290"/>
        <v>1.7977595930160326</v>
      </c>
      <c r="R553" s="4">
        <f t="shared" si="291"/>
        <v>275.9703061359242</v>
      </c>
      <c r="S553">
        <f t="shared" si="272"/>
        <v>2.7597030613592422E-7</v>
      </c>
      <c r="T553" s="44">
        <f t="shared" si="273"/>
        <v>2.355918153291795E-4</v>
      </c>
      <c r="U553" s="45">
        <f t="shared" si="292"/>
        <v>4.9524251287622273E-4</v>
      </c>
      <c r="V553" s="45">
        <f t="shared" si="293"/>
        <v>0.15064831688921634</v>
      </c>
      <c r="W553" s="45">
        <f t="shared" si="294"/>
        <v>0.15101320474474778</v>
      </c>
      <c r="X553" s="45">
        <f t="shared" si="295"/>
        <v>-3.6488785553143166E-4</v>
      </c>
      <c r="Y553" s="45">
        <f t="shared" si="269"/>
        <v>6.6339046159626493E-4</v>
      </c>
      <c r="Z553" s="10">
        <f t="shared" si="296"/>
        <v>2.8158468097431393</v>
      </c>
      <c r="AA553">
        <f t="shared" si="274"/>
        <v>1011363.9437105684</v>
      </c>
      <c r="AB553" s="10">
        <f t="shared" si="275"/>
        <v>1.0113639437105684</v>
      </c>
      <c r="AC553" s="10">
        <f t="shared" si="276"/>
        <v>0.91036394371056839</v>
      </c>
      <c r="AD553" s="3">
        <f t="shared" si="277"/>
        <v>132.03247914584023</v>
      </c>
      <c r="AI553" s="100">
        <f t="shared" si="278"/>
        <v>0.15101320474474778</v>
      </c>
    </row>
    <row r="554" spans="2:35">
      <c r="B554" s="39">
        <f t="shared" si="279"/>
        <v>526</v>
      </c>
      <c r="C554" s="45">
        <f t="shared" si="280"/>
        <v>15.45203836930364</v>
      </c>
      <c r="D554" s="10">
        <f t="shared" si="281"/>
        <v>-2.0383693034098371E-3</v>
      </c>
      <c r="E554" s="40">
        <f t="shared" si="282"/>
        <v>48.344076738606823</v>
      </c>
      <c r="F554" s="40">
        <f t="shared" si="283"/>
        <v>48.34</v>
      </c>
      <c r="G554" s="3">
        <f t="shared" si="284"/>
        <v>66.391846522786352</v>
      </c>
      <c r="H554" s="3">
        <f t="shared" si="285"/>
        <v>148.0155219248214</v>
      </c>
      <c r="I554">
        <f t="shared" si="270"/>
        <v>1.4801552192482141E-4</v>
      </c>
      <c r="J554" s="4">
        <f t="shared" si="286"/>
        <v>1840.1518908177216</v>
      </c>
      <c r="K554" s="40">
        <f t="shared" si="287"/>
        <v>12.432154863814578</v>
      </c>
      <c r="L554" s="40">
        <f t="shared" si="271"/>
        <v>0</v>
      </c>
      <c r="M554" s="10">
        <f t="shared" si="288"/>
        <v>1.0113639437105684</v>
      </c>
      <c r="N554" s="10">
        <f t="shared" si="267"/>
        <v>8.26</v>
      </c>
      <c r="O554" s="10">
        <f t="shared" si="268"/>
        <v>0.31900000000000001</v>
      </c>
      <c r="P554" s="10">
        <f t="shared" si="289"/>
        <v>8.2898281787120602</v>
      </c>
      <c r="Q554" s="45">
        <f t="shared" si="290"/>
        <v>1.8013032730740097</v>
      </c>
      <c r="R554" s="4">
        <f t="shared" si="291"/>
        <v>-20.552868782677383</v>
      </c>
      <c r="S554">
        <f t="shared" si="272"/>
        <v>-2.0552868782677382E-8</v>
      </c>
      <c r="T554" s="44">
        <f t="shared" si="273"/>
        <v>2.3588833850409809E-4</v>
      </c>
      <c r="U554" s="45">
        <f t="shared" si="292"/>
        <v>-3.6883150673953693E-5</v>
      </c>
      <c r="V554" s="45">
        <f t="shared" si="293"/>
        <v>0.15016188110783804</v>
      </c>
      <c r="W554" s="45">
        <f t="shared" si="294"/>
        <v>0.15052956057454739</v>
      </c>
      <c r="X554" s="45">
        <f t="shared" si="295"/>
        <v>-3.6767946670934748E-4</v>
      </c>
      <c r="Y554" s="45">
        <f t="shared" si="269"/>
        <v>6.6208752320235937E-4</v>
      </c>
      <c r="Z554" s="10">
        <f t="shared" si="296"/>
        <v>2.8067836138108069</v>
      </c>
      <c r="AA554">
        <f t="shared" si="274"/>
        <v>1008433.8103087686</v>
      </c>
      <c r="AB554" s="10">
        <f t="shared" si="275"/>
        <v>1.0084338103087687</v>
      </c>
      <c r="AC554" s="10">
        <f t="shared" si="276"/>
        <v>0.90743381030876868</v>
      </c>
      <c r="AD554" s="3">
        <f t="shared" si="277"/>
        <v>131.60751418546317</v>
      </c>
      <c r="AI554" s="100">
        <f t="shared" si="278"/>
        <v>0.15052956057454739</v>
      </c>
    </row>
    <row r="555" spans="2:35">
      <c r="B555" s="39">
        <f t="shared" si="279"/>
        <v>527</v>
      </c>
      <c r="C555" s="45">
        <f t="shared" si="280"/>
        <v>15.481414868104597</v>
      </c>
      <c r="D555" s="10">
        <f t="shared" si="281"/>
        <v>-3.1414868104366889E-2</v>
      </c>
      <c r="E555" s="40">
        <f t="shared" si="282"/>
        <v>48.402829736208737</v>
      </c>
      <c r="F555" s="40">
        <f t="shared" si="283"/>
        <v>48.34</v>
      </c>
      <c r="G555" s="3">
        <f t="shared" si="284"/>
        <v>66.274340527582524</v>
      </c>
      <c r="H555" s="3">
        <f t="shared" si="285"/>
        <v>148.0155219248214</v>
      </c>
      <c r="I555">
        <f t="shared" si="270"/>
        <v>1.4801552192482141E-4</v>
      </c>
      <c r="J555" s="4">
        <f t="shared" si="286"/>
        <v>1844.616228096289</v>
      </c>
      <c r="K555" s="40">
        <f t="shared" si="287"/>
        <v>12.462316141635393</v>
      </c>
      <c r="L555" s="40">
        <f t="shared" si="271"/>
        <v>0</v>
      </c>
      <c r="M555" s="10">
        <f t="shared" si="288"/>
        <v>1.0084338103087687</v>
      </c>
      <c r="N555" s="10">
        <f t="shared" si="267"/>
        <v>8.26</v>
      </c>
      <c r="O555" s="10">
        <f t="shared" si="268"/>
        <v>0.31900000000000001</v>
      </c>
      <c r="P555" s="10">
        <f t="shared" si="289"/>
        <v>8.2821590671523442</v>
      </c>
      <c r="Q555" s="45">
        <f t="shared" si="290"/>
        <v>1.8048502345079511</v>
      </c>
      <c r="R555" s="4">
        <f t="shared" si="291"/>
        <v>-316.3875015791026</v>
      </c>
      <c r="S555">
        <f t="shared" si="272"/>
        <v>-3.1638750157910259E-7</v>
      </c>
      <c r="T555" s="44">
        <f t="shared" si="273"/>
        <v>2.3618417313689451E-4</v>
      </c>
      <c r="U555" s="45">
        <f t="shared" si="292"/>
        <v>-5.6777319095877856E-4</v>
      </c>
      <c r="V555" s="45">
        <f t="shared" si="293"/>
        <v>0.14967460181682823</v>
      </c>
      <c r="W555" s="45">
        <f t="shared" si="294"/>
        <v>0.15004506017616828</v>
      </c>
      <c r="X555" s="45">
        <f t="shared" si="295"/>
        <v>-3.7045835934004789E-4</v>
      </c>
      <c r="Y555" s="45">
        <f t="shared" si="269"/>
        <v>6.6077352168889903E-4</v>
      </c>
      <c r="Z555" s="10">
        <f t="shared" si="296"/>
        <v>2.7977044901561148</v>
      </c>
      <c r="AA555">
        <f t="shared" si="274"/>
        <v>1005498.5274705396</v>
      </c>
      <c r="AB555" s="10">
        <f t="shared" si="275"/>
        <v>1.0054985274705395</v>
      </c>
      <c r="AC555" s="10">
        <f t="shared" si="276"/>
        <v>0.90449852747053949</v>
      </c>
      <c r="AD555" s="3">
        <f t="shared" si="277"/>
        <v>131.1818023887657</v>
      </c>
      <c r="AI555" s="100">
        <f t="shared" si="278"/>
        <v>0.15004506017616828</v>
      </c>
    </row>
    <row r="556" spans="2:35">
      <c r="B556" s="39">
        <f t="shared" si="279"/>
        <v>528</v>
      </c>
      <c r="C556" s="45">
        <f t="shared" si="280"/>
        <v>15.510791366905554</v>
      </c>
      <c r="D556" s="10">
        <f t="shared" si="281"/>
        <v>-6.079136690532394E-2</v>
      </c>
      <c r="E556" s="40">
        <f t="shared" si="282"/>
        <v>48.461582733810651</v>
      </c>
      <c r="F556" s="40">
        <f t="shared" si="283"/>
        <v>48.34</v>
      </c>
      <c r="G556" s="3">
        <f t="shared" si="284"/>
        <v>66.156834532378696</v>
      </c>
      <c r="H556" s="3">
        <f t="shared" si="285"/>
        <v>148.0155219248214</v>
      </c>
      <c r="I556">
        <f t="shared" si="270"/>
        <v>1.4801552192482141E-4</v>
      </c>
      <c r="J556" s="4">
        <f t="shared" si="286"/>
        <v>1849.0859876298305</v>
      </c>
      <c r="K556" s="40">
        <f t="shared" si="287"/>
        <v>12.492514052472147</v>
      </c>
      <c r="L556" s="40">
        <f t="shared" si="271"/>
        <v>0</v>
      </c>
      <c r="M556" s="10">
        <f t="shared" si="288"/>
        <v>1.0054985274705395</v>
      </c>
      <c r="N556" s="10">
        <f t="shared" si="267"/>
        <v>8.26</v>
      </c>
      <c r="O556" s="10">
        <f t="shared" si="268"/>
        <v>0.31900000000000001</v>
      </c>
      <c r="P556" s="10">
        <f t="shared" si="289"/>
        <v>8.2744612475602342</v>
      </c>
      <c r="Q556" s="45">
        <f t="shared" si="290"/>
        <v>1.8084004957179627</v>
      </c>
      <c r="R556" s="4">
        <f t="shared" si="291"/>
        <v>-611.53168081095055</v>
      </c>
      <c r="S556">
        <f t="shared" si="272"/>
        <v>-6.1153168081095054E-7</v>
      </c>
      <c r="T556" s="44">
        <f t="shared" si="273"/>
        <v>2.3647931731612636E-4</v>
      </c>
      <c r="U556" s="45">
        <f t="shared" si="292"/>
        <v>-1.0974241777992914E-3</v>
      </c>
      <c r="V556" s="45">
        <f t="shared" si="293"/>
        <v>0.14918648389783912</v>
      </c>
      <c r="W556" s="45">
        <f t="shared" si="294"/>
        <v>0.14955970831348386</v>
      </c>
      <c r="X556" s="45">
        <f t="shared" si="295"/>
        <v>-3.7322441564474618E-4</v>
      </c>
      <c r="Y556" s="45">
        <f t="shared" si="269"/>
        <v>6.5944847752340621E-4</v>
      </c>
      <c r="Z556" s="10">
        <f t="shared" si="296"/>
        <v>2.7886095283413441</v>
      </c>
      <c r="AA556">
        <f t="shared" si="274"/>
        <v>1002558.1241513877</v>
      </c>
      <c r="AB556" s="10">
        <f t="shared" si="275"/>
        <v>1.0025581241513877</v>
      </c>
      <c r="AC556" s="10">
        <f t="shared" si="276"/>
        <v>0.9015581241513877</v>
      </c>
      <c r="AD556" s="3">
        <f t="shared" si="277"/>
        <v>130.75534795524115</v>
      </c>
      <c r="AI556" s="100">
        <f t="shared" si="278"/>
        <v>0.14955970831348386</v>
      </c>
    </row>
    <row r="557" spans="2:35">
      <c r="B557" s="39">
        <f t="shared" si="279"/>
        <v>529</v>
      </c>
      <c r="C557" s="45">
        <f t="shared" si="280"/>
        <v>15.540167865706511</v>
      </c>
      <c r="D557" s="10">
        <f t="shared" si="281"/>
        <v>-9.0167865706280992E-2</v>
      </c>
      <c r="E557" s="40">
        <f t="shared" si="282"/>
        <v>48.520335731412565</v>
      </c>
      <c r="F557" s="40">
        <f t="shared" si="283"/>
        <v>48.34</v>
      </c>
      <c r="G557" s="3">
        <f t="shared" si="284"/>
        <v>66.039328537174868</v>
      </c>
      <c r="H557" s="3">
        <f t="shared" si="285"/>
        <v>148.0155219248214</v>
      </c>
      <c r="I557">
        <f t="shared" si="270"/>
        <v>1.4801552192482141E-4</v>
      </c>
      <c r="J557" s="4">
        <f t="shared" si="286"/>
        <v>1853.5611694183458</v>
      </c>
      <c r="K557" s="40">
        <f t="shared" si="287"/>
        <v>12.52274859632484</v>
      </c>
      <c r="L557" s="40">
        <f t="shared" si="271"/>
        <v>0</v>
      </c>
      <c r="M557" s="10">
        <f t="shared" si="288"/>
        <v>1.0025581241513877</v>
      </c>
      <c r="N557" s="10">
        <f t="shared" si="267"/>
        <v>8.26</v>
      </c>
      <c r="O557" s="10">
        <f t="shared" si="268"/>
        <v>0.31900000000000001</v>
      </c>
      <c r="P557" s="10">
        <f t="shared" si="289"/>
        <v>8.2667346407960416</v>
      </c>
      <c r="Q557" s="45">
        <f t="shared" si="290"/>
        <v>1.8119540752239487</v>
      </c>
      <c r="R557" s="4">
        <f t="shared" si="291"/>
        <v>-905.98349503579698</v>
      </c>
      <c r="S557">
        <f t="shared" si="272"/>
        <v>-9.0598349503579693E-7</v>
      </c>
      <c r="T557" s="44">
        <f t="shared" si="273"/>
        <v>2.3677376913035122E-4</v>
      </c>
      <c r="U557" s="45">
        <f t="shared" si="292"/>
        <v>-1.6258326810164893E-3</v>
      </c>
      <c r="V557" s="45">
        <f t="shared" si="293"/>
        <v>0.14869753225644561</v>
      </c>
      <c r="W557" s="45">
        <f t="shared" si="294"/>
        <v>0.14907350977431527</v>
      </c>
      <c r="X557" s="45">
        <f t="shared" si="295"/>
        <v>-3.7597751786966338E-4</v>
      </c>
      <c r="Y557" s="45">
        <f t="shared" si="269"/>
        <v>6.5811241152119308E-4</v>
      </c>
      <c r="Z557" s="10">
        <f t="shared" si="296"/>
        <v>2.7794988183800124</v>
      </c>
      <c r="AA557">
        <f t="shared" si="274"/>
        <v>999612.62945270515</v>
      </c>
      <c r="AB557" s="10">
        <f t="shared" si="275"/>
        <v>0.99961262945270513</v>
      </c>
      <c r="AC557" s="10">
        <f t="shared" si="276"/>
        <v>0.89861262945270515</v>
      </c>
      <c r="AD557" s="3">
        <f t="shared" si="277"/>
        <v>130.32815510554099</v>
      </c>
      <c r="AI557" s="100">
        <f t="shared" si="278"/>
        <v>0.14907350977431527</v>
      </c>
    </row>
    <row r="558" spans="2:35">
      <c r="B558" s="39">
        <f t="shared" si="279"/>
        <v>530</v>
      </c>
      <c r="C558" s="45">
        <f t="shared" si="280"/>
        <v>15.569544364507468</v>
      </c>
      <c r="D558" s="10">
        <f t="shared" si="281"/>
        <v>-0.11954436450723804</v>
      </c>
      <c r="E558" s="40">
        <f t="shared" si="282"/>
        <v>48.579088729014479</v>
      </c>
      <c r="F558" s="40">
        <f t="shared" si="283"/>
        <v>48.34</v>
      </c>
      <c r="G558" s="3">
        <f t="shared" si="284"/>
        <v>65.921822541971039</v>
      </c>
      <c r="H558" s="3">
        <f t="shared" si="285"/>
        <v>148.0155219248214</v>
      </c>
      <c r="I558">
        <f t="shared" si="270"/>
        <v>1.4801552192482141E-4</v>
      </c>
      <c r="J558" s="4">
        <f t="shared" si="286"/>
        <v>1858.041773461835</v>
      </c>
      <c r="K558" s="40">
        <f t="shared" si="287"/>
        <v>12.553019773193473</v>
      </c>
      <c r="L558" s="40">
        <f t="shared" si="271"/>
        <v>0</v>
      </c>
      <c r="M558" s="10">
        <f t="shared" si="288"/>
        <v>0.99961262945270513</v>
      </c>
      <c r="N558" s="10">
        <f t="shared" si="267"/>
        <v>8.26</v>
      </c>
      <c r="O558" s="10">
        <f t="shared" si="268"/>
        <v>0.31900000000000001</v>
      </c>
      <c r="P558" s="10">
        <f t="shared" si="289"/>
        <v>8.2589791671911303</v>
      </c>
      <c r="Q558" s="45">
        <f t="shared" si="290"/>
        <v>1.8155109916668011</v>
      </c>
      <c r="R558" s="4">
        <f t="shared" si="291"/>
        <v>-1199.7410328112644</v>
      </c>
      <c r="S558">
        <f t="shared" si="272"/>
        <v>-1.1997410328112643E-6</v>
      </c>
      <c r="T558" s="44">
        <f t="shared" si="273"/>
        <v>2.3706752666812668E-4</v>
      </c>
      <c r="U558" s="45">
        <f t="shared" si="292"/>
        <v>-2.1529952704314541E-3</v>
      </c>
      <c r="V558" s="45">
        <f t="shared" si="293"/>
        <v>0.14820775182231127</v>
      </c>
      <c r="W558" s="45">
        <f t="shared" si="294"/>
        <v>0.14858646937060579</v>
      </c>
      <c r="X558" s="45">
        <f t="shared" si="295"/>
        <v>-3.7871754829452153E-4</v>
      </c>
      <c r="Y558" s="45">
        <f t="shared" si="269"/>
        <v>6.5676534484646759E-4</v>
      </c>
      <c r="Z558" s="10">
        <f t="shared" si="296"/>
        <v>2.7703724507400809</v>
      </c>
      <c r="AA558">
        <f t="shared" si="274"/>
        <v>996662.07262280467</v>
      </c>
      <c r="AB558" s="10">
        <f t="shared" si="275"/>
        <v>0.99666207262280471</v>
      </c>
      <c r="AC558" s="10">
        <f t="shared" si="276"/>
        <v>0.89566207262280473</v>
      </c>
      <c r="AD558" s="3">
        <f t="shared" si="277"/>
        <v>129.90022808162507</v>
      </c>
      <c r="AI558" s="100">
        <f t="shared" si="278"/>
        <v>0.14858646937060579</v>
      </c>
    </row>
    <row r="559" spans="2:35">
      <c r="B559" s="39">
        <f t="shared" si="279"/>
        <v>531</v>
      </c>
      <c r="C559" s="45">
        <f t="shared" si="280"/>
        <v>15.598920863308425</v>
      </c>
      <c r="D559" s="10">
        <f t="shared" si="281"/>
        <v>-0.14892086330819509</v>
      </c>
      <c r="E559" s="40">
        <f t="shared" si="282"/>
        <v>48.637841726616394</v>
      </c>
      <c r="F559" s="40">
        <f t="shared" si="283"/>
        <v>48.34</v>
      </c>
      <c r="G559" s="3">
        <f t="shared" si="284"/>
        <v>65.804316546767211</v>
      </c>
      <c r="H559" s="3">
        <f t="shared" si="285"/>
        <v>148.0155219248214</v>
      </c>
      <c r="I559">
        <f t="shared" si="270"/>
        <v>1.4801552192482141E-4</v>
      </c>
      <c r="J559" s="4">
        <f t="shared" si="286"/>
        <v>1862.5277997602982</v>
      </c>
      <c r="K559" s="40">
        <f t="shared" si="287"/>
        <v>12.583327583078045</v>
      </c>
      <c r="L559" s="40">
        <f t="shared" si="271"/>
        <v>0</v>
      </c>
      <c r="M559" s="10">
        <f t="shared" si="288"/>
        <v>0.99666207262280471</v>
      </c>
      <c r="N559" s="10">
        <f t="shared" si="267"/>
        <v>8.26</v>
      </c>
      <c r="O559" s="10">
        <f t="shared" si="268"/>
        <v>0.31900000000000001</v>
      </c>
      <c r="P559" s="10">
        <f t="shared" si="289"/>
        <v>8.2511947465444138</v>
      </c>
      <c r="Q559" s="45">
        <f t="shared" si="290"/>
        <v>1.8190712638096032</v>
      </c>
      <c r="R559" s="4">
        <f t="shared" si="291"/>
        <v>-1492.8023826949518</v>
      </c>
      <c r="S559">
        <f t="shared" si="272"/>
        <v>-1.4928023826949519E-6</v>
      </c>
      <c r="T559" s="44">
        <f t="shared" si="273"/>
        <v>2.3736058801801036E-4</v>
      </c>
      <c r="U559" s="45">
        <f t="shared" si="292"/>
        <v>-2.6789085158652258E-3</v>
      </c>
      <c r="V559" s="45">
        <f t="shared" si="293"/>
        <v>0.14771714754924789</v>
      </c>
      <c r="W559" s="45">
        <f t="shared" si="294"/>
        <v>0.14809859193859237</v>
      </c>
      <c r="X559" s="45">
        <f t="shared" si="295"/>
        <v>-3.8144438934448188E-4</v>
      </c>
      <c r="Y559" s="45">
        <f t="shared" si="269"/>
        <v>6.5540729901305628E-4</v>
      </c>
      <c r="Z559" s="10">
        <f t="shared" si="296"/>
        <v>2.761230516345559</v>
      </c>
      <c r="AA559">
        <f t="shared" si="274"/>
        <v>993706.48305744084</v>
      </c>
      <c r="AB559" s="10">
        <f t="shared" si="275"/>
        <v>0.9937064830574408</v>
      </c>
      <c r="AC559" s="10">
        <f t="shared" si="276"/>
        <v>0.89270648305744082</v>
      </c>
      <c r="AD559" s="3">
        <f t="shared" si="277"/>
        <v>129.47157114683696</v>
      </c>
      <c r="AI559" s="100">
        <f t="shared" si="278"/>
        <v>0.14809859193859237</v>
      </c>
    </row>
    <row r="560" spans="2:35">
      <c r="B560" s="39">
        <f t="shared" si="279"/>
        <v>532</v>
      </c>
      <c r="C560" s="45">
        <f t="shared" si="280"/>
        <v>15.628297362109382</v>
      </c>
      <c r="D560" s="10">
        <f t="shared" si="281"/>
        <v>-0.17829736210915215</v>
      </c>
      <c r="E560" s="40">
        <f t="shared" si="282"/>
        <v>48.696594724218308</v>
      </c>
      <c r="F560" s="40">
        <f t="shared" si="283"/>
        <v>48.34</v>
      </c>
      <c r="G560" s="3">
        <f t="shared" si="284"/>
        <v>65.686810551563383</v>
      </c>
      <c r="H560" s="3">
        <f t="shared" si="285"/>
        <v>148.0155219248214</v>
      </c>
      <c r="I560">
        <f t="shared" si="270"/>
        <v>1.4801552192482141E-4</v>
      </c>
      <c r="J560" s="4">
        <f t="shared" si="286"/>
        <v>1867.019248313735</v>
      </c>
      <c r="K560" s="40">
        <f t="shared" si="287"/>
        <v>12.613672025978554</v>
      </c>
      <c r="L560" s="40">
        <f t="shared" si="271"/>
        <v>0</v>
      </c>
      <c r="M560" s="10">
        <f t="shared" si="288"/>
        <v>0.9937064830574408</v>
      </c>
      <c r="N560" s="10">
        <f t="shared" si="267"/>
        <v>8.26</v>
      </c>
      <c r="O560" s="10">
        <f t="shared" si="268"/>
        <v>0.31900000000000001</v>
      </c>
      <c r="P560" s="10">
        <f t="shared" si="289"/>
        <v>8.243381298117475</v>
      </c>
      <c r="Q560" s="45">
        <f t="shared" si="290"/>
        <v>1.8226349105388484</v>
      </c>
      <c r="R560" s="4">
        <f t="shared" si="291"/>
        <v>-1785.1656332444347</v>
      </c>
      <c r="S560">
        <f t="shared" si="272"/>
        <v>-1.7851656332444347E-6</v>
      </c>
      <c r="T560" s="44">
        <f t="shared" si="273"/>
        <v>2.3765295126855983E-4</v>
      </c>
      <c r="U560" s="45">
        <f t="shared" si="292"/>
        <v>-3.2035689871387999E-3</v>
      </c>
      <c r="V560" s="45">
        <f t="shared" si="293"/>
        <v>0.14722572441536386</v>
      </c>
      <c r="W560" s="45">
        <f t="shared" si="294"/>
        <v>0.14760988233889144</v>
      </c>
      <c r="X560" s="45">
        <f t="shared" si="295"/>
        <v>-3.8415792352758382E-4</v>
      </c>
      <c r="Y560" s="45">
        <f t="shared" si="269"/>
        <v>6.5403829588536353E-4</v>
      </c>
      <c r="Z560" s="10">
        <f t="shared" si="296"/>
        <v>2.752073106579128</v>
      </c>
      <c r="AA560">
        <f t="shared" si="274"/>
        <v>990745.89030065562</v>
      </c>
      <c r="AB560" s="10">
        <f t="shared" si="275"/>
        <v>0.99074589030065563</v>
      </c>
      <c r="AC560" s="10">
        <f t="shared" si="276"/>
        <v>0.88974589030065565</v>
      </c>
      <c r="AD560" s="3">
        <f t="shared" si="277"/>
        <v>129.04218858602692</v>
      </c>
      <c r="AI560" s="100">
        <f t="shared" si="278"/>
        <v>0.14760988233889144</v>
      </c>
    </row>
    <row r="561" spans="2:35">
      <c r="B561" s="39">
        <f t="shared" si="279"/>
        <v>533</v>
      </c>
      <c r="C561" s="45">
        <f t="shared" si="280"/>
        <v>15.657673860910339</v>
      </c>
      <c r="D561" s="10">
        <f t="shared" si="281"/>
        <v>-0.2076738609101092</v>
      </c>
      <c r="E561" s="40">
        <f t="shared" si="282"/>
        <v>48.755347721820222</v>
      </c>
      <c r="F561" s="40">
        <f t="shared" si="283"/>
        <v>48.34</v>
      </c>
      <c r="G561" s="3">
        <f t="shared" si="284"/>
        <v>65.569304556359555</v>
      </c>
      <c r="H561" s="3">
        <f t="shared" si="285"/>
        <v>148.0155219248214</v>
      </c>
      <c r="I561">
        <f t="shared" si="270"/>
        <v>1.4801552192482141E-4</v>
      </c>
      <c r="J561" s="4">
        <f t="shared" si="286"/>
        <v>1871.5161191221459</v>
      </c>
      <c r="K561" s="40">
        <f t="shared" si="287"/>
        <v>12.644053101895004</v>
      </c>
      <c r="L561" s="40">
        <f t="shared" si="271"/>
        <v>0</v>
      </c>
      <c r="M561" s="10">
        <f t="shared" si="288"/>
        <v>0.99074589030065563</v>
      </c>
      <c r="N561" s="10">
        <f t="shared" si="267"/>
        <v>8.26</v>
      </c>
      <c r="O561" s="10">
        <f t="shared" si="268"/>
        <v>0.31900000000000001</v>
      </c>
      <c r="P561" s="10">
        <f t="shared" si="289"/>
        <v>8.235538740630453</v>
      </c>
      <c r="Q561" s="45">
        <f t="shared" si="290"/>
        <v>1.8262019508656733</v>
      </c>
      <c r="R561" s="4">
        <f t="shared" si="291"/>
        <v>-2076.8288730173363</v>
      </c>
      <c r="S561">
        <f t="shared" si="272"/>
        <v>-2.0768288730173364E-6</v>
      </c>
      <c r="T561" s="44">
        <f t="shared" si="273"/>
        <v>2.3794461450833275E-4</v>
      </c>
      <c r="U561" s="45">
        <f t="shared" si="292"/>
        <v>-3.7269732540732609E-3</v>
      </c>
      <c r="V561" s="45">
        <f t="shared" si="293"/>
        <v>0.14673348742327211</v>
      </c>
      <c r="W561" s="45">
        <f t="shared" si="294"/>
        <v>0.14712034545663905</v>
      </c>
      <c r="X561" s="45">
        <f t="shared" si="295"/>
        <v>-3.8685803336693803E-4</v>
      </c>
      <c r="Y561" s="45">
        <f t="shared" si="269"/>
        <v>6.5265835767958752E-4</v>
      </c>
      <c r="Z561" s="10">
        <f t="shared" si="296"/>
        <v>2.7429003132858534</v>
      </c>
      <c r="AA561">
        <f t="shared" si="274"/>
        <v>987780.32404598116</v>
      </c>
      <c r="AB561" s="10">
        <f t="shared" si="275"/>
        <v>0.98778032404598115</v>
      </c>
      <c r="AC561" s="10">
        <f t="shared" si="276"/>
        <v>0.88678032404598117</v>
      </c>
      <c r="AD561" s="3">
        <f t="shared" si="277"/>
        <v>128.61208470572606</v>
      </c>
      <c r="AI561" s="100">
        <f t="shared" si="278"/>
        <v>0.14712034545663905</v>
      </c>
    </row>
    <row r="562" spans="2:35">
      <c r="B562" s="39">
        <f t="shared" si="279"/>
        <v>534</v>
      </c>
      <c r="C562" s="45">
        <f t="shared" si="280"/>
        <v>15.687050359711296</v>
      </c>
      <c r="D562" s="10">
        <f t="shared" si="281"/>
        <v>-0.23705035971106625</v>
      </c>
      <c r="E562" s="40">
        <f t="shared" si="282"/>
        <v>48.814100719422136</v>
      </c>
      <c r="F562" s="40">
        <f t="shared" si="283"/>
        <v>48.34</v>
      </c>
      <c r="G562" s="3">
        <f t="shared" si="284"/>
        <v>65.451798561155726</v>
      </c>
      <c r="H562" s="3">
        <f t="shared" si="285"/>
        <v>148.0155219248214</v>
      </c>
      <c r="I562">
        <f t="shared" si="270"/>
        <v>1.4801552192482141E-4</v>
      </c>
      <c r="J562" s="4">
        <f t="shared" si="286"/>
        <v>1876.0184121855307</v>
      </c>
      <c r="K562" s="40">
        <f t="shared" si="287"/>
        <v>12.674470810827392</v>
      </c>
      <c r="L562" s="40">
        <f t="shared" si="271"/>
        <v>0</v>
      </c>
      <c r="M562" s="10">
        <f t="shared" si="288"/>
        <v>0.98778032404598115</v>
      </c>
      <c r="N562" s="10">
        <f t="shared" si="267"/>
        <v>8.26</v>
      </c>
      <c r="O562" s="10">
        <f t="shared" si="268"/>
        <v>0.31900000000000001</v>
      </c>
      <c r="P562" s="10">
        <f t="shared" si="289"/>
        <v>8.2276669922588326</v>
      </c>
      <c r="Q562" s="45">
        <f t="shared" si="290"/>
        <v>1.8297724039271057</v>
      </c>
      <c r="R562" s="4">
        <f t="shared" si="291"/>
        <v>-2367.790190571232</v>
      </c>
      <c r="S562">
        <f t="shared" si="272"/>
        <v>-2.367790190571232E-6</v>
      </c>
      <c r="T562" s="44">
        <f t="shared" si="273"/>
        <v>2.3823557582588665E-4</v>
      </c>
      <c r="U562" s="45">
        <f t="shared" si="292"/>
        <v>-4.2491178864896041E-3</v>
      </c>
      <c r="V562" s="45">
        <f t="shared" si="293"/>
        <v>0.14624044160010943</v>
      </c>
      <c r="W562" s="45">
        <f t="shared" si="294"/>
        <v>0.14662998620168952</v>
      </c>
      <c r="X562" s="45">
        <f t="shared" si="295"/>
        <v>-3.8954460158008297E-4</v>
      </c>
      <c r="Y562" s="45">
        <f t="shared" si="269"/>
        <v>6.5126750696431143E-4</v>
      </c>
      <c r="Z562" s="10">
        <f t="shared" si="296"/>
        <v>2.7337122287742921</v>
      </c>
      <c r="AA562">
        <f t="shared" si="274"/>
        <v>984809.81413679547</v>
      </c>
      <c r="AB562" s="10">
        <f t="shared" si="275"/>
        <v>0.98480981413679547</v>
      </c>
      <c r="AC562" s="10">
        <f t="shared" si="276"/>
        <v>0.88380981413679549</v>
      </c>
      <c r="AD562" s="3">
        <f t="shared" si="277"/>
        <v>128.18126383419803</v>
      </c>
      <c r="AI562" s="100">
        <f t="shared" si="278"/>
        <v>0.14662998620168952</v>
      </c>
    </row>
    <row r="563" spans="2:35">
      <c r="B563" s="39">
        <f t="shared" si="279"/>
        <v>535</v>
      </c>
      <c r="C563" s="45">
        <f t="shared" si="280"/>
        <v>15.716426858512254</v>
      </c>
      <c r="D563" s="10">
        <f t="shared" si="281"/>
        <v>-0.2664268585120233</v>
      </c>
      <c r="E563" s="40">
        <f t="shared" si="282"/>
        <v>48.87285371702405</v>
      </c>
      <c r="F563" s="40">
        <f t="shared" si="283"/>
        <v>48.34</v>
      </c>
      <c r="G563" s="3">
        <f t="shared" si="284"/>
        <v>65.334292565951898</v>
      </c>
      <c r="H563" s="3">
        <f t="shared" si="285"/>
        <v>148.0155219248214</v>
      </c>
      <c r="I563">
        <f t="shared" si="270"/>
        <v>1.4801552192482141E-4</v>
      </c>
      <c r="J563" s="4">
        <f t="shared" si="286"/>
        <v>1880.5261275038897</v>
      </c>
      <c r="K563" s="40">
        <f t="shared" si="287"/>
        <v>12.704925152775722</v>
      </c>
      <c r="L563" s="40">
        <f t="shared" si="271"/>
        <v>0</v>
      </c>
      <c r="M563" s="10">
        <f t="shared" si="288"/>
        <v>0.98480981413679547</v>
      </c>
      <c r="N563" s="10">
        <f t="shared" si="267"/>
        <v>8.26</v>
      </c>
      <c r="O563" s="10">
        <f t="shared" si="268"/>
        <v>0.31900000000000001</v>
      </c>
      <c r="P563" s="10">
        <f t="shared" si="289"/>
        <v>8.2197659706279254</v>
      </c>
      <c r="Q563" s="45">
        <f t="shared" si="290"/>
        <v>1.8333462889873289</v>
      </c>
      <c r="R563" s="4">
        <f t="shared" si="291"/>
        <v>-2658.0476744637676</v>
      </c>
      <c r="S563">
        <f t="shared" si="272"/>
        <v>-2.6580476744637676E-6</v>
      </c>
      <c r="T563" s="44">
        <f t="shared" si="273"/>
        <v>2.3852583330977918E-4</v>
      </c>
      <c r="U563" s="45">
        <f t="shared" si="292"/>
        <v>-4.7699994542089539E-3</v>
      </c>
      <c r="V563" s="45">
        <f t="shared" si="293"/>
        <v>0.14574659199779222</v>
      </c>
      <c r="W563" s="45">
        <f t="shared" si="294"/>
        <v>0.14613880950867428</v>
      </c>
      <c r="X563" s="45">
        <f t="shared" si="295"/>
        <v>-3.9221751088205914E-4</v>
      </c>
      <c r="Y563" s="45">
        <f t="shared" si="269"/>
        <v>6.4986576666181217E-4</v>
      </c>
      <c r="Z563" s="10">
        <f t="shared" si="296"/>
        <v>2.7245089458206233</v>
      </c>
      <c r="AA563">
        <f t="shared" si="274"/>
        <v>981834.39056765928</v>
      </c>
      <c r="AB563" s="10">
        <f t="shared" si="275"/>
        <v>0.98183439056765931</v>
      </c>
      <c r="AC563" s="10">
        <f t="shared" si="276"/>
        <v>0.88083439056765933</v>
      </c>
      <c r="AD563" s="3">
        <f t="shared" si="277"/>
        <v>127.74973032163297</v>
      </c>
      <c r="AI563" s="100">
        <f t="shared" si="278"/>
        <v>0.14613880950867428</v>
      </c>
    </row>
    <row r="564" spans="2:35">
      <c r="B564" s="39">
        <f t="shared" si="279"/>
        <v>536</v>
      </c>
      <c r="C564" s="45">
        <f t="shared" si="280"/>
        <v>15.745803357313211</v>
      </c>
      <c r="D564" s="10">
        <f t="shared" si="281"/>
        <v>-0.29580335731298035</v>
      </c>
      <c r="E564" s="40">
        <f t="shared" si="282"/>
        <v>48.931606714625964</v>
      </c>
      <c r="F564" s="40">
        <f t="shared" si="283"/>
        <v>48.34</v>
      </c>
      <c r="G564" s="3">
        <f t="shared" si="284"/>
        <v>65.21678657074807</v>
      </c>
      <c r="H564" s="3">
        <f t="shared" si="285"/>
        <v>148.0155219248214</v>
      </c>
      <c r="I564">
        <f t="shared" si="270"/>
        <v>1.4801552192482141E-4</v>
      </c>
      <c r="J564" s="4">
        <f t="shared" si="286"/>
        <v>1885.0392650772221</v>
      </c>
      <c r="K564" s="40">
        <f t="shared" si="287"/>
        <v>12.735416127739986</v>
      </c>
      <c r="L564" s="40">
        <f t="shared" si="271"/>
        <v>0</v>
      </c>
      <c r="M564" s="10">
        <f t="shared" si="288"/>
        <v>0.98183439056765931</v>
      </c>
      <c r="N564" s="10">
        <f t="shared" si="267"/>
        <v>8.26</v>
      </c>
      <c r="O564" s="10">
        <f t="shared" si="268"/>
        <v>0.31900000000000001</v>
      </c>
      <c r="P564" s="10">
        <f t="shared" si="289"/>
        <v>8.2118355928098783</v>
      </c>
      <c r="Q564" s="45">
        <f t="shared" si="290"/>
        <v>1.8369236254389596</v>
      </c>
      <c r="R564" s="4">
        <f t="shared" si="291"/>
        <v>-2947.599413252472</v>
      </c>
      <c r="S564">
        <f t="shared" si="272"/>
        <v>-2.947599413252472E-6</v>
      </c>
      <c r="T564" s="44">
        <f t="shared" si="273"/>
        <v>2.388153850485679E-4</v>
      </c>
      <c r="U564" s="45">
        <f t="shared" si="292"/>
        <v>-5.2896145270522228E-3</v>
      </c>
      <c r="V564" s="45">
        <f t="shared" si="293"/>
        <v>0.14525194369302438</v>
      </c>
      <c r="W564" s="45">
        <f t="shared" si="294"/>
        <v>0.14564682033722307</v>
      </c>
      <c r="X564" s="45">
        <f t="shared" si="295"/>
        <v>-3.9487664419868285E-4</v>
      </c>
      <c r="Y564" s="45">
        <f t="shared" si="269"/>
        <v>6.4845316004862258E-4</v>
      </c>
      <c r="Z564" s="10">
        <f t="shared" si="296"/>
        <v>2.7152905576696686</v>
      </c>
      <c r="AA564">
        <f t="shared" si="274"/>
        <v>978854.08348464617</v>
      </c>
      <c r="AB564" s="10">
        <f t="shared" si="275"/>
        <v>0.9788540834846462</v>
      </c>
      <c r="AC564" s="10">
        <f t="shared" si="276"/>
        <v>0.87785408348464622</v>
      </c>
      <c r="AD564" s="3">
        <f t="shared" si="277"/>
        <v>127.31748854019524</v>
      </c>
      <c r="AI564" s="100">
        <f t="shared" si="278"/>
        <v>0.14564682033722307</v>
      </c>
    </row>
    <row r="565" spans="2:35">
      <c r="B565" s="39">
        <f t="shared" si="279"/>
        <v>537</v>
      </c>
      <c r="C565" s="45">
        <f t="shared" si="280"/>
        <v>15.775179856114168</v>
      </c>
      <c r="D565" s="10">
        <f t="shared" si="281"/>
        <v>-0.3251798561139374</v>
      </c>
      <c r="E565" s="40">
        <f t="shared" si="282"/>
        <v>48.990359712227878</v>
      </c>
      <c r="F565" s="40">
        <f t="shared" si="283"/>
        <v>48.34</v>
      </c>
      <c r="G565" s="3">
        <f t="shared" si="284"/>
        <v>65.099280575544242</v>
      </c>
      <c r="H565" s="3">
        <f t="shared" si="285"/>
        <v>148.0155219248214</v>
      </c>
      <c r="I565">
        <f t="shared" si="270"/>
        <v>1.4801552192482141E-4</v>
      </c>
      <c r="J565" s="4">
        <f t="shared" si="286"/>
        <v>1889.5578249055288</v>
      </c>
      <c r="K565" s="40">
        <f t="shared" si="287"/>
        <v>12.765943735720194</v>
      </c>
      <c r="L565" s="40">
        <f t="shared" si="271"/>
        <v>0</v>
      </c>
      <c r="M565" s="10">
        <f t="shared" si="288"/>
        <v>0.9788540834846462</v>
      </c>
      <c r="N565" s="10">
        <f t="shared" si="267"/>
        <v>8.26</v>
      </c>
      <c r="O565" s="10">
        <f t="shared" si="268"/>
        <v>0.31900000000000001</v>
      </c>
      <c r="P565" s="10">
        <f t="shared" si="289"/>
        <v>8.2038757753179663</v>
      </c>
      <c r="Q565" s="45">
        <f t="shared" si="290"/>
        <v>1.8405044328043441</v>
      </c>
      <c r="R565" s="4">
        <f t="shared" si="291"/>
        <v>-3236.4434954950143</v>
      </c>
      <c r="S565">
        <f t="shared" si="272"/>
        <v>-3.2364434954950145E-6</v>
      </c>
      <c r="T565" s="44">
        <f t="shared" si="273"/>
        <v>2.3910422913081043E-4</v>
      </c>
      <c r="U565" s="45">
        <f t="shared" si="292"/>
        <v>-5.8079596748405772E-3</v>
      </c>
      <c r="V565" s="45">
        <f t="shared" si="293"/>
        <v>0.14475650178760752</v>
      </c>
      <c r="W565" s="45">
        <f t="shared" si="294"/>
        <v>0.14515402367201835</v>
      </c>
      <c r="X565" s="45">
        <f t="shared" si="295"/>
        <v>-3.9752188441083414E-4</v>
      </c>
      <c r="Y565" s="45">
        <f t="shared" si="269"/>
        <v>6.4702971075702271E-4</v>
      </c>
      <c r="Z565" s="10">
        <f t="shared" si="296"/>
        <v>2.7060571580398194</v>
      </c>
      <c r="AA565">
        <f t="shared" si="274"/>
        <v>975868.92318693374</v>
      </c>
      <c r="AB565" s="10">
        <f t="shared" si="275"/>
        <v>0.97586892318693375</v>
      </c>
      <c r="AC565" s="10">
        <f t="shared" si="276"/>
        <v>0.87486892318693377</v>
      </c>
      <c r="AD565" s="3">
        <f t="shared" si="277"/>
        <v>126.88454288425434</v>
      </c>
      <c r="AI565" s="100">
        <f t="shared" si="278"/>
        <v>0.14515402367201835</v>
      </c>
    </row>
    <row r="566" spans="2:35">
      <c r="B566" s="39">
        <f t="shared" si="279"/>
        <v>538</v>
      </c>
      <c r="C566" s="45">
        <f t="shared" si="280"/>
        <v>15.804556354915125</v>
      </c>
      <c r="D566" s="10">
        <f t="shared" si="281"/>
        <v>-0.35455635491489446</v>
      </c>
      <c r="E566" s="40">
        <f t="shared" si="282"/>
        <v>49.049112709829792</v>
      </c>
      <c r="F566" s="40">
        <f t="shared" si="283"/>
        <v>48.34</v>
      </c>
      <c r="G566" s="3">
        <f t="shared" si="284"/>
        <v>64.981774580340414</v>
      </c>
      <c r="H566" s="3">
        <f t="shared" si="285"/>
        <v>148.0155219248214</v>
      </c>
      <c r="I566">
        <f t="shared" si="270"/>
        <v>1.4801552192482141E-4</v>
      </c>
      <c r="J566" s="4">
        <f t="shared" si="286"/>
        <v>1894.0818069888094</v>
      </c>
      <c r="K566" s="40">
        <f t="shared" si="287"/>
        <v>12.79650797671634</v>
      </c>
      <c r="L566" s="40">
        <f t="shared" si="271"/>
        <v>0</v>
      </c>
      <c r="M566" s="10">
        <f t="shared" si="288"/>
        <v>0.97586892318693375</v>
      </c>
      <c r="N566" s="10">
        <f t="shared" si="267"/>
        <v>8.26</v>
      </c>
      <c r="O566" s="10">
        <f t="shared" si="268"/>
        <v>0.31900000000000001</v>
      </c>
      <c r="P566" s="10">
        <f t="shared" si="289"/>
        <v>8.1958864341041711</v>
      </c>
      <c r="Q566" s="45">
        <f t="shared" si="290"/>
        <v>1.8440887307368676</v>
      </c>
      <c r="R566" s="4">
        <f t="shared" si="291"/>
        <v>-3524.5780097489474</v>
      </c>
      <c r="S566">
        <f t="shared" si="272"/>
        <v>-3.5245780097489472E-6</v>
      </c>
      <c r="T566" s="44">
        <f t="shared" si="273"/>
        <v>2.3939236364506437E-4</v>
      </c>
      <c r="U566" s="45">
        <f t="shared" si="292"/>
        <v>-6.3250314673949735E-3</v>
      </c>
      <c r="V566" s="45">
        <f t="shared" si="293"/>
        <v>0.14426027140839406</v>
      </c>
      <c r="W566" s="45">
        <f t="shared" si="294"/>
        <v>0.14466042452305852</v>
      </c>
      <c r="X566" s="45">
        <f t="shared" si="295"/>
        <v>-4.001531146644588E-4</v>
      </c>
      <c r="Y566" s="45">
        <f t="shared" si="269"/>
        <v>6.4559544277543806E-4</v>
      </c>
      <c r="Z566" s="10">
        <f t="shared" si="296"/>
        <v>2.6968088411234019</v>
      </c>
      <c r="AA566">
        <f t="shared" si="274"/>
        <v>972878.94012692384</v>
      </c>
      <c r="AB566" s="10">
        <f t="shared" si="275"/>
        <v>0.97287894012692389</v>
      </c>
      <c r="AC566" s="10">
        <f t="shared" si="276"/>
        <v>0.87187894012692391</v>
      </c>
      <c r="AD566" s="3">
        <f t="shared" si="277"/>
        <v>126.45089777040232</v>
      </c>
      <c r="AI566" s="100">
        <f t="shared" si="278"/>
        <v>0.14466042452305852</v>
      </c>
    </row>
    <row r="567" spans="2:35">
      <c r="B567" s="39">
        <f t="shared" si="279"/>
        <v>539</v>
      </c>
      <c r="C567" s="45">
        <f t="shared" si="280"/>
        <v>15.833932853716082</v>
      </c>
      <c r="D567" s="10">
        <f t="shared" si="281"/>
        <v>-0.38393285371585151</v>
      </c>
      <c r="E567" s="40">
        <f t="shared" si="282"/>
        <v>49.107865707431706</v>
      </c>
      <c r="F567" s="40">
        <f t="shared" si="283"/>
        <v>48.34</v>
      </c>
      <c r="G567" s="3">
        <f t="shared" si="284"/>
        <v>64.864268585136585</v>
      </c>
      <c r="H567" s="3">
        <f t="shared" si="285"/>
        <v>148.0155219248214</v>
      </c>
      <c r="I567">
        <f t="shared" si="270"/>
        <v>1.4801552192482141E-4</v>
      </c>
      <c r="J567" s="4">
        <f t="shared" si="286"/>
        <v>1898.6112113270635</v>
      </c>
      <c r="K567" s="40">
        <f t="shared" si="287"/>
        <v>12.827108850728424</v>
      </c>
      <c r="L567" s="40">
        <f t="shared" si="271"/>
        <v>0</v>
      </c>
      <c r="M567" s="10">
        <f t="shared" si="288"/>
        <v>0.97287894012692389</v>
      </c>
      <c r="N567" s="10">
        <f t="shared" si="267"/>
        <v>8.26</v>
      </c>
      <c r="O567" s="10">
        <f t="shared" si="268"/>
        <v>0.31900000000000001</v>
      </c>
      <c r="P567" s="10">
        <f t="shared" si="289"/>
        <v>8.1878674845527613</v>
      </c>
      <c r="Q567" s="45">
        <f t="shared" si="290"/>
        <v>1.8476765390222825</v>
      </c>
      <c r="R567" s="4">
        <f t="shared" si="291"/>
        <v>-3812.0010445718704</v>
      </c>
      <c r="S567">
        <f t="shared" si="272"/>
        <v>-3.8120010445718706E-6</v>
      </c>
      <c r="T567" s="44">
        <f t="shared" si="273"/>
        <v>2.396797866798873E-4</v>
      </c>
      <c r="U567" s="45">
        <f t="shared" si="292"/>
        <v>-6.8408264745364496E-3</v>
      </c>
      <c r="V567" s="45">
        <f t="shared" si="293"/>
        <v>0.14376325770757814</v>
      </c>
      <c r="W567" s="45">
        <f t="shared" si="294"/>
        <v>0.14416602792567781</v>
      </c>
      <c r="X567" s="45">
        <f t="shared" si="295"/>
        <v>-4.0277021809967395E-4</v>
      </c>
      <c r="Y567" s="45">
        <f t="shared" si="269"/>
        <v>6.4415038044982173E-4</v>
      </c>
      <c r="Z567" s="10">
        <f t="shared" si="296"/>
        <v>2.6875457015911786</v>
      </c>
      <c r="AA567">
        <f t="shared" si="274"/>
        <v>969884.16491169645</v>
      </c>
      <c r="AB567" s="10">
        <f t="shared" si="275"/>
        <v>0.96988416491169649</v>
      </c>
      <c r="AC567" s="10">
        <f t="shared" si="276"/>
        <v>0.86888416491169651</v>
      </c>
      <c r="AD567" s="3">
        <f t="shared" si="277"/>
        <v>126.01655763766446</v>
      </c>
      <c r="AI567" s="100">
        <f t="shared" si="278"/>
        <v>0.14416602792567781</v>
      </c>
    </row>
    <row r="568" spans="2:35">
      <c r="B568" s="39">
        <f t="shared" si="279"/>
        <v>540</v>
      </c>
      <c r="C568" s="45">
        <f t="shared" si="280"/>
        <v>15.863309352517039</v>
      </c>
      <c r="D568" s="10">
        <f t="shared" si="281"/>
        <v>-0.41330935251680856</v>
      </c>
      <c r="E568" s="40">
        <f t="shared" si="282"/>
        <v>49.166618705033621</v>
      </c>
      <c r="F568" s="40">
        <f t="shared" si="283"/>
        <v>48.34</v>
      </c>
      <c r="G568" s="3">
        <f t="shared" si="284"/>
        <v>64.746762589932757</v>
      </c>
      <c r="H568" s="3">
        <f t="shared" si="285"/>
        <v>148.0155219248214</v>
      </c>
      <c r="I568">
        <f t="shared" si="270"/>
        <v>1.4801552192482141E-4</v>
      </c>
      <c r="J568" s="4">
        <f t="shared" si="286"/>
        <v>1903.146037920292</v>
      </c>
      <c r="K568" s="40">
        <f t="shared" si="287"/>
        <v>12.857746357756447</v>
      </c>
      <c r="L568" s="40">
        <f t="shared" si="271"/>
        <v>0</v>
      </c>
      <c r="M568" s="10">
        <f t="shared" si="288"/>
        <v>0.96988416491169649</v>
      </c>
      <c r="N568" s="10">
        <f t="shared" si="267"/>
        <v>8.26</v>
      </c>
      <c r="O568" s="10">
        <f t="shared" si="268"/>
        <v>0.31900000000000001</v>
      </c>
      <c r="P568" s="10">
        <f t="shared" si="289"/>
        <v>8.17981884147739</v>
      </c>
      <c r="Q568" s="45">
        <f t="shared" si="290"/>
        <v>1.8512678775800508</v>
      </c>
      <c r="R568" s="4">
        <f t="shared" si="291"/>
        <v>-4098.7106885214289</v>
      </c>
      <c r="S568">
        <f t="shared" si="272"/>
        <v>-4.0987106885214293E-6</v>
      </c>
      <c r="T568" s="44">
        <f t="shared" si="273"/>
        <v>2.3996649632383683E-4</v>
      </c>
      <c r="U568" s="45">
        <f t="shared" si="292"/>
        <v>-7.3553412660861293E-3</v>
      </c>
      <c r="V568" s="45">
        <f t="shared" si="293"/>
        <v>0.14326546586278763</v>
      </c>
      <c r="W568" s="45">
        <f t="shared" si="294"/>
        <v>0.14367083894078642</v>
      </c>
      <c r="X568" s="45">
        <f t="shared" si="295"/>
        <v>-4.0537307799878852E-4</v>
      </c>
      <c r="Y568" s="45">
        <f t="shared" si="269"/>
        <v>6.4269454848452339E-4</v>
      </c>
      <c r="Z568" s="10">
        <f t="shared" si="296"/>
        <v>2.678267834594716</v>
      </c>
      <c r="AA568">
        <f t="shared" si="274"/>
        <v>966884.62830377533</v>
      </c>
      <c r="AB568" s="10">
        <f t="shared" si="275"/>
        <v>0.96688462830377531</v>
      </c>
      <c r="AC568" s="10">
        <f t="shared" si="276"/>
        <v>0.86588462830377533</v>
      </c>
      <c r="AD568" s="3">
        <f t="shared" si="277"/>
        <v>125.58152694761064</v>
      </c>
      <c r="AI568" s="100">
        <f t="shared" si="278"/>
        <v>0.14367083894078642</v>
      </c>
    </row>
    <row r="569" spans="2:35">
      <c r="B569" s="39">
        <f t="shared" si="279"/>
        <v>541</v>
      </c>
      <c r="C569" s="45">
        <f t="shared" si="280"/>
        <v>15.892685851317996</v>
      </c>
      <c r="D569" s="10">
        <f t="shared" si="281"/>
        <v>-0.44268585131776561</v>
      </c>
      <c r="E569" s="40">
        <f t="shared" si="282"/>
        <v>49.225371702635535</v>
      </c>
      <c r="F569" s="40">
        <f t="shared" si="283"/>
        <v>48.34</v>
      </c>
      <c r="G569" s="3">
        <f t="shared" si="284"/>
        <v>64.629256594728929</v>
      </c>
      <c r="H569" s="3">
        <f t="shared" si="285"/>
        <v>148.0155219248214</v>
      </c>
      <c r="I569">
        <f t="shared" si="270"/>
        <v>1.4801552192482141E-4</v>
      </c>
      <c r="J569" s="4">
        <f t="shared" si="286"/>
        <v>1907.6862867684943</v>
      </c>
      <c r="K569" s="40">
        <f t="shared" si="287"/>
        <v>12.888420497800411</v>
      </c>
      <c r="L569" s="40">
        <f t="shared" si="271"/>
        <v>0</v>
      </c>
      <c r="M569" s="10">
        <f t="shared" si="288"/>
        <v>0.96688462830377531</v>
      </c>
      <c r="N569" s="10">
        <f t="shared" si="267"/>
        <v>8.26</v>
      </c>
      <c r="O569" s="10">
        <f t="shared" si="268"/>
        <v>0.31900000000000001</v>
      </c>
      <c r="P569" s="10">
        <f t="shared" si="289"/>
        <v>8.1717404191162757</v>
      </c>
      <c r="Q569" s="45">
        <f t="shared" si="290"/>
        <v>1.8548627664647046</v>
      </c>
      <c r="R569" s="4">
        <f t="shared" si="291"/>
        <v>-4384.7050301551753</v>
      </c>
      <c r="S569">
        <f t="shared" si="272"/>
        <v>-4.3847050301551751E-6</v>
      </c>
      <c r="T569" s="44">
        <f t="shared" si="273"/>
        <v>2.4025249066547059E-4</v>
      </c>
      <c r="U569" s="45">
        <f t="shared" si="292"/>
        <v>-7.86857241186497E-3</v>
      </c>
      <c r="V569" s="45">
        <f t="shared" si="293"/>
        <v>0.14276690107718659</v>
      </c>
      <c r="W569" s="45">
        <f t="shared" si="294"/>
        <v>0.1431748626549976</v>
      </c>
      <c r="X569" s="45">
        <f t="shared" si="295"/>
        <v>-4.0796157781100573E-4</v>
      </c>
      <c r="Y569" s="45">
        <f t="shared" si="269"/>
        <v>6.4122797194308479E-4</v>
      </c>
      <c r="Z569" s="10">
        <f t="shared" si="296"/>
        <v>2.6689753357684669</v>
      </c>
      <c r="AA569">
        <f t="shared" si="274"/>
        <v>963880.36122180242</v>
      </c>
      <c r="AB569" s="10">
        <f t="shared" si="275"/>
        <v>0.96388036122180243</v>
      </c>
      <c r="AC569" s="10">
        <f t="shared" si="276"/>
        <v>0.86288036122180245</v>
      </c>
      <c r="AD569" s="3">
        <f t="shared" si="277"/>
        <v>125.14581018445286</v>
      </c>
      <c r="AI569" s="100">
        <f t="shared" si="278"/>
        <v>0.1431748626549976</v>
      </c>
    </row>
    <row r="570" spans="2:35">
      <c r="B570" s="39">
        <f t="shared" si="279"/>
        <v>542</v>
      </c>
      <c r="C570" s="45">
        <f t="shared" si="280"/>
        <v>15.922062350118953</v>
      </c>
      <c r="D570" s="10">
        <f t="shared" si="281"/>
        <v>-0.47206235011872266</v>
      </c>
      <c r="E570" s="40">
        <f t="shared" si="282"/>
        <v>49.284124700237449</v>
      </c>
      <c r="F570" s="40">
        <f t="shared" si="283"/>
        <v>48.34</v>
      </c>
      <c r="G570" s="3">
        <f t="shared" si="284"/>
        <v>64.511750599525101</v>
      </c>
      <c r="H570" s="3">
        <f t="shared" si="285"/>
        <v>148.0155219248214</v>
      </c>
      <c r="I570">
        <f t="shared" si="270"/>
        <v>1.4801552192482141E-4</v>
      </c>
      <c r="J570" s="4">
        <f t="shared" si="286"/>
        <v>1912.2319578716701</v>
      </c>
      <c r="K570" s="40">
        <f t="shared" si="287"/>
        <v>12.919131270860312</v>
      </c>
      <c r="L570" s="40">
        <f t="shared" si="271"/>
        <v>0</v>
      </c>
      <c r="M570" s="10">
        <f t="shared" si="288"/>
        <v>0.96388036122180243</v>
      </c>
      <c r="N570" s="10">
        <f t="shared" si="267"/>
        <v>8.26</v>
      </c>
      <c r="O570" s="10">
        <f t="shared" si="268"/>
        <v>0.31900000000000001</v>
      </c>
      <c r="P570" s="10">
        <f t="shared" si="289"/>
        <v>8.1636321311270716</v>
      </c>
      <c r="Q570" s="45">
        <f t="shared" si="290"/>
        <v>1.8584612258672233</v>
      </c>
      <c r="R570" s="4">
        <f t="shared" si="291"/>
        <v>-4669.9821580307089</v>
      </c>
      <c r="S570">
        <f t="shared" si="272"/>
        <v>-4.6699821580307092E-6</v>
      </c>
      <c r="T570" s="44">
        <f t="shared" si="273"/>
        <v>2.4053776779334613E-4</v>
      </c>
      <c r="U570" s="45">
        <f t="shared" si="292"/>
        <v>-8.3805164816940086E-3</v>
      </c>
      <c r="V570" s="45">
        <f t="shared" si="293"/>
        <v>0.14226756857968489</v>
      </c>
      <c r="W570" s="45">
        <f t="shared" si="294"/>
        <v>0.14267810418073873</v>
      </c>
      <c r="X570" s="45">
        <f t="shared" si="295"/>
        <v>-4.1053560105383524E-4</v>
      </c>
      <c r="Y570" s="45">
        <f t="shared" si="269"/>
        <v>6.3975067624940393E-4</v>
      </c>
      <c r="Z570" s="10">
        <f t="shared" si="296"/>
        <v>2.6596683012334039</v>
      </c>
      <c r="AA570">
        <f t="shared" si="274"/>
        <v>960871.39474171074</v>
      </c>
      <c r="AB570" s="10">
        <f t="shared" si="275"/>
        <v>0.96087139474171079</v>
      </c>
      <c r="AC570" s="10">
        <f t="shared" si="276"/>
        <v>0.85987139474171081</v>
      </c>
      <c r="AD570" s="3">
        <f t="shared" si="277"/>
        <v>124.70941185521549</v>
      </c>
      <c r="AI570" s="100">
        <f t="shared" si="278"/>
        <v>0.14267810418073873</v>
      </c>
    </row>
    <row r="571" spans="2:35">
      <c r="B571" s="39">
        <f t="shared" si="279"/>
        <v>543</v>
      </c>
      <c r="C571" s="45">
        <f t="shared" si="280"/>
        <v>15.95143884891991</v>
      </c>
      <c r="D571" s="10">
        <f t="shared" si="281"/>
        <v>-0.50143884891967971</v>
      </c>
      <c r="E571" s="40">
        <f t="shared" si="282"/>
        <v>49.342877697839363</v>
      </c>
      <c r="F571" s="40">
        <f t="shared" si="283"/>
        <v>48.34</v>
      </c>
      <c r="G571" s="3">
        <f t="shared" si="284"/>
        <v>64.394244604321273</v>
      </c>
      <c r="H571" s="3">
        <f t="shared" si="285"/>
        <v>148.0155219248214</v>
      </c>
      <c r="I571">
        <f t="shared" si="270"/>
        <v>1.4801552192482141E-4</v>
      </c>
      <c r="J571" s="4">
        <f t="shared" si="286"/>
        <v>1916.7830512298206</v>
      </c>
      <c r="K571" s="40">
        <f t="shared" si="287"/>
        <v>12.949878676936155</v>
      </c>
      <c r="L571" s="40">
        <f t="shared" si="271"/>
        <v>0</v>
      </c>
      <c r="M571" s="10">
        <f t="shared" si="288"/>
        <v>0.96087139474171079</v>
      </c>
      <c r="N571" s="10">
        <f t="shared" si="267"/>
        <v>8.26</v>
      </c>
      <c r="O571" s="10">
        <f t="shared" si="268"/>
        <v>0.31900000000000001</v>
      </c>
      <c r="P571" s="10">
        <f t="shared" si="289"/>
        <v>8.1554938905830117</v>
      </c>
      <c r="Q571" s="45">
        <f t="shared" si="290"/>
        <v>1.8620632761164275</v>
      </c>
      <c r="R571" s="4">
        <f t="shared" si="291"/>
        <v>-4954.5401607056747</v>
      </c>
      <c r="S571">
        <f t="shared" si="272"/>
        <v>-4.9545401607056747E-6</v>
      </c>
      <c r="T571" s="44">
        <f t="shared" si="273"/>
        <v>2.4082232579602109E-4</v>
      </c>
      <c r="U571" s="45">
        <f t="shared" si="292"/>
        <v>-8.8911700453943691E-3</v>
      </c>
      <c r="V571" s="45">
        <f t="shared" si="293"/>
        <v>0.14176747362510392</v>
      </c>
      <c r="W571" s="45">
        <f t="shared" si="294"/>
        <v>0.14218056865644546</v>
      </c>
      <c r="X571" s="45">
        <f t="shared" si="295"/>
        <v>-4.1309503134154268E-4</v>
      </c>
      <c r="Y571" s="45">
        <f t="shared" si="269"/>
        <v>6.3826268718881508E-4</v>
      </c>
      <c r="Z571" s="10">
        <f t="shared" si="296"/>
        <v>2.6503468276003193</v>
      </c>
      <c r="AA571">
        <f t="shared" si="274"/>
        <v>957857.76009779237</v>
      </c>
      <c r="AB571" s="10">
        <f t="shared" si="275"/>
        <v>0.95785776009779233</v>
      </c>
      <c r="AC571" s="10">
        <f t="shared" si="276"/>
        <v>0.85685776009779235</v>
      </c>
      <c r="AD571" s="3">
        <f t="shared" si="277"/>
        <v>124.27233648989012</v>
      </c>
      <c r="AI571" s="100">
        <f t="shared" si="278"/>
        <v>0.14218056865644546</v>
      </c>
    </row>
    <row r="572" spans="2:35">
      <c r="B572" s="39">
        <f t="shared" si="279"/>
        <v>544</v>
      </c>
      <c r="C572" s="45">
        <f t="shared" si="280"/>
        <v>15.980815347720867</v>
      </c>
      <c r="D572" s="10">
        <f t="shared" si="281"/>
        <v>-0.53081534772063677</v>
      </c>
      <c r="E572" s="40">
        <f t="shared" si="282"/>
        <v>49.401630695441277</v>
      </c>
      <c r="F572" s="40">
        <f t="shared" si="283"/>
        <v>48.34</v>
      </c>
      <c r="G572" s="3">
        <f t="shared" si="284"/>
        <v>64.276738609117444</v>
      </c>
      <c r="H572" s="3">
        <f t="shared" si="285"/>
        <v>148.0155219248214</v>
      </c>
      <c r="I572">
        <f t="shared" si="270"/>
        <v>1.4801552192482141E-4</v>
      </c>
      <c r="J572" s="4">
        <f t="shared" si="286"/>
        <v>1921.3395668429446</v>
      </c>
      <c r="K572" s="40">
        <f t="shared" si="287"/>
        <v>12.980662716027936</v>
      </c>
      <c r="L572" s="40">
        <f t="shared" si="271"/>
        <v>0</v>
      </c>
      <c r="M572" s="10">
        <f t="shared" si="288"/>
        <v>0.95785776009779233</v>
      </c>
      <c r="N572" s="10">
        <f t="shared" si="267"/>
        <v>8.26</v>
      </c>
      <c r="O572" s="10">
        <f t="shared" si="268"/>
        <v>0.31900000000000001</v>
      </c>
      <c r="P572" s="10">
        <f t="shared" si="289"/>
        <v>8.1473256099687088</v>
      </c>
      <c r="Q572" s="45">
        <f t="shared" si="290"/>
        <v>1.8656689376803908</v>
      </c>
      <c r="R572" s="4">
        <f t="shared" si="291"/>
        <v>-5238.377126737626</v>
      </c>
      <c r="S572">
        <f t="shared" si="272"/>
        <v>-5.2383771267376259E-6</v>
      </c>
      <c r="T572" s="44">
        <f t="shared" si="273"/>
        <v>2.4110616276205304E-4</v>
      </c>
      <c r="U572" s="45">
        <f t="shared" si="292"/>
        <v>-9.4005296727870061E-3</v>
      </c>
      <c r="V572" s="45">
        <f t="shared" si="293"/>
        <v>0.14126662149421546</v>
      </c>
      <c r="W572" s="45">
        <f t="shared" si="294"/>
        <v>0.14168226124673822</v>
      </c>
      <c r="X572" s="45">
        <f t="shared" si="295"/>
        <v>-4.1563975252276175E-4</v>
      </c>
      <c r="Y572" s="45">
        <f t="shared" si="269"/>
        <v>6.3676403090868854E-4</v>
      </c>
      <c r="Z572" s="10">
        <f t="shared" si="296"/>
        <v>2.6410110119711416</v>
      </c>
      <c r="AA572">
        <f t="shared" si="274"/>
        <v>954839.48868312396</v>
      </c>
      <c r="AB572" s="10">
        <f t="shared" si="275"/>
        <v>0.95483948868312396</v>
      </c>
      <c r="AC572" s="10">
        <f t="shared" si="276"/>
        <v>0.85383948868312398</v>
      </c>
      <c r="AD572" s="3">
        <f t="shared" si="277"/>
        <v>123.83458864149731</v>
      </c>
      <c r="AI572" s="100">
        <f t="shared" si="278"/>
        <v>0.14168226124673822</v>
      </c>
    </row>
    <row r="573" spans="2:35">
      <c r="B573" s="39">
        <f t="shared" si="279"/>
        <v>545</v>
      </c>
      <c r="C573" s="45">
        <f t="shared" si="280"/>
        <v>16.010191846521824</v>
      </c>
      <c r="D573" s="10">
        <f t="shared" si="281"/>
        <v>-0.56019184652159382</v>
      </c>
      <c r="E573" s="40">
        <f t="shared" si="282"/>
        <v>49.460383693043191</v>
      </c>
      <c r="F573" s="40">
        <f t="shared" si="283"/>
        <v>48.34</v>
      </c>
      <c r="G573" s="3">
        <f t="shared" si="284"/>
        <v>64.159232613913616</v>
      </c>
      <c r="H573" s="3">
        <f t="shared" si="285"/>
        <v>148.0155219248214</v>
      </c>
      <c r="I573">
        <f t="shared" si="270"/>
        <v>1.4801552192482141E-4</v>
      </c>
      <c r="J573" s="4">
        <f t="shared" si="286"/>
        <v>1925.9015047110422</v>
      </c>
      <c r="K573" s="40">
        <f t="shared" si="287"/>
        <v>13.011483388135654</v>
      </c>
      <c r="L573" s="40">
        <f t="shared" si="271"/>
        <v>0</v>
      </c>
      <c r="M573" s="10">
        <f t="shared" si="288"/>
        <v>0.95483948868312396</v>
      </c>
      <c r="N573" s="10">
        <f t="shared" si="267"/>
        <v>8.26</v>
      </c>
      <c r="O573" s="10">
        <f t="shared" si="268"/>
        <v>0.31900000000000001</v>
      </c>
      <c r="P573" s="10">
        <f t="shared" si="289"/>
        <v>8.139127201174146</v>
      </c>
      <c r="Q573" s="45">
        <f t="shared" si="290"/>
        <v>1.8692782311678693</v>
      </c>
      <c r="R573" s="4">
        <f t="shared" si="291"/>
        <v>-5521.4911446841625</v>
      </c>
      <c r="S573">
        <f t="shared" si="272"/>
        <v>-5.5214911446841625E-6</v>
      </c>
      <c r="T573" s="44">
        <f t="shared" si="273"/>
        <v>2.4138927677999958E-4</v>
      </c>
      <c r="U573" s="45">
        <f t="shared" si="292"/>
        <v>-9.9085919336929645E-3</v>
      </c>
      <c r="V573" s="45">
        <f t="shared" si="293"/>
        <v>0.14076501749401799</v>
      </c>
      <c r="W573" s="45">
        <f t="shared" si="294"/>
        <v>0.1411831871424927</v>
      </c>
      <c r="X573" s="45">
        <f t="shared" si="295"/>
        <v>-4.1816964847471438E-4</v>
      </c>
      <c r="Y573" s="45">
        <f t="shared" si="269"/>
        <v>6.352547339197876E-4</v>
      </c>
      <c r="Z573" s="10">
        <f t="shared" si="296"/>
        <v>2.6316609519434206</v>
      </c>
      <c r="AA573">
        <f t="shared" si="274"/>
        <v>951816.61205101653</v>
      </c>
      <c r="AB573" s="10">
        <f t="shared" si="275"/>
        <v>0.95181661205101653</v>
      </c>
      <c r="AC573" s="10">
        <f t="shared" si="276"/>
        <v>0.85081661205101655</v>
      </c>
      <c r="AD573" s="3">
        <f t="shared" si="277"/>
        <v>123.39617288629681</v>
      </c>
      <c r="AI573" s="100">
        <f t="shared" si="278"/>
        <v>0.1411831871424927</v>
      </c>
    </row>
    <row r="574" spans="2:35">
      <c r="B574" s="39">
        <f t="shared" si="279"/>
        <v>546</v>
      </c>
      <c r="C574" s="45">
        <f t="shared" si="280"/>
        <v>16.039568345322781</v>
      </c>
      <c r="D574" s="10">
        <f t="shared" si="281"/>
        <v>-0.58956834532255087</v>
      </c>
      <c r="E574" s="40">
        <f t="shared" si="282"/>
        <v>49.519136690645105</v>
      </c>
      <c r="F574" s="40">
        <f t="shared" si="283"/>
        <v>48.34</v>
      </c>
      <c r="G574" s="3">
        <f t="shared" si="284"/>
        <v>64.041726618709788</v>
      </c>
      <c r="H574" s="3">
        <f t="shared" si="285"/>
        <v>148.0155219248214</v>
      </c>
      <c r="I574">
        <f t="shared" si="270"/>
        <v>1.4801552192482141E-4</v>
      </c>
      <c r="J574" s="4">
        <f t="shared" si="286"/>
        <v>1930.4688648341139</v>
      </c>
      <c r="K574" s="40">
        <f t="shared" si="287"/>
        <v>13.042340693259311</v>
      </c>
      <c r="L574" s="40">
        <f t="shared" si="271"/>
        <v>0</v>
      </c>
      <c r="M574" s="10">
        <f t="shared" si="288"/>
        <v>0.95181661205101653</v>
      </c>
      <c r="N574" s="10">
        <f t="shared" si="267"/>
        <v>8.26</v>
      </c>
      <c r="O574" s="10">
        <f t="shared" si="268"/>
        <v>0.31900000000000001</v>
      </c>
      <c r="P574" s="10">
        <f t="shared" si="289"/>
        <v>8.1308985754913738</v>
      </c>
      <c r="Q574" s="45">
        <f t="shared" si="290"/>
        <v>1.8728911773297494</v>
      </c>
      <c r="R574" s="4">
        <f t="shared" si="291"/>
        <v>-5803.8803031029056</v>
      </c>
      <c r="S574">
        <f t="shared" si="272"/>
        <v>-5.8038803031029059E-6</v>
      </c>
      <c r="T574" s="44">
        <f t="shared" si="273"/>
        <v>2.4167166593841831E-4</v>
      </c>
      <c r="U574" s="45">
        <f t="shared" si="292"/>
        <v>-1.0415353397933319E-2</v>
      </c>
      <c r="V574" s="45">
        <f t="shared" si="293"/>
        <v>0.14026266695782774</v>
      </c>
      <c r="W574" s="45">
        <f t="shared" si="294"/>
        <v>0.1406833515610795</v>
      </c>
      <c r="X574" s="45">
        <f t="shared" si="295"/>
        <v>-4.206846032517586E-4</v>
      </c>
      <c r="Y574" s="45">
        <f t="shared" si="269"/>
        <v>6.3373482309710713E-4</v>
      </c>
      <c r="Z574" s="10">
        <f t="shared" si="296"/>
        <v>2.622296745612672</v>
      </c>
      <c r="AA574">
        <f t="shared" si="274"/>
        <v>948789.16191577376</v>
      </c>
      <c r="AB574" s="10">
        <f t="shared" si="275"/>
        <v>0.94878916191577378</v>
      </c>
      <c r="AC574" s="10">
        <f t="shared" si="276"/>
        <v>0.8477891619157738</v>
      </c>
      <c r="AD574" s="3">
        <f t="shared" si="277"/>
        <v>122.95709382389757</v>
      </c>
      <c r="AI574" s="100">
        <f t="shared" si="278"/>
        <v>0.1406833515610795</v>
      </c>
    </row>
    <row r="575" spans="2:35">
      <c r="B575" s="39">
        <f t="shared" si="279"/>
        <v>547</v>
      </c>
      <c r="C575" s="45">
        <f t="shared" si="280"/>
        <v>16.068944844123738</v>
      </c>
      <c r="D575" s="10">
        <f t="shared" si="281"/>
        <v>-0.61894484412350792</v>
      </c>
      <c r="E575" s="40">
        <f t="shared" si="282"/>
        <v>49.577889688247019</v>
      </c>
      <c r="F575" s="40">
        <f t="shared" si="283"/>
        <v>48.34</v>
      </c>
      <c r="G575" s="3">
        <f t="shared" si="284"/>
        <v>63.92422062350596</v>
      </c>
      <c r="H575" s="3">
        <f t="shared" si="285"/>
        <v>148.0155219248214</v>
      </c>
      <c r="I575">
        <f t="shared" si="270"/>
        <v>1.4801552192482141E-4</v>
      </c>
      <c r="J575" s="4">
        <f t="shared" si="286"/>
        <v>1935.0416472121597</v>
      </c>
      <c r="K575" s="40">
        <f t="shared" si="287"/>
        <v>13.073234631398909</v>
      </c>
      <c r="L575" s="40">
        <f t="shared" si="271"/>
        <v>0</v>
      </c>
      <c r="M575" s="10">
        <f t="shared" si="288"/>
        <v>0.94878916191577378</v>
      </c>
      <c r="N575" s="10">
        <f t="shared" si="267"/>
        <v>8.26</v>
      </c>
      <c r="O575" s="10">
        <f t="shared" si="268"/>
        <v>0.31900000000000001</v>
      </c>
      <c r="P575" s="10">
        <f t="shared" si="289"/>
        <v>8.1226396436092596</v>
      </c>
      <c r="Q575" s="45">
        <f t="shared" si="290"/>
        <v>1.8765077970605128</v>
      </c>
      <c r="R575" s="4">
        <f t="shared" si="291"/>
        <v>-6085.5426905514541</v>
      </c>
      <c r="S575">
        <f t="shared" si="272"/>
        <v>-6.0855426905514541E-6</v>
      </c>
      <c r="T575" s="44">
        <f t="shared" si="273"/>
        <v>2.4195332832586687E-4</v>
      </c>
      <c r="U575" s="45">
        <f t="shared" si="292"/>
        <v>-1.0920810635329112E-2</v>
      </c>
      <c r="V575" s="45">
        <f t="shared" si="293"/>
        <v>0.13975957524544483</v>
      </c>
      <c r="W575" s="45">
        <f t="shared" si="294"/>
        <v>0.14018275974648942</v>
      </c>
      <c r="X575" s="45">
        <f t="shared" si="295"/>
        <v>-4.2318450104458782E-4</v>
      </c>
      <c r="Y575" s="45">
        <f t="shared" si="269"/>
        <v>6.3220432568087597E-4</v>
      </c>
      <c r="Z575" s="10">
        <f t="shared" si="296"/>
        <v>2.6129184915754182</v>
      </c>
      <c r="AA575">
        <f t="shared" si="274"/>
        <v>945757.17015367479</v>
      </c>
      <c r="AB575" s="10">
        <f t="shared" si="275"/>
        <v>0.94575717015367478</v>
      </c>
      <c r="AC575" s="10">
        <f t="shared" si="276"/>
        <v>0.8447571701536748</v>
      </c>
      <c r="AD575" s="3">
        <f t="shared" si="277"/>
        <v>122.51735607740027</v>
      </c>
      <c r="AI575" s="100">
        <f t="shared" si="278"/>
        <v>0.14018275974648942</v>
      </c>
    </row>
    <row r="576" spans="2:35">
      <c r="B576" s="39">
        <f t="shared" si="279"/>
        <v>548</v>
      </c>
      <c r="C576" s="45">
        <f t="shared" si="280"/>
        <v>16.098321342924695</v>
      </c>
      <c r="D576" s="10">
        <f t="shared" si="281"/>
        <v>-0.64832134292446497</v>
      </c>
      <c r="E576" s="40">
        <f t="shared" si="282"/>
        <v>49.636642685848933</v>
      </c>
      <c r="F576" s="40">
        <f t="shared" si="283"/>
        <v>48.34</v>
      </c>
      <c r="G576" s="3">
        <f t="shared" si="284"/>
        <v>63.806714628302132</v>
      </c>
      <c r="H576" s="3">
        <f t="shared" si="285"/>
        <v>148.0155219248214</v>
      </c>
      <c r="I576">
        <f t="shared" si="270"/>
        <v>1.4801552192482141E-4</v>
      </c>
      <c r="J576" s="4">
        <f t="shared" si="286"/>
        <v>1939.619851845179</v>
      </c>
      <c r="K576" s="40">
        <f t="shared" si="287"/>
        <v>13.104165202554444</v>
      </c>
      <c r="L576" s="40">
        <f t="shared" si="271"/>
        <v>0</v>
      </c>
      <c r="M576" s="10">
        <f t="shared" si="288"/>
        <v>0.94575717015367478</v>
      </c>
      <c r="N576" s="10">
        <f t="shared" si="267"/>
        <v>8.26</v>
      </c>
      <c r="O576" s="10">
        <f t="shared" si="268"/>
        <v>0.31900000000000001</v>
      </c>
      <c r="P576" s="10">
        <f t="shared" si="289"/>
        <v>8.1143503156087835</v>
      </c>
      <c r="Q576" s="45">
        <f t="shared" si="290"/>
        <v>1.8801281113997212</v>
      </c>
      <c r="R576" s="4">
        <f t="shared" si="291"/>
        <v>-6366.476395587385</v>
      </c>
      <c r="S576">
        <f t="shared" si="272"/>
        <v>-6.3664763955873851E-6</v>
      </c>
      <c r="T576" s="44">
        <f t="shared" si="273"/>
        <v>2.4223426203090281E-4</v>
      </c>
      <c r="U576" s="45">
        <f t="shared" si="292"/>
        <v>-1.1424960215701342E-2</v>
      </c>
      <c r="V576" s="45">
        <f t="shared" si="293"/>
        <v>0.13925574774329275</v>
      </c>
      <c r="W576" s="45">
        <f t="shared" si="294"/>
        <v>0.13968141696949612</v>
      </c>
      <c r="X576" s="45">
        <f t="shared" si="295"/>
        <v>-4.2566922620337899E-4</v>
      </c>
      <c r="Y576" s="45">
        <f t="shared" si="269"/>
        <v>6.3066326927749218E-4</v>
      </c>
      <c r="Z576" s="10">
        <f t="shared" si="296"/>
        <v>2.6035262889319757</v>
      </c>
      <c r="AA576">
        <f t="shared" si="274"/>
        <v>942720.66880387545</v>
      </c>
      <c r="AB576" s="10">
        <f t="shared" si="275"/>
        <v>0.94272066880387551</v>
      </c>
      <c r="AC576" s="10">
        <f t="shared" si="276"/>
        <v>0.84172066880387553</v>
      </c>
      <c r="AD576" s="3">
        <f t="shared" si="277"/>
        <v>122.07696429352801</v>
      </c>
      <c r="AI576" s="100">
        <f t="shared" si="278"/>
        <v>0.13968141696949612</v>
      </c>
    </row>
    <row r="577" spans="2:35">
      <c r="B577" s="39">
        <f t="shared" si="279"/>
        <v>549</v>
      </c>
      <c r="C577" s="45">
        <f t="shared" si="280"/>
        <v>16.127697841725652</v>
      </c>
      <c r="D577" s="10">
        <f t="shared" si="281"/>
        <v>-0.67769784172542202</v>
      </c>
      <c r="E577" s="40">
        <f t="shared" si="282"/>
        <v>49.695395683450847</v>
      </c>
      <c r="F577" s="40">
        <f t="shared" si="283"/>
        <v>48.34</v>
      </c>
      <c r="G577" s="3">
        <f t="shared" si="284"/>
        <v>63.689208633098303</v>
      </c>
      <c r="H577" s="3">
        <f t="shared" si="285"/>
        <v>148.0155219248214</v>
      </c>
      <c r="I577">
        <f t="shared" si="270"/>
        <v>1.4801552192482141E-4</v>
      </c>
      <c r="J577" s="4">
        <f t="shared" si="286"/>
        <v>1944.2034787331727</v>
      </c>
      <c r="K577" s="40">
        <f t="shared" si="287"/>
        <v>13.135132406725921</v>
      </c>
      <c r="L577" s="40">
        <f t="shared" si="271"/>
        <v>0</v>
      </c>
      <c r="M577" s="10">
        <f t="shared" si="288"/>
        <v>0.94272066880387551</v>
      </c>
      <c r="N577" s="10">
        <f t="shared" si="267"/>
        <v>8.26</v>
      </c>
      <c r="O577" s="10">
        <f t="shared" si="268"/>
        <v>0.31900000000000001</v>
      </c>
      <c r="P577" s="10">
        <f t="shared" si="289"/>
        <v>8.1060305009580365</v>
      </c>
      <c r="Q577" s="45">
        <f t="shared" si="290"/>
        <v>1.8837521415335192</v>
      </c>
      <c r="R577" s="4">
        <f t="shared" si="291"/>
        <v>-6646.6795067683197</v>
      </c>
      <c r="S577">
        <f t="shared" si="272"/>
        <v>-6.6466795067683201E-6</v>
      </c>
      <c r="T577" s="44">
        <f t="shared" si="273"/>
        <v>2.4251446514208372E-4</v>
      </c>
      <c r="U577" s="45">
        <f t="shared" si="292"/>
        <v>-1.1927798708871087E-2</v>
      </c>
      <c r="V577" s="45">
        <f t="shared" si="293"/>
        <v>0.1387511898646305</v>
      </c>
      <c r="W577" s="45">
        <f t="shared" si="294"/>
        <v>0.13917932852780515</v>
      </c>
      <c r="X577" s="45">
        <f t="shared" si="295"/>
        <v>-4.2813866317464866E-4</v>
      </c>
      <c r="Y577" s="45">
        <f t="shared" si="269"/>
        <v>6.2911168186070322E-4</v>
      </c>
      <c r="Z577" s="10">
        <f t="shared" si="296"/>
        <v>2.5941202372902623</v>
      </c>
      <c r="AA577">
        <f t="shared" si="274"/>
        <v>939679.69006963936</v>
      </c>
      <c r="AB577" s="10">
        <f t="shared" si="275"/>
        <v>0.93967969006963936</v>
      </c>
      <c r="AC577" s="10">
        <f t="shared" si="276"/>
        <v>0.83867969006963938</v>
      </c>
      <c r="AD577" s="3">
        <f t="shared" si="277"/>
        <v>121.63592314280484</v>
      </c>
      <c r="AI577" s="100">
        <f t="shared" si="278"/>
        <v>0.13917932852780515</v>
      </c>
    </row>
    <row r="578" spans="2:35">
      <c r="B578" s="39">
        <f t="shared" si="279"/>
        <v>550</v>
      </c>
      <c r="C578" s="45">
        <f t="shared" si="280"/>
        <v>16.157074340526609</v>
      </c>
      <c r="D578" s="10">
        <f t="shared" si="281"/>
        <v>-0.70707434052637907</v>
      </c>
      <c r="E578" s="40">
        <f t="shared" si="282"/>
        <v>49.754148681052762</v>
      </c>
      <c r="F578" s="40">
        <f t="shared" si="283"/>
        <v>48.34</v>
      </c>
      <c r="G578" s="3">
        <f t="shared" si="284"/>
        <v>63.571702637894475</v>
      </c>
      <c r="H578" s="3">
        <f t="shared" si="285"/>
        <v>148.0155219248214</v>
      </c>
      <c r="I578">
        <f t="shared" si="270"/>
        <v>1.4801552192482141E-4</v>
      </c>
      <c r="J578" s="4">
        <f t="shared" si="286"/>
        <v>1948.7925278761402</v>
      </c>
      <c r="K578" s="40">
        <f t="shared" si="287"/>
        <v>13.166136243913337</v>
      </c>
      <c r="L578" s="40">
        <f t="shared" si="271"/>
        <v>0</v>
      </c>
      <c r="M578" s="10">
        <f t="shared" si="288"/>
        <v>0.93967969006963936</v>
      </c>
      <c r="N578" s="10">
        <f t="shared" si="267"/>
        <v>8.26</v>
      </c>
      <c r="O578" s="10">
        <f t="shared" si="268"/>
        <v>0.31900000000000001</v>
      </c>
      <c r="P578" s="10">
        <f t="shared" si="289"/>
        <v>8.0976801085080439</v>
      </c>
      <c r="Q578" s="45">
        <f t="shared" si="290"/>
        <v>1.8873799087961569</v>
      </c>
      <c r="R578" s="4">
        <f t="shared" si="291"/>
        <v>-6926.1501126518588</v>
      </c>
      <c r="S578">
        <f t="shared" si="272"/>
        <v>-6.9261501126518589E-6</v>
      </c>
      <c r="T578" s="44">
        <f t="shared" si="273"/>
        <v>2.4279393574796728E-4</v>
      </c>
      <c r="U578" s="45">
        <f t="shared" si="292"/>
        <v>-1.2429322684659391E-2</v>
      </c>
      <c r="V578" s="45">
        <f t="shared" si="293"/>
        <v>0.13824590704963091</v>
      </c>
      <c r="W578" s="45">
        <f t="shared" si="294"/>
        <v>0.13867649974625726</v>
      </c>
      <c r="X578" s="45">
        <f t="shared" si="295"/>
        <v>-4.3059269662634736E-4</v>
      </c>
      <c r="Y578" s="45">
        <f t="shared" si="269"/>
        <v>6.2754959177235131E-4</v>
      </c>
      <c r="Z578" s="10">
        <f t="shared" si="296"/>
        <v>2.5847004367678292</v>
      </c>
      <c r="AA578">
        <f t="shared" si="274"/>
        <v>936634.26631899469</v>
      </c>
      <c r="AB578" s="10">
        <f t="shared" si="275"/>
        <v>0.93663426631899471</v>
      </c>
      <c r="AC578" s="10">
        <f t="shared" si="276"/>
        <v>0.83563426631899473</v>
      </c>
      <c r="AD578" s="3">
        <f t="shared" si="277"/>
        <v>121.19423731965115</v>
      </c>
      <c r="AI578" s="100">
        <f t="shared" si="278"/>
        <v>0.13867649974625726</v>
      </c>
    </row>
    <row r="579" spans="2:35">
      <c r="B579" s="39">
        <f t="shared" si="279"/>
        <v>551</v>
      </c>
      <c r="C579" s="45">
        <f t="shared" si="280"/>
        <v>16.186450839327566</v>
      </c>
      <c r="D579" s="10">
        <f t="shared" si="281"/>
        <v>-0.73645083932733613</v>
      </c>
      <c r="E579" s="40">
        <f t="shared" si="282"/>
        <v>49.812901678654676</v>
      </c>
      <c r="F579" s="40">
        <f t="shared" si="283"/>
        <v>48.34</v>
      </c>
      <c r="G579" s="3">
        <f t="shared" si="284"/>
        <v>63.454196642690647</v>
      </c>
      <c r="H579" s="3">
        <f t="shared" si="285"/>
        <v>148.0155219248214</v>
      </c>
      <c r="I579">
        <f t="shared" si="270"/>
        <v>1.4801552192482141E-4</v>
      </c>
      <c r="J579" s="4">
        <f t="shared" si="286"/>
        <v>1953.3869992740817</v>
      </c>
      <c r="K579" s="40">
        <f t="shared" si="287"/>
        <v>13.197176714116692</v>
      </c>
      <c r="L579" s="40">
        <f t="shared" si="271"/>
        <v>0</v>
      </c>
      <c r="M579" s="10">
        <f t="shared" si="288"/>
        <v>0.93663426631899471</v>
      </c>
      <c r="N579" s="10">
        <f t="shared" si="267"/>
        <v>8.26</v>
      </c>
      <c r="O579" s="10">
        <f t="shared" si="268"/>
        <v>0.31900000000000001</v>
      </c>
      <c r="P579" s="10">
        <f t="shared" si="289"/>
        <v>8.0892990464869605</v>
      </c>
      <c r="Q579" s="45">
        <f t="shared" si="290"/>
        <v>1.8910114346715312</v>
      </c>
      <c r="R579" s="4">
        <f t="shared" si="291"/>
        <v>-7204.8863017955991</v>
      </c>
      <c r="S579">
        <f t="shared" si="272"/>
        <v>-7.204886301795599E-6</v>
      </c>
      <c r="T579" s="44">
        <f t="shared" si="273"/>
        <v>2.4307267193711101E-4</v>
      </c>
      <c r="U579" s="45">
        <f t="shared" si="292"/>
        <v>-1.2929528712887292E-2</v>
      </c>
      <c r="V579" s="45">
        <f t="shared" si="293"/>
        <v>0.13773990476560896</v>
      </c>
      <c r="W579" s="45">
        <f t="shared" si="294"/>
        <v>0.13817293597693733</v>
      </c>
      <c r="X579" s="45">
        <f t="shared" si="295"/>
        <v>-4.3303121132837186E-4</v>
      </c>
      <c r="Y579" s="45">
        <f t="shared" si="269"/>
        <v>6.2597702772356769E-4</v>
      </c>
      <c r="Z579" s="10">
        <f t="shared" si="296"/>
        <v>2.5752669879957697</v>
      </c>
      <c r="AA579">
        <f t="shared" si="274"/>
        <v>933584.43008599756</v>
      </c>
      <c r="AB579" s="10">
        <f t="shared" si="275"/>
        <v>0.93358443008599756</v>
      </c>
      <c r="AC579" s="10">
        <f t="shared" si="276"/>
        <v>0.83258443008599758</v>
      </c>
      <c r="AD579" s="3">
        <f t="shared" si="277"/>
        <v>120.75191154256673</v>
      </c>
      <c r="AI579" s="100">
        <f t="shared" si="278"/>
        <v>0.13817293597693733</v>
      </c>
    </row>
    <row r="580" spans="2:35">
      <c r="B580" s="39">
        <f t="shared" si="279"/>
        <v>552</v>
      </c>
      <c r="C580" s="45">
        <f t="shared" si="280"/>
        <v>16.215827338128523</v>
      </c>
      <c r="D580" s="10">
        <f t="shared" si="281"/>
        <v>-0.76582733812829318</v>
      </c>
      <c r="E580" s="40">
        <f t="shared" si="282"/>
        <v>49.87165467625659</v>
      </c>
      <c r="F580" s="40">
        <f t="shared" si="283"/>
        <v>48.34</v>
      </c>
      <c r="G580" s="3">
        <f t="shared" si="284"/>
        <v>63.336690647486819</v>
      </c>
      <c r="H580" s="3">
        <f t="shared" si="285"/>
        <v>148.0155219248214</v>
      </c>
      <c r="I580">
        <f t="shared" si="270"/>
        <v>1.4801552192482141E-4</v>
      </c>
      <c r="J580" s="4">
        <f t="shared" si="286"/>
        <v>1957.9868929269967</v>
      </c>
      <c r="K580" s="40">
        <f t="shared" si="287"/>
        <v>13.228253817335984</v>
      </c>
      <c r="L580" s="40">
        <f t="shared" si="271"/>
        <v>0</v>
      </c>
      <c r="M580" s="10">
        <f t="shared" si="288"/>
        <v>0.93358443008599756</v>
      </c>
      <c r="N580" s="10">
        <f t="shared" si="267"/>
        <v>8.26</v>
      </c>
      <c r="O580" s="10">
        <f t="shared" si="268"/>
        <v>0.31900000000000001</v>
      </c>
      <c r="P580" s="10">
        <f t="shared" si="289"/>
        <v>8.0808872224958304</v>
      </c>
      <c r="Q580" s="45">
        <f t="shared" si="290"/>
        <v>1.8946467407947474</v>
      </c>
      <c r="R580" s="4">
        <f t="shared" si="291"/>
        <v>-7482.8861627570959</v>
      </c>
      <c r="S580">
        <f t="shared" si="272"/>
        <v>-7.4828861627570962E-6</v>
      </c>
      <c r="T580" s="44">
        <f t="shared" si="273"/>
        <v>2.433506717980725E-4</v>
      </c>
      <c r="U580" s="45">
        <f t="shared" si="292"/>
        <v>-1.3428413363375745E-2</v>
      </c>
      <c r="V580" s="45">
        <f t="shared" si="293"/>
        <v>0.13723318850713137</v>
      </c>
      <c r="W580" s="45">
        <f t="shared" si="294"/>
        <v>0.13766864259938313</v>
      </c>
      <c r="X580" s="45">
        <f t="shared" si="295"/>
        <v>-4.3545409225176357E-4</v>
      </c>
      <c r="Y580" s="45">
        <f t="shared" si="269"/>
        <v>6.2439401879562533E-4</v>
      </c>
      <c r="Z580" s="10">
        <f t="shared" si="296"/>
        <v>2.5658199921212255</v>
      </c>
      <c r="AA580">
        <f t="shared" si="274"/>
        <v>930530.21407154331</v>
      </c>
      <c r="AB580" s="10">
        <f t="shared" si="275"/>
        <v>0.93053021407154335</v>
      </c>
      <c r="AC580" s="10">
        <f t="shared" si="276"/>
        <v>0.82953021407154337</v>
      </c>
      <c r="AD580" s="3">
        <f t="shared" si="277"/>
        <v>120.3089505542485</v>
      </c>
      <c r="AI580" s="100">
        <f t="shared" si="278"/>
        <v>0.13766864259938313</v>
      </c>
    </row>
    <row r="581" spans="2:35">
      <c r="B581" s="39">
        <f t="shared" si="279"/>
        <v>553</v>
      </c>
      <c r="C581" s="45">
        <f t="shared" si="280"/>
        <v>16.24520383692948</v>
      </c>
      <c r="D581" s="10">
        <f t="shared" si="281"/>
        <v>-0.79520383692925023</v>
      </c>
      <c r="E581" s="40">
        <f t="shared" si="282"/>
        <v>49.930407673858504</v>
      </c>
      <c r="F581" s="40">
        <f t="shared" si="283"/>
        <v>48.34</v>
      </c>
      <c r="G581" s="3">
        <f t="shared" si="284"/>
        <v>63.219184652282991</v>
      </c>
      <c r="H581" s="3">
        <f t="shared" si="285"/>
        <v>148.0155219248214</v>
      </c>
      <c r="I581">
        <f t="shared" si="270"/>
        <v>1.4801552192482141E-4</v>
      </c>
      <c r="J581" s="4">
        <f t="shared" si="286"/>
        <v>1962.5922088348859</v>
      </c>
      <c r="K581" s="40">
        <f t="shared" si="287"/>
        <v>13.259367553571217</v>
      </c>
      <c r="L581" s="40">
        <f t="shared" si="271"/>
        <v>0</v>
      </c>
      <c r="M581" s="10">
        <f t="shared" si="288"/>
        <v>0.93053021407154335</v>
      </c>
      <c r="N581" s="10">
        <f t="shared" si="267"/>
        <v>8.26</v>
      </c>
      <c r="O581" s="10">
        <f t="shared" si="268"/>
        <v>0.31900000000000001</v>
      </c>
      <c r="P581" s="10">
        <f t="shared" si="289"/>
        <v>8.072444543503055</v>
      </c>
      <c r="Q581" s="45">
        <f t="shared" si="290"/>
        <v>1.8982858489537004</v>
      </c>
      <c r="R581" s="4">
        <f t="shared" si="291"/>
        <v>-7760.147784094017</v>
      </c>
      <c r="S581">
        <f t="shared" si="272"/>
        <v>-7.7601477840940174E-6</v>
      </c>
      <c r="T581" s="44">
        <f t="shared" si="273"/>
        <v>2.4362793341940942E-4</v>
      </c>
      <c r="U581" s="45">
        <f t="shared" si="292"/>
        <v>-1.3925973205945916E-2</v>
      </c>
      <c r="V581" s="45">
        <f t="shared" si="293"/>
        <v>0.13672576379629042</v>
      </c>
      <c r="W581" s="45">
        <f t="shared" si="294"/>
        <v>0.13716362502071933</v>
      </c>
      <c r="X581" s="45">
        <f t="shared" si="295"/>
        <v>-4.3786122442890374E-4</v>
      </c>
      <c r="Y581" s="45">
        <f t="shared" si="269"/>
        <v>6.2280059444131688E-4</v>
      </c>
      <c r="Z581" s="10">
        <f t="shared" si="296"/>
        <v>2.5563595508120804</v>
      </c>
      <c r="AA581">
        <f t="shared" si="274"/>
        <v>927471.65114488278</v>
      </c>
      <c r="AB581" s="10">
        <f t="shared" si="275"/>
        <v>0.92747165114488284</v>
      </c>
      <c r="AC581" s="10">
        <f t="shared" si="276"/>
        <v>0.82647165114488286</v>
      </c>
      <c r="AD581" s="3">
        <f t="shared" si="277"/>
        <v>119.86535912181043</v>
      </c>
      <c r="AI581" s="100">
        <f t="shared" si="278"/>
        <v>0.13716362502071933</v>
      </c>
    </row>
    <row r="582" spans="2:35">
      <c r="B582" s="39">
        <f t="shared" si="279"/>
        <v>554</v>
      </c>
      <c r="C582" s="45">
        <f t="shared" si="280"/>
        <v>16.274580335730437</v>
      </c>
      <c r="D582" s="10">
        <f t="shared" si="281"/>
        <v>-0.82458033573020728</v>
      </c>
      <c r="E582" s="40">
        <f t="shared" si="282"/>
        <v>49.989160671460418</v>
      </c>
      <c r="F582" s="40">
        <f t="shared" si="283"/>
        <v>48.34</v>
      </c>
      <c r="G582" s="3">
        <f t="shared" si="284"/>
        <v>63.101678657079162</v>
      </c>
      <c r="H582" s="3">
        <f t="shared" si="285"/>
        <v>148.0155219248214</v>
      </c>
      <c r="I582">
        <f t="shared" si="270"/>
        <v>1.4801552192482141E-4</v>
      </c>
      <c r="J582" s="4">
        <f t="shared" si="286"/>
        <v>1967.202946997749</v>
      </c>
      <c r="K582" s="40">
        <f t="shared" si="287"/>
        <v>13.290517922822389</v>
      </c>
      <c r="L582" s="40">
        <f t="shared" si="271"/>
        <v>0</v>
      </c>
      <c r="M582" s="10">
        <f t="shared" si="288"/>
        <v>0.92747165114488284</v>
      </c>
      <c r="N582" s="10">
        <f t="shared" si="267"/>
        <v>8.26</v>
      </c>
      <c r="O582" s="10">
        <f t="shared" si="268"/>
        <v>0.31900000000000001</v>
      </c>
      <c r="P582" s="10">
        <f t="shared" si="289"/>
        <v>8.0639709158407165</v>
      </c>
      <c r="Q582" s="45">
        <f t="shared" si="290"/>
        <v>1.9019287810906766</v>
      </c>
      <c r="R582" s="4">
        <f t="shared" si="291"/>
        <v>-8036.6692543639128</v>
      </c>
      <c r="S582">
        <f t="shared" si="272"/>
        <v>-8.0366692543639134E-6</v>
      </c>
      <c r="T582" s="44">
        <f t="shared" si="273"/>
        <v>2.4390445488967934E-4</v>
      </c>
      <c r="U582" s="45">
        <f t="shared" si="292"/>
        <v>-1.4422204810418757E-2</v>
      </c>
      <c r="V582" s="45">
        <f t="shared" si="293"/>
        <v>0.13621763618268684</v>
      </c>
      <c r="W582" s="45">
        <f t="shared" si="294"/>
        <v>0.13665788867590845</v>
      </c>
      <c r="X582" s="45">
        <f t="shared" si="295"/>
        <v>-4.4025249322160454E-4</v>
      </c>
      <c r="Y582" s="45">
        <f t="shared" si="269"/>
        <v>6.2119678448537604E-4</v>
      </c>
      <c r="Z582" s="10">
        <f t="shared" si="296"/>
        <v>2.5468857662577347</v>
      </c>
      <c r="AA582">
        <f t="shared" si="274"/>
        <v>924408.77434387337</v>
      </c>
      <c r="AB582" s="10">
        <f t="shared" si="275"/>
        <v>0.92440877434387336</v>
      </c>
      <c r="AC582" s="10">
        <f t="shared" si="276"/>
        <v>0.82340877434387338</v>
      </c>
      <c r="AD582" s="3">
        <f t="shared" si="277"/>
        <v>119.42114203681993</v>
      </c>
      <c r="AI582" s="100">
        <f t="shared" si="278"/>
        <v>0.13665788867590845</v>
      </c>
    </row>
    <row r="583" spans="2:35">
      <c r="B583" s="39">
        <f t="shared" si="279"/>
        <v>555</v>
      </c>
      <c r="C583" s="45">
        <f t="shared" si="280"/>
        <v>16.303956834531395</v>
      </c>
      <c r="D583" s="10">
        <f t="shared" si="281"/>
        <v>-0.85395683453116433</v>
      </c>
      <c r="E583" s="40">
        <f t="shared" si="282"/>
        <v>50.047913669062332</v>
      </c>
      <c r="F583" s="40">
        <f t="shared" si="283"/>
        <v>48.34</v>
      </c>
      <c r="G583" s="3">
        <f t="shared" si="284"/>
        <v>62.984172661875334</v>
      </c>
      <c r="H583" s="3">
        <f t="shared" si="285"/>
        <v>148.0155219248214</v>
      </c>
      <c r="I583">
        <f t="shared" si="270"/>
        <v>1.4801552192482141E-4</v>
      </c>
      <c r="J583" s="4">
        <f t="shared" si="286"/>
        <v>1971.8191074155859</v>
      </c>
      <c r="K583" s="40">
        <f t="shared" si="287"/>
        <v>13.321704925089499</v>
      </c>
      <c r="L583" s="40">
        <f t="shared" si="271"/>
        <v>0</v>
      </c>
      <c r="M583" s="10">
        <f t="shared" si="288"/>
        <v>0.92440877434387336</v>
      </c>
      <c r="N583" s="10">
        <f t="shared" si="267"/>
        <v>8.26</v>
      </c>
      <c r="O583" s="10">
        <f t="shared" si="268"/>
        <v>0.31900000000000001</v>
      </c>
      <c r="P583" s="10">
        <f t="shared" si="289"/>
        <v>8.0554662451973371</v>
      </c>
      <c r="Q583" s="45">
        <f t="shared" si="290"/>
        <v>1.9055755593039765</v>
      </c>
      <c r="R583" s="4">
        <f t="shared" si="291"/>
        <v>-8312.4486621244105</v>
      </c>
      <c r="S583">
        <f t="shared" si="272"/>
        <v>-8.3124486621244113E-6</v>
      </c>
      <c r="T583" s="44">
        <f t="shared" si="273"/>
        <v>2.4418023429743983E-4</v>
      </c>
      <c r="U583" s="45">
        <f t="shared" si="292"/>
        <v>-1.491710474661536E-2</v>
      </c>
      <c r="V583" s="45">
        <f t="shared" si="293"/>
        <v>0.1357088112437706</v>
      </c>
      <c r="W583" s="45">
        <f t="shared" si="294"/>
        <v>0.1361514390277922</v>
      </c>
      <c r="X583" s="45">
        <f t="shared" si="295"/>
        <v>-4.4262778402159864E-4</v>
      </c>
      <c r="Y583" s="45">
        <f t="shared" si="269"/>
        <v>6.1958261912600484E-4</v>
      </c>
      <c r="Z583" s="10">
        <f t="shared" si="296"/>
        <v>2.537398741174445</v>
      </c>
      <c r="AA583">
        <f t="shared" si="274"/>
        <v>921341.61687670543</v>
      </c>
      <c r="AB583" s="10">
        <f t="shared" si="275"/>
        <v>0.92134161687670546</v>
      </c>
      <c r="AC583" s="10">
        <f t="shared" si="276"/>
        <v>0.82034161687670548</v>
      </c>
      <c r="AD583" s="3">
        <f t="shared" si="277"/>
        <v>118.97630411554829</v>
      </c>
      <c r="AI583" s="100">
        <f t="shared" si="278"/>
        <v>0.1361514390277922</v>
      </c>
    </row>
    <row r="584" spans="2:35">
      <c r="B584" s="39">
        <f t="shared" si="279"/>
        <v>556</v>
      </c>
      <c r="C584" s="45">
        <f t="shared" si="280"/>
        <v>16.333333333332352</v>
      </c>
      <c r="D584" s="10">
        <f t="shared" si="281"/>
        <v>-0.88333333333212138</v>
      </c>
      <c r="E584" s="40">
        <f t="shared" si="282"/>
        <v>50.106666666664246</v>
      </c>
      <c r="F584" s="40">
        <f t="shared" si="283"/>
        <v>48.34</v>
      </c>
      <c r="G584" s="3">
        <f t="shared" si="284"/>
        <v>62.866666666671506</v>
      </c>
      <c r="H584" s="3">
        <f t="shared" si="285"/>
        <v>148.0155219248214</v>
      </c>
      <c r="I584">
        <f t="shared" si="270"/>
        <v>1.4801552192482141E-4</v>
      </c>
      <c r="J584" s="4">
        <f t="shared" si="286"/>
        <v>1976.4406900883969</v>
      </c>
      <c r="K584" s="40">
        <f t="shared" si="287"/>
        <v>13.352928560372549</v>
      </c>
      <c r="L584" s="40">
        <f t="shared" si="271"/>
        <v>0</v>
      </c>
      <c r="M584" s="10">
        <f t="shared" si="288"/>
        <v>0.92134161687670546</v>
      </c>
      <c r="N584" s="10">
        <f t="shared" si="267"/>
        <v>8.26</v>
      </c>
      <c r="O584" s="10">
        <f t="shared" si="268"/>
        <v>0.31900000000000001</v>
      </c>
      <c r="P584" s="10">
        <f t="shared" si="289"/>
        <v>8.0469304366146357</v>
      </c>
      <c r="Q584" s="45">
        <f t="shared" si="290"/>
        <v>1.9092262058495575</v>
      </c>
      <c r="R584" s="4">
        <f t="shared" si="291"/>
        <v>-8587.4840959331032</v>
      </c>
      <c r="S584">
        <f t="shared" si="272"/>
        <v>-8.5874840959331033E-6</v>
      </c>
      <c r="T584" s="44">
        <f t="shared" si="273"/>
        <v>2.4445526973124849E-4</v>
      </c>
      <c r="U584" s="45">
        <f t="shared" si="292"/>
        <v>-1.5410669584356749E-2</v>
      </c>
      <c r="V584" s="45">
        <f t="shared" si="293"/>
        <v>0.13519929458490954</v>
      </c>
      <c r="W584" s="45">
        <f t="shared" si="294"/>
        <v>0.1356442815673771</v>
      </c>
      <c r="X584" s="45">
        <f t="shared" si="295"/>
        <v>-4.4498698246756008E-4</v>
      </c>
      <c r="Y584" s="45">
        <f t="shared" si="269"/>
        <v>6.179581289356311E-4</v>
      </c>
      <c r="Z584" s="10">
        <f t="shared" si="296"/>
        <v>2.5278985788075161</v>
      </c>
      <c r="AA584">
        <f t="shared" si="274"/>
        <v>918270.21212261054</v>
      </c>
      <c r="AB584" s="10">
        <f t="shared" si="275"/>
        <v>0.91827021212261051</v>
      </c>
      <c r="AC584" s="10">
        <f t="shared" si="276"/>
        <v>0.81727021212261053</v>
      </c>
      <c r="AD584" s="3">
        <f t="shared" si="277"/>
        <v>118.53085019907331</v>
      </c>
      <c r="AI584" s="100">
        <f t="shared" si="278"/>
        <v>0.1356442815673771</v>
      </c>
    </row>
    <row r="585" spans="2:35">
      <c r="B585" s="39">
        <f t="shared" si="279"/>
        <v>557</v>
      </c>
      <c r="C585" s="45">
        <f t="shared" si="280"/>
        <v>16.362709832133309</v>
      </c>
      <c r="D585" s="10">
        <f t="shared" si="281"/>
        <v>-0.91270983213307844</v>
      </c>
      <c r="E585" s="40">
        <f t="shared" si="282"/>
        <v>50.16541966426616</v>
      </c>
      <c r="F585" s="40">
        <f t="shared" si="283"/>
        <v>48.34</v>
      </c>
      <c r="G585" s="3">
        <f t="shared" si="284"/>
        <v>62.749160671467678</v>
      </c>
      <c r="H585" s="3">
        <f t="shared" si="285"/>
        <v>148.0155219248214</v>
      </c>
      <c r="I585">
        <f t="shared" si="270"/>
        <v>1.4801552192482141E-4</v>
      </c>
      <c r="J585" s="4">
        <f t="shared" si="286"/>
        <v>1981.0676950161817</v>
      </c>
      <c r="K585" s="40">
        <f t="shared" si="287"/>
        <v>13.384188828671538</v>
      </c>
      <c r="L585" s="40">
        <f t="shared" si="271"/>
        <v>0</v>
      </c>
      <c r="M585" s="10">
        <f t="shared" si="288"/>
        <v>0.91827021212261051</v>
      </c>
      <c r="N585" s="10">
        <f t="shared" si="267"/>
        <v>8.26</v>
      </c>
      <c r="O585" s="10">
        <f t="shared" si="268"/>
        <v>0.31900000000000001</v>
      </c>
      <c r="P585" s="10">
        <f t="shared" si="289"/>
        <v>8.0383633944813973</v>
      </c>
      <c r="Q585" s="45">
        <f t="shared" si="290"/>
        <v>1.9128807431426993</v>
      </c>
      <c r="R585" s="4">
        <f t="shared" si="291"/>
        <v>-8861.7736443475696</v>
      </c>
      <c r="S585">
        <f t="shared" si="272"/>
        <v>-8.8617736443475699E-6</v>
      </c>
      <c r="T585" s="44">
        <f t="shared" si="273"/>
        <v>2.4472955927966301E-4</v>
      </c>
      <c r="U585" s="45">
        <f t="shared" si="292"/>
        <v>-1.5902895893463932E-2</v>
      </c>
      <c r="V585" s="45">
        <f t="shared" si="293"/>
        <v>0.13468909183958996</v>
      </c>
      <c r="W585" s="45">
        <f t="shared" si="294"/>
        <v>0.13513642181395141</v>
      </c>
      <c r="X585" s="45">
        <f t="shared" si="295"/>
        <v>-4.4732997436144895E-4</v>
      </c>
      <c r="Y585" s="45">
        <f t="shared" si="269"/>
        <v>6.1632334486198706E-4</v>
      </c>
      <c r="Z585" s="10">
        <f t="shared" si="296"/>
        <v>2.518385382934833</v>
      </c>
      <c r="AA585">
        <f t="shared" si="274"/>
        <v>915194.59363300353</v>
      </c>
      <c r="AB585" s="10">
        <f t="shared" si="275"/>
        <v>0.91519459363300348</v>
      </c>
      <c r="AC585" s="10">
        <f t="shared" si="276"/>
        <v>0.8141945936330035</v>
      </c>
      <c r="AD585" s="3">
        <f t="shared" si="277"/>
        <v>118.08478515344504</v>
      </c>
      <c r="AI585" s="100">
        <f t="shared" si="278"/>
        <v>0.13513642181395141</v>
      </c>
    </row>
    <row r="586" spans="2:35">
      <c r="B586" s="39">
        <f t="shared" si="279"/>
        <v>558</v>
      </c>
      <c r="C586" s="45">
        <f t="shared" si="280"/>
        <v>16.392086330934266</v>
      </c>
      <c r="D586" s="10">
        <f t="shared" si="281"/>
        <v>-0.94208633093403549</v>
      </c>
      <c r="E586" s="40">
        <f t="shared" si="282"/>
        <v>50.224172661868074</v>
      </c>
      <c r="F586" s="40">
        <f t="shared" si="283"/>
        <v>48.34</v>
      </c>
      <c r="G586" s="3">
        <f t="shared" si="284"/>
        <v>62.63165467626385</v>
      </c>
      <c r="H586" s="3">
        <f t="shared" si="285"/>
        <v>148.0155219248214</v>
      </c>
      <c r="I586">
        <f t="shared" si="270"/>
        <v>1.4801552192482141E-4</v>
      </c>
      <c r="J586" s="4">
        <f t="shared" si="286"/>
        <v>1985.7001221989406</v>
      </c>
      <c r="K586" s="40">
        <f t="shared" si="287"/>
        <v>13.415485729986468</v>
      </c>
      <c r="L586" s="40">
        <f t="shared" si="271"/>
        <v>0</v>
      </c>
      <c r="M586" s="10">
        <f t="shared" si="288"/>
        <v>0.91519459363300348</v>
      </c>
      <c r="N586" s="10">
        <f t="shared" si="267"/>
        <v>8.26</v>
      </c>
      <c r="O586" s="10">
        <f t="shared" si="268"/>
        <v>0.31900000000000001</v>
      </c>
      <c r="P586" s="10">
        <f t="shared" si="289"/>
        <v>8.0297650225284567</v>
      </c>
      <c r="Q586" s="45">
        <f t="shared" si="290"/>
        <v>1.9165391937596898</v>
      </c>
      <c r="R586" s="4">
        <f t="shared" si="291"/>
        <v>-9135.3153959254341</v>
      </c>
      <c r="S586">
        <f t="shared" si="272"/>
        <v>-9.135315395925434E-6</v>
      </c>
      <c r="T586" s="44">
        <f t="shared" si="273"/>
        <v>2.4500310103124087E-4</v>
      </c>
      <c r="U586" s="45">
        <f t="shared" si="292"/>
        <v>-1.6393780243757986E-2</v>
      </c>
      <c r="V586" s="45">
        <f t="shared" si="293"/>
        <v>0.13417820866961908</v>
      </c>
      <c r="W586" s="45">
        <f t="shared" si="294"/>
        <v>0.1346278653152741</v>
      </c>
      <c r="X586" s="45">
        <f t="shared" si="295"/>
        <v>-4.4965664565502217E-4</v>
      </c>
      <c r="Y586" s="45">
        <f t="shared" si="269"/>
        <v>6.1467829822925652E-4</v>
      </c>
      <c r="Z586" s="10">
        <f t="shared" si="296"/>
        <v>2.5088592578706894</v>
      </c>
      <c r="AA586">
        <f t="shared" si="274"/>
        <v>912114.79513272038</v>
      </c>
      <c r="AB586" s="10">
        <f t="shared" si="275"/>
        <v>0.91211479513272042</v>
      </c>
      <c r="AC586" s="10">
        <f t="shared" si="276"/>
        <v>0.81111479513272045</v>
      </c>
      <c r="AD586" s="3">
        <f t="shared" si="277"/>
        <v>117.63811386986519</v>
      </c>
      <c r="AI586" s="100">
        <f t="shared" si="278"/>
        <v>0.1346278653152741</v>
      </c>
    </row>
    <row r="587" spans="2:35">
      <c r="B587" s="39">
        <f t="shared" si="279"/>
        <v>559</v>
      </c>
      <c r="C587" s="45">
        <f t="shared" si="280"/>
        <v>16.421462829735223</v>
      </c>
      <c r="D587" s="10">
        <f t="shared" si="281"/>
        <v>-0.97146282973499254</v>
      </c>
      <c r="E587" s="40">
        <f t="shared" si="282"/>
        <v>50.282925659469988</v>
      </c>
      <c r="F587" s="40">
        <f t="shared" si="283"/>
        <v>48.34</v>
      </c>
      <c r="G587" s="3">
        <f t="shared" si="284"/>
        <v>62.514148681060021</v>
      </c>
      <c r="H587" s="3">
        <f t="shared" si="285"/>
        <v>148.0155219248214</v>
      </c>
      <c r="I587">
        <f t="shared" si="270"/>
        <v>1.4801552192482141E-4</v>
      </c>
      <c r="J587" s="4">
        <f t="shared" si="286"/>
        <v>1990.337971636673</v>
      </c>
      <c r="K587" s="40">
        <f t="shared" si="287"/>
        <v>13.446819264317334</v>
      </c>
      <c r="L587" s="40">
        <f t="shared" si="271"/>
        <v>0</v>
      </c>
      <c r="M587" s="10">
        <f t="shared" si="288"/>
        <v>0.91211479513272042</v>
      </c>
      <c r="N587" s="10">
        <f t="shared" si="267"/>
        <v>8.26</v>
      </c>
      <c r="O587" s="10">
        <f t="shared" si="268"/>
        <v>0.31900000000000001</v>
      </c>
      <c r="P587" s="10">
        <f t="shared" si="289"/>
        <v>8.0211352238238796</v>
      </c>
      <c r="Q587" s="45">
        <f t="shared" si="290"/>
        <v>1.9202015804395336</v>
      </c>
      <c r="R587" s="4">
        <f t="shared" si="291"/>
        <v>-9408.1074392242717</v>
      </c>
      <c r="S587">
        <f t="shared" si="272"/>
        <v>-9.4081074392242725E-6</v>
      </c>
      <c r="T587" s="44">
        <f t="shared" si="273"/>
        <v>2.4527589307453971E-4</v>
      </c>
      <c r="U587" s="45">
        <f t="shared" si="292"/>
        <v>-1.6883319205059918E-2</v>
      </c>
      <c r="V587" s="45">
        <f t="shared" si="293"/>
        <v>0.13366665076523718</v>
      </c>
      <c r="W587" s="45">
        <f t="shared" si="294"/>
        <v>0.13411861764777958</v>
      </c>
      <c r="X587" s="45">
        <f t="shared" si="295"/>
        <v>-4.5196688254239836E-4</v>
      </c>
      <c r="Y587" s="45">
        <f t="shared" si="269"/>
        <v>6.1302302073890276E-4</v>
      </c>
      <c r="Z587" s="10">
        <f t="shared" si="296"/>
        <v>2.499320308468326</v>
      </c>
      <c r="AA587">
        <f t="shared" si="274"/>
        <v>909030.85052083898</v>
      </c>
      <c r="AB587" s="10">
        <f t="shared" si="275"/>
        <v>0.90903085052083898</v>
      </c>
      <c r="AC587" s="10">
        <f t="shared" si="276"/>
        <v>0.80803085052083901</v>
      </c>
      <c r="AD587" s="3">
        <f t="shared" si="277"/>
        <v>117.19084126480624</v>
      </c>
      <c r="AI587" s="100">
        <f t="shared" si="278"/>
        <v>0.13411861764777958</v>
      </c>
    </row>
    <row r="588" spans="2:35">
      <c r="B588" s="39">
        <f t="shared" si="279"/>
        <v>560</v>
      </c>
      <c r="C588" s="45">
        <f t="shared" si="280"/>
        <v>16.45083932853618</v>
      </c>
      <c r="D588" s="10">
        <f t="shared" si="281"/>
        <v>-1.0008393285359496</v>
      </c>
      <c r="E588" s="40">
        <f t="shared" si="282"/>
        <v>50.341678657071903</v>
      </c>
      <c r="F588" s="40">
        <f t="shared" si="283"/>
        <v>48.34</v>
      </c>
      <c r="G588" s="3">
        <f t="shared" si="284"/>
        <v>62.396642685856193</v>
      </c>
      <c r="H588" s="3">
        <f t="shared" si="285"/>
        <v>148.0155219248214</v>
      </c>
      <c r="I588">
        <f t="shared" si="270"/>
        <v>1.4801552192482141E-4</v>
      </c>
      <c r="J588" s="4">
        <f t="shared" si="286"/>
        <v>1994.9812433293796</v>
      </c>
      <c r="K588" s="40">
        <f t="shared" si="287"/>
        <v>13.47818943166414</v>
      </c>
      <c r="L588" s="40">
        <f t="shared" si="271"/>
        <v>0</v>
      </c>
      <c r="M588" s="10">
        <f t="shared" si="288"/>
        <v>0.90903085052083898</v>
      </c>
      <c r="N588" s="10">
        <f t="shared" si="267"/>
        <v>8.26</v>
      </c>
      <c r="O588" s="10">
        <f t="shared" si="268"/>
        <v>0.31900000000000001</v>
      </c>
      <c r="P588" s="10">
        <f t="shared" si="289"/>
        <v>8.0124739007668975</v>
      </c>
      <c r="Q588" s="45">
        <f t="shared" si="290"/>
        <v>1.9238679260856824</v>
      </c>
      <c r="R588" s="4">
        <f t="shared" si="291"/>
        <v>-9680.147862801703</v>
      </c>
      <c r="S588">
        <f t="shared" si="272"/>
        <v>-9.6801478628017032E-6</v>
      </c>
      <c r="T588" s="44">
        <f t="shared" si="273"/>
        <v>2.4554793349811712E-4</v>
      </c>
      <c r="U588" s="45">
        <f t="shared" si="292"/>
        <v>-1.7371509347190794E-2</v>
      </c>
      <c r="V588" s="45">
        <f t="shared" si="293"/>
        <v>0.13315442384535825</v>
      </c>
      <c r="W588" s="45">
        <f t="shared" si="294"/>
        <v>0.13360868441671309</v>
      </c>
      <c r="X588" s="45">
        <f t="shared" si="295"/>
        <v>-4.5426057135483644E-4</v>
      </c>
      <c r="Y588" s="45">
        <f t="shared" si="269"/>
        <v>6.113575444708989E-4</v>
      </c>
      <c r="Z588" s="10">
        <f t="shared" si="296"/>
        <v>2.4897686401241361</v>
      </c>
      <c r="AA588">
        <f t="shared" si="274"/>
        <v>905942.79387203802</v>
      </c>
      <c r="AB588" s="10">
        <f t="shared" si="275"/>
        <v>0.90594279387203802</v>
      </c>
      <c r="AC588" s="10">
        <f t="shared" si="276"/>
        <v>0.80494279387203804</v>
      </c>
      <c r="AD588" s="3">
        <f t="shared" si="277"/>
        <v>116.74297228020856</v>
      </c>
      <c r="AI588" s="100">
        <f t="shared" si="278"/>
        <v>0.13360868441671309</v>
      </c>
    </row>
    <row r="589" spans="2:35">
      <c r="B589" s="39">
        <f t="shared" si="279"/>
        <v>561</v>
      </c>
      <c r="C589" s="45">
        <f t="shared" si="280"/>
        <v>16.480215827337137</v>
      </c>
      <c r="D589" s="10">
        <f t="shared" si="281"/>
        <v>-1.0302158273369066</v>
      </c>
      <c r="E589" s="40">
        <f t="shared" si="282"/>
        <v>50.400431654673817</v>
      </c>
      <c r="F589" s="40">
        <f t="shared" si="283"/>
        <v>48.34</v>
      </c>
      <c r="G589" s="3">
        <f t="shared" si="284"/>
        <v>62.279136690652365</v>
      </c>
      <c r="H589" s="3">
        <f t="shared" si="285"/>
        <v>148.0155219248214</v>
      </c>
      <c r="I589">
        <f t="shared" si="270"/>
        <v>1.4801552192482141E-4</v>
      </c>
      <c r="J589" s="4">
        <f t="shared" si="286"/>
        <v>1999.62993727706</v>
      </c>
      <c r="K589" s="40">
        <f t="shared" si="287"/>
        <v>13.509596232026885</v>
      </c>
      <c r="L589" s="40">
        <f t="shared" si="271"/>
        <v>0</v>
      </c>
      <c r="M589" s="10">
        <f t="shared" si="288"/>
        <v>0.90594279387203802</v>
      </c>
      <c r="N589" s="10">
        <f t="shared" si="267"/>
        <v>8.26</v>
      </c>
      <c r="O589" s="10">
        <f t="shared" si="268"/>
        <v>0.31900000000000001</v>
      </c>
      <c r="P589" s="10">
        <f t="shared" si="289"/>
        <v>8.0037809550832701</v>
      </c>
      <c r="Q589" s="45">
        <f t="shared" si="290"/>
        <v>1.9275382537677888</v>
      </c>
      <c r="R589" s="4">
        <f t="shared" si="291"/>
        <v>-9951.4347552153286</v>
      </c>
      <c r="S589">
        <f t="shared" si="272"/>
        <v>-9.9514347552153286E-6</v>
      </c>
      <c r="T589" s="44">
        <f t="shared" si="273"/>
        <v>2.4581922039053073E-4</v>
      </c>
      <c r="U589" s="45">
        <f t="shared" si="292"/>
        <v>-1.7858347239971668E-2</v>
      </c>
      <c r="V589" s="45">
        <f t="shared" si="293"/>
        <v>0.13264153365769177</v>
      </c>
      <c r="W589" s="45">
        <f t="shared" si="294"/>
        <v>0.13309807125635584</v>
      </c>
      <c r="X589" s="45">
        <f t="shared" si="295"/>
        <v>-4.5653759866406962E-4</v>
      </c>
      <c r="Y589" s="45">
        <f t="shared" si="269"/>
        <v>6.0968190188459982E-4</v>
      </c>
      <c r="Z589" s="10">
        <f t="shared" si="296"/>
        <v>2.4802043587804232</v>
      </c>
      <c r="AA589">
        <f t="shared" si="274"/>
        <v>902850.6594374897</v>
      </c>
      <c r="AB589" s="10">
        <f t="shared" si="275"/>
        <v>0.90285065943748966</v>
      </c>
      <c r="AC589" s="10">
        <f t="shared" si="276"/>
        <v>0.80185065943748968</v>
      </c>
      <c r="AD589" s="3">
        <f t="shared" si="277"/>
        <v>116.29451188360981</v>
      </c>
      <c r="AI589" s="100">
        <f t="shared" si="278"/>
        <v>0.13309807125635584</v>
      </c>
    </row>
    <row r="590" spans="2:35">
      <c r="B590" s="39">
        <f t="shared" si="279"/>
        <v>562</v>
      </c>
      <c r="C590" s="45">
        <f t="shared" si="280"/>
        <v>16.509592326138094</v>
      </c>
      <c r="D590" s="10">
        <f t="shared" si="281"/>
        <v>-1.0595923261378637</v>
      </c>
      <c r="E590" s="40">
        <f t="shared" si="282"/>
        <v>50.459184652275731</v>
      </c>
      <c r="F590" s="40">
        <f t="shared" si="283"/>
        <v>48.34</v>
      </c>
      <c r="G590" s="3">
        <f t="shared" si="284"/>
        <v>62.161630695448537</v>
      </c>
      <c r="H590" s="3">
        <f t="shared" si="285"/>
        <v>148.0155219248214</v>
      </c>
      <c r="I590">
        <f t="shared" si="270"/>
        <v>1.4801552192482141E-4</v>
      </c>
      <c r="J590" s="4">
        <f t="shared" si="286"/>
        <v>2004.2840534797142</v>
      </c>
      <c r="K590" s="40">
        <f t="shared" si="287"/>
        <v>13.541039665405568</v>
      </c>
      <c r="L590" s="40">
        <f t="shared" si="271"/>
        <v>0</v>
      </c>
      <c r="M590" s="10">
        <f t="shared" si="288"/>
        <v>0.90285065943748966</v>
      </c>
      <c r="N590" s="10">
        <f t="shared" si="267"/>
        <v>8.26</v>
      </c>
      <c r="O590" s="10">
        <f t="shared" si="268"/>
        <v>0.31900000000000001</v>
      </c>
      <c r="P590" s="10">
        <f t="shared" si="289"/>
        <v>7.9950562878192475</v>
      </c>
      <c r="Q590" s="45">
        <f t="shared" si="290"/>
        <v>1.9312125867234822</v>
      </c>
      <c r="R590" s="4">
        <f t="shared" si="291"/>
        <v>-10221.966205022722</v>
      </c>
      <c r="S590">
        <f t="shared" si="272"/>
        <v>-1.0221966205022722E-5</v>
      </c>
      <c r="T590" s="44">
        <f t="shared" si="273"/>
        <v>2.4608975184033815E-4</v>
      </c>
      <c r="U590" s="45">
        <f t="shared" si="292"/>
        <v>-1.8343829453223524E-2</v>
      </c>
      <c r="V590" s="45">
        <f t="shared" si="293"/>
        <v>0.13212798597895067</v>
      </c>
      <c r="W590" s="45">
        <f t="shared" si="294"/>
        <v>0.13258678383017239</v>
      </c>
      <c r="X590" s="45">
        <f t="shared" si="295"/>
        <v>-4.5879785122171501E-4</v>
      </c>
      <c r="Y590" s="45">
        <f t="shared" si="269"/>
        <v>6.0799612581985451E-4</v>
      </c>
      <c r="Z590" s="10">
        <f t="shared" si="296"/>
        <v>2.4706275709291603</v>
      </c>
      <c r="AA590">
        <f t="shared" si="274"/>
        <v>899754.48164607398</v>
      </c>
      <c r="AB590" s="10">
        <f t="shared" si="275"/>
        <v>0.89975448164607397</v>
      </c>
      <c r="AC590" s="10">
        <f t="shared" si="276"/>
        <v>0.79875448164607399</v>
      </c>
      <c r="AD590" s="3">
        <f t="shared" si="277"/>
        <v>115.8454650683211</v>
      </c>
      <c r="AI590" s="100">
        <f t="shared" si="278"/>
        <v>0.13258678383017239</v>
      </c>
    </row>
    <row r="591" spans="2:35">
      <c r="B591" s="39">
        <f t="shared" si="279"/>
        <v>563</v>
      </c>
      <c r="C591" s="45">
        <f t="shared" si="280"/>
        <v>16.538968824939051</v>
      </c>
      <c r="D591" s="10">
        <f t="shared" si="281"/>
        <v>-1.0889688249388207</v>
      </c>
      <c r="E591" s="40">
        <f t="shared" si="282"/>
        <v>50.517937649877645</v>
      </c>
      <c r="F591" s="40">
        <f t="shared" si="283"/>
        <v>48.34</v>
      </c>
      <c r="G591" s="3">
        <f t="shared" si="284"/>
        <v>62.044124700244708</v>
      </c>
      <c r="H591" s="3">
        <f t="shared" si="285"/>
        <v>148.0155219248214</v>
      </c>
      <c r="I591">
        <f t="shared" si="270"/>
        <v>1.4801552192482141E-4</v>
      </c>
      <c r="J591" s="4">
        <f t="shared" si="286"/>
        <v>2008.9435919373425</v>
      </c>
      <c r="K591" s="40">
        <f t="shared" si="287"/>
        <v>13.572519731800194</v>
      </c>
      <c r="L591" s="40">
        <f t="shared" si="271"/>
        <v>0</v>
      </c>
      <c r="M591" s="10">
        <f t="shared" si="288"/>
        <v>0.89975448164607397</v>
      </c>
      <c r="N591" s="10">
        <f t="shared" si="267"/>
        <v>8.26</v>
      </c>
      <c r="O591" s="10">
        <f t="shared" si="268"/>
        <v>0.31900000000000001</v>
      </c>
      <c r="P591" s="10">
        <f t="shared" si="289"/>
        <v>7.9862997993363685</v>
      </c>
      <c r="Q591" s="45">
        <f t="shared" si="290"/>
        <v>1.9348909483601688</v>
      </c>
      <c r="R591" s="4">
        <f t="shared" si="291"/>
        <v>-10491.74030078151</v>
      </c>
      <c r="S591">
        <f t="shared" si="272"/>
        <v>-1.0491740300781511E-5</v>
      </c>
      <c r="T591" s="44">
        <f t="shared" si="273"/>
        <v>2.463595259360969E-4</v>
      </c>
      <c r="U591" s="45">
        <f t="shared" si="292"/>
        <v>-1.8827952556767457E-2</v>
      </c>
      <c r="V591" s="45">
        <f t="shared" si="293"/>
        <v>0.13161378661506856</v>
      </c>
      <c r="W591" s="45">
        <f t="shared" si="294"/>
        <v>0.1320748278310114</v>
      </c>
      <c r="X591" s="45">
        <f t="shared" si="295"/>
        <v>-4.6104121594284231E-4</v>
      </c>
      <c r="Y591" s="45">
        <f t="shared" si="269"/>
        <v>6.0630024949819895E-4</v>
      </c>
      <c r="Z591" s="10">
        <f t="shared" si="296"/>
        <v>2.4610383836160934</v>
      </c>
      <c r="AA591">
        <f t="shared" si="274"/>
        <v>896654.29510570643</v>
      </c>
      <c r="AB591" s="10">
        <f t="shared" si="275"/>
        <v>0.89665429510570649</v>
      </c>
      <c r="AC591" s="10">
        <f t="shared" si="276"/>
        <v>0.79565429510570651</v>
      </c>
      <c r="AD591" s="3">
        <f t="shared" si="277"/>
        <v>115.39583685361951</v>
      </c>
      <c r="AI591" s="100">
        <f t="shared" si="278"/>
        <v>0.1320748278310114</v>
      </c>
    </row>
    <row r="592" spans="2:35">
      <c r="B592" s="39">
        <f t="shared" si="279"/>
        <v>564</v>
      </c>
      <c r="C592" s="45">
        <f t="shared" si="280"/>
        <v>16.568345323740008</v>
      </c>
      <c r="D592" s="10">
        <f t="shared" si="281"/>
        <v>-1.1183453237397778</v>
      </c>
      <c r="E592" s="40">
        <f t="shared" si="282"/>
        <v>50.576690647479559</v>
      </c>
      <c r="F592" s="40">
        <f t="shared" si="283"/>
        <v>48.34</v>
      </c>
      <c r="G592" s="3">
        <f t="shared" si="284"/>
        <v>61.92661870504088</v>
      </c>
      <c r="H592" s="3">
        <f t="shared" si="285"/>
        <v>148.0155219248214</v>
      </c>
      <c r="I592">
        <f t="shared" si="270"/>
        <v>1.4801552192482141E-4</v>
      </c>
      <c r="J592" s="4">
        <f t="shared" si="286"/>
        <v>2013.6085526499448</v>
      </c>
      <c r="K592" s="40">
        <f t="shared" si="287"/>
        <v>13.604036431210757</v>
      </c>
      <c r="L592" s="40">
        <f t="shared" si="271"/>
        <v>0</v>
      </c>
      <c r="M592" s="10">
        <f t="shared" si="288"/>
        <v>0.89665429510570649</v>
      </c>
      <c r="N592" s="10">
        <f t="shared" si="267"/>
        <v>8.26</v>
      </c>
      <c r="O592" s="10">
        <f t="shared" si="268"/>
        <v>0.31900000000000001</v>
      </c>
      <c r="P592" s="10">
        <f t="shared" si="289"/>
        <v>7.9775113893064873</v>
      </c>
      <c r="Q592" s="45">
        <f t="shared" si="290"/>
        <v>1.9385733622568555</v>
      </c>
      <c r="R592" s="4">
        <f t="shared" si="291"/>
        <v>-10760.755131049287</v>
      </c>
      <c r="S592">
        <f t="shared" si="272"/>
        <v>-1.0760755131049288E-5</v>
      </c>
      <c r="T592" s="44">
        <f t="shared" si="273"/>
        <v>2.4662854076636472E-4</v>
      </c>
      <c r="U592" s="45">
        <f t="shared" si="292"/>
        <v>-1.9310713120424497E-2</v>
      </c>
      <c r="V592" s="45">
        <f t="shared" si="293"/>
        <v>0.13109894140129513</v>
      </c>
      <c r="W592" s="45">
        <f t="shared" si="294"/>
        <v>0.13156220898132528</v>
      </c>
      <c r="X592" s="45">
        <f t="shared" si="295"/>
        <v>-4.6326758003015223E-4</v>
      </c>
      <c r="Y592" s="45">
        <f t="shared" si="269"/>
        <v>6.0459430652361147E-4</v>
      </c>
      <c r="Z592" s="10">
        <f t="shared" si="296"/>
        <v>2.4514369044430815</v>
      </c>
      <c r="AA592">
        <f t="shared" si="274"/>
        <v>893550.13460409327</v>
      </c>
      <c r="AB592" s="10">
        <f t="shared" si="275"/>
        <v>0.89355013460409327</v>
      </c>
      <c r="AC592" s="10">
        <f t="shared" si="276"/>
        <v>0.79255013460409329</v>
      </c>
      <c r="AD592" s="3">
        <f t="shared" si="277"/>
        <v>114.94563228485762</v>
      </c>
      <c r="AI592" s="100">
        <f t="shared" si="278"/>
        <v>0.13156220898132528</v>
      </c>
    </row>
    <row r="593" spans="2:35">
      <c r="B593" s="39">
        <f t="shared" si="279"/>
        <v>565</v>
      </c>
      <c r="C593" s="45">
        <f t="shared" si="280"/>
        <v>16.597721822540965</v>
      </c>
      <c r="D593" s="10">
        <f t="shared" si="281"/>
        <v>-1.1477218225407348</v>
      </c>
      <c r="E593" s="40">
        <f t="shared" si="282"/>
        <v>50.635443645081473</v>
      </c>
      <c r="F593" s="40">
        <f t="shared" si="283"/>
        <v>48.34</v>
      </c>
      <c r="G593" s="3">
        <f t="shared" si="284"/>
        <v>61.809112709837052</v>
      </c>
      <c r="H593" s="3">
        <f t="shared" si="285"/>
        <v>148.0155219248214</v>
      </c>
      <c r="I593">
        <f t="shared" si="270"/>
        <v>1.4801552192482141E-4</v>
      </c>
      <c r="J593" s="4">
        <f t="shared" si="286"/>
        <v>2018.2789356175208</v>
      </c>
      <c r="K593" s="40">
        <f t="shared" si="287"/>
        <v>13.635589763637258</v>
      </c>
      <c r="L593" s="40">
        <f t="shared" si="271"/>
        <v>0</v>
      </c>
      <c r="M593" s="10">
        <f t="shared" si="288"/>
        <v>0.89355013460409327</v>
      </c>
      <c r="N593" s="10">
        <f t="shared" si="267"/>
        <v>8.26</v>
      </c>
      <c r="O593" s="10">
        <f t="shared" si="268"/>
        <v>0.31900000000000001</v>
      </c>
      <c r="P593" s="10">
        <f t="shared" si="289"/>
        <v>7.9686909567051067</v>
      </c>
      <c r="Q593" s="45">
        <f t="shared" si="290"/>
        <v>1.9422598521659966</v>
      </c>
      <c r="R593" s="4">
        <f t="shared" si="291"/>
        <v>-11029.008784383632</v>
      </c>
      <c r="S593">
        <f t="shared" si="272"/>
        <v>-1.1029008784383632E-5</v>
      </c>
      <c r="T593" s="44">
        <f t="shared" si="273"/>
        <v>2.4689679441969905E-4</v>
      </c>
      <c r="U593" s="45">
        <f t="shared" si="292"/>
        <v>-1.9792107714015645E-2</v>
      </c>
      <c r="V593" s="45">
        <f t="shared" si="293"/>
        <v>0.13058345620246245</v>
      </c>
      <c r="W593" s="45">
        <f t="shared" si="294"/>
        <v>0.1310489330332949</v>
      </c>
      <c r="X593" s="45">
        <f t="shared" si="295"/>
        <v>-4.6547683083245084E-4</v>
      </c>
      <c r="Y593" s="45">
        <f t="shared" si="269"/>
        <v>6.0287833088380868E-4</v>
      </c>
      <c r="Z593" s="10">
        <f t="shared" si="296"/>
        <v>2.4418232415726622</v>
      </c>
      <c r="AA593">
        <f t="shared" si="274"/>
        <v>890442.03511020879</v>
      </c>
      <c r="AB593" s="10">
        <f t="shared" si="275"/>
        <v>0.89044203511020881</v>
      </c>
      <c r="AC593" s="10">
        <f t="shared" si="276"/>
        <v>0.78944203511020883</v>
      </c>
      <c r="AD593" s="3">
        <f t="shared" si="277"/>
        <v>114.49485643367785</v>
      </c>
      <c r="AI593" s="100">
        <f t="shared" si="278"/>
        <v>0.1310489330332949</v>
      </c>
    </row>
    <row r="594" spans="2:35">
      <c r="B594" s="39">
        <f t="shared" si="279"/>
        <v>566</v>
      </c>
      <c r="C594" s="45">
        <f t="shared" si="280"/>
        <v>16.627098321341922</v>
      </c>
      <c r="D594" s="10">
        <f t="shared" si="281"/>
        <v>-1.1770983213416919</v>
      </c>
      <c r="E594" s="40">
        <f t="shared" si="282"/>
        <v>50.694196642683387</v>
      </c>
      <c r="F594" s="40">
        <f t="shared" si="283"/>
        <v>48.34</v>
      </c>
      <c r="G594" s="3">
        <f t="shared" si="284"/>
        <v>61.691606714633224</v>
      </c>
      <c r="H594" s="3">
        <f t="shared" si="285"/>
        <v>148.0155219248214</v>
      </c>
      <c r="I594">
        <f t="shared" si="270"/>
        <v>1.4801552192482141E-4</v>
      </c>
      <c r="J594" s="4">
        <f t="shared" si="286"/>
        <v>2022.9547408400708</v>
      </c>
      <c r="K594" s="40">
        <f t="shared" si="287"/>
        <v>13.667179729079699</v>
      </c>
      <c r="L594" s="40">
        <f t="shared" si="271"/>
        <v>0</v>
      </c>
      <c r="M594" s="10">
        <f t="shared" si="288"/>
        <v>0.89044203511020881</v>
      </c>
      <c r="N594" s="10">
        <f t="shared" si="267"/>
        <v>8.26</v>
      </c>
      <c r="O594" s="10">
        <f t="shared" si="268"/>
        <v>0.31900000000000001</v>
      </c>
      <c r="P594" s="10">
        <f t="shared" si="289"/>
        <v>7.9598383998066584</v>
      </c>
      <c r="Q594" s="45">
        <f t="shared" si="290"/>
        <v>1.9459504420153673</v>
      </c>
      <c r="R594" s="4">
        <f t="shared" si="291"/>
        <v>-11296.499349342164</v>
      </c>
      <c r="S594">
        <f t="shared" si="272"/>
        <v>-1.1296499349342164E-5</v>
      </c>
      <c r="T594" s="44">
        <f t="shared" si="273"/>
        <v>2.4716428498465758E-4</v>
      </c>
      <c r="U594" s="45">
        <f t="shared" si="292"/>
        <v>-2.0272132907361979E-2</v>
      </c>
      <c r="V594" s="45">
        <f t="shared" si="293"/>
        <v>0.13006733691314729</v>
      </c>
      <c r="W594" s="45">
        <f t="shared" si="294"/>
        <v>0.13053500576907412</v>
      </c>
      <c r="X594" s="45">
        <f t="shared" si="295"/>
        <v>-4.6766885592683383E-4</v>
      </c>
      <c r="Y594" s="45">
        <f t="shared" si="269"/>
        <v>6.0115235695125835E-4</v>
      </c>
      <c r="Z594" s="10">
        <f t="shared" si="296"/>
        <v>2.432197503731472</v>
      </c>
      <c r="AA594">
        <f t="shared" si="274"/>
        <v>887330.03177540051</v>
      </c>
      <c r="AB594" s="10">
        <f t="shared" si="275"/>
        <v>0.88733003177540049</v>
      </c>
      <c r="AC594" s="10">
        <f t="shared" si="276"/>
        <v>0.78633003177540051</v>
      </c>
      <c r="AD594" s="3">
        <f t="shared" si="277"/>
        <v>114.04351439817266</v>
      </c>
      <c r="AI594" s="100">
        <f t="shared" si="278"/>
        <v>0.13053500576907412</v>
      </c>
    </row>
    <row r="595" spans="2:35">
      <c r="B595" s="39">
        <f t="shared" si="279"/>
        <v>567</v>
      </c>
      <c r="C595" s="45">
        <f t="shared" si="280"/>
        <v>16.656474820142879</v>
      </c>
      <c r="D595" s="10">
        <f t="shared" si="281"/>
        <v>-1.206474820142649</v>
      </c>
      <c r="E595" s="40">
        <f t="shared" si="282"/>
        <v>50.752949640285301</v>
      </c>
      <c r="F595" s="40">
        <f t="shared" si="283"/>
        <v>48.34</v>
      </c>
      <c r="G595" s="3">
        <f t="shared" si="284"/>
        <v>61.574100719429396</v>
      </c>
      <c r="H595" s="3">
        <f t="shared" si="285"/>
        <v>148.0155219248214</v>
      </c>
      <c r="I595">
        <f t="shared" si="270"/>
        <v>1.4801552192482141E-4</v>
      </c>
      <c r="J595" s="4">
        <f t="shared" si="286"/>
        <v>2027.6359683175951</v>
      </c>
      <c r="K595" s="40">
        <f t="shared" si="287"/>
        <v>13.698806327538083</v>
      </c>
      <c r="L595" s="40">
        <f t="shared" si="271"/>
        <v>0</v>
      </c>
      <c r="M595" s="10">
        <f t="shared" si="288"/>
        <v>0.88733003177540049</v>
      </c>
      <c r="N595" s="10">
        <f t="shared" si="267"/>
        <v>8.26</v>
      </c>
      <c r="O595" s="10">
        <f t="shared" si="268"/>
        <v>0.31900000000000001</v>
      </c>
      <c r="P595" s="10">
        <f t="shared" si="289"/>
        <v>7.9509536161786523</v>
      </c>
      <c r="Q595" s="45">
        <f t="shared" si="290"/>
        <v>1.9496451559099601</v>
      </c>
      <c r="R595" s="4">
        <f t="shared" si="291"/>
        <v>-11563.224914482487</v>
      </c>
      <c r="S595">
        <f t="shared" si="272"/>
        <v>-1.1563224914482488E-5</v>
      </c>
      <c r="T595" s="44">
        <f t="shared" si="273"/>
        <v>2.474310105497979E-4</v>
      </c>
      <c r="U595" s="45">
        <f t="shared" si="292"/>
        <v>-2.0750785270284546E-2</v>
      </c>
      <c r="V595" s="45">
        <f t="shared" si="293"/>
        <v>0.12955058945783723</v>
      </c>
      <c r="W595" s="45">
        <f t="shared" si="294"/>
        <v>0.13002043300097235</v>
      </c>
      <c r="X595" s="45">
        <f t="shared" si="295"/>
        <v>-4.6984354313511778E-4</v>
      </c>
      <c r="Y595" s="45">
        <f t="shared" si="269"/>
        <v>5.9941641948415224E-4</v>
      </c>
      <c r="Z595" s="10">
        <f t="shared" si="296"/>
        <v>2.4225598002135382</v>
      </c>
      <c r="AA595">
        <f t="shared" si="274"/>
        <v>884214.15993445332</v>
      </c>
      <c r="AB595" s="10">
        <f t="shared" si="275"/>
        <v>0.88421415993445329</v>
      </c>
      <c r="AC595" s="10">
        <f t="shared" si="276"/>
        <v>0.78321415993445331</v>
      </c>
      <c r="AD595" s="3">
        <f t="shared" si="277"/>
        <v>113.59161130303892</v>
      </c>
      <c r="AI595" s="100">
        <f t="shared" si="278"/>
        <v>0.13002043300097235</v>
      </c>
    </row>
    <row r="596" spans="2:35">
      <c r="B596" s="39">
        <f t="shared" si="279"/>
        <v>568</v>
      </c>
      <c r="C596" s="45">
        <f t="shared" si="280"/>
        <v>16.685851318943836</v>
      </c>
      <c r="D596" s="10">
        <f t="shared" si="281"/>
        <v>-1.235851318943606</v>
      </c>
      <c r="E596" s="40">
        <f t="shared" si="282"/>
        <v>50.811702637887215</v>
      </c>
      <c r="F596" s="40">
        <f t="shared" si="283"/>
        <v>48.34</v>
      </c>
      <c r="G596" s="3">
        <f t="shared" si="284"/>
        <v>61.456594724225567</v>
      </c>
      <c r="H596" s="3">
        <f t="shared" si="285"/>
        <v>148.0155219248214</v>
      </c>
      <c r="I596">
        <f t="shared" si="270"/>
        <v>1.4801552192482141E-4</v>
      </c>
      <c r="J596" s="4">
        <f t="shared" si="286"/>
        <v>2032.3226180500928</v>
      </c>
      <c r="K596" s="40">
        <f t="shared" si="287"/>
        <v>13.7304695590124</v>
      </c>
      <c r="L596" s="40">
        <f t="shared" si="271"/>
        <v>0</v>
      </c>
      <c r="M596" s="10">
        <f t="shared" si="288"/>
        <v>0.88421415993445329</v>
      </c>
      <c r="N596" s="10">
        <f t="shared" si="267"/>
        <v>8.26</v>
      </c>
      <c r="O596" s="10">
        <f t="shared" si="268"/>
        <v>0.31900000000000001</v>
      </c>
      <c r="P596" s="10">
        <f t="shared" si="289"/>
        <v>7.942036502675621</v>
      </c>
      <c r="Q596" s="45">
        <f t="shared" si="290"/>
        <v>1.9533440181339075</v>
      </c>
      <c r="R596" s="4">
        <f t="shared" si="291"/>
        <v>-11829.183568362176</v>
      </c>
      <c r="S596">
        <f t="shared" si="272"/>
        <v>-1.1829183568362176E-5</v>
      </c>
      <c r="T596" s="44">
        <f t="shared" si="273"/>
        <v>2.476969692036776E-4</v>
      </c>
      <c r="U596" s="45">
        <f t="shared" si="292"/>
        <v>-2.1228061372604343E-2</v>
      </c>
      <c r="V596" s="45">
        <f t="shared" si="293"/>
        <v>0.12903321979115526</v>
      </c>
      <c r="W596" s="45">
        <f t="shared" si="294"/>
        <v>0.12950522057163047</v>
      </c>
      <c r="X596" s="45">
        <f t="shared" si="295"/>
        <v>-4.7200078047521243E-4</v>
      </c>
      <c r="Y596" s="45">
        <f t="shared" si="269"/>
        <v>5.976705536275788E-4</v>
      </c>
      <c r="Z596" s="10">
        <f t="shared" si="296"/>
        <v>2.412910240884389</v>
      </c>
      <c r="AA596">
        <f t="shared" si="274"/>
        <v>881094.45510691893</v>
      </c>
      <c r="AB596" s="10">
        <f t="shared" si="275"/>
        <v>0.88109445510691897</v>
      </c>
      <c r="AC596" s="10">
        <f t="shared" si="276"/>
        <v>0.78009445510691899</v>
      </c>
      <c r="AD596" s="3">
        <f t="shared" si="277"/>
        <v>113.13915229977071</v>
      </c>
      <c r="AI596" s="100">
        <f t="shared" si="278"/>
        <v>0.12950522057163047</v>
      </c>
    </row>
    <row r="597" spans="2:35">
      <c r="B597" s="39">
        <f t="shared" si="279"/>
        <v>569</v>
      </c>
      <c r="C597" s="45">
        <f t="shared" si="280"/>
        <v>16.715227817744793</v>
      </c>
      <c r="D597" s="10">
        <f t="shared" si="281"/>
        <v>-1.2652278177445631</v>
      </c>
      <c r="E597" s="40">
        <f t="shared" si="282"/>
        <v>50.87045563548913</v>
      </c>
      <c r="F597" s="40">
        <f t="shared" si="283"/>
        <v>48.34</v>
      </c>
      <c r="G597" s="3">
        <f t="shared" si="284"/>
        <v>61.339088729021739</v>
      </c>
      <c r="H597" s="3">
        <f t="shared" si="285"/>
        <v>148.0155219248214</v>
      </c>
      <c r="I597">
        <f t="shared" si="270"/>
        <v>1.4801552192482141E-4</v>
      </c>
      <c r="J597" s="4">
        <f t="shared" si="286"/>
        <v>2037.0146900375646</v>
      </c>
      <c r="K597" s="40">
        <f t="shared" si="287"/>
        <v>13.762169423502659</v>
      </c>
      <c r="L597" s="40">
        <f t="shared" si="271"/>
        <v>0</v>
      </c>
      <c r="M597" s="10">
        <f t="shared" si="288"/>
        <v>0.88109445510691897</v>
      </c>
      <c r="N597" s="10">
        <f t="shared" si="267"/>
        <v>8.26</v>
      </c>
      <c r="O597" s="10">
        <f t="shared" si="268"/>
        <v>0.31900000000000001</v>
      </c>
      <c r="P597" s="10">
        <f t="shared" si="289"/>
        <v>7.9330869554337289</v>
      </c>
      <c r="Q597" s="45">
        <f t="shared" si="290"/>
        <v>1.9570470531524302</v>
      </c>
      <c r="R597" s="4">
        <f t="shared" si="291"/>
        <v>-12094.373399538848</v>
      </c>
      <c r="S597">
        <f t="shared" si="272"/>
        <v>-1.2094373399538848E-5</v>
      </c>
      <c r="T597" s="44">
        <f t="shared" si="273"/>
        <v>2.4796215903485425E-4</v>
      </c>
      <c r="U597" s="45">
        <f t="shared" si="292"/>
        <v>-2.1703957784142441E-2</v>
      </c>
      <c r="V597" s="45">
        <f t="shared" si="293"/>
        <v>0.12851523389804359</v>
      </c>
      <c r="W597" s="45">
        <f t="shared" si="294"/>
        <v>0.12898937435424079</v>
      </c>
      <c r="X597" s="45">
        <f t="shared" si="295"/>
        <v>-4.7414045619720291E-4</v>
      </c>
      <c r="Y597" s="45">
        <f t="shared" si="269"/>
        <v>5.959147949145822E-4</v>
      </c>
      <c r="Z597" s="10">
        <f t="shared" si="296"/>
        <v>2.4032489361847293</v>
      </c>
      <c r="AA597">
        <f t="shared" si="274"/>
        <v>877970.95299830311</v>
      </c>
      <c r="AB597" s="10">
        <f t="shared" si="275"/>
        <v>0.87797095299830308</v>
      </c>
      <c r="AC597" s="10">
        <f t="shared" si="276"/>
        <v>0.7769709529983031</v>
      </c>
      <c r="AD597" s="3">
        <f t="shared" si="277"/>
        <v>112.68614256683149</v>
      </c>
      <c r="AI597" s="100">
        <f t="shared" si="278"/>
        <v>0.12898937435424079</v>
      </c>
    </row>
    <row r="598" spans="2:35">
      <c r="B598" s="39">
        <f t="shared" si="279"/>
        <v>570</v>
      </c>
      <c r="C598" s="45">
        <f t="shared" si="280"/>
        <v>16.74460431654575</v>
      </c>
      <c r="D598" s="10">
        <f t="shared" si="281"/>
        <v>-1.2946043165455201</v>
      </c>
      <c r="E598" s="40">
        <f t="shared" si="282"/>
        <v>50.929208633091044</v>
      </c>
      <c r="F598" s="40">
        <f t="shared" si="283"/>
        <v>48.34</v>
      </c>
      <c r="G598" s="3">
        <f t="shared" si="284"/>
        <v>61.221582733817911</v>
      </c>
      <c r="H598" s="3">
        <f t="shared" si="285"/>
        <v>148.0155219248214</v>
      </c>
      <c r="I598">
        <f t="shared" si="270"/>
        <v>1.4801552192482141E-4</v>
      </c>
      <c r="J598" s="4">
        <f t="shared" si="286"/>
        <v>2041.7121842800102</v>
      </c>
      <c r="K598" s="40">
        <f t="shared" si="287"/>
        <v>13.793905921008857</v>
      </c>
      <c r="L598" s="40">
        <f t="shared" si="271"/>
        <v>0</v>
      </c>
      <c r="M598" s="10">
        <f t="shared" si="288"/>
        <v>0.87797095299830308</v>
      </c>
      <c r="N598" s="10">
        <f t="shared" si="267"/>
        <v>8.26</v>
      </c>
      <c r="O598" s="10">
        <f t="shared" si="268"/>
        <v>0.31900000000000001</v>
      </c>
      <c r="P598" s="10">
        <f t="shared" si="289"/>
        <v>7.9241048698648919</v>
      </c>
      <c r="Q598" s="45">
        <f t="shared" si="290"/>
        <v>1.960754285613812</v>
      </c>
      <c r="R598" s="4">
        <f t="shared" si="291"/>
        <v>-12358.792496570086</v>
      </c>
      <c r="S598">
        <f t="shared" si="272"/>
        <v>-1.2358792496570086E-5</v>
      </c>
      <c r="T598" s="44">
        <f t="shared" si="273"/>
        <v>2.4822657813188551E-4</v>
      </c>
      <c r="U598" s="45">
        <f t="shared" si="292"/>
        <v>-2.2178471074719843E-2</v>
      </c>
      <c r="V598" s="45">
        <f t="shared" si="293"/>
        <v>0.12799663779393339</v>
      </c>
      <c r="W598" s="45">
        <f t="shared" si="294"/>
        <v>0.1284729002527433</v>
      </c>
      <c r="X598" s="45">
        <f t="shared" si="295"/>
        <v>-4.762624588099118E-4</v>
      </c>
      <c r="Y598" s="45">
        <f t="shared" si="269"/>
        <v>5.9414917926714462E-4</v>
      </c>
      <c r="Z598" s="10">
        <f t="shared" si="296"/>
        <v>2.3935759971338229</v>
      </c>
      <c r="AA598">
        <f t="shared" si="274"/>
        <v>874843.68950116052</v>
      </c>
      <c r="AB598" s="10">
        <f t="shared" si="275"/>
        <v>0.87484368950116054</v>
      </c>
      <c r="AC598" s="10">
        <f t="shared" si="276"/>
        <v>0.77384368950116056</v>
      </c>
      <c r="AD598" s="3">
        <f t="shared" si="277"/>
        <v>112.23258730981298</v>
      </c>
      <c r="AI598" s="100">
        <f t="shared" si="278"/>
        <v>0.1284729002527433</v>
      </c>
    </row>
    <row r="599" spans="2:35">
      <c r="B599" s="39">
        <f t="shared" si="279"/>
        <v>571</v>
      </c>
      <c r="C599" s="45">
        <f t="shared" si="280"/>
        <v>16.773980815346707</v>
      </c>
      <c r="D599" s="10">
        <f t="shared" si="281"/>
        <v>-1.3239808153464772</v>
      </c>
      <c r="E599" s="40">
        <f t="shared" si="282"/>
        <v>50.987961630692958</v>
      </c>
      <c r="F599" s="40">
        <f t="shared" si="283"/>
        <v>48.34</v>
      </c>
      <c r="G599" s="3">
        <f t="shared" si="284"/>
        <v>61.104076738614083</v>
      </c>
      <c r="H599" s="3">
        <f t="shared" si="285"/>
        <v>148.0155219248214</v>
      </c>
      <c r="I599">
        <f t="shared" si="270"/>
        <v>1.4801552192482141E-4</v>
      </c>
      <c r="J599" s="4">
        <f t="shared" si="286"/>
        <v>2046.4151007774296</v>
      </c>
      <c r="K599" s="40">
        <f t="shared" si="287"/>
        <v>13.825679051530994</v>
      </c>
      <c r="L599" s="40">
        <f t="shared" si="271"/>
        <v>0</v>
      </c>
      <c r="M599" s="10">
        <f t="shared" si="288"/>
        <v>0.87484368950116054</v>
      </c>
      <c r="N599" s="10">
        <f t="shared" si="267"/>
        <v>8.26</v>
      </c>
      <c r="O599" s="10">
        <f t="shared" si="268"/>
        <v>0.31900000000000001</v>
      </c>
      <c r="P599" s="10">
        <f t="shared" si="289"/>
        <v>7.9150901406505341</v>
      </c>
      <c r="Q599" s="45">
        <f t="shared" si="290"/>
        <v>1.9644657403514005</v>
      </c>
      <c r="R599" s="4">
        <f t="shared" si="291"/>
        <v>-12622.438948013507</v>
      </c>
      <c r="S599">
        <f t="shared" si="272"/>
        <v>-1.2622438948013507E-5</v>
      </c>
      <c r="T599" s="44">
        <f t="shared" si="273"/>
        <v>2.484902245833289E-4</v>
      </c>
      <c r="U599" s="45">
        <f t="shared" si="292"/>
        <v>-2.265159781415764E-2</v>
      </c>
      <c r="V599" s="45">
        <f t="shared" si="293"/>
        <v>0.1274774375249984</v>
      </c>
      <c r="W599" s="45">
        <f t="shared" si="294"/>
        <v>0.12795580420200675</v>
      </c>
      <c r="X599" s="45">
        <f t="shared" si="295"/>
        <v>-4.7836667700834612E-4</v>
      </c>
      <c r="Y599" s="45">
        <f t="shared" si="269"/>
        <v>5.9237374299745749E-4</v>
      </c>
      <c r="Z599" s="10">
        <f t="shared" si="296"/>
        <v>2.3838915353340608</v>
      </c>
      <c r="AA599">
        <f t="shared" si="274"/>
        <v>871712.70069657068</v>
      </c>
      <c r="AB599" s="10">
        <f t="shared" si="275"/>
        <v>0.8717127006965707</v>
      </c>
      <c r="AC599" s="10">
        <f t="shared" si="276"/>
        <v>0.77071270069657072</v>
      </c>
      <c r="AD599" s="3">
        <f t="shared" si="277"/>
        <v>111.77849176164912</v>
      </c>
      <c r="AI599" s="100">
        <f t="shared" si="278"/>
        <v>0.12795580420200675</v>
      </c>
    </row>
    <row r="600" spans="2:35">
      <c r="B600" s="39">
        <f t="shared" si="279"/>
        <v>572</v>
      </c>
      <c r="C600" s="45">
        <f t="shared" si="280"/>
        <v>16.803357314147664</v>
      </c>
      <c r="D600" s="10">
        <f t="shared" si="281"/>
        <v>-1.3533573141474342</v>
      </c>
      <c r="E600" s="40">
        <f t="shared" si="282"/>
        <v>51.046714628294872</v>
      </c>
      <c r="F600" s="40">
        <f t="shared" si="283"/>
        <v>48.34</v>
      </c>
      <c r="G600" s="3">
        <f t="shared" si="284"/>
        <v>60.986570743410255</v>
      </c>
      <c r="H600" s="3">
        <f t="shared" si="285"/>
        <v>148.0155219248214</v>
      </c>
      <c r="I600">
        <f t="shared" si="270"/>
        <v>1.4801552192482141E-4</v>
      </c>
      <c r="J600" s="4">
        <f t="shared" si="286"/>
        <v>2051.1234395298234</v>
      </c>
      <c r="K600" s="40">
        <f t="shared" si="287"/>
        <v>13.85748881506907</v>
      </c>
      <c r="L600" s="40">
        <f t="shared" si="271"/>
        <v>0</v>
      </c>
      <c r="M600" s="10">
        <f t="shared" si="288"/>
        <v>0.8717127006965707</v>
      </c>
      <c r="N600" s="10">
        <f t="shared" si="267"/>
        <v>8.26</v>
      </c>
      <c r="O600" s="10">
        <f t="shared" si="268"/>
        <v>0.31900000000000001</v>
      </c>
      <c r="P600" s="10">
        <f t="shared" si="289"/>
        <v>7.9060426617363628</v>
      </c>
      <c r="Q600" s="45">
        <f t="shared" si="290"/>
        <v>1.968181442385635</v>
      </c>
      <c r="R600" s="4">
        <f t="shared" si="291"/>
        <v>-12885.310842426712</v>
      </c>
      <c r="S600">
        <f t="shared" si="272"/>
        <v>-1.2885310842426712E-5</v>
      </c>
      <c r="T600" s="44">
        <f t="shared" si="273"/>
        <v>2.4875309647774213E-4</v>
      </c>
      <c r="U600" s="45">
        <f t="shared" si="292"/>
        <v>-2.3123334572276853E-2</v>
      </c>
      <c r="V600" s="45">
        <f t="shared" si="293"/>
        <v>0.12695763916828917</v>
      </c>
      <c r="W600" s="45">
        <f t="shared" si="294"/>
        <v>0.12743809216807256</v>
      </c>
      <c r="X600" s="45">
        <f t="shared" si="295"/>
        <v>-4.8045299978338729E-4</v>
      </c>
      <c r="Y600" s="45">
        <f t="shared" si="269"/>
        <v>5.9058852280880836E-4</v>
      </c>
      <c r="Z600" s="10">
        <f t="shared" si="296"/>
        <v>2.374195662974</v>
      </c>
      <c r="AA600">
        <f t="shared" si="274"/>
        <v>868578.02285512071</v>
      </c>
      <c r="AB600" s="10">
        <f t="shared" si="275"/>
        <v>0.86857802285512076</v>
      </c>
      <c r="AC600" s="10">
        <f t="shared" si="276"/>
        <v>0.76757802285512078</v>
      </c>
      <c r="AD600" s="3">
        <f t="shared" si="277"/>
        <v>111.32386118275863</v>
      </c>
      <c r="AI600" s="100">
        <f t="shared" si="278"/>
        <v>0.12743809216807256</v>
      </c>
    </row>
    <row r="601" spans="2:35">
      <c r="B601" s="39">
        <f t="shared" si="279"/>
        <v>573</v>
      </c>
      <c r="C601" s="45">
        <f t="shared" si="280"/>
        <v>16.832733812948621</v>
      </c>
      <c r="D601" s="10">
        <f t="shared" si="281"/>
        <v>-1.3827338129483913</v>
      </c>
      <c r="E601" s="40">
        <f t="shared" si="282"/>
        <v>51.105467625896786</v>
      </c>
      <c r="F601" s="40">
        <f t="shared" si="283"/>
        <v>48.34</v>
      </c>
      <c r="G601" s="3">
        <f t="shared" si="284"/>
        <v>60.869064748206426</v>
      </c>
      <c r="H601" s="3">
        <f t="shared" si="285"/>
        <v>148.0155219248214</v>
      </c>
      <c r="I601">
        <f t="shared" si="270"/>
        <v>1.4801552192482141E-4</v>
      </c>
      <c r="J601" s="4">
        <f t="shared" si="286"/>
        <v>2055.8372005371907</v>
      </c>
      <c r="K601" s="40">
        <f t="shared" si="287"/>
        <v>13.889335211623086</v>
      </c>
      <c r="L601" s="40">
        <f t="shared" si="271"/>
        <v>0</v>
      </c>
      <c r="M601" s="10">
        <f t="shared" si="288"/>
        <v>0.86857802285512076</v>
      </c>
      <c r="N601" s="10">
        <f t="shared" si="267"/>
        <v>8.26</v>
      </c>
      <c r="O601" s="10">
        <f t="shared" si="268"/>
        <v>0.31900000000000001</v>
      </c>
      <c r="P601" s="10">
        <f t="shared" si="289"/>
        <v>7.896962326325621</v>
      </c>
      <c r="Q601" s="45">
        <f t="shared" si="290"/>
        <v>1.971901416926102</v>
      </c>
      <c r="R601" s="4">
        <f t="shared" si="291"/>
        <v>-13147.406268367278</v>
      </c>
      <c r="S601">
        <f t="shared" si="272"/>
        <v>-1.3147406268367279E-5</v>
      </c>
      <c r="T601" s="44">
        <f t="shared" si="273"/>
        <v>2.4901519190368267E-4</v>
      </c>
      <c r="U601" s="45">
        <f t="shared" si="292"/>
        <v>-2.3593677918898499E-2</v>
      </c>
      <c r="V601" s="45">
        <f t="shared" si="293"/>
        <v>0.12643724883197655</v>
      </c>
      <c r="W601" s="45">
        <f t="shared" si="294"/>
        <v>0.12691977014831754</v>
      </c>
      <c r="X601" s="45">
        <f t="shared" si="295"/>
        <v>-4.8252131634099471E-4</v>
      </c>
      <c r="Y601" s="45">
        <f t="shared" si="269"/>
        <v>5.8879355579678728E-4</v>
      </c>
      <c r="Z601" s="10">
        <f t="shared" si="296"/>
        <v>2.3644884928327126</v>
      </c>
      <c r="AA601">
        <f t="shared" si="274"/>
        <v>865439.69243831164</v>
      </c>
      <c r="AB601" s="10">
        <f t="shared" si="275"/>
        <v>0.86543969243831165</v>
      </c>
      <c r="AC601" s="10">
        <f t="shared" si="276"/>
        <v>0.76443969243831167</v>
      </c>
      <c r="AD601" s="3">
        <f t="shared" si="277"/>
        <v>110.86870086124897</v>
      </c>
      <c r="AI601" s="100">
        <f t="shared" si="278"/>
        <v>0.12691977014831754</v>
      </c>
    </row>
    <row r="602" spans="2:35">
      <c r="B602" s="39">
        <f t="shared" si="279"/>
        <v>574</v>
      </c>
      <c r="C602" s="45">
        <f t="shared" si="280"/>
        <v>16.862110311749579</v>
      </c>
      <c r="D602" s="10">
        <f t="shared" si="281"/>
        <v>-1.4121103117493483</v>
      </c>
      <c r="E602" s="40">
        <f t="shared" si="282"/>
        <v>51.1642206234987</v>
      </c>
      <c r="F602" s="40">
        <f t="shared" si="283"/>
        <v>48.34</v>
      </c>
      <c r="G602" s="3">
        <f t="shared" si="284"/>
        <v>60.751558753002598</v>
      </c>
      <c r="H602" s="3">
        <f t="shared" si="285"/>
        <v>148.0155219248214</v>
      </c>
      <c r="I602">
        <f t="shared" si="270"/>
        <v>1.4801552192482141E-4</v>
      </c>
      <c r="J602" s="4">
        <f t="shared" si="286"/>
        <v>2060.5563837995319</v>
      </c>
      <c r="K602" s="40">
        <f t="shared" si="287"/>
        <v>13.921218241193039</v>
      </c>
      <c r="L602" s="40">
        <f t="shared" si="271"/>
        <v>0</v>
      </c>
      <c r="M602" s="10">
        <f t="shared" si="288"/>
        <v>0.86543969243831165</v>
      </c>
      <c r="N602" s="10">
        <f t="shared" si="267"/>
        <v>8.26</v>
      </c>
      <c r="O602" s="10">
        <f t="shared" si="268"/>
        <v>0.31900000000000001</v>
      </c>
      <c r="P602" s="10">
        <f t="shared" si="289"/>
        <v>7.8878490268734689</v>
      </c>
      <c r="Q602" s="45">
        <f t="shared" si="290"/>
        <v>1.9756256893736188</v>
      </c>
      <c r="R602" s="4">
        <f t="shared" si="291"/>
        <v>-13408.723314392826</v>
      </c>
      <c r="S602">
        <f t="shared" si="272"/>
        <v>-1.3408723314392826E-5</v>
      </c>
      <c r="T602" s="44">
        <f t="shared" si="273"/>
        <v>2.4927650894970821E-4</v>
      </c>
      <c r="U602" s="45">
        <f t="shared" si="292"/>
        <v>-2.4062624423843645E-2</v>
      </c>
      <c r="V602" s="45">
        <f t="shared" si="293"/>
        <v>0.12591627265556729</v>
      </c>
      <c r="W602" s="45">
        <f t="shared" si="294"/>
        <v>0.12640084417168615</v>
      </c>
      <c r="X602" s="45">
        <f t="shared" si="295"/>
        <v>-4.8457151611885907E-4</v>
      </c>
      <c r="Y602" s="45">
        <f t="shared" si="269"/>
        <v>5.8698887945045439E-4</v>
      </c>
      <c r="Z602" s="10">
        <f t="shared" si="296"/>
        <v>2.354770138283989</v>
      </c>
      <c r="AA602">
        <f t="shared" si="274"/>
        <v>862297.74609991664</v>
      </c>
      <c r="AB602" s="10">
        <f t="shared" si="275"/>
        <v>0.86229774609991661</v>
      </c>
      <c r="AC602" s="10">
        <f t="shared" si="276"/>
        <v>0.76129774609991663</v>
      </c>
      <c r="AD602" s="3">
        <f t="shared" si="277"/>
        <v>110.41301611311336</v>
      </c>
      <c r="AI602" s="100">
        <f t="shared" si="278"/>
        <v>0.12640084417168615</v>
      </c>
    </row>
    <row r="603" spans="2:35">
      <c r="B603" s="39">
        <f t="shared" si="279"/>
        <v>575</v>
      </c>
      <c r="C603" s="45">
        <f t="shared" si="280"/>
        <v>16.891486810550536</v>
      </c>
      <c r="D603" s="10">
        <f t="shared" si="281"/>
        <v>-1.4414868105503054</v>
      </c>
      <c r="E603" s="40">
        <f t="shared" si="282"/>
        <v>51.222973621100614</v>
      </c>
      <c r="F603" s="40">
        <f t="shared" si="283"/>
        <v>48.34</v>
      </c>
      <c r="G603" s="3">
        <f t="shared" si="284"/>
        <v>60.63405275779877</v>
      </c>
      <c r="H603" s="3">
        <f t="shared" si="285"/>
        <v>148.0155219248214</v>
      </c>
      <c r="I603">
        <f t="shared" si="270"/>
        <v>1.4801552192482141E-4</v>
      </c>
      <c r="J603" s="4">
        <f t="shared" si="286"/>
        <v>2065.2809893168474</v>
      </c>
      <c r="K603" s="40">
        <f t="shared" si="287"/>
        <v>13.953137903778934</v>
      </c>
      <c r="L603" s="40">
        <f t="shared" si="271"/>
        <v>0</v>
      </c>
      <c r="M603" s="10">
        <f t="shared" si="288"/>
        <v>0.86229774609991661</v>
      </c>
      <c r="N603" s="10">
        <f t="shared" si="267"/>
        <v>8.26</v>
      </c>
      <c r="O603" s="10">
        <f t="shared" si="268"/>
        <v>0.31900000000000001</v>
      </c>
      <c r="P603" s="10">
        <f t="shared" si="289"/>
        <v>7.8787026550811516</v>
      </c>
      <c r="Q603" s="45">
        <f t="shared" si="290"/>
        <v>1.9793542853223456</v>
      </c>
      <c r="R603" s="4">
        <f t="shared" si="291"/>
        <v>-13669.260069060956</v>
      </c>
      <c r="S603">
        <f t="shared" si="272"/>
        <v>-1.3669260069060956E-5</v>
      </c>
      <c r="T603" s="44">
        <f t="shared" si="273"/>
        <v>2.4953704570437635E-4</v>
      </c>
      <c r="U603" s="45">
        <f t="shared" si="292"/>
        <v>-2.4530170656933338E-2</v>
      </c>
      <c r="V603" s="45">
        <f t="shared" si="293"/>
        <v>0.12539471681005004</v>
      </c>
      <c r="W603" s="45">
        <f t="shared" si="294"/>
        <v>0.12588132029891533</v>
      </c>
      <c r="X603" s="45">
        <f t="shared" si="295"/>
        <v>-4.8660348886528371E-4</v>
      </c>
      <c r="Y603" s="45">
        <f t="shared" si="269"/>
        <v>5.8517453165323494E-4</v>
      </c>
      <c r="Z603" s="10">
        <f t="shared" si="296"/>
        <v>2.3450407132994773</v>
      </c>
      <c r="AA603">
        <f t="shared" si="274"/>
        <v>859152.22068699694</v>
      </c>
      <c r="AB603" s="10">
        <f t="shared" si="275"/>
        <v>0.85915222068699693</v>
      </c>
      <c r="AC603" s="10">
        <f t="shared" si="276"/>
        <v>0.75815222068699695</v>
      </c>
      <c r="AD603" s="3">
        <f t="shared" si="277"/>
        <v>109.9568122823781</v>
      </c>
      <c r="AI603" s="100">
        <f t="shared" si="278"/>
        <v>0.12588132029891533</v>
      </c>
    </row>
    <row r="604" spans="2:35">
      <c r="B604" s="39">
        <f t="shared" si="279"/>
        <v>576</v>
      </c>
      <c r="C604" s="45">
        <f t="shared" si="280"/>
        <v>16.920863309351493</v>
      </c>
      <c r="D604" s="10">
        <f t="shared" si="281"/>
        <v>-1.4708633093512624</v>
      </c>
      <c r="E604" s="40">
        <f t="shared" si="282"/>
        <v>51.281726618702528</v>
      </c>
      <c r="F604" s="40">
        <f t="shared" si="283"/>
        <v>48.34</v>
      </c>
      <c r="G604" s="3">
        <f t="shared" si="284"/>
        <v>60.516546762594942</v>
      </c>
      <c r="H604" s="3">
        <f t="shared" si="285"/>
        <v>148.0155219248214</v>
      </c>
      <c r="I604">
        <f t="shared" si="270"/>
        <v>1.4801552192482141E-4</v>
      </c>
      <c r="J604" s="4">
        <f t="shared" si="286"/>
        <v>2070.0110170891362</v>
      </c>
      <c r="K604" s="40">
        <f t="shared" si="287"/>
        <v>13.985094199380764</v>
      </c>
      <c r="L604" s="40">
        <f t="shared" si="271"/>
        <v>0</v>
      </c>
      <c r="M604" s="10">
        <f t="shared" si="288"/>
        <v>0.85915222068699693</v>
      </c>
      <c r="N604" s="10">
        <f t="shared" ref="N604:N667" si="297">IF(fueltype=1,VLOOKUP($M604,kndxbn_,4),IF(fueltype=2,VLOOKUP($M604,knsobn_,4),IF(fueltype=3,VLOOKUP($M604,knsbcobn_,4),IF(fueltype=4,VLOOKUP($M604,knsubn_,4),IF(fueltype=5,am_1,IF(fueltype=6,am_0,IF(fueltype=7,am_3,am_4)))))))</f>
        <v>8.26</v>
      </c>
      <c r="O604" s="10">
        <f t="shared" ref="O604:O667" si="298">IF(fueltype=1,VLOOKUP($M604,kndxbn_,5),IF(fueltype=2,VLOOKUP($M604,knsobn_,5),IF(fueltype=3,VLOOKUP($M604,knsbcobn_,5),IF(fueltype=4,VLOOKUP($M604,knsubn_,5),IF(fueltype=5,nm_1,IF(fueltype=6,an_0,IF(fueltype=7,nm_3,nm_4)))))))</f>
        <v>0.31900000000000001</v>
      </c>
      <c r="P604" s="10">
        <f t="shared" si="289"/>
        <v>7.8695231018890528</v>
      </c>
      <c r="Q604" s="45">
        <f t="shared" si="290"/>
        <v>1.9830872305619252</v>
      </c>
      <c r="R604" s="4">
        <f t="shared" si="291"/>
        <v>-13929.014620929242</v>
      </c>
      <c r="S604">
        <f t="shared" si="272"/>
        <v>-1.3929014620929242E-5</v>
      </c>
      <c r="T604" s="44">
        <f t="shared" si="273"/>
        <v>2.4979680025624467E-4</v>
      </c>
      <c r="U604" s="45">
        <f t="shared" si="292"/>
        <v>-2.4996313187988568E-2</v>
      </c>
      <c r="V604" s="45">
        <f t="shared" si="293"/>
        <v>0.12487258749815762</v>
      </c>
      <c r="W604" s="45">
        <f t="shared" si="294"/>
        <v>0.12536120462270242</v>
      </c>
      <c r="X604" s="45">
        <f t="shared" si="295"/>
        <v>-4.8861712454480177E-4</v>
      </c>
      <c r="Y604" s="45">
        <f t="shared" si="269"/>
        <v>5.8335055068418841E-4</v>
      </c>
      <c r="Z604" s="10">
        <f t="shared" si="296"/>
        <v>2.3353003324533388</v>
      </c>
      <c r="AA604">
        <f t="shared" si="274"/>
        <v>856003.15324140585</v>
      </c>
      <c r="AB604" s="10">
        <f t="shared" si="275"/>
        <v>0.85600315324140586</v>
      </c>
      <c r="AC604" s="10">
        <f t="shared" si="276"/>
        <v>0.75500315324140588</v>
      </c>
      <c r="AD604" s="3">
        <f t="shared" si="277"/>
        <v>109.50009474132065</v>
      </c>
      <c r="AI604" s="100">
        <f t="shared" si="278"/>
        <v>0.12536120462270242</v>
      </c>
    </row>
    <row r="605" spans="2:35">
      <c r="B605" s="39">
        <f t="shared" si="279"/>
        <v>577</v>
      </c>
      <c r="C605" s="45">
        <f t="shared" si="280"/>
        <v>16.95023980815245</v>
      </c>
      <c r="D605" s="10">
        <f t="shared" si="281"/>
        <v>-1.5002398081522195</v>
      </c>
      <c r="E605" s="40">
        <f t="shared" si="282"/>
        <v>51.340479616304442</v>
      </c>
      <c r="F605" s="40">
        <f t="shared" si="283"/>
        <v>48.34</v>
      </c>
      <c r="G605" s="3">
        <f t="shared" si="284"/>
        <v>60.399040767391114</v>
      </c>
      <c r="H605" s="3">
        <f t="shared" si="285"/>
        <v>148.0155219248214</v>
      </c>
      <c r="I605">
        <f t="shared" si="270"/>
        <v>1.4801552192482141E-4</v>
      </c>
      <c r="J605" s="4">
        <f t="shared" si="286"/>
        <v>2074.7464671163993</v>
      </c>
      <c r="K605" s="40">
        <f t="shared" si="287"/>
        <v>14.017087127998538</v>
      </c>
      <c r="L605" s="40">
        <f t="shared" si="271"/>
        <v>0</v>
      </c>
      <c r="M605" s="10">
        <f t="shared" si="288"/>
        <v>0.85600315324140586</v>
      </c>
      <c r="N605" s="10">
        <f t="shared" si="297"/>
        <v>8.26</v>
      </c>
      <c r="O605" s="10">
        <f t="shared" si="298"/>
        <v>0.31900000000000001</v>
      </c>
      <c r="P605" s="10">
        <f t="shared" si="289"/>
        <v>7.8603102574710917</v>
      </c>
      <c r="Q605" s="45">
        <f t="shared" si="290"/>
        <v>1.9868245510796536</v>
      </c>
      <c r="R605" s="4">
        <f t="shared" si="291"/>
        <v>-14187.985058555309</v>
      </c>
      <c r="S605">
        <f t="shared" si="272"/>
        <v>-1.4187985058555309E-5</v>
      </c>
      <c r="T605" s="44">
        <f t="shared" si="273"/>
        <v>2.500557706938707E-4</v>
      </c>
      <c r="U605" s="45">
        <f t="shared" si="292"/>
        <v>-2.5461048586830428E-2</v>
      </c>
      <c r="V605" s="45">
        <f t="shared" si="293"/>
        <v>0.12434989095458301</v>
      </c>
      <c r="W605" s="45">
        <f t="shared" si="294"/>
        <v>0.12484050326795375</v>
      </c>
      <c r="X605" s="45">
        <f t="shared" si="295"/>
        <v>-4.9061231337073352E-4</v>
      </c>
      <c r="Y605" s="45">
        <f t="shared" si="269"/>
        <v>5.8151697521917779E-4</v>
      </c>
      <c r="Z605" s="10">
        <f t="shared" si="296"/>
        <v>2.3255491109265241</v>
      </c>
      <c r="AA605">
        <f t="shared" si="274"/>
        <v>852850.58100117219</v>
      </c>
      <c r="AB605" s="10">
        <f t="shared" si="275"/>
        <v>0.85285058100117217</v>
      </c>
      <c r="AC605" s="10">
        <f t="shared" si="276"/>
        <v>0.75185058100117219</v>
      </c>
      <c r="AD605" s="3">
        <f t="shared" si="277"/>
        <v>109.04286889067036</v>
      </c>
      <c r="AI605" s="100">
        <f t="shared" si="278"/>
        <v>0.12484050326795375</v>
      </c>
    </row>
    <row r="606" spans="2:35">
      <c r="B606" s="39">
        <f t="shared" si="279"/>
        <v>578</v>
      </c>
      <c r="C606" s="45">
        <f t="shared" si="280"/>
        <v>16.979616306953407</v>
      </c>
      <c r="D606" s="10">
        <f t="shared" si="281"/>
        <v>-1.5296163069531765</v>
      </c>
      <c r="E606" s="40">
        <f t="shared" si="282"/>
        <v>51.399232613906356</v>
      </c>
      <c r="F606" s="40">
        <f t="shared" si="283"/>
        <v>48.34</v>
      </c>
      <c r="G606" s="3">
        <f t="shared" si="284"/>
        <v>60.281534772187285</v>
      </c>
      <c r="H606" s="3">
        <f t="shared" si="285"/>
        <v>148.0155219248214</v>
      </c>
      <c r="I606">
        <f t="shared" si="270"/>
        <v>1.4801552192482141E-4</v>
      </c>
      <c r="J606" s="4">
        <f t="shared" si="286"/>
        <v>2079.4873393986359</v>
      </c>
      <c r="K606" s="40">
        <f t="shared" si="287"/>
        <v>14.049116689632246</v>
      </c>
      <c r="L606" s="40">
        <f t="shared" si="271"/>
        <v>0</v>
      </c>
      <c r="M606" s="10">
        <f t="shared" si="288"/>
        <v>0.85285058100117217</v>
      </c>
      <c r="N606" s="10">
        <f t="shared" si="297"/>
        <v>8.26</v>
      </c>
      <c r="O606" s="10">
        <f t="shared" si="298"/>
        <v>0.31900000000000001</v>
      </c>
      <c r="P606" s="10">
        <f t="shared" si="289"/>
        <v>7.8510640112286705</v>
      </c>
      <c r="Q606" s="45">
        <f t="shared" si="290"/>
        <v>1.9905662730626794</v>
      </c>
      <c r="R606" s="4">
        <f t="shared" si="291"/>
        <v>-14446.169470496732</v>
      </c>
      <c r="S606">
        <f t="shared" si="272"/>
        <v>-1.4446169470496732E-5</v>
      </c>
      <c r="T606" s="44">
        <f t="shared" si="273"/>
        <v>2.5031395510581215E-4</v>
      </c>
      <c r="U606" s="45">
        <f t="shared" si="292"/>
        <v>-2.5924373423279908E-2</v>
      </c>
      <c r="V606" s="45">
        <f t="shared" si="293"/>
        <v>0.12382663344613466</v>
      </c>
      <c r="W606" s="45">
        <f t="shared" si="294"/>
        <v>0.12431922239201346</v>
      </c>
      <c r="X606" s="45">
        <f t="shared" si="295"/>
        <v>-4.9258894587879409E-4</v>
      </c>
      <c r="Y606" s="45">
        <f t="shared" ref="Y606:Y669" si="299">IF((X606*(Q606-Q605)+Y605)&lt;0,0,X606*(Q606-Q605)+Y605)</f>
        <v>5.796738443317876E-4</v>
      </c>
      <c r="Z606" s="10">
        <f t="shared" si="296"/>
        <v>2.3157871645100618</v>
      </c>
      <c r="AA606">
        <f t="shared" si="274"/>
        <v>849694.54140156333</v>
      </c>
      <c r="AB606" s="10">
        <f t="shared" si="275"/>
        <v>0.84969454140156331</v>
      </c>
      <c r="AC606" s="10">
        <f t="shared" si="276"/>
        <v>0.74869454140156333</v>
      </c>
      <c r="AD606" s="3">
        <f t="shared" si="277"/>
        <v>108.58514015976263</v>
      </c>
      <c r="AI606" s="100">
        <f t="shared" si="278"/>
        <v>0.12431922239201346</v>
      </c>
    </row>
    <row r="607" spans="2:35">
      <c r="B607" s="39">
        <f t="shared" si="279"/>
        <v>579</v>
      </c>
      <c r="C607" s="45">
        <f t="shared" si="280"/>
        <v>17.008992805754364</v>
      </c>
      <c r="D607" s="10">
        <f t="shared" si="281"/>
        <v>-1.5589928057541336</v>
      </c>
      <c r="E607" s="40">
        <f t="shared" si="282"/>
        <v>51.457985611508271</v>
      </c>
      <c r="F607" s="40">
        <f t="shared" si="283"/>
        <v>48.34</v>
      </c>
      <c r="G607" s="3">
        <f t="shared" si="284"/>
        <v>60.164028776983457</v>
      </c>
      <c r="H607" s="3">
        <f t="shared" si="285"/>
        <v>148.0155219248214</v>
      </c>
      <c r="I607">
        <f t="shared" si="270"/>
        <v>1.4801552192482141E-4</v>
      </c>
      <c r="J607" s="4">
        <f t="shared" si="286"/>
        <v>2084.2336339358471</v>
      </c>
      <c r="K607" s="40">
        <f t="shared" si="287"/>
        <v>14.081182884281898</v>
      </c>
      <c r="L607" s="40">
        <f t="shared" si="271"/>
        <v>0</v>
      </c>
      <c r="M607" s="10">
        <f t="shared" si="288"/>
        <v>0.84969454140156331</v>
      </c>
      <c r="N607" s="10">
        <f t="shared" si="297"/>
        <v>8.26</v>
      </c>
      <c r="O607" s="10">
        <f t="shared" si="298"/>
        <v>0.31900000000000001</v>
      </c>
      <c r="P607" s="10">
        <f t="shared" si="289"/>
        <v>7.8417842517835821</v>
      </c>
      <c r="Q607" s="45">
        <f t="shared" si="290"/>
        <v>1.994312422900234</v>
      </c>
      <c r="R607" s="4">
        <f t="shared" si="291"/>
        <v>-14703.565945311155</v>
      </c>
      <c r="S607">
        <f t="shared" si="272"/>
        <v>-1.4703565945311155E-5</v>
      </c>
      <c r="T607" s="44">
        <f t="shared" si="273"/>
        <v>2.5057135158062659E-4</v>
      </c>
      <c r="U607" s="45">
        <f t="shared" si="292"/>
        <v>-2.6386284267158132E-2</v>
      </c>
      <c r="V607" s="45">
        <f t="shared" si="293"/>
        <v>0.12330282127202545</v>
      </c>
      <c r="W607" s="45">
        <f t="shared" si="294"/>
        <v>0.12379736818483937</v>
      </c>
      <c r="X607" s="45">
        <f t="shared" si="295"/>
        <v>-4.9454691281392016E-4</v>
      </c>
      <c r="Y607" s="45">
        <f t="shared" si="299"/>
        <v>5.7782119749468658E-4</v>
      </c>
      <c r="Z607" s="10">
        <f t="shared" si="296"/>
        <v>2.306014609610151</v>
      </c>
      <c r="AA607">
        <f t="shared" si="274"/>
        <v>846535.07207673078</v>
      </c>
      <c r="AB607" s="10">
        <f t="shared" si="275"/>
        <v>0.84653507207673073</v>
      </c>
      <c r="AC607" s="10">
        <f t="shared" si="276"/>
        <v>0.74553507207673075</v>
      </c>
      <c r="AD607" s="3">
        <f t="shared" si="277"/>
        <v>108.12691400677748</v>
      </c>
      <c r="AI607" s="100">
        <f t="shared" si="278"/>
        <v>0.12379736818483937</v>
      </c>
    </row>
    <row r="608" spans="2:35">
      <c r="B608" s="39">
        <f t="shared" si="279"/>
        <v>580</v>
      </c>
      <c r="C608" s="45">
        <f t="shared" si="280"/>
        <v>17.038369304555321</v>
      </c>
      <c r="D608" s="10">
        <f t="shared" si="281"/>
        <v>-1.5883693045550906</v>
      </c>
      <c r="E608" s="40">
        <f t="shared" si="282"/>
        <v>51.516738609110185</v>
      </c>
      <c r="F608" s="40">
        <f t="shared" si="283"/>
        <v>48.34</v>
      </c>
      <c r="G608" s="3">
        <f t="shared" si="284"/>
        <v>60.046522781779629</v>
      </c>
      <c r="H608" s="3">
        <f t="shared" si="285"/>
        <v>148.0155219248214</v>
      </c>
      <c r="I608">
        <f t="shared" si="270"/>
        <v>1.4801552192482141E-4</v>
      </c>
      <c r="J608" s="4">
        <f t="shared" si="286"/>
        <v>2088.9853507280318</v>
      </c>
      <c r="K608" s="40">
        <f t="shared" si="287"/>
        <v>14.113285711947487</v>
      </c>
      <c r="L608" s="40">
        <f t="shared" si="271"/>
        <v>0</v>
      </c>
      <c r="M608" s="10">
        <f t="shared" si="288"/>
        <v>0.84653507207673073</v>
      </c>
      <c r="N608" s="10">
        <f t="shared" si="297"/>
        <v>8.26</v>
      </c>
      <c r="O608" s="10">
        <f t="shared" si="298"/>
        <v>0.31900000000000001</v>
      </c>
      <c r="P608" s="10">
        <f t="shared" si="289"/>
        <v>7.8324708669725354</v>
      </c>
      <c r="Q608" s="45">
        <f t="shared" si="290"/>
        <v>1.9980630271858919</v>
      </c>
      <c r="R608" s="4">
        <f t="shared" si="291"/>
        <v>-14960.17257155611</v>
      </c>
      <c r="S608">
        <f t="shared" si="272"/>
        <v>-1.4960172571556109E-5</v>
      </c>
      <c r="T608" s="44">
        <f t="shared" si="273"/>
        <v>2.508279582068715E-4</v>
      </c>
      <c r="U608" s="45">
        <f t="shared" si="292"/>
        <v>-2.6846777688286017E-2</v>
      </c>
      <c r="V608" s="45">
        <f t="shared" si="293"/>
        <v>0.12277846076398652</v>
      </c>
      <c r="W608" s="45">
        <f t="shared" si="294"/>
        <v>0.12327494686927479</v>
      </c>
      <c r="X608" s="45">
        <f t="shared" si="295"/>
        <v>-4.9648610528826853E-4</v>
      </c>
      <c r="Y608" s="45">
        <f t="shared" si="299"/>
        <v>5.759590745804228E-4</v>
      </c>
      <c r="Z608" s="10">
        <f t="shared" si="296"/>
        <v>2.2962315632510069</v>
      </c>
      <c r="AA608">
        <f t="shared" si="274"/>
        <v>843372.21086063143</v>
      </c>
      <c r="AB608" s="10">
        <f t="shared" si="275"/>
        <v>0.84337221086063141</v>
      </c>
      <c r="AC608" s="10">
        <f t="shared" si="276"/>
        <v>0.74237221086063143</v>
      </c>
      <c r="AD608" s="3">
        <f t="shared" si="277"/>
        <v>107.66819591887331</v>
      </c>
      <c r="AI608" s="100">
        <f t="shared" si="278"/>
        <v>0.12327494686927479</v>
      </c>
    </row>
    <row r="609" spans="2:35">
      <c r="B609" s="39">
        <f t="shared" si="279"/>
        <v>581</v>
      </c>
      <c r="C609" s="45">
        <f t="shared" si="280"/>
        <v>17.067745803356278</v>
      </c>
      <c r="D609" s="10">
        <f t="shared" si="281"/>
        <v>-1.6177458033560477</v>
      </c>
      <c r="E609" s="40">
        <f t="shared" si="282"/>
        <v>51.575491606712099</v>
      </c>
      <c r="F609" s="40">
        <f t="shared" si="283"/>
        <v>48.34</v>
      </c>
      <c r="G609" s="3">
        <f t="shared" si="284"/>
        <v>59.929016786575801</v>
      </c>
      <c r="H609" s="3">
        <f t="shared" si="285"/>
        <v>148.0155219248214</v>
      </c>
      <c r="I609">
        <f t="shared" si="270"/>
        <v>1.4801552192482141E-4</v>
      </c>
      <c r="J609" s="4">
        <f t="shared" si="286"/>
        <v>2093.7424897751907</v>
      </c>
      <c r="K609" s="40">
        <f t="shared" si="287"/>
        <v>14.145425172629016</v>
      </c>
      <c r="L609" s="40">
        <f t="shared" si="271"/>
        <v>0</v>
      </c>
      <c r="M609" s="10">
        <f t="shared" si="288"/>
        <v>0.84337221086063141</v>
      </c>
      <c r="N609" s="10">
        <f t="shared" si="297"/>
        <v>8.26</v>
      </c>
      <c r="O609" s="10">
        <f t="shared" si="298"/>
        <v>0.31900000000000001</v>
      </c>
      <c r="P609" s="10">
        <f t="shared" si="289"/>
        <v>7.8231237438394388</v>
      </c>
      <c r="Q609" s="45">
        <f t="shared" si="290"/>
        <v>2.0018181127198629</v>
      </c>
      <c r="R609" s="4">
        <f t="shared" si="291"/>
        <v>-15215.987437789261</v>
      </c>
      <c r="S609">
        <f t="shared" si="272"/>
        <v>-1.5215987437789261E-5</v>
      </c>
      <c r="T609" s="44">
        <f t="shared" si="273"/>
        <v>2.510837730731047E-4</v>
      </c>
      <c r="U609" s="45">
        <f t="shared" si="292"/>
        <v>-2.7305850256484715E-2</v>
      </c>
      <c r="V609" s="45">
        <f t="shared" si="293"/>
        <v>0.12225355828665574</v>
      </c>
      <c r="W609" s="45">
        <f t="shared" si="294"/>
        <v>0.1227519647012013</v>
      </c>
      <c r="X609" s="45">
        <f t="shared" si="295"/>
        <v>-4.9840641454555745E-4</v>
      </c>
      <c r="Y609" s="45">
        <f t="shared" si="299"/>
        <v>5.740875158631245E-4</v>
      </c>
      <c r="Z609" s="10">
        <f t="shared" si="296"/>
        <v>2.2864381430813339</v>
      </c>
      <c r="AA609">
        <f t="shared" si="274"/>
        <v>840205.99578911928</v>
      </c>
      <c r="AB609" s="10">
        <f t="shared" si="275"/>
        <v>0.84020599578911925</v>
      </c>
      <c r="AC609" s="10">
        <f t="shared" si="276"/>
        <v>0.73920599578911927</v>
      </c>
      <c r="AD609" s="3">
        <f t="shared" si="277"/>
        <v>107.20899141249011</v>
      </c>
      <c r="AI609" s="100">
        <f t="shared" si="278"/>
        <v>0.1227519647012013</v>
      </c>
    </row>
    <row r="610" spans="2:35">
      <c r="B610" s="39">
        <f t="shared" si="279"/>
        <v>582</v>
      </c>
      <c r="C610" s="45">
        <f t="shared" si="280"/>
        <v>17.097122302157235</v>
      </c>
      <c r="D610" s="10">
        <f t="shared" si="281"/>
        <v>-1.6471223021570047</v>
      </c>
      <c r="E610" s="40">
        <f t="shared" si="282"/>
        <v>51.634244604314013</v>
      </c>
      <c r="F610" s="40">
        <f t="shared" si="283"/>
        <v>48.34</v>
      </c>
      <c r="G610" s="3">
        <f t="shared" si="284"/>
        <v>59.811510791371973</v>
      </c>
      <c r="H610" s="3">
        <f t="shared" si="285"/>
        <v>148.0155219248214</v>
      </c>
      <c r="I610">
        <f t="shared" si="270"/>
        <v>1.4801552192482141E-4</v>
      </c>
      <c r="J610" s="4">
        <f t="shared" si="286"/>
        <v>2098.5050510773231</v>
      </c>
      <c r="K610" s="40">
        <f t="shared" si="287"/>
        <v>14.177601266326482</v>
      </c>
      <c r="L610" s="40">
        <f t="shared" si="271"/>
        <v>0</v>
      </c>
      <c r="M610" s="10">
        <f t="shared" si="288"/>
        <v>0.84020599578911925</v>
      </c>
      <c r="N610" s="10">
        <f t="shared" si="297"/>
        <v>8.26</v>
      </c>
      <c r="O610" s="10">
        <f t="shared" si="298"/>
        <v>0.31900000000000001</v>
      </c>
      <c r="P610" s="10">
        <f t="shared" si="289"/>
        <v>7.8137427686310552</v>
      </c>
      <c r="Q610" s="45">
        <f t="shared" si="290"/>
        <v>2.0055777065113163</v>
      </c>
      <c r="R610" s="4">
        <f t="shared" si="291"/>
        <v>-15471.008632568166</v>
      </c>
      <c r="S610">
        <f t="shared" si="272"/>
        <v>-1.5471008632568166E-5</v>
      </c>
      <c r="T610" s="44">
        <f t="shared" si="273"/>
        <v>2.513387942678836E-4</v>
      </c>
      <c r="U610" s="45">
        <f t="shared" si="292"/>
        <v>-2.7763498541575202E-2</v>
      </c>
      <c r="V610" s="45">
        <f t="shared" si="293"/>
        <v>0.12172812023757672</v>
      </c>
      <c r="W610" s="45">
        <f t="shared" si="294"/>
        <v>0.12222842796988412</v>
      </c>
      <c r="X610" s="45">
        <f t="shared" si="295"/>
        <v>-5.0030773230740067E-4</v>
      </c>
      <c r="Y610" s="45">
        <f t="shared" si="299"/>
        <v>5.7220656201892545E-4</v>
      </c>
      <c r="Z610" s="10">
        <f t="shared" si="296"/>
        <v>2.2766344673757462</v>
      </c>
      <c r="AA610">
        <f t="shared" si="274"/>
        <v>837036.46510040527</v>
      </c>
      <c r="AB610" s="10">
        <f t="shared" si="275"/>
        <v>0.8370364651004053</v>
      </c>
      <c r="AC610" s="10">
        <f t="shared" si="276"/>
        <v>0.73603646510040532</v>
      </c>
      <c r="AD610" s="3">
        <f t="shared" si="277"/>
        <v>106.74930603341629</v>
      </c>
      <c r="AI610" s="100">
        <f t="shared" si="278"/>
        <v>0.12222842796988412</v>
      </c>
    </row>
    <row r="611" spans="2:35">
      <c r="B611" s="39">
        <f t="shared" si="279"/>
        <v>583</v>
      </c>
      <c r="C611" s="45">
        <f t="shared" si="280"/>
        <v>17.126498800958192</v>
      </c>
      <c r="D611" s="10">
        <f t="shared" si="281"/>
        <v>-1.6764988009579618</v>
      </c>
      <c r="E611" s="40">
        <f t="shared" si="282"/>
        <v>51.692997601915927</v>
      </c>
      <c r="F611" s="40">
        <f t="shared" si="283"/>
        <v>48.34</v>
      </c>
      <c r="G611" s="3">
        <f t="shared" si="284"/>
        <v>59.694004796168144</v>
      </c>
      <c r="H611" s="3">
        <f t="shared" si="285"/>
        <v>148.0155219248214</v>
      </c>
      <c r="I611">
        <f t="shared" si="270"/>
        <v>1.4801552192482141E-4</v>
      </c>
      <c r="J611" s="4">
        <f t="shared" si="286"/>
        <v>2103.2730346344297</v>
      </c>
      <c r="K611" s="40">
        <f t="shared" si="287"/>
        <v>14.209813993039889</v>
      </c>
      <c r="L611" s="40">
        <f t="shared" si="271"/>
        <v>0</v>
      </c>
      <c r="M611" s="10">
        <f t="shared" si="288"/>
        <v>0.8370364651004053</v>
      </c>
      <c r="N611" s="10">
        <f t="shared" si="297"/>
        <v>8.26</v>
      </c>
      <c r="O611" s="10">
        <f t="shared" si="298"/>
        <v>0.31900000000000001</v>
      </c>
      <c r="P611" s="10">
        <f t="shared" si="289"/>
        <v>7.8043278267877154</v>
      </c>
      <c r="Q611" s="45">
        <f t="shared" si="290"/>
        <v>2.0093418357807358</v>
      </c>
      <c r="R611" s="4">
        <f t="shared" si="291"/>
        <v>-15725.234244450447</v>
      </c>
      <c r="S611">
        <f t="shared" si="272"/>
        <v>-1.5725234244450445E-5</v>
      </c>
      <c r="T611" s="44">
        <f t="shared" si="273"/>
        <v>2.5159301987976584E-4</v>
      </c>
      <c r="U611" s="45">
        <f t="shared" si="292"/>
        <v>-2.8219719113378547E-2</v>
      </c>
      <c r="V611" s="45">
        <f t="shared" si="293"/>
        <v>0.12120215304765646</v>
      </c>
      <c r="W611" s="45">
        <f t="shared" si="294"/>
        <v>0.12170434299804855</v>
      </c>
      <c r="X611" s="45">
        <f t="shared" si="295"/>
        <v>-5.0218995039209846E-4</v>
      </c>
      <c r="Y611" s="45">
        <f t="shared" si="299"/>
        <v>5.7031625412784623E-4</v>
      </c>
      <c r="Z611" s="10">
        <f t="shared" si="296"/>
        <v>2.266820655042002</v>
      </c>
      <c r="AA611">
        <f t="shared" si="274"/>
        <v>833863.65723739599</v>
      </c>
      <c r="AB611" s="10">
        <f t="shared" si="275"/>
        <v>0.83386365723739597</v>
      </c>
      <c r="AC611" s="10">
        <f t="shared" si="276"/>
        <v>0.73286365723739599</v>
      </c>
      <c r="AD611" s="3">
        <f t="shared" si="277"/>
        <v>106.28914535712778</v>
      </c>
      <c r="AI611" s="100">
        <f t="shared" si="278"/>
        <v>0.12170434299804855</v>
      </c>
    </row>
    <row r="612" spans="2:35">
      <c r="B612" s="39">
        <f t="shared" si="279"/>
        <v>584</v>
      </c>
      <c r="C612" s="45">
        <f t="shared" si="280"/>
        <v>17.155875299759149</v>
      </c>
      <c r="D612" s="10">
        <f t="shared" si="281"/>
        <v>-1.7058752997589188</v>
      </c>
      <c r="E612" s="40">
        <f t="shared" si="282"/>
        <v>51.751750599517841</v>
      </c>
      <c r="F612" s="40">
        <f t="shared" si="283"/>
        <v>48.34</v>
      </c>
      <c r="G612" s="3">
        <f t="shared" si="284"/>
        <v>59.576498800964316</v>
      </c>
      <c r="H612" s="3">
        <f t="shared" si="285"/>
        <v>148.0155219248214</v>
      </c>
      <c r="I612">
        <f t="shared" si="270"/>
        <v>1.4801552192482141E-4</v>
      </c>
      <c r="J612" s="4">
        <f t="shared" si="286"/>
        <v>2108.0464404465101</v>
      </c>
      <c r="K612" s="40">
        <f t="shared" si="287"/>
        <v>14.242063352769236</v>
      </c>
      <c r="L612" s="40">
        <f t="shared" si="271"/>
        <v>0</v>
      </c>
      <c r="M612" s="10">
        <f t="shared" si="288"/>
        <v>0.83386365723739597</v>
      </c>
      <c r="N612" s="10">
        <f t="shared" si="297"/>
        <v>8.26</v>
      </c>
      <c r="O612" s="10">
        <f t="shared" si="298"/>
        <v>0.31900000000000001</v>
      </c>
      <c r="P612" s="10">
        <f t="shared" si="289"/>
        <v>7.7948788029395004</v>
      </c>
      <c r="Q612" s="45">
        <f t="shared" si="290"/>
        <v>2.01311052796231</v>
      </c>
      <c r="R612" s="4">
        <f t="shared" si="291"/>
        <v>-15978.662361993678</v>
      </c>
      <c r="S612">
        <f t="shared" si="272"/>
        <v>-1.5978662361993678E-5</v>
      </c>
      <c r="T612" s="44">
        <f t="shared" si="273"/>
        <v>2.5184644799730908E-4</v>
      </c>
      <c r="U612" s="45">
        <f t="shared" si="292"/>
        <v>-2.8674508541715753E-2</v>
      </c>
      <c r="V612" s="45">
        <f t="shared" si="293"/>
        <v>0.12067566318118081</v>
      </c>
      <c r="W612" s="45">
        <f t="shared" si="294"/>
        <v>0.12117971614226647</v>
      </c>
      <c r="X612" s="45">
        <f t="shared" si="295"/>
        <v>-5.0405296108566033E-4</v>
      </c>
      <c r="Y612" s="45">
        <f t="shared" si="299"/>
        <v>5.6841663367430332E-4</v>
      </c>
      <c r="Z612" s="10">
        <f t="shared" si="296"/>
        <v>2.2569968256227968</v>
      </c>
      <c r="AA612">
        <f t="shared" si="274"/>
        <v>830687.61084827315</v>
      </c>
      <c r="AB612" s="10">
        <f t="shared" si="275"/>
        <v>0.83068761084827314</v>
      </c>
      <c r="AC612" s="10">
        <f t="shared" si="276"/>
        <v>0.72968761084827316</v>
      </c>
      <c r="AD612" s="3">
        <f t="shared" si="277"/>
        <v>105.8285149888721</v>
      </c>
      <c r="AI612" s="100">
        <f t="shared" si="278"/>
        <v>0.12117971614226647</v>
      </c>
    </row>
    <row r="613" spans="2:35">
      <c r="B613" s="39">
        <f t="shared" si="279"/>
        <v>585</v>
      </c>
      <c r="C613" s="45">
        <f t="shared" si="280"/>
        <v>17.185251798560106</v>
      </c>
      <c r="D613" s="10">
        <f t="shared" si="281"/>
        <v>-1.7352517985598759</v>
      </c>
      <c r="E613" s="40">
        <f t="shared" si="282"/>
        <v>51.810503597119755</v>
      </c>
      <c r="F613" s="40">
        <f t="shared" si="283"/>
        <v>48.34</v>
      </c>
      <c r="G613" s="3">
        <f t="shared" si="284"/>
        <v>59.458992805760488</v>
      </c>
      <c r="H613" s="3">
        <f t="shared" si="285"/>
        <v>148.0155219248214</v>
      </c>
      <c r="I613">
        <f t="shared" si="270"/>
        <v>1.4801552192482141E-4</v>
      </c>
      <c r="J613" s="4">
        <f t="shared" si="286"/>
        <v>2112.8252685135644</v>
      </c>
      <c r="K613" s="40">
        <f t="shared" si="287"/>
        <v>14.274349345514519</v>
      </c>
      <c r="L613" s="40">
        <f t="shared" si="271"/>
        <v>0</v>
      </c>
      <c r="M613" s="10">
        <f t="shared" si="288"/>
        <v>0.83068761084827314</v>
      </c>
      <c r="N613" s="10">
        <f t="shared" si="297"/>
        <v>8.26</v>
      </c>
      <c r="O613" s="10">
        <f t="shared" si="298"/>
        <v>0.31900000000000001</v>
      </c>
      <c r="P613" s="10">
        <f t="shared" si="289"/>
        <v>7.7853955808971103</v>
      </c>
      <c r="Q613" s="45">
        <f t="shared" si="290"/>
        <v>2.0168838107063545</v>
      </c>
      <c r="R613" s="4">
        <f t="shared" si="291"/>
        <v>-16231.291073755483</v>
      </c>
      <c r="S613">
        <f t="shared" si="272"/>
        <v>-1.6231291073755482E-5</v>
      </c>
      <c r="T613" s="44">
        <f t="shared" si="273"/>
        <v>2.5209907670907088E-4</v>
      </c>
      <c r="U613" s="45">
        <f t="shared" si="292"/>
        <v>-2.9127863396407896E-2</v>
      </c>
      <c r="V613" s="45">
        <f t="shared" si="293"/>
        <v>0.12014865713620249</v>
      </c>
      <c r="W613" s="45">
        <f t="shared" si="294"/>
        <v>0.12065455379305216</v>
      </c>
      <c r="X613" s="45">
        <f t="shared" si="295"/>
        <v>-5.0589665684967755E-4</v>
      </c>
      <c r="Y613" s="45">
        <f t="shared" si="299"/>
        <v>5.6650774254874271E-4</v>
      </c>
      <c r="Z613" s="10">
        <f t="shared" si="296"/>
        <v>2.2471630993020568</v>
      </c>
      <c r="AA613">
        <f t="shared" si="274"/>
        <v>827508.364788529</v>
      </c>
      <c r="AB613" s="10">
        <f t="shared" si="275"/>
        <v>0.82750836478852896</v>
      </c>
      <c r="AC613" s="10">
        <f t="shared" si="276"/>
        <v>0.72650836478852898</v>
      </c>
      <c r="AD613" s="3">
        <f t="shared" si="277"/>
        <v>105.36742056396359</v>
      </c>
      <c r="AI613" s="100">
        <f t="shared" si="278"/>
        <v>0.12065455379305216</v>
      </c>
    </row>
    <row r="614" spans="2:35">
      <c r="B614" s="39">
        <f t="shared" si="279"/>
        <v>586</v>
      </c>
      <c r="C614" s="45">
        <f t="shared" si="280"/>
        <v>17.214628297361063</v>
      </c>
      <c r="D614" s="10">
        <f t="shared" si="281"/>
        <v>-1.7646282973608329</v>
      </c>
      <c r="E614" s="40">
        <f t="shared" si="282"/>
        <v>51.869256594721669</v>
      </c>
      <c r="F614" s="40">
        <f t="shared" si="283"/>
        <v>48.34</v>
      </c>
      <c r="G614" s="3">
        <f t="shared" si="284"/>
        <v>59.34148681055666</v>
      </c>
      <c r="H614" s="3">
        <f t="shared" si="285"/>
        <v>148.0155219248214</v>
      </c>
      <c r="I614">
        <f t="shared" si="270"/>
        <v>1.4801552192482141E-4</v>
      </c>
      <c r="J614" s="4">
        <f t="shared" si="286"/>
        <v>2117.6095188355926</v>
      </c>
      <c r="K614" s="40">
        <f t="shared" si="287"/>
        <v>14.306671971275744</v>
      </c>
      <c r="L614" s="40">
        <f t="shared" si="271"/>
        <v>0</v>
      </c>
      <c r="M614" s="10">
        <f t="shared" si="288"/>
        <v>0.82750836478852896</v>
      </c>
      <c r="N614" s="10">
        <f t="shared" si="297"/>
        <v>8.26</v>
      </c>
      <c r="O614" s="10">
        <f t="shared" si="298"/>
        <v>0.31900000000000001</v>
      </c>
      <c r="P614" s="10">
        <f t="shared" si="289"/>
        <v>7.7758780436469355</v>
      </c>
      <c r="Q614" s="45">
        <f t="shared" si="290"/>
        <v>2.0206617118817669</v>
      </c>
      <c r="R614" s="4">
        <f t="shared" si="291"/>
        <v>-16483.118468293454</v>
      </c>
      <c r="S614">
        <f t="shared" si="272"/>
        <v>-1.6483118468293455E-5</v>
      </c>
      <c r="T614" s="44">
        <f t="shared" si="273"/>
        <v>2.5235090410360885E-4</v>
      </c>
      <c r="U614" s="45">
        <f t="shared" si="292"/>
        <v>-2.9579780247276016E-2</v>
      </c>
      <c r="V614" s="45">
        <f t="shared" si="293"/>
        <v>0.11962114144470262</v>
      </c>
      <c r="W614" s="45">
        <f t="shared" si="294"/>
        <v>0.12012886237519896</v>
      </c>
      <c r="X614" s="45">
        <f t="shared" si="295"/>
        <v>-5.0772093049633593E-4</v>
      </c>
      <c r="Y614" s="45">
        <f t="shared" si="299"/>
        <v>5.6458962304863915E-4</v>
      </c>
      <c r="Z614" s="10">
        <f t="shared" si="296"/>
        <v>2.2373195969087276</v>
      </c>
      <c r="AA614">
        <f t="shared" si="274"/>
        <v>824325.95812219009</v>
      </c>
      <c r="AB614" s="10">
        <f t="shared" si="275"/>
        <v>0.82432595812219012</v>
      </c>
      <c r="AC614" s="10">
        <f t="shared" si="276"/>
        <v>0.72332595812219014</v>
      </c>
      <c r="AD614" s="3">
        <f t="shared" si="277"/>
        <v>104.90586774796085</v>
      </c>
      <c r="AI614" s="100">
        <f t="shared" si="278"/>
        <v>0.12012886237519896</v>
      </c>
    </row>
    <row r="615" spans="2:35">
      <c r="B615" s="39">
        <f t="shared" si="279"/>
        <v>587</v>
      </c>
      <c r="C615" s="45">
        <f t="shared" si="280"/>
        <v>17.24400479616202</v>
      </c>
      <c r="D615" s="10">
        <f t="shared" si="281"/>
        <v>-1.79400479616179</v>
      </c>
      <c r="E615" s="40">
        <f t="shared" si="282"/>
        <v>51.928009592323583</v>
      </c>
      <c r="F615" s="40">
        <f t="shared" si="283"/>
        <v>48.34</v>
      </c>
      <c r="G615" s="3">
        <f t="shared" si="284"/>
        <v>59.223980815352832</v>
      </c>
      <c r="H615" s="3">
        <f t="shared" si="285"/>
        <v>148.0155219248214</v>
      </c>
      <c r="I615">
        <f t="shared" ref="I615:I678" si="300">H615/1000^2</f>
        <v>1.4801552192482141E-4</v>
      </c>
      <c r="J615" s="4">
        <f t="shared" si="286"/>
        <v>2122.3991914125945</v>
      </c>
      <c r="K615" s="40">
        <f t="shared" si="287"/>
        <v>14.339031230052905</v>
      </c>
      <c r="L615" s="40">
        <f t="shared" ref="L615:L678" si="301">IF((gstar-K615)&lt;0,0,gstar-K615)</f>
        <v>0</v>
      </c>
      <c r="M615" s="10">
        <f t="shared" si="288"/>
        <v>0.82432595812219012</v>
      </c>
      <c r="N615" s="10">
        <f t="shared" si="297"/>
        <v>8.26</v>
      </c>
      <c r="O615" s="10">
        <f t="shared" si="298"/>
        <v>0.31900000000000001</v>
      </c>
      <c r="P615" s="10">
        <f t="shared" si="289"/>
        <v>7.7663260733436328</v>
      </c>
      <c r="Q615" s="45">
        <f t="shared" si="290"/>
        <v>2.0244442595785199</v>
      </c>
      <c r="R615" s="4">
        <f t="shared" si="291"/>
        <v>-16734.142634165182</v>
      </c>
      <c r="S615">
        <f t="shared" ref="S615:S678" si="302">R615/1000^3</f>
        <v>-1.6734142634165183E-5</v>
      </c>
      <c r="T615" s="44">
        <f t="shared" ref="T615:T678" si="303">(vc/1000^3-S615)</f>
        <v>2.5260192826948057E-4</v>
      </c>
      <c r="U615" s="45">
        <f t="shared" si="292"/>
        <v>-3.0030255664141126E-2</v>
      </c>
      <c r="V615" s="45">
        <f t="shared" si="293"/>
        <v>0.11909312267279654</v>
      </c>
      <c r="W615" s="45">
        <f t="shared" si="294"/>
        <v>0.11960264834798151</v>
      </c>
      <c r="X615" s="45">
        <f t="shared" si="295"/>
        <v>-5.0952567518497416E-4</v>
      </c>
      <c r="Y615" s="45">
        <f t="shared" si="299"/>
        <v>5.6266231787953174E-4</v>
      </c>
      <c r="Z615" s="10">
        <f t="shared" si="296"/>
        <v>2.2274664399207311</v>
      </c>
      <c r="AA615">
        <f t="shared" ref="AA615:AA678" si="304">Z615*rat*to+patm*1000000</f>
        <v>821140.43012309773</v>
      </c>
      <c r="AB615" s="10">
        <f t="shared" ref="AB615:AB678" si="305">AA615/1000000</f>
        <v>0.82114043012309768</v>
      </c>
      <c r="AC615" s="10">
        <f t="shared" ref="AC615:AC678" si="306">AB615-patm</f>
        <v>0.7201404301230977</v>
      </c>
      <c r="AD615" s="3">
        <f t="shared" ref="AD615:AD678" si="307">AC615*1000000/6895</f>
        <v>104.44386223685247</v>
      </c>
      <c r="AI615" s="100">
        <f t="shared" ref="AI615:AI678" si="308">($M615-patm)*1000000*$I615/SQRT(rat*to)*SQRT(k)*(2/(k+1))^((k+1)/2/(k-1))</f>
        <v>0.11960264834798151</v>
      </c>
    </row>
    <row r="616" spans="2:35">
      <c r="B616" s="39">
        <f t="shared" ref="B616:B679" si="309">1+B615</f>
        <v>588</v>
      </c>
      <c r="C616" s="45">
        <f t="shared" ref="C616:C679" si="310">xincp+C615</f>
        <v>17.273381294962977</v>
      </c>
      <c r="D616" s="10">
        <f t="shared" ref="D616:D679" si="311">(F616-E616)/2</f>
        <v>-1.823381294962747</v>
      </c>
      <c r="E616" s="40">
        <f t="shared" ref="E616:E679" si="312">E615+ci*2*xincp</f>
        <v>51.986762589925497</v>
      </c>
      <c r="F616" s="40">
        <f t="shared" ref="F616:F679" si="313">F615-osi*2*xincp</f>
        <v>48.34</v>
      </c>
      <c r="G616" s="3">
        <f t="shared" ref="G616:G679" si="314">G615-ei*n*2*xincp</f>
        <v>59.106474820149003</v>
      </c>
      <c r="H616" s="3">
        <f t="shared" ref="H616:H679" si="315">PI()/4*(dto+erate*(two-D616)/two)^2</f>
        <v>148.0155219248214</v>
      </c>
      <c r="I616">
        <f t="shared" si="300"/>
        <v>1.4801552192482141E-4</v>
      </c>
      <c r="J616" s="4">
        <f t="shared" ref="J616:J679" si="316">PI()/4*dc^2-PI()/4*(F616^2-E616^2)</f>
        <v>2127.1942862445708</v>
      </c>
      <c r="K616" s="40">
        <f t="shared" ref="K616:K679" si="317">J616/H616</f>
        <v>14.371427121846008</v>
      </c>
      <c r="L616" s="40">
        <f t="shared" si="301"/>
        <v>0</v>
      </c>
      <c r="M616" s="10">
        <f t="shared" ref="M616:M679" si="318">AB615</f>
        <v>0.82114043012309768</v>
      </c>
      <c r="N616" s="10">
        <f t="shared" si="297"/>
        <v>8.26</v>
      </c>
      <c r="O616" s="10">
        <f t="shared" si="298"/>
        <v>0.31900000000000001</v>
      </c>
      <c r="P616" s="10">
        <f t="shared" ref="P616:P679" si="319">(1+kv*L616)*N616*M616^O616</f>
        <v>7.7567395513027444</v>
      </c>
      <c r="Q616" s="45">
        <f t="shared" ref="Q616:Q679" si="320">xincp/P616+Q615</f>
        <v>2.0282314821101859</v>
      </c>
      <c r="R616" s="4">
        <f t="shared" ref="R616:R679" si="321">PI()/4*(F616^2-E616^2)*G616</f>
        <v>-16984.361659928272</v>
      </c>
      <c r="S616">
        <f t="shared" si="302"/>
        <v>-1.6984361659928271E-5</v>
      </c>
      <c r="T616" s="44">
        <f t="shared" si="303"/>
        <v>2.5285214729524368E-4</v>
      </c>
      <c r="U616" s="45">
        <f t="shared" ref="U616:U679" si="322">rhopgrain*R616/1000^2</f>
        <v>-3.0479286216824279E-2</v>
      </c>
      <c r="V616" s="45">
        <f t="shared" ref="V616:V679" si="323">(U615-U616)/(Q616-Q615)</f>
        <v>0.11856460742105572</v>
      </c>
      <c r="W616" s="45">
        <f t="shared" ref="W616:W679" si="324">IF(V616&lt;AI616,IF(AB615&gt;pbd,AI616,0),AI616)</f>
        <v>0.11907591820536752</v>
      </c>
      <c r="X616" s="45">
        <f t="shared" ref="X616:X679" si="325">V616-W616</f>
        <v>-5.11310784311797E-4</v>
      </c>
      <c r="Y616" s="45">
        <f t="shared" si="299"/>
        <v>5.6072587015650228E-4</v>
      </c>
      <c r="Z616" s="10">
        <f t="shared" ref="Z616:Z679" si="326">Y616/T616</f>
        <v>2.2176037504707002</v>
      </c>
      <c r="AA616">
        <f t="shared" si="304"/>
        <v>817951.82027676096</v>
      </c>
      <c r="AB616" s="10">
        <f t="shared" si="305"/>
        <v>0.81795182027676094</v>
      </c>
      <c r="AC616" s="10">
        <f t="shared" si="306"/>
        <v>0.71695182027676096</v>
      </c>
      <c r="AD616" s="3">
        <f t="shared" si="307"/>
        <v>103.98140975732574</v>
      </c>
      <c r="AI616" s="100">
        <f t="shared" si="308"/>
        <v>0.11907591820536752</v>
      </c>
    </row>
    <row r="617" spans="2:35">
      <c r="B617" s="39">
        <f t="shared" si="309"/>
        <v>589</v>
      </c>
      <c r="C617" s="45">
        <f t="shared" si="310"/>
        <v>17.302757793763934</v>
      </c>
      <c r="D617" s="10">
        <f t="shared" si="311"/>
        <v>-1.8527577937637041</v>
      </c>
      <c r="E617" s="40">
        <f t="shared" si="312"/>
        <v>52.045515587527412</v>
      </c>
      <c r="F617" s="40">
        <f t="shared" si="313"/>
        <v>48.34</v>
      </c>
      <c r="G617" s="3">
        <f t="shared" si="314"/>
        <v>58.988968824945175</v>
      </c>
      <c r="H617" s="3">
        <f t="shared" si="315"/>
        <v>148.0155219248214</v>
      </c>
      <c r="I617">
        <f t="shared" si="300"/>
        <v>1.4801552192482141E-4</v>
      </c>
      <c r="J617" s="4">
        <f t="shared" si="316"/>
        <v>2131.9948033315204</v>
      </c>
      <c r="K617" s="40">
        <f t="shared" si="317"/>
        <v>14.403859646655048</v>
      </c>
      <c r="L617" s="40">
        <f t="shared" si="301"/>
        <v>0</v>
      </c>
      <c r="M617" s="10">
        <f t="shared" si="318"/>
        <v>0.81795182027676094</v>
      </c>
      <c r="N617" s="10">
        <f t="shared" si="297"/>
        <v>8.26</v>
      </c>
      <c r="O617" s="10">
        <f t="shared" si="298"/>
        <v>0.31900000000000001</v>
      </c>
      <c r="P617" s="10">
        <f t="shared" si="319"/>
        <v>7.7471183579949336</v>
      </c>
      <c r="Q617" s="45">
        <f t="shared" si="320"/>
        <v>2.0320234080164994</v>
      </c>
      <c r="R617" s="4">
        <f t="shared" si="321"/>
        <v>-17233.773634140311</v>
      </c>
      <c r="S617">
        <f t="shared" si="302"/>
        <v>-1.723377363414031E-5</v>
      </c>
      <c r="T617" s="44">
        <f t="shared" si="303"/>
        <v>2.5310155926945571E-4</v>
      </c>
      <c r="U617" s="45">
        <f t="shared" si="322"/>
        <v>-3.0926868475146495E-2</v>
      </c>
      <c r="V617" s="45">
        <f t="shared" si="323"/>
        <v>0.11803560232466534</v>
      </c>
      <c r="W617" s="45">
        <f t="shared" si="324"/>
        <v>0.11854867847632422</v>
      </c>
      <c r="X617" s="45">
        <f t="shared" si="325"/>
        <v>-5.130761516588811E-4</v>
      </c>
      <c r="Y617" s="45">
        <f t="shared" si="299"/>
        <v>5.5878032340511534E-4</v>
      </c>
      <c r="Z617" s="10">
        <f t="shared" si="326"/>
        <v>2.2077316513496048</v>
      </c>
      <c r="AA617">
        <f t="shared" si="304"/>
        <v>814760.1682815298</v>
      </c>
      <c r="AB617" s="10">
        <f t="shared" si="305"/>
        <v>0.81476016828152975</v>
      </c>
      <c r="AC617" s="10">
        <f t="shared" si="306"/>
        <v>0.71376016828152977</v>
      </c>
      <c r="AD617" s="3">
        <f t="shared" si="307"/>
        <v>103.51851606693688</v>
      </c>
      <c r="AI617" s="100">
        <f t="shared" si="308"/>
        <v>0.11854867847632422</v>
      </c>
    </row>
    <row r="618" spans="2:35">
      <c r="B618" s="39">
        <f t="shared" si="309"/>
        <v>590</v>
      </c>
      <c r="C618" s="45">
        <f t="shared" si="310"/>
        <v>17.332134292564891</v>
      </c>
      <c r="D618" s="10">
        <f t="shared" si="311"/>
        <v>-1.8821342925646611</v>
      </c>
      <c r="E618" s="40">
        <f t="shared" si="312"/>
        <v>52.104268585129326</v>
      </c>
      <c r="F618" s="40">
        <f t="shared" si="313"/>
        <v>48.34</v>
      </c>
      <c r="G618" s="3">
        <f t="shared" si="314"/>
        <v>58.871462829741347</v>
      </c>
      <c r="H618" s="3">
        <f t="shared" si="315"/>
        <v>148.0155219248214</v>
      </c>
      <c r="I618">
        <f t="shared" si="300"/>
        <v>1.4801552192482141E-4</v>
      </c>
      <c r="J618" s="4">
        <f t="shared" si="316"/>
        <v>2136.8007426734443</v>
      </c>
      <c r="K618" s="40">
        <f t="shared" si="317"/>
        <v>14.436328804480029</v>
      </c>
      <c r="L618" s="40">
        <f t="shared" si="301"/>
        <v>0</v>
      </c>
      <c r="M618" s="10">
        <f t="shared" si="318"/>
        <v>0.81476016828152975</v>
      </c>
      <c r="N618" s="10">
        <f t="shared" si="297"/>
        <v>8.26</v>
      </c>
      <c r="O618" s="10">
        <f t="shared" si="298"/>
        <v>0.31900000000000001</v>
      </c>
      <c r="P618" s="10">
        <f t="shared" si="319"/>
        <v>7.7374623730380678</v>
      </c>
      <c r="Q618" s="45">
        <f t="shared" si="320"/>
        <v>2.0358200660659556</v>
      </c>
      <c r="R618" s="4">
        <f t="shared" si="321"/>
        <v>-17482.37664535892</v>
      </c>
      <c r="S618">
        <f t="shared" si="302"/>
        <v>-1.748237664535892E-5</v>
      </c>
      <c r="T618" s="44">
        <f t="shared" si="303"/>
        <v>2.5335016228067431E-4</v>
      </c>
      <c r="U618" s="45">
        <f t="shared" si="322"/>
        <v>-3.1372999008928849E-2</v>
      </c>
      <c r="V618" s="45">
        <f t="shared" si="323"/>
        <v>0.11750611405371574</v>
      </c>
      <c r="W618" s="45">
        <f t="shared" si="324"/>
        <v>0.11802093572501225</v>
      </c>
      <c r="X618" s="45">
        <f t="shared" si="325"/>
        <v>-5.1482167129651701E-4</v>
      </c>
      <c r="Y618" s="45">
        <f t="shared" si="299"/>
        <v>5.5682572156275296E-4</v>
      </c>
      <c r="Z618" s="10">
        <f t="shared" si="326"/>
        <v>2.197850266011959</v>
      </c>
      <c r="AA618">
        <f t="shared" si="304"/>
        <v>811565.51405027788</v>
      </c>
      <c r="AB618" s="10">
        <f t="shared" si="305"/>
        <v>0.81156551405027788</v>
      </c>
      <c r="AC618" s="10">
        <f t="shared" si="306"/>
        <v>0.7105655140502779</v>
      </c>
      <c r="AD618" s="3">
        <f t="shared" si="307"/>
        <v>103.05518695435502</v>
      </c>
      <c r="AI618" s="100">
        <f t="shared" si="308"/>
        <v>0.11802093572501225</v>
      </c>
    </row>
    <row r="619" spans="2:35">
      <c r="B619" s="39">
        <f t="shared" si="309"/>
        <v>591</v>
      </c>
      <c r="C619" s="45">
        <f t="shared" si="310"/>
        <v>17.361510791365848</v>
      </c>
      <c r="D619" s="10">
        <f t="shared" si="311"/>
        <v>-1.9115107913656182</v>
      </c>
      <c r="E619" s="40">
        <f t="shared" si="312"/>
        <v>52.16302158273124</v>
      </c>
      <c r="F619" s="40">
        <f t="shared" si="313"/>
        <v>48.34</v>
      </c>
      <c r="G619" s="3">
        <f t="shared" si="314"/>
        <v>58.753956834537519</v>
      </c>
      <c r="H619" s="3">
        <f t="shared" si="315"/>
        <v>148.0155219248214</v>
      </c>
      <c r="I619">
        <f t="shared" si="300"/>
        <v>1.4801552192482141E-4</v>
      </c>
      <c r="J619" s="4">
        <f t="shared" si="316"/>
        <v>2141.6121042703421</v>
      </c>
      <c r="K619" s="40">
        <f t="shared" si="317"/>
        <v>14.468834595320947</v>
      </c>
      <c r="L619" s="40">
        <f t="shared" si="301"/>
        <v>0</v>
      </c>
      <c r="M619" s="10">
        <f t="shared" si="318"/>
        <v>0.81156551405027788</v>
      </c>
      <c r="N619" s="10">
        <f t="shared" si="297"/>
        <v>8.26</v>
      </c>
      <c r="O619" s="10">
        <f t="shared" si="298"/>
        <v>0.31900000000000001</v>
      </c>
      <c r="P619" s="10">
        <f t="shared" si="319"/>
        <v>7.7277714751907363</v>
      </c>
      <c r="Q619" s="45">
        <f t="shared" si="320"/>
        <v>2.0396214852584444</v>
      </c>
      <c r="R619" s="4">
        <f t="shared" si="321"/>
        <v>-17730.168782141696</v>
      </c>
      <c r="S619">
        <f t="shared" si="302"/>
        <v>-1.7730168782141696E-5</v>
      </c>
      <c r="T619" s="44">
        <f t="shared" si="303"/>
        <v>2.5359795441745711E-4</v>
      </c>
      <c r="U619" s="45">
        <f t="shared" si="322"/>
        <v>-3.1817674387992378E-2</v>
      </c>
      <c r="V619" s="45">
        <f t="shared" si="323"/>
        <v>0.1169761493134328</v>
      </c>
      <c r="W619" s="45">
        <f t="shared" si="324"/>
        <v>0.11749269655106398</v>
      </c>
      <c r="X619" s="45">
        <f t="shared" si="325"/>
        <v>-5.1654723763118471E-4</v>
      </c>
      <c r="Y619" s="45">
        <f t="shared" si="299"/>
        <v>5.5486210897979463E-4</v>
      </c>
      <c r="Z619" s="10">
        <f t="shared" si="326"/>
        <v>2.1879597185804398</v>
      </c>
      <c r="AA619">
        <f t="shared" si="304"/>
        <v>808367.89771189634</v>
      </c>
      <c r="AB619" s="10">
        <f t="shared" si="305"/>
        <v>0.80836789771189632</v>
      </c>
      <c r="AC619" s="10">
        <f t="shared" si="306"/>
        <v>0.70736789771189634</v>
      </c>
      <c r="AD619" s="3">
        <f t="shared" si="307"/>
        <v>102.59142823957887</v>
      </c>
      <c r="AI619" s="100">
        <f t="shared" si="308"/>
        <v>0.11749269655106398</v>
      </c>
    </row>
    <row r="620" spans="2:35">
      <c r="B620" s="39">
        <f t="shared" si="309"/>
        <v>592</v>
      </c>
      <c r="C620" s="45">
        <f t="shared" si="310"/>
        <v>17.390887290166805</v>
      </c>
      <c r="D620" s="10">
        <f t="shared" si="311"/>
        <v>-1.9408872901665752</v>
      </c>
      <c r="E620" s="40">
        <f t="shared" si="312"/>
        <v>52.221774580333154</v>
      </c>
      <c r="F620" s="40">
        <f t="shared" si="313"/>
        <v>48.34</v>
      </c>
      <c r="G620" s="3">
        <f t="shared" si="314"/>
        <v>58.636450839333691</v>
      </c>
      <c r="H620" s="3">
        <f t="shared" si="315"/>
        <v>148.0155219248214</v>
      </c>
      <c r="I620">
        <f t="shared" si="300"/>
        <v>1.4801552192482141E-4</v>
      </c>
      <c r="J620" s="4">
        <f t="shared" si="316"/>
        <v>2146.4288881222142</v>
      </c>
      <c r="K620" s="40">
        <f t="shared" si="317"/>
        <v>14.501377019177809</v>
      </c>
      <c r="L620" s="40">
        <f t="shared" si="301"/>
        <v>0</v>
      </c>
      <c r="M620" s="10">
        <f t="shared" si="318"/>
        <v>0.80836789771189632</v>
      </c>
      <c r="N620" s="10">
        <f t="shared" si="297"/>
        <v>8.26</v>
      </c>
      <c r="O620" s="10">
        <f t="shared" si="298"/>
        <v>0.31900000000000001</v>
      </c>
      <c r="P620" s="10">
        <f t="shared" si="319"/>
        <v>7.718045542345072</v>
      </c>
      <c r="Q620" s="45">
        <f t="shared" si="320"/>
        <v>2.0434276948279249</v>
      </c>
      <c r="R620" s="4">
        <f t="shared" si="321"/>
        <v>-17977.148133046234</v>
      </c>
      <c r="S620">
        <f t="shared" si="302"/>
        <v>-1.7977148133046236E-5</v>
      </c>
      <c r="T620" s="44">
        <f t="shared" si="303"/>
        <v>2.5384493376836166E-4</v>
      </c>
      <c r="U620" s="45">
        <f t="shared" si="322"/>
        <v>-3.2260891182158115E-2</v>
      </c>
      <c r="V620" s="45">
        <f t="shared" si="323"/>
        <v>0.11644571484439838</v>
      </c>
      <c r="W620" s="45">
        <f t="shared" si="324"/>
        <v>0.11696396758983045</v>
      </c>
      <c r="X620" s="45">
        <f t="shared" si="325"/>
        <v>-5.18252745432074E-4</v>
      </c>
      <c r="Y620" s="45">
        <f t="shared" si="299"/>
        <v>5.5288953042072154E-4</v>
      </c>
      <c r="Z620" s="10">
        <f t="shared" si="326"/>
        <v>2.1780601338502339</v>
      </c>
      <c r="AA620">
        <f t="shared" si="304"/>
        <v>805167.35961269867</v>
      </c>
      <c r="AB620" s="10">
        <f t="shared" si="305"/>
        <v>0.8051673596126987</v>
      </c>
      <c r="AC620" s="10">
        <f t="shared" si="306"/>
        <v>0.70416735961269872</v>
      </c>
      <c r="AD620" s="3">
        <f t="shared" si="307"/>
        <v>102.12724577414049</v>
      </c>
      <c r="AI620" s="100">
        <f t="shared" si="308"/>
        <v>0.11696396758983045</v>
      </c>
    </row>
    <row r="621" spans="2:35">
      <c r="B621" s="39">
        <f t="shared" si="309"/>
        <v>593</v>
      </c>
      <c r="C621" s="45">
        <f t="shared" si="310"/>
        <v>17.420263788967763</v>
      </c>
      <c r="D621" s="10">
        <f t="shared" si="311"/>
        <v>-1.9702637889675323</v>
      </c>
      <c r="E621" s="40">
        <f t="shared" si="312"/>
        <v>52.280527577935068</v>
      </c>
      <c r="F621" s="40">
        <f t="shared" si="313"/>
        <v>48.34</v>
      </c>
      <c r="G621" s="3">
        <f t="shared" si="314"/>
        <v>58.518944844129862</v>
      </c>
      <c r="H621" s="3">
        <f t="shared" si="315"/>
        <v>148.0155219248214</v>
      </c>
      <c r="I621">
        <f t="shared" si="300"/>
        <v>1.4801552192482141E-4</v>
      </c>
      <c r="J621" s="4">
        <f t="shared" si="316"/>
        <v>2151.2510942290596</v>
      </c>
      <c r="K621" s="40">
        <f t="shared" si="317"/>
        <v>14.533956076050606</v>
      </c>
      <c r="L621" s="40">
        <f t="shared" si="301"/>
        <v>0</v>
      </c>
      <c r="M621" s="10">
        <f t="shared" si="318"/>
        <v>0.8051673596126987</v>
      </c>
      <c r="N621" s="10">
        <f t="shared" si="297"/>
        <v>8.26</v>
      </c>
      <c r="O621" s="10">
        <f t="shared" si="298"/>
        <v>0.31900000000000001</v>
      </c>
      <c r="P621" s="10">
        <f t="shared" si="319"/>
        <v>7.708284451519213</v>
      </c>
      <c r="Q621" s="45">
        <f t="shared" si="320"/>
        <v>2.0472387242451342</v>
      </c>
      <c r="R621" s="4">
        <f t="shared" si="321"/>
        <v>-18223.312786630122</v>
      </c>
      <c r="S621">
        <f t="shared" si="302"/>
        <v>-1.8223312786630121E-5</v>
      </c>
      <c r="T621" s="44">
        <f t="shared" si="303"/>
        <v>2.5409109842194552E-4</v>
      </c>
      <c r="U621" s="45">
        <f t="shared" si="322"/>
        <v>-3.2702645961247084E-2</v>
      </c>
      <c r="V621" s="45">
        <f t="shared" si="323"/>
        <v>0.11591481742285996</v>
      </c>
      <c r="W621" s="45">
        <f t="shared" si="324"/>
        <v>0.11643475551261366</v>
      </c>
      <c r="X621" s="45">
        <f t="shared" si="325"/>
        <v>-5.1993808975370204E-4</v>
      </c>
      <c r="Y621" s="45">
        <f t="shared" si="299"/>
        <v>5.5090803106554252E-4</v>
      </c>
      <c r="Z621" s="10">
        <f t="shared" si="326"/>
        <v>2.1681516372946708</v>
      </c>
      <c r="AA621">
        <f t="shared" si="304"/>
        <v>801963.94031824218</v>
      </c>
      <c r="AB621" s="10">
        <f t="shared" si="305"/>
        <v>0.80196394031824214</v>
      </c>
      <c r="AC621" s="10">
        <f t="shared" si="306"/>
        <v>0.70096394031824216</v>
      </c>
      <c r="AD621" s="3">
        <f t="shared" si="307"/>
        <v>101.66264544136942</v>
      </c>
      <c r="AI621" s="100">
        <f t="shared" si="308"/>
        <v>0.11643475551261366</v>
      </c>
    </row>
    <row r="622" spans="2:35">
      <c r="B622" s="39">
        <f t="shared" si="309"/>
        <v>594</v>
      </c>
      <c r="C622" s="45">
        <f t="shared" si="310"/>
        <v>17.44964028776872</v>
      </c>
      <c r="D622" s="10">
        <f t="shared" si="311"/>
        <v>-1.9996402877684893</v>
      </c>
      <c r="E622" s="40">
        <f t="shared" si="312"/>
        <v>52.339280575536982</v>
      </c>
      <c r="F622" s="40">
        <f t="shared" si="313"/>
        <v>48.34</v>
      </c>
      <c r="G622" s="3">
        <f t="shared" si="314"/>
        <v>58.401438848926034</v>
      </c>
      <c r="H622" s="3">
        <f t="shared" si="315"/>
        <v>148.0155219248214</v>
      </c>
      <c r="I622">
        <f t="shared" si="300"/>
        <v>1.4801552192482141E-4</v>
      </c>
      <c r="J622" s="4">
        <f t="shared" si="316"/>
        <v>2156.0787225908789</v>
      </c>
      <c r="K622" s="40">
        <f t="shared" si="317"/>
        <v>14.56657176593934</v>
      </c>
      <c r="L622" s="40">
        <f t="shared" si="301"/>
        <v>0</v>
      </c>
      <c r="M622" s="10">
        <f t="shared" si="318"/>
        <v>0.80196394031824214</v>
      </c>
      <c r="N622" s="10">
        <f t="shared" si="297"/>
        <v>8.26</v>
      </c>
      <c r="O622" s="10">
        <f t="shared" si="298"/>
        <v>0.31900000000000001</v>
      </c>
      <c r="P622" s="10">
        <f t="shared" si="319"/>
        <v>7.6984880788509003</v>
      </c>
      <c r="Q622" s="45">
        <f t="shared" si="320"/>
        <v>2.0510546032203396</v>
      </c>
      <c r="R622" s="4">
        <f t="shared" si="321"/>
        <v>-18468.66083145095</v>
      </c>
      <c r="S622">
        <f t="shared" si="302"/>
        <v>-1.8468660831450952E-5</v>
      </c>
      <c r="T622" s="44">
        <f t="shared" si="303"/>
        <v>2.5433644646676636E-4</v>
      </c>
      <c r="U622" s="45">
        <f t="shared" si="322"/>
        <v>-3.3142935295080299E-2</v>
      </c>
      <c r="V622" s="45">
        <f t="shared" si="323"/>
        <v>0.1153834638609086</v>
      </c>
      <c r="W622" s="45">
        <f t="shared" si="324"/>
        <v>0.1159050670269679</v>
      </c>
      <c r="X622" s="45">
        <f t="shared" si="325"/>
        <v>-5.2160316605930068E-4</v>
      </c>
      <c r="Y622" s="45">
        <f t="shared" si="299"/>
        <v>5.489176565107763E-4</v>
      </c>
      <c r="Z622" s="10">
        <f t="shared" si="326"/>
        <v>2.1582343550691321</v>
      </c>
      <c r="AA622">
        <f t="shared" si="304"/>
        <v>798757.68061459169</v>
      </c>
      <c r="AB622" s="10">
        <f t="shared" si="305"/>
        <v>0.79875768061459174</v>
      </c>
      <c r="AC622" s="10">
        <f t="shared" si="306"/>
        <v>0.69775768061459176</v>
      </c>
      <c r="AD622" s="3">
        <f t="shared" si="307"/>
        <v>101.19763315657605</v>
      </c>
      <c r="AI622" s="100">
        <f t="shared" si="308"/>
        <v>0.1159050670269679</v>
      </c>
    </row>
    <row r="623" spans="2:35">
      <c r="B623" s="39">
        <f t="shared" si="309"/>
        <v>595</v>
      </c>
      <c r="C623" s="45">
        <f t="shared" si="310"/>
        <v>17.479016786569677</v>
      </c>
      <c r="D623" s="10">
        <f t="shared" si="311"/>
        <v>-2.0290167865694464</v>
      </c>
      <c r="E623" s="40">
        <f t="shared" si="312"/>
        <v>52.398033573138896</v>
      </c>
      <c r="F623" s="40">
        <f t="shared" si="313"/>
        <v>48.34</v>
      </c>
      <c r="G623" s="3">
        <f t="shared" si="314"/>
        <v>58.283932853722206</v>
      </c>
      <c r="H623" s="3">
        <f t="shared" si="315"/>
        <v>148.0155219248214</v>
      </c>
      <c r="I623">
        <f t="shared" si="300"/>
        <v>1.4801552192482141E-4</v>
      </c>
      <c r="J623" s="4">
        <f t="shared" si="316"/>
        <v>2160.9117732076729</v>
      </c>
      <c r="K623" s="40">
        <f t="shared" si="317"/>
        <v>14.599224088844021</v>
      </c>
      <c r="L623" s="40">
        <f t="shared" si="301"/>
        <v>0</v>
      </c>
      <c r="M623" s="10">
        <f t="shared" si="318"/>
        <v>0.79875768061459174</v>
      </c>
      <c r="N623" s="10">
        <f t="shared" si="297"/>
        <v>8.26</v>
      </c>
      <c r="O623" s="10">
        <f t="shared" si="298"/>
        <v>0.31900000000000001</v>
      </c>
      <c r="P623" s="10">
        <f t="shared" si="319"/>
        <v>7.6886562995892707</v>
      </c>
      <c r="Q623" s="45">
        <f t="shared" si="320"/>
        <v>2.0548753617061268</v>
      </c>
      <c r="R623" s="4">
        <f t="shared" si="321"/>
        <v>-18713.19035606636</v>
      </c>
      <c r="S623">
        <f t="shared" si="302"/>
        <v>-1.8713190356066361E-5</v>
      </c>
      <c r="T623" s="44">
        <f t="shared" si="303"/>
        <v>2.5458097599138175E-4</v>
      </c>
      <c r="U623" s="45">
        <f t="shared" si="322"/>
        <v>-3.3581755753478888E-2</v>
      </c>
      <c r="V623" s="45">
        <f t="shared" si="323"/>
        <v>0.11485166100682637</v>
      </c>
      <c r="W623" s="45">
        <f t="shared" si="324"/>
        <v>0.11537490887690849</v>
      </c>
      <c r="X623" s="45">
        <f t="shared" si="325"/>
        <v>-5.2324787008212192E-4</v>
      </c>
      <c r="Y623" s="45">
        <f t="shared" si="299"/>
        <v>5.4691845277098994E-4</v>
      </c>
      <c r="Z623" s="10">
        <f t="shared" si="326"/>
        <v>2.1483084140171753</v>
      </c>
      <c r="AA623">
        <f t="shared" si="304"/>
        <v>795548.62151029962</v>
      </c>
      <c r="AB623" s="10">
        <f t="shared" si="305"/>
        <v>0.79554862151029959</v>
      </c>
      <c r="AC623" s="10">
        <f t="shared" si="306"/>
        <v>0.69454862151029961</v>
      </c>
      <c r="AD623" s="3">
        <f t="shared" si="307"/>
        <v>100.7322148673386</v>
      </c>
      <c r="AI623" s="100">
        <f t="shared" si="308"/>
        <v>0.11537490887690849</v>
      </c>
    </row>
    <row r="624" spans="2:35">
      <c r="B624" s="39">
        <f t="shared" si="309"/>
        <v>596</v>
      </c>
      <c r="C624" s="45">
        <f t="shared" si="310"/>
        <v>17.508393285370634</v>
      </c>
      <c r="D624" s="10">
        <f t="shared" si="311"/>
        <v>-2.0583932853704034</v>
      </c>
      <c r="E624" s="40">
        <f t="shared" si="312"/>
        <v>52.45678657074081</v>
      </c>
      <c r="F624" s="40">
        <f t="shared" si="313"/>
        <v>48.34</v>
      </c>
      <c r="G624" s="3">
        <f t="shared" si="314"/>
        <v>58.166426858518378</v>
      </c>
      <c r="H624" s="3">
        <f t="shared" si="315"/>
        <v>148.0155219248214</v>
      </c>
      <c r="I624">
        <f t="shared" si="300"/>
        <v>1.4801552192482141E-4</v>
      </c>
      <c r="J624" s="4">
        <f t="shared" si="316"/>
        <v>2165.7502460794403</v>
      </c>
      <c r="K624" s="40">
        <f t="shared" si="317"/>
        <v>14.631913044764637</v>
      </c>
      <c r="L624" s="40">
        <f t="shared" si="301"/>
        <v>0</v>
      </c>
      <c r="M624" s="10">
        <f t="shared" si="318"/>
        <v>0.79554862151029959</v>
      </c>
      <c r="N624" s="10">
        <f t="shared" si="297"/>
        <v>8.26</v>
      </c>
      <c r="O624" s="10">
        <f t="shared" si="298"/>
        <v>0.31900000000000001</v>
      </c>
      <c r="P624" s="10">
        <f t="shared" si="319"/>
        <v>7.6787889880887317</v>
      </c>
      <c r="Q624" s="45">
        <f t="shared" si="320"/>
        <v>2.0587010299002295</v>
      </c>
      <c r="R624" s="4">
        <f t="shared" si="321"/>
        <v>-18956.899449033914</v>
      </c>
      <c r="S624">
        <f t="shared" si="302"/>
        <v>-1.8956899449033912E-5</v>
      </c>
      <c r="T624" s="44">
        <f t="shared" si="303"/>
        <v>2.5482468508434934E-4</v>
      </c>
      <c r="U624" s="45">
        <f t="shared" si="322"/>
        <v>-3.4019103906263809E-2</v>
      </c>
      <c r="V624" s="45">
        <f t="shared" si="323"/>
        <v>0.11431941574522814</v>
      </c>
      <c r="W624" s="45">
        <f t="shared" si="324"/>
        <v>0.11484428784323931</v>
      </c>
      <c r="X624" s="45">
        <f t="shared" si="325"/>
        <v>-5.2487209801117818E-4</v>
      </c>
      <c r="Y624" s="45">
        <f t="shared" si="299"/>
        <v>5.4491046627965661E-4</v>
      </c>
      <c r="Z624" s="10">
        <f t="shared" si="326"/>
        <v>2.1383739416740029</v>
      </c>
      <c r="AA624">
        <f t="shared" si="304"/>
        <v>792336.80423752719</v>
      </c>
      <c r="AB624" s="10">
        <f t="shared" si="305"/>
        <v>0.79233680423752717</v>
      </c>
      <c r="AC624" s="10">
        <f t="shared" si="306"/>
        <v>0.69133680423752719</v>
      </c>
      <c r="AD624" s="3">
        <f t="shared" si="307"/>
        <v>100.26639655366601</v>
      </c>
      <c r="AI624" s="100">
        <f t="shared" si="308"/>
        <v>0.11484428784323931</v>
      </c>
    </row>
    <row r="625" spans="2:35">
      <c r="B625" s="39">
        <f t="shared" si="309"/>
        <v>597</v>
      </c>
      <c r="C625" s="45">
        <f t="shared" si="310"/>
        <v>17.537769784171591</v>
      </c>
      <c r="D625" s="10">
        <f t="shared" si="311"/>
        <v>-2.0877697841713605</v>
      </c>
      <c r="E625" s="40">
        <f t="shared" si="312"/>
        <v>52.515539568342724</v>
      </c>
      <c r="F625" s="40">
        <f t="shared" si="313"/>
        <v>48.34</v>
      </c>
      <c r="G625" s="3">
        <f t="shared" si="314"/>
        <v>58.048920863314549</v>
      </c>
      <c r="H625" s="3">
        <f t="shared" si="315"/>
        <v>148.0155219248214</v>
      </c>
      <c r="I625">
        <f t="shared" si="300"/>
        <v>1.4801552192482141E-4</v>
      </c>
      <c r="J625" s="4">
        <f t="shared" si="316"/>
        <v>2170.5941412061811</v>
      </c>
      <c r="K625" s="40">
        <f t="shared" si="317"/>
        <v>14.664638633701188</v>
      </c>
      <c r="L625" s="40">
        <f t="shared" si="301"/>
        <v>0</v>
      </c>
      <c r="M625" s="10">
        <f t="shared" si="318"/>
        <v>0.79233680423752717</v>
      </c>
      <c r="N625" s="10">
        <f t="shared" si="297"/>
        <v>8.26</v>
      </c>
      <c r="O625" s="10">
        <f t="shared" si="298"/>
        <v>0.31900000000000001</v>
      </c>
      <c r="P625" s="10">
        <f t="shared" si="319"/>
        <v>7.6688860178000793</v>
      </c>
      <c r="Q625" s="45">
        <f t="shared" si="320"/>
        <v>2.0625316382484007</v>
      </c>
      <c r="R625" s="4">
        <f t="shared" si="321"/>
        <v>-19199.786198911206</v>
      </c>
      <c r="S625">
        <f t="shared" si="302"/>
        <v>-1.9199786198911207E-5</v>
      </c>
      <c r="T625" s="44">
        <f t="shared" si="303"/>
        <v>2.5506757183422661E-4</v>
      </c>
      <c r="U625" s="45">
        <f t="shared" si="322"/>
        <v>-3.4454976323256101E-2</v>
      </c>
      <c r="V625" s="45">
        <f t="shared" si="323"/>
        <v>0.11378673499742883</v>
      </c>
      <c r="W625" s="45">
        <f t="shared" si="324"/>
        <v>0.11431321074373822</v>
      </c>
      <c r="X625" s="45">
        <f t="shared" si="325"/>
        <v>-5.2647574630938776E-4</v>
      </c>
      <c r="Y625" s="45">
        <f t="shared" si="299"/>
        <v>5.4289374389073419E-4</v>
      </c>
      <c r="Z625" s="10">
        <f t="shared" si="326"/>
        <v>2.128431066272789</v>
      </c>
      <c r="AA625">
        <f t="shared" si="304"/>
        <v>789122.27025409031</v>
      </c>
      <c r="AB625" s="10">
        <f t="shared" si="305"/>
        <v>0.78912227025409032</v>
      </c>
      <c r="AC625" s="10">
        <f t="shared" si="306"/>
        <v>0.68812227025409034</v>
      </c>
      <c r="AD625" s="3">
        <f t="shared" si="307"/>
        <v>99.800184228294455</v>
      </c>
      <c r="AI625" s="100">
        <f t="shared" si="308"/>
        <v>0.11431321074373822</v>
      </c>
    </row>
    <row r="626" spans="2:35">
      <c r="B626" s="39">
        <f t="shared" si="309"/>
        <v>598</v>
      </c>
      <c r="C626" s="45">
        <f t="shared" si="310"/>
        <v>17.567146282972548</v>
      </c>
      <c r="D626" s="10">
        <f t="shared" si="311"/>
        <v>-2.1171462829723176</v>
      </c>
      <c r="E626" s="40">
        <f t="shared" si="312"/>
        <v>52.574292565944639</v>
      </c>
      <c r="F626" s="40">
        <f t="shared" si="313"/>
        <v>48.34</v>
      </c>
      <c r="G626" s="3">
        <f t="shared" si="314"/>
        <v>57.931414868110721</v>
      </c>
      <c r="H626" s="3">
        <f t="shared" si="315"/>
        <v>148.0155219248214</v>
      </c>
      <c r="I626">
        <f t="shared" si="300"/>
        <v>1.4801552192482141E-4</v>
      </c>
      <c r="J626" s="4">
        <f t="shared" si="316"/>
        <v>2175.4434585878967</v>
      </c>
      <c r="K626" s="40">
        <f t="shared" si="317"/>
        <v>14.697400855653685</v>
      </c>
      <c r="L626" s="40">
        <f t="shared" si="301"/>
        <v>0</v>
      </c>
      <c r="M626" s="10">
        <f t="shared" si="318"/>
        <v>0.78912227025409032</v>
      </c>
      <c r="N626" s="10">
        <f t="shared" si="297"/>
        <v>8.26</v>
      </c>
      <c r="O626" s="10">
        <f t="shared" si="298"/>
        <v>0.31900000000000001</v>
      </c>
      <c r="P626" s="10">
        <f t="shared" si="319"/>
        <v>7.6589472612643457</v>
      </c>
      <c r="Q626" s="45">
        <f t="shared" si="320"/>
        <v>2.0663672174473242</v>
      </c>
      <c r="R626" s="4">
        <f t="shared" si="321"/>
        <v>-19441.848694255881</v>
      </c>
      <c r="S626">
        <f t="shared" si="302"/>
        <v>-1.944184869425588E-5</v>
      </c>
      <c r="T626" s="44">
        <f t="shared" si="303"/>
        <v>2.553096343295713E-4</v>
      </c>
      <c r="U626" s="45">
        <f t="shared" si="322"/>
        <v>-3.4889369574276893E-2</v>
      </c>
      <c r="V626" s="45">
        <f t="shared" si="323"/>
        <v>0.11325362572169222</v>
      </c>
      <c r="W626" s="45">
        <f t="shared" si="324"/>
        <v>0.11378168443349529</v>
      </c>
      <c r="X626" s="45">
        <f t="shared" si="325"/>
        <v>-5.2805871180307273E-4</v>
      </c>
      <c r="Y626" s="45">
        <f t="shared" si="299"/>
        <v>5.4086833287993197E-4</v>
      </c>
      <c r="Z626" s="10">
        <f t="shared" si="326"/>
        <v>2.1184799167497994</v>
      </c>
      <c r="AA626">
        <f t="shared" si="304"/>
        <v>785905.06124511419</v>
      </c>
      <c r="AB626" s="10">
        <f t="shared" si="305"/>
        <v>0.78590506124511417</v>
      </c>
      <c r="AC626" s="10">
        <f t="shared" si="306"/>
        <v>0.68490506124511419</v>
      </c>
      <c r="AD626" s="3">
        <f t="shared" si="307"/>
        <v>99.333583936927369</v>
      </c>
      <c r="AI626" s="100">
        <f t="shared" si="308"/>
        <v>0.11378168443349529</v>
      </c>
    </row>
    <row r="627" spans="2:35">
      <c r="B627" s="39">
        <f t="shared" si="309"/>
        <v>599</v>
      </c>
      <c r="C627" s="45">
        <f t="shared" si="310"/>
        <v>17.596522781773505</v>
      </c>
      <c r="D627" s="10">
        <f t="shared" si="311"/>
        <v>-2.1465227817732746</v>
      </c>
      <c r="E627" s="40">
        <f t="shared" si="312"/>
        <v>52.633045563546553</v>
      </c>
      <c r="F627" s="40">
        <f t="shared" si="313"/>
        <v>48.34</v>
      </c>
      <c r="G627" s="3">
        <f t="shared" si="314"/>
        <v>57.813908872906893</v>
      </c>
      <c r="H627" s="3">
        <f t="shared" si="315"/>
        <v>148.0155219248214</v>
      </c>
      <c r="I627">
        <f t="shared" si="300"/>
        <v>1.4801552192482141E-4</v>
      </c>
      <c r="J627" s="4">
        <f t="shared" si="316"/>
        <v>2180.2981982245856</v>
      </c>
      <c r="K627" s="40">
        <f t="shared" si="317"/>
        <v>14.730199710622115</v>
      </c>
      <c r="L627" s="40">
        <f t="shared" si="301"/>
        <v>0</v>
      </c>
      <c r="M627" s="10">
        <f t="shared" si="318"/>
        <v>0.78590506124511417</v>
      </c>
      <c r="N627" s="10">
        <f t="shared" si="297"/>
        <v>8.26</v>
      </c>
      <c r="O627" s="10">
        <f t="shared" si="298"/>
        <v>0.31900000000000001</v>
      </c>
      <c r="P627" s="10">
        <f t="shared" si="319"/>
        <v>7.6489725901053296</v>
      </c>
      <c r="Q627" s="45">
        <f t="shared" si="320"/>
        <v>2.0702077984475697</v>
      </c>
      <c r="R627" s="4">
        <f t="shared" si="321"/>
        <v>-19683.085023625496</v>
      </c>
      <c r="S627">
        <f t="shared" si="302"/>
        <v>-1.9683085023625494E-5</v>
      </c>
      <c r="T627" s="44">
        <f t="shared" si="303"/>
        <v>2.5555087065894089E-4</v>
      </c>
      <c r="U627" s="45">
        <f t="shared" si="322"/>
        <v>-3.5322280229147129E-2</v>
      </c>
      <c r="V627" s="45">
        <f t="shared" si="323"/>
        <v>0.11272009491338922</v>
      </c>
      <c r="W627" s="45">
        <f t="shared" si="324"/>
        <v>0.11324971580518634</v>
      </c>
      <c r="X627" s="45">
        <f t="shared" si="325"/>
        <v>-5.296208917971168E-4</v>
      </c>
      <c r="Y627" s="45">
        <f t="shared" si="299"/>
        <v>5.388342809455629E-4</v>
      </c>
      <c r="Z627" s="10">
        <f t="shared" si="326"/>
        <v>2.108520622747919</v>
      </c>
      <c r="AA627">
        <f t="shared" si="304"/>
        <v>782685.21912417433</v>
      </c>
      <c r="AB627" s="10">
        <f t="shared" si="305"/>
        <v>0.78268521912417433</v>
      </c>
      <c r="AC627" s="10">
        <f t="shared" si="306"/>
        <v>0.68168521912417435</v>
      </c>
      <c r="AD627" s="3">
        <f t="shared" si="307"/>
        <v>98.866601758400918</v>
      </c>
      <c r="AI627" s="100">
        <f t="shared" si="308"/>
        <v>0.11324971580518634</v>
      </c>
    </row>
    <row r="628" spans="2:35">
      <c r="B628" s="39">
        <f t="shared" si="309"/>
        <v>600</v>
      </c>
      <c r="C628" s="45">
        <f t="shared" si="310"/>
        <v>17.625899280574462</v>
      </c>
      <c r="D628" s="10">
        <f t="shared" si="311"/>
        <v>-2.1758992805742317</v>
      </c>
      <c r="E628" s="40">
        <f t="shared" si="312"/>
        <v>52.691798561148467</v>
      </c>
      <c r="F628" s="40">
        <f t="shared" si="313"/>
        <v>48.34</v>
      </c>
      <c r="G628" s="3">
        <f t="shared" si="314"/>
        <v>57.696402877703065</v>
      </c>
      <c r="H628" s="3">
        <f t="shared" si="315"/>
        <v>148.0155219248214</v>
      </c>
      <c r="I628">
        <f t="shared" si="300"/>
        <v>1.4801552192482141E-4</v>
      </c>
      <c r="J628" s="4">
        <f t="shared" si="316"/>
        <v>2185.1583601162483</v>
      </c>
      <c r="K628" s="40">
        <f t="shared" si="317"/>
        <v>14.763035198606486</v>
      </c>
      <c r="L628" s="40">
        <f t="shared" si="301"/>
        <v>0</v>
      </c>
      <c r="M628" s="10">
        <f t="shared" si="318"/>
        <v>0.78268521912417433</v>
      </c>
      <c r="N628" s="10">
        <f t="shared" si="297"/>
        <v>8.26</v>
      </c>
      <c r="O628" s="10">
        <f t="shared" si="298"/>
        <v>0.31900000000000001</v>
      </c>
      <c r="P628" s="10">
        <f t="shared" si="319"/>
        <v>7.6389618750204171</v>
      </c>
      <c r="Q628" s="45">
        <f t="shared" si="320"/>
        <v>2.0740534124565908</v>
      </c>
      <c r="R628" s="4">
        <f t="shared" si="321"/>
        <v>-19923.493275577646</v>
      </c>
      <c r="S628">
        <f t="shared" si="302"/>
        <v>-1.9923493275577647E-5</v>
      </c>
      <c r="T628" s="44">
        <f t="shared" si="303"/>
        <v>2.5579127891089308E-4</v>
      </c>
      <c r="U628" s="45">
        <f t="shared" si="322"/>
        <v>-3.5753704857687869E-2</v>
      </c>
      <c r="V628" s="45">
        <f t="shared" si="323"/>
        <v>0.11218614960542117</v>
      </c>
      <c r="W628" s="45">
        <f t="shared" si="324"/>
        <v>0.11271731178926167</v>
      </c>
      <c r="X628" s="45">
        <f t="shared" si="325"/>
        <v>-5.3116218384050007E-4</v>
      </c>
      <c r="Y628" s="45">
        <f t="shared" si="299"/>
        <v>5.3679163621032369E-4</v>
      </c>
      <c r="Z628" s="10">
        <f t="shared" si="326"/>
        <v>2.0985533146238318</v>
      </c>
      <c r="AA628">
        <f t="shared" si="304"/>
        <v>779462.78603561793</v>
      </c>
      <c r="AB628" s="10">
        <f t="shared" si="305"/>
        <v>0.77946278603561792</v>
      </c>
      <c r="AC628" s="10">
        <f t="shared" si="306"/>
        <v>0.67846278603561794</v>
      </c>
      <c r="AD628" s="3">
        <f t="shared" si="307"/>
        <v>98.399243805020731</v>
      </c>
      <c r="AI628" s="100">
        <f t="shared" si="308"/>
        <v>0.11271731178926167</v>
      </c>
    </row>
    <row r="629" spans="2:35">
      <c r="B629" s="39">
        <f t="shared" si="309"/>
        <v>601</v>
      </c>
      <c r="C629" s="45">
        <f t="shared" si="310"/>
        <v>17.655275779375419</v>
      </c>
      <c r="D629" s="10">
        <f t="shared" si="311"/>
        <v>-2.2052757793751887</v>
      </c>
      <c r="E629" s="40">
        <f t="shared" si="312"/>
        <v>52.750551558750381</v>
      </c>
      <c r="F629" s="40">
        <f t="shared" si="313"/>
        <v>48.34</v>
      </c>
      <c r="G629" s="3">
        <f t="shared" si="314"/>
        <v>57.578896882499237</v>
      </c>
      <c r="H629" s="3">
        <f t="shared" si="315"/>
        <v>148.0155219248214</v>
      </c>
      <c r="I629">
        <f t="shared" si="300"/>
        <v>1.4801552192482141E-4</v>
      </c>
      <c r="J629" s="4">
        <f t="shared" si="316"/>
        <v>2190.0239442628854</v>
      </c>
      <c r="K629" s="40">
        <f t="shared" si="317"/>
        <v>14.795907319606798</v>
      </c>
      <c r="L629" s="40">
        <f t="shared" si="301"/>
        <v>0</v>
      </c>
      <c r="M629" s="10">
        <f t="shared" si="318"/>
        <v>0.77946278603561792</v>
      </c>
      <c r="N629" s="10">
        <f t="shared" si="297"/>
        <v>8.26</v>
      </c>
      <c r="O629" s="10">
        <f t="shared" si="298"/>
        <v>0.31900000000000001</v>
      </c>
      <c r="P629" s="10">
        <f t="shared" si="319"/>
        <v>7.6289149857749363</v>
      </c>
      <c r="Q629" s="45">
        <f t="shared" si="320"/>
        <v>2.0779040909417663</v>
      </c>
      <c r="R629" s="4">
        <f t="shared" si="321"/>
        <v>-20163.071538669956</v>
      </c>
      <c r="S629">
        <f t="shared" si="302"/>
        <v>-2.0163071538669956E-5</v>
      </c>
      <c r="T629" s="44">
        <f t="shared" si="303"/>
        <v>2.5603085717398536E-4</v>
      </c>
      <c r="U629" s="45">
        <f t="shared" si="322"/>
        <v>-3.6183640029720167E-2</v>
      </c>
      <c r="V629" s="45">
        <f t="shared" si="323"/>
        <v>0.11165179686839052</v>
      </c>
      <c r="W629" s="45">
        <f t="shared" si="324"/>
        <v>0.11218447935433003</v>
      </c>
      <c r="X629" s="45">
        <f t="shared" si="325"/>
        <v>-5.3268248593950351E-4</v>
      </c>
      <c r="Y629" s="45">
        <f t="shared" si="299"/>
        <v>5.3474044722228668E-4</v>
      </c>
      <c r="Z629" s="10">
        <f t="shared" si="326"/>
        <v>2.0885781234521459</v>
      </c>
      <c r="AA629">
        <f t="shared" si="304"/>
        <v>776237.80435589689</v>
      </c>
      <c r="AB629" s="10">
        <f t="shared" si="305"/>
        <v>0.77623780435589684</v>
      </c>
      <c r="AC629" s="10">
        <f t="shared" si="306"/>
        <v>0.67523780435589686</v>
      </c>
      <c r="AD629" s="3">
        <f t="shared" si="307"/>
        <v>97.931516222755164</v>
      </c>
      <c r="AI629" s="100">
        <f t="shared" si="308"/>
        <v>0.11218447935433003</v>
      </c>
    </row>
    <row r="630" spans="2:35">
      <c r="B630" s="39">
        <f t="shared" si="309"/>
        <v>602</v>
      </c>
      <c r="C630" s="45">
        <f t="shared" si="310"/>
        <v>17.684652278176376</v>
      </c>
      <c r="D630" s="10">
        <f t="shared" si="311"/>
        <v>-2.2346522781761458</v>
      </c>
      <c r="E630" s="40">
        <f t="shared" si="312"/>
        <v>52.809304556352295</v>
      </c>
      <c r="F630" s="40">
        <f t="shared" si="313"/>
        <v>48.34</v>
      </c>
      <c r="G630" s="3">
        <f t="shared" si="314"/>
        <v>57.461390887295408</v>
      </c>
      <c r="H630" s="3">
        <f t="shared" si="315"/>
        <v>148.0155219248214</v>
      </c>
      <c r="I630">
        <f t="shared" si="300"/>
        <v>1.4801552192482141E-4</v>
      </c>
      <c r="J630" s="4">
        <f t="shared" si="316"/>
        <v>2194.8949506644963</v>
      </c>
      <c r="K630" s="40">
        <f t="shared" si="317"/>
        <v>14.828816073623049</v>
      </c>
      <c r="L630" s="40">
        <f t="shared" si="301"/>
        <v>0</v>
      </c>
      <c r="M630" s="10">
        <f t="shared" si="318"/>
        <v>0.77623780435589684</v>
      </c>
      <c r="N630" s="10">
        <f t="shared" si="297"/>
        <v>8.26</v>
      </c>
      <c r="O630" s="10">
        <f t="shared" si="298"/>
        <v>0.31900000000000001</v>
      </c>
      <c r="P630" s="10">
        <f t="shared" si="319"/>
        <v>7.6188317911933376</v>
      </c>
      <c r="Q630" s="45">
        <f t="shared" si="320"/>
        <v>2.0817598656334866</v>
      </c>
      <c r="R630" s="4">
        <f t="shared" si="321"/>
        <v>-20401.817901460021</v>
      </c>
      <c r="S630">
        <f t="shared" si="302"/>
        <v>-2.040181790146002E-5</v>
      </c>
      <c r="T630" s="44">
        <f t="shared" si="303"/>
        <v>2.5626960353677546E-4</v>
      </c>
      <c r="U630" s="45">
        <f t="shared" si="322"/>
        <v>-3.6612082315065075E-2</v>
      </c>
      <c r="V630" s="45">
        <f t="shared" si="323"/>
        <v>0.11111704381091758</v>
      </c>
      <c r="W630" s="45">
        <f t="shared" si="324"/>
        <v>0.11165122550737877</v>
      </c>
      <c r="X630" s="45">
        <f t="shared" si="325"/>
        <v>-5.3418169646118896E-4</v>
      </c>
      <c r="Y630" s="45">
        <f t="shared" si="299"/>
        <v>5.3268076295629146E-4</v>
      </c>
      <c r="Z630" s="10">
        <f t="shared" si="326"/>
        <v>2.0785951810310981</v>
      </c>
      <c r="AA630">
        <f t="shared" si="304"/>
        <v>773010.31669541227</v>
      </c>
      <c r="AB630" s="10">
        <f t="shared" si="305"/>
        <v>0.77301031669541231</v>
      </c>
      <c r="AC630" s="10">
        <f t="shared" si="306"/>
        <v>0.67201031669541234</v>
      </c>
      <c r="AD630" s="3">
        <f t="shared" si="307"/>
        <v>97.463425191502878</v>
      </c>
      <c r="AI630" s="100">
        <f t="shared" si="308"/>
        <v>0.11165122550737877</v>
      </c>
    </row>
    <row r="631" spans="2:35">
      <c r="B631" s="39">
        <f t="shared" si="309"/>
        <v>603</v>
      </c>
      <c r="C631" s="45">
        <f t="shared" si="310"/>
        <v>17.714028776977333</v>
      </c>
      <c r="D631" s="10">
        <f t="shared" si="311"/>
        <v>-2.2640287769771028</v>
      </c>
      <c r="E631" s="40">
        <f t="shared" si="312"/>
        <v>52.868057553954209</v>
      </c>
      <c r="F631" s="40">
        <f t="shared" si="313"/>
        <v>48.34</v>
      </c>
      <c r="G631" s="3">
        <f t="shared" si="314"/>
        <v>57.34388489209158</v>
      </c>
      <c r="H631" s="3">
        <f t="shared" si="315"/>
        <v>148.0155219248214</v>
      </c>
      <c r="I631">
        <f t="shared" si="300"/>
        <v>1.4801552192482141E-4</v>
      </c>
      <c r="J631" s="4">
        <f t="shared" si="316"/>
        <v>2199.771379321081</v>
      </c>
      <c r="K631" s="40">
        <f t="shared" si="317"/>
        <v>14.861761460655238</v>
      </c>
      <c r="L631" s="40">
        <f t="shared" si="301"/>
        <v>0</v>
      </c>
      <c r="M631" s="10">
        <f t="shared" si="318"/>
        <v>0.77301031669541231</v>
      </c>
      <c r="N631" s="10">
        <f t="shared" si="297"/>
        <v>8.26</v>
      </c>
      <c r="O631" s="10">
        <f t="shared" si="298"/>
        <v>0.31900000000000001</v>
      </c>
      <c r="P631" s="10">
        <f t="shared" si="319"/>
        <v>7.6087121591518265</v>
      </c>
      <c r="Q631" s="45">
        <f t="shared" si="320"/>
        <v>2.085620768528285</v>
      </c>
      <c r="R631" s="4">
        <f t="shared" si="321"/>
        <v>-20639.730452505446</v>
      </c>
      <c r="S631">
        <f t="shared" si="302"/>
        <v>-2.0639730452505445E-5</v>
      </c>
      <c r="T631" s="44">
        <f t="shared" si="303"/>
        <v>2.5650751608782086E-4</v>
      </c>
      <c r="U631" s="45">
        <f t="shared" si="322"/>
        <v>-3.7039028283543642E-2</v>
      </c>
      <c r="V631" s="45">
        <f t="shared" si="323"/>
        <v>0.11058189757990616</v>
      </c>
      <c r="W631" s="45">
        <f t="shared" si="324"/>
        <v>0.11111755729407906</v>
      </c>
      <c r="X631" s="45">
        <f t="shared" si="325"/>
        <v>-5.3565971417289526E-4</v>
      </c>
      <c r="Y631" s="45">
        <f t="shared" si="299"/>
        <v>5.3061263281521437E-4</v>
      </c>
      <c r="Z631" s="10">
        <f t="shared" si="326"/>
        <v>2.0686046198878154</v>
      </c>
      <c r="AA631">
        <f t="shared" si="304"/>
        <v>769780.36590021616</v>
      </c>
      <c r="AB631" s="10">
        <f t="shared" si="305"/>
        <v>0.76978036590021615</v>
      </c>
      <c r="AC631" s="10">
        <f t="shared" si="306"/>
        <v>0.66878036590021617</v>
      </c>
      <c r="AD631" s="3">
        <f t="shared" si="307"/>
        <v>96.994976925339543</v>
      </c>
      <c r="AI631" s="100">
        <f t="shared" si="308"/>
        <v>0.11111755729407906</v>
      </c>
    </row>
    <row r="632" spans="2:35">
      <c r="B632" s="39">
        <f t="shared" si="309"/>
        <v>604</v>
      </c>
      <c r="C632" s="45">
        <f t="shared" si="310"/>
        <v>17.74340527577829</v>
      </c>
      <c r="D632" s="10">
        <f t="shared" si="311"/>
        <v>-2.2934052757780599</v>
      </c>
      <c r="E632" s="40">
        <f t="shared" si="312"/>
        <v>52.926810551556123</v>
      </c>
      <c r="F632" s="40">
        <f t="shared" si="313"/>
        <v>48.34</v>
      </c>
      <c r="G632" s="3">
        <f t="shared" si="314"/>
        <v>57.226378896887752</v>
      </c>
      <c r="H632" s="3">
        <f t="shared" si="315"/>
        <v>148.0155219248214</v>
      </c>
      <c r="I632">
        <f t="shared" si="300"/>
        <v>1.4801552192482141E-4</v>
      </c>
      <c r="J632" s="4">
        <f t="shared" si="316"/>
        <v>2204.6532302326395</v>
      </c>
      <c r="K632" s="40">
        <f t="shared" si="317"/>
        <v>14.894743480703365</v>
      </c>
      <c r="L632" s="40">
        <f t="shared" si="301"/>
        <v>0</v>
      </c>
      <c r="M632" s="10">
        <f t="shared" si="318"/>
        <v>0.76978036590021615</v>
      </c>
      <c r="N632" s="10">
        <f t="shared" si="297"/>
        <v>8.26</v>
      </c>
      <c r="O632" s="10">
        <f t="shared" si="298"/>
        <v>0.31900000000000001</v>
      </c>
      <c r="P632" s="10">
        <f t="shared" si="319"/>
        <v>7.5985559565704506</v>
      </c>
      <c r="Q632" s="45">
        <f t="shared" si="320"/>
        <v>2.0894868318920161</v>
      </c>
      <c r="R632" s="4">
        <f t="shared" si="321"/>
        <v>-20876.807280363802</v>
      </c>
      <c r="S632">
        <f t="shared" si="302"/>
        <v>-2.0876807280363801E-5</v>
      </c>
      <c r="T632" s="44">
        <f t="shared" si="303"/>
        <v>2.5674459291567922E-4</v>
      </c>
      <c r="U632" s="45">
        <f t="shared" si="322"/>
        <v>-3.7464474504976863E-2</v>
      </c>
      <c r="V632" s="45">
        <f t="shared" si="323"/>
        <v>0.11004636536081772</v>
      </c>
      <c r="W632" s="45">
        <f t="shared" si="324"/>
        <v>0.11058348179906706</v>
      </c>
      <c r="X632" s="45">
        <f t="shared" si="325"/>
        <v>-5.3711643824934374E-4</v>
      </c>
      <c r="Y632" s="45">
        <f t="shared" si="299"/>
        <v>5.2853610663124086E-4</v>
      </c>
      <c r="Z632" s="10">
        <f t="shared" si="326"/>
        <v>2.0586065732836061</v>
      </c>
      <c r="AA632">
        <f t="shared" si="304"/>
        <v>766547.99505372101</v>
      </c>
      <c r="AB632" s="10">
        <f t="shared" si="305"/>
        <v>0.76654799505372107</v>
      </c>
      <c r="AC632" s="10">
        <f t="shared" si="306"/>
        <v>0.66554799505372109</v>
      </c>
      <c r="AD632" s="3">
        <f t="shared" si="307"/>
        <v>96.52617767276594</v>
      </c>
      <c r="AI632" s="100">
        <f t="shared" si="308"/>
        <v>0.11058348179906706</v>
      </c>
    </row>
    <row r="633" spans="2:35">
      <c r="B633" s="39">
        <f t="shared" si="309"/>
        <v>605</v>
      </c>
      <c r="C633" s="45">
        <f t="shared" si="310"/>
        <v>17.772781774579247</v>
      </c>
      <c r="D633" s="10">
        <f t="shared" si="311"/>
        <v>-2.3227817745790169</v>
      </c>
      <c r="E633" s="40">
        <f t="shared" si="312"/>
        <v>52.985563549158037</v>
      </c>
      <c r="F633" s="40">
        <f t="shared" si="313"/>
        <v>48.34</v>
      </c>
      <c r="G633" s="3">
        <f t="shared" si="314"/>
        <v>57.108872901683924</v>
      </c>
      <c r="H633" s="3">
        <f t="shared" si="315"/>
        <v>148.0155219248214</v>
      </c>
      <c r="I633">
        <f t="shared" si="300"/>
        <v>1.4801552192482141E-4</v>
      </c>
      <c r="J633" s="4">
        <f t="shared" si="316"/>
        <v>2209.5405033991719</v>
      </c>
      <c r="K633" s="40">
        <f t="shared" si="317"/>
        <v>14.927762133767432</v>
      </c>
      <c r="L633" s="40">
        <f t="shared" si="301"/>
        <v>0</v>
      </c>
      <c r="M633" s="10">
        <f t="shared" si="318"/>
        <v>0.76654799505372107</v>
      </c>
      <c r="N633" s="10">
        <f t="shared" si="297"/>
        <v>8.26</v>
      </c>
      <c r="O633" s="10">
        <f t="shared" si="298"/>
        <v>0.31900000000000001</v>
      </c>
      <c r="P633" s="10">
        <f t="shared" si="319"/>
        <v>7.5883630494050696</v>
      </c>
      <c r="Q633" s="45">
        <f t="shared" si="320"/>
        <v>2.0933580882630802</v>
      </c>
      <c r="R633" s="4">
        <f t="shared" si="321"/>
        <v>-21113.046473592691</v>
      </c>
      <c r="S633">
        <f t="shared" si="302"/>
        <v>-2.1113046473592691E-5</v>
      </c>
      <c r="T633" s="44">
        <f t="shared" si="303"/>
        <v>2.5698083210890811E-4</v>
      </c>
      <c r="U633" s="45">
        <f t="shared" si="322"/>
        <v>-3.788841754918576E-2</v>
      </c>
      <c r="V633" s="45">
        <f t="shared" si="323"/>
        <v>0.109510454377984</v>
      </c>
      <c r="W633" s="45">
        <f t="shared" si="324"/>
        <v>0.11004900614622685</v>
      </c>
      <c r="X633" s="45">
        <f t="shared" si="325"/>
        <v>-5.3855176824285644E-4</v>
      </c>
      <c r="Y633" s="45">
        <f t="shared" si="299"/>
        <v>5.2645123466728283E-4</v>
      </c>
      <c r="Z633" s="10">
        <f t="shared" si="326"/>
        <v>2.048601175219845</v>
      </c>
      <c r="AA633">
        <f t="shared" si="304"/>
        <v>763313.24747860327</v>
      </c>
      <c r="AB633" s="10">
        <f t="shared" si="305"/>
        <v>0.7633132474786033</v>
      </c>
      <c r="AC633" s="10">
        <f t="shared" si="306"/>
        <v>0.66231324747860332</v>
      </c>
      <c r="AD633" s="3">
        <f t="shared" si="307"/>
        <v>96.057033716983796</v>
      </c>
      <c r="AI633" s="100">
        <f t="shared" si="308"/>
        <v>0.11004900614622685</v>
      </c>
    </row>
    <row r="634" spans="2:35">
      <c r="B634" s="39">
        <f t="shared" si="309"/>
        <v>606</v>
      </c>
      <c r="C634" s="45">
        <f t="shared" si="310"/>
        <v>17.802158273380204</v>
      </c>
      <c r="D634" s="10">
        <f t="shared" si="311"/>
        <v>-2.352158273379974</v>
      </c>
      <c r="E634" s="40">
        <f t="shared" si="312"/>
        <v>53.044316546759951</v>
      </c>
      <c r="F634" s="40">
        <f t="shared" si="313"/>
        <v>48.34</v>
      </c>
      <c r="G634" s="3">
        <f t="shared" si="314"/>
        <v>56.991366906480096</v>
      </c>
      <c r="H634" s="3">
        <f t="shared" si="315"/>
        <v>148.0155219248214</v>
      </c>
      <c r="I634">
        <f t="shared" si="300"/>
        <v>1.4801552192482141E-4</v>
      </c>
      <c r="J634" s="4">
        <f t="shared" si="316"/>
        <v>2214.4331988206786</v>
      </c>
      <c r="K634" s="40">
        <f t="shared" si="317"/>
        <v>14.960817419847439</v>
      </c>
      <c r="L634" s="40">
        <f t="shared" si="301"/>
        <v>0</v>
      </c>
      <c r="M634" s="10">
        <f t="shared" si="318"/>
        <v>0.7633132474786033</v>
      </c>
      <c r="N634" s="10">
        <f t="shared" si="297"/>
        <v>8.26</v>
      </c>
      <c r="O634" s="10">
        <f t="shared" si="298"/>
        <v>0.31900000000000001</v>
      </c>
      <c r="P634" s="10">
        <f t="shared" si="319"/>
        <v>7.5781333026398219</v>
      </c>
      <c r="Q634" s="45">
        <f t="shared" si="320"/>
        <v>2.0972345704556967</v>
      </c>
      <c r="R634" s="4">
        <f t="shared" si="321"/>
        <v>-21348.446120749755</v>
      </c>
      <c r="S634">
        <f t="shared" si="302"/>
        <v>-2.1348446120749754E-5</v>
      </c>
      <c r="T634" s="44">
        <f t="shared" si="303"/>
        <v>2.5721623175606518E-4</v>
      </c>
      <c r="U634" s="45">
        <f t="shared" si="322"/>
        <v>-3.8310853985991468E-2</v>
      </c>
      <c r="V634" s="45">
        <f t="shared" si="323"/>
        <v>0.10897417189489984</v>
      </c>
      <c r="W634" s="45">
        <f t="shared" si="324"/>
        <v>0.10951413749900497</v>
      </c>
      <c r="X634" s="45">
        <f t="shared" si="325"/>
        <v>-5.3996560410513039E-4</v>
      </c>
      <c r="Y634" s="45">
        <f t="shared" si="299"/>
        <v>5.2435806761834392E-4</v>
      </c>
      <c r="Z634" s="10">
        <f t="shared" si="326"/>
        <v>2.0385885604436762</v>
      </c>
      <c r="AA634">
        <f t="shared" si="304"/>
        <v>760076.16673864669</v>
      </c>
      <c r="AB634" s="10">
        <f t="shared" si="305"/>
        <v>0.76007616673864664</v>
      </c>
      <c r="AC634" s="10">
        <f t="shared" si="306"/>
        <v>0.65907616673864666</v>
      </c>
      <c r="AD634" s="3">
        <f t="shared" si="307"/>
        <v>95.587551376163404</v>
      </c>
      <c r="AI634" s="100">
        <f t="shared" si="308"/>
        <v>0.10951413749900497</v>
      </c>
    </row>
    <row r="635" spans="2:35">
      <c r="B635" s="39">
        <f t="shared" si="309"/>
        <v>607</v>
      </c>
      <c r="C635" s="45">
        <f t="shared" si="310"/>
        <v>17.831534772181161</v>
      </c>
      <c r="D635" s="10">
        <f t="shared" si="311"/>
        <v>-2.381534772180931</v>
      </c>
      <c r="E635" s="40">
        <f t="shared" si="312"/>
        <v>53.103069544361865</v>
      </c>
      <c r="F635" s="40">
        <f t="shared" si="313"/>
        <v>48.34</v>
      </c>
      <c r="G635" s="3">
        <f t="shared" si="314"/>
        <v>56.873860911276267</v>
      </c>
      <c r="H635" s="3">
        <f t="shared" si="315"/>
        <v>148.0155219248214</v>
      </c>
      <c r="I635">
        <f t="shared" si="300"/>
        <v>1.4801552192482141E-4</v>
      </c>
      <c r="J635" s="4">
        <f t="shared" si="316"/>
        <v>2219.3313164971592</v>
      </c>
      <c r="K635" s="40">
        <f t="shared" si="317"/>
        <v>14.993909338943386</v>
      </c>
      <c r="L635" s="40">
        <f t="shared" si="301"/>
        <v>0</v>
      </c>
      <c r="M635" s="10">
        <f t="shared" si="318"/>
        <v>0.76007616673864664</v>
      </c>
      <c r="N635" s="10">
        <f t="shared" si="297"/>
        <v>8.26</v>
      </c>
      <c r="O635" s="10">
        <f t="shared" si="298"/>
        <v>0.31900000000000001</v>
      </c>
      <c r="P635" s="10">
        <f t="shared" si="319"/>
        <v>7.5678665802792802</v>
      </c>
      <c r="Q635" s="45">
        <f t="shared" si="320"/>
        <v>2.1011163115632248</v>
      </c>
      <c r="R635" s="4">
        <f t="shared" si="321"/>
        <v>-21583.004310392553</v>
      </c>
      <c r="S635">
        <f t="shared" si="302"/>
        <v>-2.1583004310392551E-5</v>
      </c>
      <c r="T635" s="44">
        <f t="shared" si="303"/>
        <v>2.5745078994570796E-4</v>
      </c>
      <c r="U635" s="45">
        <f t="shared" si="322"/>
        <v>-3.8731780385214951E-2</v>
      </c>
      <c r="V635" s="45">
        <f t="shared" si="323"/>
        <v>0.10843752521443563</v>
      </c>
      <c r="W635" s="45">
        <f t="shared" si="324"/>
        <v>0.10897888306071526</v>
      </c>
      <c r="X635" s="45">
        <f t="shared" si="325"/>
        <v>-5.413578462796359E-4</v>
      </c>
      <c r="Y635" s="45">
        <f t="shared" si="299"/>
        <v>5.2225665661255743E-4</v>
      </c>
      <c r="Z635" s="10">
        <f t="shared" si="326"/>
        <v>2.0285688644524749</v>
      </c>
      <c r="AA635">
        <f t="shared" si="304"/>
        <v>756836.79664018482</v>
      </c>
      <c r="AB635" s="10">
        <f t="shared" si="305"/>
        <v>0.75683679664018477</v>
      </c>
      <c r="AC635" s="10">
        <f t="shared" si="306"/>
        <v>0.65583679664018479</v>
      </c>
      <c r="AD635" s="3">
        <f t="shared" si="307"/>
        <v>95.117737003652621</v>
      </c>
      <c r="AI635" s="100">
        <f t="shared" si="308"/>
        <v>0.10897888306071526</v>
      </c>
    </row>
    <row r="636" spans="2:35">
      <c r="B636" s="39">
        <f t="shared" si="309"/>
        <v>608</v>
      </c>
      <c r="C636" s="45">
        <f t="shared" si="310"/>
        <v>17.860911270982118</v>
      </c>
      <c r="D636" s="10">
        <f t="shared" si="311"/>
        <v>-2.4109112709818881</v>
      </c>
      <c r="E636" s="40">
        <f t="shared" si="312"/>
        <v>53.16182254196378</v>
      </c>
      <c r="F636" s="40">
        <f t="shared" si="313"/>
        <v>48.34</v>
      </c>
      <c r="G636" s="3">
        <f t="shared" si="314"/>
        <v>56.756354916072439</v>
      </c>
      <c r="H636" s="3">
        <f t="shared" si="315"/>
        <v>148.0155219248214</v>
      </c>
      <c r="I636">
        <f t="shared" si="300"/>
        <v>1.4801552192482141E-4</v>
      </c>
      <c r="J636" s="4">
        <f t="shared" si="316"/>
        <v>2224.2348564286131</v>
      </c>
      <c r="K636" s="40">
        <f t="shared" si="317"/>
        <v>15.027037891055269</v>
      </c>
      <c r="L636" s="40">
        <f t="shared" si="301"/>
        <v>0</v>
      </c>
      <c r="M636" s="10">
        <f t="shared" si="318"/>
        <v>0.75683679664018477</v>
      </c>
      <c r="N636" s="10">
        <f t="shared" si="297"/>
        <v>8.26</v>
      </c>
      <c r="O636" s="10">
        <f t="shared" si="298"/>
        <v>0.31900000000000001</v>
      </c>
      <c r="P636" s="10">
        <f t="shared" si="319"/>
        <v>7.5575627453392089</v>
      </c>
      <c r="Q636" s="45">
        <f t="shared" si="320"/>
        <v>2.1050033449615349</v>
      </c>
      <c r="R636" s="4">
        <f t="shared" si="321"/>
        <v>-21816.71913107868</v>
      </c>
      <c r="S636">
        <f t="shared" si="302"/>
        <v>-2.181671913107868E-5</v>
      </c>
      <c r="T636" s="44">
        <f t="shared" si="303"/>
        <v>2.576845047663941E-4</v>
      </c>
      <c r="U636" s="45">
        <f t="shared" si="322"/>
        <v>-3.9151193316677241E-2</v>
      </c>
      <c r="V636" s="45">
        <f t="shared" si="323"/>
        <v>0.10790052167924058</v>
      </c>
      <c r="W636" s="45">
        <f t="shared" si="324"/>
        <v>0.10844325007477748</v>
      </c>
      <c r="X636" s="45">
        <f t="shared" si="325"/>
        <v>-5.4272839553690111E-4</v>
      </c>
      <c r="Y636" s="45">
        <f t="shared" si="299"/>
        <v>5.2014705321289426E-4</v>
      </c>
      <c r="Z636" s="10">
        <f t="shared" si="326"/>
        <v>2.0185422235009343</v>
      </c>
      <c r="AA636">
        <f t="shared" si="304"/>
        <v>753595.18123439257</v>
      </c>
      <c r="AB636" s="10">
        <f t="shared" si="305"/>
        <v>0.75359518123439262</v>
      </c>
      <c r="AC636" s="10">
        <f t="shared" si="306"/>
        <v>0.65259518123439264</v>
      </c>
      <c r="AD636" s="3">
        <f t="shared" si="307"/>
        <v>94.647596988309303</v>
      </c>
      <c r="AI636" s="100">
        <f t="shared" si="308"/>
        <v>0.10844325007477748</v>
      </c>
    </row>
    <row r="637" spans="2:35">
      <c r="B637" s="39">
        <f t="shared" si="309"/>
        <v>609</v>
      </c>
      <c r="C637" s="45">
        <f t="shared" si="310"/>
        <v>17.890287769783075</v>
      </c>
      <c r="D637" s="10">
        <f t="shared" si="311"/>
        <v>-2.4402877697828451</v>
      </c>
      <c r="E637" s="40">
        <f t="shared" si="312"/>
        <v>53.220575539565694</v>
      </c>
      <c r="F637" s="40">
        <f t="shared" si="313"/>
        <v>48.34</v>
      </c>
      <c r="G637" s="3">
        <f t="shared" si="314"/>
        <v>56.638848920868611</v>
      </c>
      <c r="H637" s="3">
        <f t="shared" si="315"/>
        <v>148.0155219248214</v>
      </c>
      <c r="I637">
        <f t="shared" si="300"/>
        <v>1.4801552192482141E-4</v>
      </c>
      <c r="J637" s="4">
        <f t="shared" si="316"/>
        <v>2229.1438186150417</v>
      </c>
      <c r="K637" s="40">
        <f t="shared" si="317"/>
        <v>15.060203076183097</v>
      </c>
      <c r="L637" s="40">
        <f t="shared" si="301"/>
        <v>0</v>
      </c>
      <c r="M637" s="10">
        <f t="shared" si="318"/>
        <v>0.75359518123439262</v>
      </c>
      <c r="N637" s="10">
        <f t="shared" si="297"/>
        <v>8.26</v>
      </c>
      <c r="O637" s="10">
        <f t="shared" si="298"/>
        <v>0.31900000000000001</v>
      </c>
      <c r="P637" s="10">
        <f t="shared" si="319"/>
        <v>7.5472216598398854</v>
      </c>
      <c r="Q637" s="45">
        <f t="shared" si="320"/>
        <v>2.1088957043124301</v>
      </c>
      <c r="R637" s="4">
        <f t="shared" si="321"/>
        <v>-22049.588671365778</v>
      </c>
      <c r="S637">
        <f t="shared" si="302"/>
        <v>-2.2049588671365778E-5</v>
      </c>
      <c r="T637" s="44">
        <f t="shared" si="303"/>
        <v>2.5791737430668117E-4</v>
      </c>
      <c r="U637" s="45">
        <f t="shared" si="322"/>
        <v>-3.9569089350199455E-2</v>
      </c>
      <c r="V637" s="45">
        <f t="shared" si="323"/>
        <v>0.10736316867200218</v>
      </c>
      <c r="W637" s="45">
        <f t="shared" si="324"/>
        <v>0.10790724582509607</v>
      </c>
      <c r="X637" s="45">
        <f t="shared" si="325"/>
        <v>-5.4407715309388871E-4</v>
      </c>
      <c r="Y637" s="45">
        <f t="shared" si="299"/>
        <v>5.1802930941844078E-4</v>
      </c>
      <c r="Z637" s="10">
        <f t="shared" si="326"/>
        <v>2.00850877460651</v>
      </c>
      <c r="AA637">
        <f t="shared" si="304"/>
        <v>750351.36481904588</v>
      </c>
      <c r="AB637" s="10">
        <f t="shared" si="305"/>
        <v>0.75035136481904585</v>
      </c>
      <c r="AC637" s="10">
        <f t="shared" si="306"/>
        <v>0.64935136481904587</v>
      </c>
      <c r="AD637" s="3">
        <f t="shared" si="307"/>
        <v>94.177137754756473</v>
      </c>
      <c r="AI637" s="100">
        <f t="shared" si="308"/>
        <v>0.10790724582509607</v>
      </c>
    </row>
    <row r="638" spans="2:35">
      <c r="B638" s="39">
        <f t="shared" si="309"/>
        <v>610</v>
      </c>
      <c r="C638" s="45">
        <f t="shared" si="310"/>
        <v>17.919664268584032</v>
      </c>
      <c r="D638" s="10">
        <f t="shared" si="311"/>
        <v>-2.4696642685838022</v>
      </c>
      <c r="E638" s="40">
        <f t="shared" si="312"/>
        <v>53.279328537167608</v>
      </c>
      <c r="F638" s="40">
        <f t="shared" si="313"/>
        <v>48.34</v>
      </c>
      <c r="G638" s="3">
        <f t="shared" si="314"/>
        <v>56.521342925664783</v>
      </c>
      <c r="H638" s="3">
        <f t="shared" si="315"/>
        <v>148.0155219248214</v>
      </c>
      <c r="I638">
        <f t="shared" si="300"/>
        <v>1.4801552192482141E-4</v>
      </c>
      <c r="J638" s="4">
        <f t="shared" si="316"/>
        <v>2234.0582030564437</v>
      </c>
      <c r="K638" s="40">
        <f t="shared" si="317"/>
        <v>15.093404894326859</v>
      </c>
      <c r="L638" s="40">
        <f t="shared" si="301"/>
        <v>0</v>
      </c>
      <c r="M638" s="10">
        <f t="shared" si="318"/>
        <v>0.75035136481904585</v>
      </c>
      <c r="N638" s="10">
        <f t="shared" si="297"/>
        <v>8.26</v>
      </c>
      <c r="O638" s="10">
        <f t="shared" si="298"/>
        <v>0.31900000000000001</v>
      </c>
      <c r="P638" s="10">
        <f t="shared" si="319"/>
        <v>7.5368431847976076</v>
      </c>
      <c r="Q638" s="45">
        <f t="shared" si="320"/>
        <v>2.1127934235671191</v>
      </c>
      <c r="R638" s="4">
        <f t="shared" si="321"/>
        <v>-22281.611019811407</v>
      </c>
      <c r="S638">
        <f t="shared" si="302"/>
        <v>-2.2281611019811406E-5</v>
      </c>
      <c r="T638" s="44">
        <f t="shared" si="303"/>
        <v>2.5814939665512682E-4</v>
      </c>
      <c r="U638" s="45">
        <f t="shared" si="322"/>
        <v>-3.9985465055602562E-2</v>
      </c>
      <c r="V638" s="45">
        <f t="shared" si="323"/>
        <v>0.10682547361568111</v>
      </c>
      <c r="W638" s="45">
        <f t="shared" si="324"/>
        <v>0.10737087763635124</v>
      </c>
      <c r="X638" s="45">
        <f t="shared" si="325"/>
        <v>-5.4540402067013161E-4</v>
      </c>
      <c r="Y638" s="45">
        <f t="shared" si="299"/>
        <v>5.1590347766549002E-4</v>
      </c>
      <c r="Z638" s="10">
        <f t="shared" si="326"/>
        <v>1.9984686555541644</v>
      </c>
      <c r="AA638">
        <f t="shared" si="304"/>
        <v>747105.39194005576</v>
      </c>
      <c r="AB638" s="10">
        <f t="shared" si="305"/>
        <v>0.74710539194005576</v>
      </c>
      <c r="AC638" s="10">
        <f t="shared" si="306"/>
        <v>0.64610539194005578</v>
      </c>
      <c r="AD638" s="3">
        <f t="shared" si="307"/>
        <v>93.706365763604893</v>
      </c>
      <c r="AI638" s="100">
        <f t="shared" si="308"/>
        <v>0.10737087763635124</v>
      </c>
    </row>
    <row r="639" spans="2:35">
      <c r="B639" s="39">
        <f t="shared" si="309"/>
        <v>611</v>
      </c>
      <c r="C639" s="45">
        <f t="shared" si="310"/>
        <v>17.949040767384989</v>
      </c>
      <c r="D639" s="10">
        <f t="shared" si="311"/>
        <v>-2.4990407673847592</v>
      </c>
      <c r="E639" s="40">
        <f t="shared" si="312"/>
        <v>53.338081534769522</v>
      </c>
      <c r="F639" s="40">
        <f t="shared" si="313"/>
        <v>48.34</v>
      </c>
      <c r="G639" s="3">
        <f t="shared" si="314"/>
        <v>56.403836930460955</v>
      </c>
      <c r="H639" s="3">
        <f t="shared" si="315"/>
        <v>148.0155219248214</v>
      </c>
      <c r="I639">
        <f t="shared" si="300"/>
        <v>1.4801552192482141E-4</v>
      </c>
      <c r="J639" s="4">
        <f t="shared" si="316"/>
        <v>2238.9780097528196</v>
      </c>
      <c r="K639" s="40">
        <f t="shared" si="317"/>
        <v>15.12664334548656</v>
      </c>
      <c r="L639" s="40">
        <f t="shared" si="301"/>
        <v>0</v>
      </c>
      <c r="M639" s="10">
        <f t="shared" si="318"/>
        <v>0.74710539194005576</v>
      </c>
      <c r="N639" s="10">
        <f t="shared" si="297"/>
        <v>8.26</v>
      </c>
      <c r="O639" s="10">
        <f t="shared" si="298"/>
        <v>0.31900000000000001</v>
      </c>
      <c r="P639" s="10">
        <f t="shared" si="319"/>
        <v>7.5264271802153626</v>
      </c>
      <c r="Q639" s="45">
        <f t="shared" si="320"/>
        <v>2.1166965369697412</v>
      </c>
      <c r="R639" s="4">
        <f t="shared" si="321"/>
        <v>-22512.784264973165</v>
      </c>
      <c r="S639">
        <f t="shared" si="302"/>
        <v>-2.2512784264973165E-5</v>
      </c>
      <c r="T639" s="44">
        <f t="shared" si="303"/>
        <v>2.5838056990028858E-4</v>
      </c>
      <c r="U639" s="45">
        <f t="shared" si="322"/>
        <v>-4.0400317002707589E-2</v>
      </c>
      <c r="V639" s="45">
        <f t="shared" si="323"/>
        <v>0.1062874439739115</v>
      </c>
      <c r="W639" s="45">
        <f t="shared" si="324"/>
        <v>0.10683415287425252</v>
      </c>
      <c r="X639" s="45">
        <f t="shared" si="325"/>
        <v>-5.4670890034101693E-4</v>
      </c>
      <c r="Y639" s="45">
        <f t="shared" si="299"/>
        <v>5.1376961082923612E-4</v>
      </c>
      <c r="Z639" s="10">
        <f t="shared" si="326"/>
        <v>1.988422004903482</v>
      </c>
      <c r="AA639">
        <f t="shared" si="304"/>
        <v>743857.30739376904</v>
      </c>
      <c r="AB639" s="10">
        <f t="shared" si="305"/>
        <v>0.74385730739376899</v>
      </c>
      <c r="AC639" s="10">
        <f t="shared" si="306"/>
        <v>0.64285730739376901</v>
      </c>
      <c r="AD639" s="3">
        <f t="shared" si="307"/>
        <v>93.235287511786666</v>
      </c>
      <c r="AI639" s="100">
        <f t="shared" si="308"/>
        <v>0.10683415287425252</v>
      </c>
    </row>
    <row r="640" spans="2:35">
      <c r="B640" s="39">
        <f t="shared" si="309"/>
        <v>612</v>
      </c>
      <c r="C640" s="45">
        <f t="shared" si="310"/>
        <v>17.978417266185946</v>
      </c>
      <c r="D640" s="10">
        <f t="shared" si="311"/>
        <v>-2.5284172661857163</v>
      </c>
      <c r="E640" s="40">
        <f t="shared" si="312"/>
        <v>53.396834532371436</v>
      </c>
      <c r="F640" s="40">
        <f t="shared" si="313"/>
        <v>48.34</v>
      </c>
      <c r="G640" s="3">
        <f t="shared" si="314"/>
        <v>56.286330935257126</v>
      </c>
      <c r="H640" s="3">
        <f t="shared" si="315"/>
        <v>148.0155219248214</v>
      </c>
      <c r="I640">
        <f t="shared" si="300"/>
        <v>1.4801552192482141E-4</v>
      </c>
      <c r="J640" s="4">
        <f t="shared" si="316"/>
        <v>2243.9032387041693</v>
      </c>
      <c r="K640" s="40">
        <f t="shared" si="317"/>
        <v>15.1599184296622</v>
      </c>
      <c r="L640" s="40">
        <f t="shared" si="301"/>
        <v>0</v>
      </c>
      <c r="M640" s="10">
        <f t="shared" si="318"/>
        <v>0.74385730739376899</v>
      </c>
      <c r="N640" s="10">
        <f t="shared" si="297"/>
        <v>8.26</v>
      </c>
      <c r="O640" s="10">
        <f t="shared" si="298"/>
        <v>0.31900000000000001</v>
      </c>
      <c r="P640" s="10">
        <f t="shared" si="319"/>
        <v>7.5159735050757943</v>
      </c>
      <c r="Q640" s="45">
        <f t="shared" si="320"/>
        <v>2.1206050790609448</v>
      </c>
      <c r="R640" s="4">
        <f t="shared" si="321"/>
        <v>-22743.106495408669</v>
      </c>
      <c r="S640">
        <f t="shared" si="302"/>
        <v>-2.2743106495408668E-5</v>
      </c>
      <c r="T640" s="44">
        <f t="shared" si="303"/>
        <v>2.586108921307241E-4</v>
      </c>
      <c r="U640" s="45">
        <f t="shared" si="322"/>
        <v>-4.0813641761335624E-2</v>
      </c>
      <c r="V640" s="45">
        <f t="shared" si="323"/>
        <v>0.10574908725129414</v>
      </c>
      <c r="W640" s="45">
        <f t="shared" si="324"/>
        <v>0.10629707894591936</v>
      </c>
      <c r="X640" s="45">
        <f t="shared" si="325"/>
        <v>-5.4799169462521613E-4</v>
      </c>
      <c r="Y640" s="45">
        <f t="shared" si="299"/>
        <v>5.1162776222516348E-4</v>
      </c>
      <c r="Z640" s="10">
        <f t="shared" si="326"/>
        <v>1.9783689619946208</v>
      </c>
      <c r="AA640">
        <f t="shared" si="304"/>
        <v>740607.15622889181</v>
      </c>
      <c r="AB640" s="10">
        <f t="shared" si="305"/>
        <v>0.74060715622889184</v>
      </c>
      <c r="AC640" s="10">
        <f t="shared" si="306"/>
        <v>0.63960715622889186</v>
      </c>
      <c r="AD640" s="3">
        <f t="shared" si="307"/>
        <v>92.763909532834205</v>
      </c>
      <c r="AI640" s="100">
        <f t="shared" si="308"/>
        <v>0.10629707894591936</v>
      </c>
    </row>
    <row r="641" spans="2:35">
      <c r="B641" s="39">
        <f t="shared" si="309"/>
        <v>613</v>
      </c>
      <c r="C641" s="45">
        <f t="shared" si="310"/>
        <v>18.007793764986904</v>
      </c>
      <c r="D641" s="10">
        <f t="shared" si="311"/>
        <v>-2.5577937649866733</v>
      </c>
      <c r="E641" s="40">
        <f t="shared" si="312"/>
        <v>53.45558752997335</v>
      </c>
      <c r="F641" s="40">
        <f t="shared" si="313"/>
        <v>48.34</v>
      </c>
      <c r="G641" s="3">
        <f t="shared" si="314"/>
        <v>56.168824940053298</v>
      </c>
      <c r="H641" s="3">
        <f t="shared" si="315"/>
        <v>148.0155219248214</v>
      </c>
      <c r="I641">
        <f t="shared" si="300"/>
        <v>1.4801552192482141E-4</v>
      </c>
      <c r="J641" s="4">
        <f t="shared" si="316"/>
        <v>2248.8338899104933</v>
      </c>
      <c r="K641" s="40">
        <f t="shared" si="317"/>
        <v>15.19323014685378</v>
      </c>
      <c r="L641" s="40">
        <f t="shared" si="301"/>
        <v>0</v>
      </c>
      <c r="M641" s="10">
        <f t="shared" si="318"/>
        <v>0.74060715622889184</v>
      </c>
      <c r="N641" s="10">
        <f t="shared" si="297"/>
        <v>8.26</v>
      </c>
      <c r="O641" s="10">
        <f t="shared" si="298"/>
        <v>0.31900000000000001</v>
      </c>
      <c r="P641" s="10">
        <f t="shared" si="319"/>
        <v>7.505482017332862</v>
      </c>
      <c r="Q641" s="45">
        <f t="shared" si="320"/>
        <v>2.124519084681519</v>
      </c>
      <c r="R641" s="4">
        <f t="shared" si="321"/>
        <v>-22972.575799675524</v>
      </c>
      <c r="S641">
        <f t="shared" si="302"/>
        <v>-2.2972575799675524E-5</v>
      </c>
      <c r="T641" s="44">
        <f t="shared" si="303"/>
        <v>2.5884036143499091E-4</v>
      </c>
      <c r="U641" s="45">
        <f t="shared" si="322"/>
        <v>-4.1225435901307707E-2</v>
      </c>
      <c r="V641" s="45">
        <f t="shared" si="323"/>
        <v>0.10521041099365376</v>
      </c>
      <c r="W641" s="45">
        <f t="shared" si="324"/>
        <v>0.10575966330019891</v>
      </c>
      <c r="X641" s="45">
        <f t="shared" si="325"/>
        <v>-5.4925230654515045E-4</v>
      </c>
      <c r="Y641" s="45">
        <f t="shared" si="299"/>
        <v>5.0947798561023247E-4</v>
      </c>
      <c r="Z641" s="10">
        <f t="shared" si="326"/>
        <v>1.9683096669535074</v>
      </c>
      <c r="AA641">
        <f t="shared" si="304"/>
        <v>737354.98374816962</v>
      </c>
      <c r="AB641" s="10">
        <f t="shared" si="305"/>
        <v>0.73735498374816966</v>
      </c>
      <c r="AC641" s="10">
        <f t="shared" si="306"/>
        <v>0.63635498374816968</v>
      </c>
      <c r="AD641" s="3">
        <f t="shared" si="307"/>
        <v>92.292238397123967</v>
      </c>
      <c r="AI641" s="100">
        <f t="shared" si="308"/>
        <v>0.10575966330019891</v>
      </c>
    </row>
    <row r="642" spans="2:35">
      <c r="B642" s="39">
        <f t="shared" si="309"/>
        <v>614</v>
      </c>
      <c r="C642" s="45">
        <f t="shared" si="310"/>
        <v>18.037170263787861</v>
      </c>
      <c r="D642" s="10">
        <f t="shared" si="311"/>
        <v>-2.5871702637876304</v>
      </c>
      <c r="E642" s="40">
        <f t="shared" si="312"/>
        <v>53.514340527575264</v>
      </c>
      <c r="F642" s="40">
        <f t="shared" si="313"/>
        <v>48.34</v>
      </c>
      <c r="G642" s="3">
        <f t="shared" si="314"/>
        <v>56.05131894484947</v>
      </c>
      <c r="H642" s="3">
        <f t="shared" si="315"/>
        <v>148.0155219248214</v>
      </c>
      <c r="I642">
        <f t="shared" si="300"/>
        <v>1.4801552192482141E-4</v>
      </c>
      <c r="J642" s="4">
        <f t="shared" si="316"/>
        <v>2253.7699633717912</v>
      </c>
      <c r="K642" s="40">
        <f t="shared" si="317"/>
        <v>15.226578497061302</v>
      </c>
      <c r="L642" s="40">
        <f t="shared" si="301"/>
        <v>0</v>
      </c>
      <c r="M642" s="10">
        <f t="shared" si="318"/>
        <v>0.73735498374816966</v>
      </c>
      <c r="N642" s="10">
        <f t="shared" si="297"/>
        <v>8.26</v>
      </c>
      <c r="O642" s="10">
        <f t="shared" si="298"/>
        <v>0.31900000000000001</v>
      </c>
      <c r="P642" s="10">
        <f t="shared" si="319"/>
        <v>7.4949525739025642</v>
      </c>
      <c r="Q642" s="45">
        <f t="shared" si="320"/>
        <v>2.1284385889760822</v>
      </c>
      <c r="R642" s="4">
        <f t="shared" si="321"/>
        <v>-23201.190266331319</v>
      </c>
      <c r="S642">
        <f t="shared" si="302"/>
        <v>-2.3201190266331319E-5</v>
      </c>
      <c r="T642" s="44">
        <f t="shared" si="303"/>
        <v>2.5906897590164671E-4</v>
      </c>
      <c r="U642" s="45">
        <f t="shared" si="322"/>
        <v>-4.163569599244487E-2</v>
      </c>
      <c r="V642" s="45">
        <f t="shared" si="323"/>
        <v>0.10467142278839645</v>
      </c>
      <c r="W642" s="45">
        <f t="shared" si="324"/>
        <v>0.10522191342794415</v>
      </c>
      <c r="X642" s="45">
        <f t="shared" si="325"/>
        <v>-5.5049063954770716E-4</v>
      </c>
      <c r="Y642" s="45">
        <f t="shared" si="299"/>
        <v>5.0732033518440835E-4</v>
      </c>
      <c r="Z642" s="10">
        <f t="shared" si="326"/>
        <v>1.9582442606983868</v>
      </c>
      <c r="AA642">
        <f t="shared" si="304"/>
        <v>734100.83551050443</v>
      </c>
      <c r="AB642" s="10">
        <f t="shared" si="305"/>
        <v>0.73410083551050442</v>
      </c>
      <c r="AC642" s="10">
        <f t="shared" si="306"/>
        <v>0.63310083551050444</v>
      </c>
      <c r="AD642" s="3">
        <f t="shared" si="307"/>
        <v>91.82028071218339</v>
      </c>
      <c r="AI642" s="100">
        <f t="shared" si="308"/>
        <v>0.10522191342794415</v>
      </c>
    </row>
    <row r="643" spans="2:35">
      <c r="B643" s="39">
        <f t="shared" si="309"/>
        <v>615</v>
      </c>
      <c r="C643" s="45">
        <f t="shared" si="310"/>
        <v>18.066546762588818</v>
      </c>
      <c r="D643" s="10">
        <f t="shared" si="311"/>
        <v>-2.6165467625885874</v>
      </c>
      <c r="E643" s="40">
        <f t="shared" si="312"/>
        <v>53.573093525177178</v>
      </c>
      <c r="F643" s="40">
        <f t="shared" si="313"/>
        <v>48.34</v>
      </c>
      <c r="G643" s="3">
        <f t="shared" si="314"/>
        <v>55.933812949645642</v>
      </c>
      <c r="H643" s="3">
        <f t="shared" si="315"/>
        <v>148.0155219248214</v>
      </c>
      <c r="I643">
        <f t="shared" si="300"/>
        <v>1.4801552192482141E-4</v>
      </c>
      <c r="J643" s="4">
        <f t="shared" si="316"/>
        <v>2258.7114590880628</v>
      </c>
      <c r="K643" s="40">
        <f t="shared" si="317"/>
        <v>15.25996348028476</v>
      </c>
      <c r="L643" s="40">
        <f t="shared" si="301"/>
        <v>0</v>
      </c>
      <c r="M643" s="10">
        <f t="shared" si="318"/>
        <v>0.73410083551050442</v>
      </c>
      <c r="N643" s="10">
        <f t="shared" si="297"/>
        <v>8.26</v>
      </c>
      <c r="O643" s="10">
        <f t="shared" si="298"/>
        <v>0.31900000000000001</v>
      </c>
      <c r="P643" s="10">
        <f t="shared" si="319"/>
        <v>7.4843850306549555</v>
      </c>
      <c r="Q643" s="45">
        <f t="shared" si="320"/>
        <v>2.1323636273968258</v>
      </c>
      <c r="R643" s="4">
        <f t="shared" si="321"/>
        <v>-23428.947983933642</v>
      </c>
      <c r="S643">
        <f t="shared" si="302"/>
        <v>-2.3428947983933642E-5</v>
      </c>
      <c r="T643" s="44">
        <f t="shared" si="303"/>
        <v>2.5929673361924907E-4</v>
      </c>
      <c r="U643" s="45">
        <f t="shared" si="322"/>
        <v>-4.2044418604568111E-2</v>
      </c>
      <c r="V643" s="45">
        <f t="shared" si="323"/>
        <v>0.10413213026480464</v>
      </c>
      <c r="W643" s="45">
        <f t="shared" si="324"/>
        <v>0.10468383686236353</v>
      </c>
      <c r="X643" s="45">
        <f t="shared" si="325"/>
        <v>-5.5170659755889029E-4</v>
      </c>
      <c r="Y643" s="45">
        <f t="shared" si="299"/>
        <v>5.0515486559201198E-4</v>
      </c>
      <c r="Z643" s="10">
        <f t="shared" si="326"/>
        <v>1.9481728849457109</v>
      </c>
      <c r="AA643">
        <f t="shared" si="304"/>
        <v>730844.7573328591</v>
      </c>
      <c r="AB643" s="10">
        <f t="shared" si="305"/>
        <v>0.73084475733285914</v>
      </c>
      <c r="AC643" s="10">
        <f t="shared" si="306"/>
        <v>0.62984475733285916</v>
      </c>
      <c r="AD643" s="3">
        <f t="shared" si="307"/>
        <v>91.348043122967255</v>
      </c>
      <c r="AI643" s="100">
        <f t="shared" si="308"/>
        <v>0.10468383686236353</v>
      </c>
    </row>
    <row r="644" spans="2:35">
      <c r="B644" s="39">
        <f t="shared" si="309"/>
        <v>616</v>
      </c>
      <c r="C644" s="45">
        <f t="shared" si="310"/>
        <v>18.095923261389775</v>
      </c>
      <c r="D644" s="10">
        <f t="shared" si="311"/>
        <v>-2.6459232613895445</v>
      </c>
      <c r="E644" s="40">
        <f t="shared" si="312"/>
        <v>53.631846522779092</v>
      </c>
      <c r="F644" s="40">
        <f t="shared" si="313"/>
        <v>48.34</v>
      </c>
      <c r="G644" s="3">
        <f t="shared" si="314"/>
        <v>55.816306954441814</v>
      </c>
      <c r="H644" s="3">
        <f t="shared" si="315"/>
        <v>148.0155219248214</v>
      </c>
      <c r="I644">
        <f t="shared" si="300"/>
        <v>1.4801552192482141E-4</v>
      </c>
      <c r="J644" s="4">
        <f t="shared" si="316"/>
        <v>2263.6583770593083</v>
      </c>
      <c r="K644" s="40">
        <f t="shared" si="317"/>
        <v>15.293385096524158</v>
      </c>
      <c r="L644" s="40">
        <f t="shared" si="301"/>
        <v>0</v>
      </c>
      <c r="M644" s="10">
        <f t="shared" si="318"/>
        <v>0.73084475733285914</v>
      </c>
      <c r="N644" s="10">
        <f t="shared" si="297"/>
        <v>8.26</v>
      </c>
      <c r="O644" s="10">
        <f t="shared" si="298"/>
        <v>0.31900000000000001</v>
      </c>
      <c r="P644" s="10">
        <f t="shared" si="319"/>
        <v>7.4737792424053238</v>
      </c>
      <c r="Q644" s="45">
        <f t="shared" si="320"/>
        <v>2.1362942357073149</v>
      </c>
      <c r="R644" s="4">
        <f t="shared" si="321"/>
        <v>-23655.847041040091</v>
      </c>
      <c r="S644">
        <f t="shared" si="302"/>
        <v>-2.3655847041040091E-5</v>
      </c>
      <c r="T644" s="44">
        <f t="shared" si="303"/>
        <v>2.5952363267635548E-4</v>
      </c>
      <c r="U644" s="45">
        <f t="shared" si="322"/>
        <v>-4.2451600307498491E-2</v>
      </c>
      <c r="V644" s="45">
        <f t="shared" si="323"/>
        <v>0.10359254109441267</v>
      </c>
      <c r="W644" s="45">
        <f t="shared" si="324"/>
        <v>0.10414544117933641</v>
      </c>
      <c r="X644" s="45">
        <f t="shared" si="325"/>
        <v>-5.5290008492374365E-4</v>
      </c>
      <c r="Y644" s="45">
        <f t="shared" si="299"/>
        <v>5.0298163192334059E-4</v>
      </c>
      <c r="Z644" s="10">
        <f t="shared" si="326"/>
        <v>1.9380956822170974</v>
      </c>
      <c r="AA644">
        <f t="shared" si="304"/>
        <v>727586.79529250634</v>
      </c>
      <c r="AB644" s="10">
        <f t="shared" si="305"/>
        <v>0.72758679529250636</v>
      </c>
      <c r="AC644" s="10">
        <f t="shared" si="306"/>
        <v>0.62658679529250638</v>
      </c>
      <c r="AD644" s="3">
        <f t="shared" si="307"/>
        <v>90.875532312183665</v>
      </c>
      <c r="AI644" s="100">
        <f t="shared" si="308"/>
        <v>0.10414544117933641</v>
      </c>
    </row>
    <row r="645" spans="2:35">
      <c r="B645" s="39">
        <f t="shared" si="309"/>
        <v>617</v>
      </c>
      <c r="C645" s="45">
        <f t="shared" si="310"/>
        <v>18.125299760190732</v>
      </c>
      <c r="D645" s="10">
        <f t="shared" si="311"/>
        <v>-2.6752997601905015</v>
      </c>
      <c r="E645" s="40">
        <f t="shared" si="312"/>
        <v>53.690599520381006</v>
      </c>
      <c r="F645" s="40">
        <f t="shared" si="313"/>
        <v>48.34</v>
      </c>
      <c r="G645" s="3">
        <f t="shared" si="314"/>
        <v>55.698800959237985</v>
      </c>
      <c r="H645" s="3">
        <f t="shared" si="315"/>
        <v>148.0155219248214</v>
      </c>
      <c r="I645">
        <f t="shared" si="300"/>
        <v>1.4801552192482141E-4</v>
      </c>
      <c r="J645" s="4">
        <f t="shared" si="316"/>
        <v>2268.6107172855282</v>
      </c>
      <c r="K645" s="40">
        <f t="shared" si="317"/>
        <v>15.326843345779498</v>
      </c>
      <c r="L645" s="40">
        <f t="shared" si="301"/>
        <v>0</v>
      </c>
      <c r="M645" s="10">
        <f t="shared" si="318"/>
        <v>0.72758679529250636</v>
      </c>
      <c r="N645" s="10">
        <f t="shared" si="297"/>
        <v>8.26</v>
      </c>
      <c r="O645" s="10">
        <f t="shared" si="298"/>
        <v>0.31900000000000001</v>
      </c>
      <c r="P645" s="10">
        <f t="shared" si="319"/>
        <v>7.4631350629063755</v>
      </c>
      <c r="Q645" s="45">
        <f t="shared" si="320"/>
        <v>2.1402304499863471</v>
      </c>
      <c r="R645" s="4">
        <f t="shared" si="321"/>
        <v>-23881.885526208302</v>
      </c>
      <c r="S645">
        <f t="shared" si="302"/>
        <v>-2.38818855262083E-5</v>
      </c>
      <c r="T645" s="44">
        <f t="shared" si="303"/>
        <v>2.5974967116152369E-4</v>
      </c>
      <c r="U645" s="45">
        <f t="shared" si="322"/>
        <v>-4.2857237671057105E-2</v>
      </c>
      <c r="V645" s="45">
        <f t="shared" si="323"/>
        <v>0.10305266299129041</v>
      </c>
      <c r="W645" s="45">
        <f t="shared" si="324"/>
        <v>0.10360673399778443</v>
      </c>
      <c r="X645" s="45">
        <f t="shared" si="325"/>
        <v>-5.5407100649401686E-4</v>
      </c>
      <c r="Y645" s="45">
        <f t="shared" si="299"/>
        <v>5.0080068971598108E-4</v>
      </c>
      <c r="Z645" s="10">
        <f t="shared" si="326"/>
        <v>1.9280127958451247</v>
      </c>
      <c r="AA645">
        <f t="shared" si="304"/>
        <v>724326.99572890298</v>
      </c>
      <c r="AB645" s="10">
        <f t="shared" si="305"/>
        <v>0.72432699572890302</v>
      </c>
      <c r="AC645" s="10">
        <f t="shared" si="306"/>
        <v>0.62332699572890304</v>
      </c>
      <c r="AD645" s="3">
        <f t="shared" si="307"/>
        <v>90.402755000566074</v>
      </c>
      <c r="AI645" s="100">
        <f t="shared" si="308"/>
        <v>0.10360673399778443</v>
      </c>
    </row>
    <row r="646" spans="2:35">
      <c r="B646" s="39">
        <f t="shared" si="309"/>
        <v>618</v>
      </c>
      <c r="C646" s="45">
        <f t="shared" si="310"/>
        <v>18.154676258991689</v>
      </c>
      <c r="D646" s="10">
        <f t="shared" si="311"/>
        <v>-2.7046762589914586</v>
      </c>
      <c r="E646" s="40">
        <f t="shared" si="312"/>
        <v>53.749352517982921</v>
      </c>
      <c r="F646" s="40">
        <f t="shared" si="313"/>
        <v>48.34</v>
      </c>
      <c r="G646" s="3">
        <f t="shared" si="314"/>
        <v>55.581294964034157</v>
      </c>
      <c r="H646" s="3">
        <f t="shared" si="315"/>
        <v>148.0155219248214</v>
      </c>
      <c r="I646">
        <f t="shared" si="300"/>
        <v>1.4801552192482141E-4</v>
      </c>
      <c r="J646" s="4">
        <f t="shared" si="316"/>
        <v>2273.5684797667213</v>
      </c>
      <c r="K646" s="40">
        <f t="shared" si="317"/>
        <v>15.360338228050772</v>
      </c>
      <c r="L646" s="40">
        <f t="shared" si="301"/>
        <v>0</v>
      </c>
      <c r="M646" s="10">
        <f t="shared" si="318"/>
        <v>0.72432699572890302</v>
      </c>
      <c r="N646" s="10">
        <f t="shared" si="297"/>
        <v>8.26</v>
      </c>
      <c r="O646" s="10">
        <f t="shared" si="298"/>
        <v>0.31900000000000001</v>
      </c>
      <c r="P646" s="10">
        <f t="shared" si="319"/>
        <v>7.4524523448390623</v>
      </c>
      <c r="Q646" s="45">
        <f t="shared" si="320"/>
        <v>2.1441723066318716</v>
      </c>
      <c r="R646" s="4">
        <f t="shared" si="321"/>
        <v>-24107.061527995837</v>
      </c>
      <c r="S646">
        <f t="shared" si="302"/>
        <v>-2.4107061527995838E-5</v>
      </c>
      <c r="T646" s="44">
        <f t="shared" si="303"/>
        <v>2.5997484716331124E-4</v>
      </c>
      <c r="U646" s="45">
        <f t="shared" si="322"/>
        <v>-4.3261327265064924E-2</v>
      </c>
      <c r="V646" s="45">
        <f t="shared" si="323"/>
        <v>0.10251250371233422</v>
      </c>
      <c r="W646" s="45">
        <f t="shared" si="324"/>
        <v>0.10306772297998174</v>
      </c>
      <c r="X646" s="45">
        <f t="shared" si="325"/>
        <v>-5.5521926764751095E-4</v>
      </c>
      <c r="Y646" s="45">
        <f t="shared" si="299"/>
        <v>4.9861209495608147E-4</v>
      </c>
      <c r="Z646" s="10">
        <f t="shared" si="326"/>
        <v>1.9179243699790036</v>
      </c>
      <c r="AA646">
        <f t="shared" si="304"/>
        <v>721065.40524552308</v>
      </c>
      <c r="AB646" s="10">
        <f t="shared" si="305"/>
        <v>0.72106540524552309</v>
      </c>
      <c r="AC646" s="10">
        <f t="shared" si="306"/>
        <v>0.62006540524552312</v>
      </c>
      <c r="AD646" s="3">
        <f t="shared" si="307"/>
        <v>89.929717947138954</v>
      </c>
      <c r="AI646" s="100">
        <f t="shared" si="308"/>
        <v>0.10306772297998174</v>
      </c>
    </row>
    <row r="647" spans="2:35">
      <c r="B647" s="39">
        <f t="shared" si="309"/>
        <v>619</v>
      </c>
      <c r="C647" s="45">
        <f t="shared" si="310"/>
        <v>18.184052757792646</v>
      </c>
      <c r="D647" s="10">
        <f t="shared" si="311"/>
        <v>-2.7340527577924156</v>
      </c>
      <c r="E647" s="40">
        <f t="shared" si="312"/>
        <v>53.808105515584835</v>
      </c>
      <c r="F647" s="40">
        <f t="shared" si="313"/>
        <v>48.34</v>
      </c>
      <c r="G647" s="3">
        <f t="shared" si="314"/>
        <v>55.463788968830329</v>
      </c>
      <c r="H647" s="3">
        <f t="shared" si="315"/>
        <v>148.0155219248214</v>
      </c>
      <c r="I647">
        <f t="shared" si="300"/>
        <v>1.4801552192482141E-4</v>
      </c>
      <c r="J647" s="4">
        <f t="shared" si="316"/>
        <v>2278.5316645028884</v>
      </c>
      <c r="K647" s="40">
        <f t="shared" si="317"/>
        <v>15.393869743337985</v>
      </c>
      <c r="L647" s="40">
        <f t="shared" si="301"/>
        <v>0</v>
      </c>
      <c r="M647" s="10">
        <f t="shared" si="318"/>
        <v>0.72106540524552309</v>
      </c>
      <c r="N647" s="10">
        <f t="shared" si="297"/>
        <v>8.26</v>
      </c>
      <c r="O647" s="10">
        <f t="shared" si="298"/>
        <v>0.31900000000000001</v>
      </c>
      <c r="P647" s="10">
        <f t="shared" si="319"/>
        <v>7.4417309398031284</v>
      </c>
      <c r="Q647" s="45">
        <f t="shared" si="320"/>
        <v>2.1481198423649674</v>
      </c>
      <c r="R647" s="4">
        <f t="shared" si="321"/>
        <v>-24331.373134960293</v>
      </c>
      <c r="S647">
        <f t="shared" si="302"/>
        <v>-2.4331373134960292E-5</v>
      </c>
      <c r="T647" s="44">
        <f t="shared" si="303"/>
        <v>2.601991587702757E-4</v>
      </c>
      <c r="U647" s="45">
        <f t="shared" si="322"/>
        <v>-4.3663865659342993E-2</v>
      </c>
      <c r="V647" s="45">
        <f t="shared" si="323"/>
        <v>0.10197207105770349</v>
      </c>
      <c r="W647" s="45">
        <f t="shared" si="324"/>
        <v>0.10252841583185791</v>
      </c>
      <c r="X647" s="45">
        <f t="shared" si="325"/>
        <v>-5.5634477415442141E-4</v>
      </c>
      <c r="Y647" s="45">
        <f t="shared" si="299"/>
        <v>4.9641590408018577E-4</v>
      </c>
      <c r="Z647" s="10">
        <f t="shared" si="326"/>
        <v>1.9078305495924404</v>
      </c>
      <c r="AA647">
        <f t="shared" si="304"/>
        <v>717802.07071240048</v>
      </c>
      <c r="AB647" s="10">
        <f t="shared" si="305"/>
        <v>0.71780207071240043</v>
      </c>
      <c r="AC647" s="10">
        <f t="shared" si="306"/>
        <v>0.61680207071240045</v>
      </c>
      <c r="AD647" s="3">
        <f t="shared" si="307"/>
        <v>89.456427949586725</v>
      </c>
      <c r="AI647" s="100">
        <f t="shared" si="308"/>
        <v>0.10252841583185791</v>
      </c>
    </row>
    <row r="648" spans="2:35">
      <c r="B648" s="39">
        <f t="shared" si="309"/>
        <v>620</v>
      </c>
      <c r="C648" s="45">
        <f t="shared" si="310"/>
        <v>18.213429256593603</v>
      </c>
      <c r="D648" s="10">
        <f t="shared" si="311"/>
        <v>-2.7634292565933727</v>
      </c>
      <c r="E648" s="40">
        <f t="shared" si="312"/>
        <v>53.866858513186749</v>
      </c>
      <c r="F648" s="40">
        <f t="shared" si="313"/>
        <v>48.34</v>
      </c>
      <c r="G648" s="3">
        <f t="shared" si="314"/>
        <v>55.346282973626501</v>
      </c>
      <c r="H648" s="3">
        <f t="shared" si="315"/>
        <v>148.0155219248214</v>
      </c>
      <c r="I648">
        <f t="shared" si="300"/>
        <v>1.4801552192482141E-4</v>
      </c>
      <c r="J648" s="4">
        <f t="shared" si="316"/>
        <v>2283.5002714940301</v>
      </c>
      <c r="K648" s="40">
        <f t="shared" si="317"/>
        <v>15.427437891641144</v>
      </c>
      <c r="L648" s="40">
        <f t="shared" si="301"/>
        <v>0</v>
      </c>
      <c r="M648" s="10">
        <f t="shared" si="318"/>
        <v>0.71780207071240043</v>
      </c>
      <c r="N648" s="10">
        <f t="shared" si="297"/>
        <v>8.26</v>
      </c>
      <c r="O648" s="10">
        <f t="shared" si="298"/>
        <v>0.31900000000000001</v>
      </c>
      <c r="P648" s="10">
        <f t="shared" si="319"/>
        <v>7.4309706983098529</v>
      </c>
      <c r="Q648" s="45">
        <f t="shared" si="320"/>
        <v>2.1520730942338839</v>
      </c>
      <c r="R648" s="4">
        <f t="shared" si="321"/>
        <v>-24554.818435659308</v>
      </c>
      <c r="S648">
        <f t="shared" si="302"/>
        <v>-2.4554818435659308E-5</v>
      </c>
      <c r="T648" s="44">
        <f t="shared" si="303"/>
        <v>2.6042260407097473E-4</v>
      </c>
      <c r="U648" s="45">
        <f t="shared" si="322"/>
        <v>-4.4064849423712409E-2</v>
      </c>
      <c r="V648" s="45">
        <f t="shared" si="323"/>
        <v>0.10143137287109358</v>
      </c>
      <c r="W648" s="45">
        <f t="shared" si="324"/>
        <v>0.10198882030341849</v>
      </c>
      <c r="X648" s="45">
        <f t="shared" si="325"/>
        <v>-5.5744743232491456E-4</v>
      </c>
      <c r="Y648" s="45">
        <f t="shared" si="299"/>
        <v>4.9421217397652465E-4</v>
      </c>
      <c r="Z648" s="10">
        <f t="shared" si="326"/>
        <v>1.8977314804894343</v>
      </c>
      <c r="AA648">
        <f t="shared" si="304"/>
        <v>714537.03926800296</v>
      </c>
      <c r="AB648" s="10">
        <f t="shared" si="305"/>
        <v>0.71453703926800294</v>
      </c>
      <c r="AC648" s="10">
        <f t="shared" si="306"/>
        <v>0.61353703926800296</v>
      </c>
      <c r="AD648" s="3">
        <f t="shared" si="307"/>
        <v>88.982891844525454</v>
      </c>
      <c r="AI648" s="100">
        <f t="shared" si="308"/>
        <v>0.10198882030341849</v>
      </c>
    </row>
    <row r="649" spans="2:35">
      <c r="B649" s="39">
        <f t="shared" si="309"/>
        <v>621</v>
      </c>
      <c r="C649" s="45">
        <f t="shared" si="310"/>
        <v>18.24280575539456</v>
      </c>
      <c r="D649" s="10">
        <f t="shared" si="311"/>
        <v>-2.7928057553943297</v>
      </c>
      <c r="E649" s="40">
        <f t="shared" si="312"/>
        <v>53.925611510788663</v>
      </c>
      <c r="F649" s="40">
        <f t="shared" si="313"/>
        <v>48.34</v>
      </c>
      <c r="G649" s="3">
        <f t="shared" si="314"/>
        <v>55.228776978422673</v>
      </c>
      <c r="H649" s="3">
        <f t="shared" si="315"/>
        <v>148.0155219248214</v>
      </c>
      <c r="I649">
        <f t="shared" si="300"/>
        <v>1.4801552192482141E-4</v>
      </c>
      <c r="J649" s="4">
        <f t="shared" si="316"/>
        <v>2288.4743007401453</v>
      </c>
      <c r="K649" s="40">
        <f t="shared" si="317"/>
        <v>15.461042672960238</v>
      </c>
      <c r="L649" s="40">
        <f t="shared" si="301"/>
        <v>0</v>
      </c>
      <c r="M649" s="10">
        <f t="shared" si="318"/>
        <v>0.71453703926800294</v>
      </c>
      <c r="N649" s="10">
        <f t="shared" si="297"/>
        <v>8.26</v>
      </c>
      <c r="O649" s="10">
        <f t="shared" si="298"/>
        <v>0.31900000000000001</v>
      </c>
      <c r="P649" s="10">
        <f t="shared" si="319"/>
        <v>7.4201714697724732</v>
      </c>
      <c r="Q649" s="45">
        <f t="shared" si="320"/>
        <v>2.1560320996181432</v>
      </c>
      <c r="R649" s="4">
        <f t="shared" si="321"/>
        <v>-24777.39551865045</v>
      </c>
      <c r="S649">
        <f t="shared" si="302"/>
        <v>-2.4777395518650451E-5</v>
      </c>
      <c r="T649" s="44">
        <f t="shared" si="303"/>
        <v>2.6064518115396585E-4</v>
      </c>
      <c r="U649" s="45">
        <f t="shared" si="322"/>
        <v>-4.4464275127994161E-2</v>
      </c>
      <c r="V649" s="45">
        <f t="shared" si="323"/>
        <v>0.10089041704005708</v>
      </c>
      <c r="W649" s="45">
        <f t="shared" si="324"/>
        <v>0.10144894418905485</v>
      </c>
      <c r="X649" s="45">
        <f t="shared" si="325"/>
        <v>-5.5852714899777556E-4</v>
      </c>
      <c r="Y649" s="45">
        <f t="shared" si="299"/>
        <v>4.920009619863875E-4</v>
      </c>
      <c r="Z649" s="10">
        <f t="shared" si="326"/>
        <v>1.8876273093104199</v>
      </c>
      <c r="AA649">
        <f t="shared" si="304"/>
        <v>711270.35832121759</v>
      </c>
      <c r="AB649" s="10">
        <f t="shared" si="305"/>
        <v>0.71127035832121754</v>
      </c>
      <c r="AC649" s="10">
        <f t="shared" si="306"/>
        <v>0.61027035832121757</v>
      </c>
      <c r="AD649" s="3">
        <f t="shared" si="307"/>
        <v>88.509116507790807</v>
      </c>
      <c r="AI649" s="100">
        <f t="shared" si="308"/>
        <v>0.10144894418905485</v>
      </c>
    </row>
    <row r="650" spans="2:35">
      <c r="B650" s="39">
        <f t="shared" si="309"/>
        <v>622</v>
      </c>
      <c r="C650" s="45">
        <f t="shared" si="310"/>
        <v>18.272182254195517</v>
      </c>
      <c r="D650" s="10">
        <f t="shared" si="311"/>
        <v>-2.8221822541952868</v>
      </c>
      <c r="E650" s="40">
        <f t="shared" si="312"/>
        <v>53.984364508390577</v>
      </c>
      <c r="F650" s="40">
        <f t="shared" si="313"/>
        <v>48.34</v>
      </c>
      <c r="G650" s="3">
        <f t="shared" si="314"/>
        <v>55.111270983218844</v>
      </c>
      <c r="H650" s="3">
        <f t="shared" si="315"/>
        <v>148.0155219248214</v>
      </c>
      <c r="I650">
        <f t="shared" si="300"/>
        <v>1.4801552192482141E-4</v>
      </c>
      <c r="J650" s="4">
        <f t="shared" si="316"/>
        <v>2293.4537522412338</v>
      </c>
      <c r="K650" s="40">
        <f t="shared" si="317"/>
        <v>15.494684087295267</v>
      </c>
      <c r="L650" s="40">
        <f t="shared" si="301"/>
        <v>0</v>
      </c>
      <c r="M650" s="10">
        <f t="shared" si="318"/>
        <v>0.71127035832121754</v>
      </c>
      <c r="N650" s="10">
        <f t="shared" si="297"/>
        <v>8.26</v>
      </c>
      <c r="O650" s="10">
        <f t="shared" si="298"/>
        <v>0.31900000000000001</v>
      </c>
      <c r="P650" s="10">
        <f t="shared" si="319"/>
        <v>7.4093331024968201</v>
      </c>
      <c r="Q650" s="45">
        <f t="shared" si="320"/>
        <v>2.1599968962327076</v>
      </c>
      <c r="R650" s="4">
        <f t="shared" si="321"/>
        <v>-24999.102472491304</v>
      </c>
      <c r="S650">
        <f t="shared" si="302"/>
        <v>-2.4999102472491303E-5</v>
      </c>
      <c r="T650" s="44">
        <f t="shared" si="303"/>
        <v>2.608668881078067E-4</v>
      </c>
      <c r="U650" s="45">
        <f t="shared" si="322"/>
        <v>-4.4862139342009263E-2</v>
      </c>
      <c r="V650" s="45">
        <f t="shared" si="323"/>
        <v>0.10034921149639221</v>
      </c>
      <c r="W650" s="45">
        <f t="shared" si="324"/>
        <v>0.10090879532787236</v>
      </c>
      <c r="X650" s="45">
        <f t="shared" si="325"/>
        <v>-5.5958383148015101E-4</v>
      </c>
      <c r="Y650" s="45">
        <f t="shared" si="299"/>
        <v>4.8978232590577006E-4</v>
      </c>
      <c r="Z650" s="10">
        <f t="shared" si="326"/>
        <v>1.8775181835394954</v>
      </c>
      <c r="AA650">
        <f t="shared" si="304"/>
        <v>708002.07555368857</v>
      </c>
      <c r="AB650" s="10">
        <f t="shared" si="305"/>
        <v>0.70800207555368855</v>
      </c>
      <c r="AC650" s="10">
        <f t="shared" si="306"/>
        <v>0.60700207555368857</v>
      </c>
      <c r="AD650" s="3">
        <f t="shared" si="307"/>
        <v>88.035108854777164</v>
      </c>
      <c r="AI650" s="100">
        <f t="shared" si="308"/>
        <v>0.10090879532787236</v>
      </c>
    </row>
    <row r="651" spans="2:35">
      <c r="B651" s="39">
        <f t="shared" si="309"/>
        <v>623</v>
      </c>
      <c r="C651" s="45">
        <f t="shared" si="310"/>
        <v>18.301558752996474</v>
      </c>
      <c r="D651" s="10">
        <f t="shared" si="311"/>
        <v>-2.8515587529962438</v>
      </c>
      <c r="E651" s="40">
        <f t="shared" si="312"/>
        <v>54.043117505992491</v>
      </c>
      <c r="F651" s="40">
        <f t="shared" si="313"/>
        <v>48.34</v>
      </c>
      <c r="G651" s="3">
        <f t="shared" si="314"/>
        <v>54.993764988015016</v>
      </c>
      <c r="H651" s="3">
        <f t="shared" si="315"/>
        <v>148.0155219248214</v>
      </c>
      <c r="I651">
        <f t="shared" si="300"/>
        <v>1.4801552192482141E-4</v>
      </c>
      <c r="J651" s="4">
        <f t="shared" si="316"/>
        <v>2298.4386259972971</v>
      </c>
      <c r="K651" s="40">
        <f t="shared" si="317"/>
        <v>15.52836213464624</v>
      </c>
      <c r="L651" s="40">
        <f t="shared" si="301"/>
        <v>0</v>
      </c>
      <c r="M651" s="10">
        <f t="shared" si="318"/>
        <v>0.70800207555368855</v>
      </c>
      <c r="N651" s="10">
        <f t="shared" si="297"/>
        <v>8.26</v>
      </c>
      <c r="O651" s="10">
        <f t="shared" si="298"/>
        <v>0.31900000000000001</v>
      </c>
      <c r="P651" s="10">
        <f t="shared" si="319"/>
        <v>7.3984554436729884</v>
      </c>
      <c r="Q651" s="45">
        <f t="shared" si="320"/>
        <v>2.1639675221322094</v>
      </c>
      <c r="R651" s="4">
        <f t="shared" si="321"/>
        <v>-25219.9373857395</v>
      </c>
      <c r="S651">
        <f t="shared" si="302"/>
        <v>-2.5219937385739499E-5</v>
      </c>
      <c r="T651" s="44">
        <f t="shared" si="303"/>
        <v>2.6108772302105494E-4</v>
      </c>
      <c r="U651" s="45">
        <f t="shared" si="322"/>
        <v>-4.5258438635578817E-2</v>
      </c>
      <c r="V651" s="45">
        <f t="shared" si="323"/>
        <v>9.9807764216537351E-2</v>
      </c>
      <c r="W651" s="45">
        <f t="shared" si="324"/>
        <v>0.10036838160407717</v>
      </c>
      <c r="X651" s="45">
        <f t="shared" si="325"/>
        <v>-5.6061738753981905E-4</v>
      </c>
      <c r="Y651" s="45">
        <f t="shared" si="299"/>
        <v>4.8755632398709338E-4</v>
      </c>
      <c r="Z651" s="10">
        <f t="shared" si="326"/>
        <v>1.8674042515119538</v>
      </c>
      <c r="AA651">
        <f t="shared" si="304"/>
        <v>704732.23892225139</v>
      </c>
      <c r="AB651" s="10">
        <f t="shared" si="305"/>
        <v>0.70473223892225134</v>
      </c>
      <c r="AC651" s="10">
        <f t="shared" si="306"/>
        <v>0.60373223892225136</v>
      </c>
      <c r="AD651" s="3">
        <f t="shared" si="307"/>
        <v>87.560875840790629</v>
      </c>
      <c r="AI651" s="100">
        <f t="shared" si="308"/>
        <v>0.10036838160407717</v>
      </c>
    </row>
    <row r="652" spans="2:35">
      <c r="B652" s="39">
        <f t="shared" si="309"/>
        <v>624</v>
      </c>
      <c r="C652" s="45">
        <f t="shared" si="310"/>
        <v>18.330935251797431</v>
      </c>
      <c r="D652" s="10">
        <f t="shared" si="311"/>
        <v>-2.8809352517972009</v>
      </c>
      <c r="E652" s="40">
        <f t="shared" si="312"/>
        <v>54.101870503594405</v>
      </c>
      <c r="F652" s="40">
        <f t="shared" si="313"/>
        <v>48.34</v>
      </c>
      <c r="G652" s="3">
        <f t="shared" si="314"/>
        <v>54.876258992811188</v>
      </c>
      <c r="H652" s="3">
        <f t="shared" si="315"/>
        <v>148.0155219248214</v>
      </c>
      <c r="I652">
        <f t="shared" si="300"/>
        <v>1.4801552192482141E-4</v>
      </c>
      <c r="J652" s="4">
        <f t="shared" si="316"/>
        <v>2303.4289220083338</v>
      </c>
      <c r="K652" s="40">
        <f t="shared" si="317"/>
        <v>15.56207681501315</v>
      </c>
      <c r="L652" s="40">
        <f t="shared" si="301"/>
        <v>0</v>
      </c>
      <c r="M652" s="10">
        <f t="shared" si="318"/>
        <v>0.70473223892225134</v>
      </c>
      <c r="N652" s="10">
        <f t="shared" si="297"/>
        <v>8.26</v>
      </c>
      <c r="O652" s="10">
        <f t="shared" si="298"/>
        <v>0.31900000000000001</v>
      </c>
      <c r="P652" s="10">
        <f t="shared" si="319"/>
        <v>7.3875383393672012</v>
      </c>
      <c r="Q652" s="45">
        <f t="shared" si="320"/>
        <v>2.1679440157152499</v>
      </c>
      <c r="R652" s="4">
        <f t="shared" si="321"/>
        <v>-25439.898346952628</v>
      </c>
      <c r="S652">
        <f t="shared" si="302"/>
        <v>-2.5439898346952628E-5</v>
      </c>
      <c r="T652" s="44">
        <f t="shared" si="303"/>
        <v>2.6130768398226802E-4</v>
      </c>
      <c r="U652" s="45">
        <f t="shared" si="322"/>
        <v>-4.5653169578523833E-2</v>
      </c>
      <c r="V652" s="45">
        <f t="shared" si="323"/>
        <v>9.926608322179313E-2</v>
      </c>
      <c r="W652" s="45">
        <f t="shared" si="324"/>
        <v>9.9827710947378481E-2</v>
      </c>
      <c r="X652" s="45">
        <f t="shared" si="325"/>
        <v>-5.6162772558535079E-4</v>
      </c>
      <c r="Y652" s="45">
        <f t="shared" si="299"/>
        <v>4.8532301494024567E-4</v>
      </c>
      <c r="Z652" s="10">
        <f t="shared" si="326"/>
        <v>1.857285662419246</v>
      </c>
      <c r="AA652">
        <f t="shared" si="304"/>
        <v>701460.89666053781</v>
      </c>
      <c r="AB652" s="10">
        <f t="shared" si="305"/>
        <v>0.70146089666053779</v>
      </c>
      <c r="AC652" s="10">
        <f t="shared" si="306"/>
        <v>0.60046089666053781</v>
      </c>
      <c r="AD652" s="3">
        <f t="shared" si="307"/>
        <v>87.086424461281766</v>
      </c>
      <c r="AI652" s="100">
        <f t="shared" si="308"/>
        <v>9.9827710947378481E-2</v>
      </c>
    </row>
    <row r="653" spans="2:35">
      <c r="B653" s="39">
        <f t="shared" si="309"/>
        <v>625</v>
      </c>
      <c r="C653" s="45">
        <f t="shared" si="310"/>
        <v>18.360311750598388</v>
      </c>
      <c r="D653" s="10">
        <f t="shared" si="311"/>
        <v>-2.9103117505981579</v>
      </c>
      <c r="E653" s="40">
        <f t="shared" si="312"/>
        <v>54.160623501196319</v>
      </c>
      <c r="F653" s="40">
        <f t="shared" si="313"/>
        <v>48.34</v>
      </c>
      <c r="G653" s="3">
        <f t="shared" si="314"/>
        <v>54.75875299760736</v>
      </c>
      <c r="H653" s="3">
        <f t="shared" si="315"/>
        <v>148.0155219248214</v>
      </c>
      <c r="I653">
        <f t="shared" si="300"/>
        <v>1.4801552192482141E-4</v>
      </c>
      <c r="J653" s="4">
        <f t="shared" si="316"/>
        <v>2308.4246402743447</v>
      </c>
      <c r="K653" s="40">
        <f t="shared" si="317"/>
        <v>15.595828128396002</v>
      </c>
      <c r="L653" s="40">
        <f t="shared" si="301"/>
        <v>0</v>
      </c>
      <c r="M653" s="10">
        <f t="shared" si="318"/>
        <v>0.70146089666053779</v>
      </c>
      <c r="N653" s="10">
        <f t="shared" si="297"/>
        <v>8.26</v>
      </c>
      <c r="O653" s="10">
        <f t="shared" si="298"/>
        <v>0.31900000000000001</v>
      </c>
      <c r="P653" s="10">
        <f t="shared" si="319"/>
        <v>7.3765816345107682</v>
      </c>
      <c r="Q653" s="45">
        <f t="shared" si="320"/>
        <v>2.171926415728763</v>
      </c>
      <c r="R653" s="4">
        <f t="shared" si="321"/>
        <v>-25658.9834446883</v>
      </c>
      <c r="S653">
        <f t="shared" si="302"/>
        <v>-2.5658983444688299E-5</v>
      </c>
      <c r="T653" s="44">
        <f t="shared" si="303"/>
        <v>2.6152676908000372E-4</v>
      </c>
      <c r="U653" s="45">
        <f t="shared" si="322"/>
        <v>-4.6046328740665381E-2</v>
      </c>
      <c r="V653" s="45">
        <f t="shared" si="323"/>
        <v>9.8724176578815395E-2</v>
      </c>
      <c r="W653" s="45">
        <f t="shared" si="324"/>
        <v>9.9286791333254076E-2</v>
      </c>
      <c r="X653" s="45">
        <f t="shared" si="325"/>
        <v>-5.6261475443868114E-4</v>
      </c>
      <c r="Y653" s="45">
        <f t="shared" si="299"/>
        <v>4.8308245793456637E-4</v>
      </c>
      <c r="Z653" s="10">
        <f t="shared" si="326"/>
        <v>1.8471625663175859</v>
      </c>
      <c r="AA653">
        <f t="shared" si="304"/>
        <v>698188.09728175739</v>
      </c>
      <c r="AB653" s="10">
        <f t="shared" si="305"/>
        <v>0.69818809728175735</v>
      </c>
      <c r="AC653" s="10">
        <f t="shared" si="306"/>
        <v>0.59718809728175737</v>
      </c>
      <c r="AD653" s="3">
        <f t="shared" si="307"/>
        <v>86.61176175224908</v>
      </c>
      <c r="AI653" s="100">
        <f t="shared" si="308"/>
        <v>9.9286791333254076E-2</v>
      </c>
    </row>
    <row r="654" spans="2:35">
      <c r="B654" s="39">
        <f t="shared" si="309"/>
        <v>626</v>
      </c>
      <c r="C654" s="45">
        <f t="shared" si="310"/>
        <v>18.389688249399345</v>
      </c>
      <c r="D654" s="10">
        <f t="shared" si="311"/>
        <v>-2.939688249399115</v>
      </c>
      <c r="E654" s="40">
        <f t="shared" si="312"/>
        <v>54.219376498798233</v>
      </c>
      <c r="F654" s="40">
        <f t="shared" si="313"/>
        <v>48.34</v>
      </c>
      <c r="G654" s="3">
        <f t="shared" si="314"/>
        <v>54.641247002403531</v>
      </c>
      <c r="H654" s="3">
        <f t="shared" si="315"/>
        <v>148.0155219248214</v>
      </c>
      <c r="I654">
        <f t="shared" si="300"/>
        <v>1.4801552192482141E-4</v>
      </c>
      <c r="J654" s="4">
        <f t="shared" si="316"/>
        <v>2313.4257807953295</v>
      </c>
      <c r="K654" s="40">
        <f t="shared" si="317"/>
        <v>15.629616074794791</v>
      </c>
      <c r="L654" s="40">
        <f t="shared" si="301"/>
        <v>0</v>
      </c>
      <c r="M654" s="10">
        <f t="shared" si="318"/>
        <v>0.69818809728175735</v>
      </c>
      <c r="N654" s="10">
        <f t="shared" si="297"/>
        <v>8.26</v>
      </c>
      <c r="O654" s="10">
        <f t="shared" si="298"/>
        <v>0.31900000000000001</v>
      </c>
      <c r="P654" s="10">
        <f t="shared" si="319"/>
        <v>7.365585172892831</v>
      </c>
      <c r="Q654" s="45">
        <f t="shared" si="320"/>
        <v>2.1759147612724505</v>
      </c>
      <c r="R654" s="4">
        <f t="shared" si="321"/>
        <v>-25877.190767504086</v>
      </c>
      <c r="S654">
        <f t="shared" si="302"/>
        <v>-2.5877190767504085E-5</v>
      </c>
      <c r="T654" s="44">
        <f t="shared" si="303"/>
        <v>2.617449764028195E-4</v>
      </c>
      <c r="U654" s="45">
        <f t="shared" si="322"/>
        <v>-4.643791269182445E-2</v>
      </c>
      <c r="V654" s="45">
        <f t="shared" si="323"/>
        <v>9.8182052399857625E-2</v>
      </c>
      <c r="W654" s="45">
        <f t="shared" si="324"/>
        <v>9.8745630783410171E-2</v>
      </c>
      <c r="X654" s="45">
        <f t="shared" si="325"/>
        <v>-5.6357838355254597E-4</v>
      </c>
      <c r="Y654" s="45">
        <f t="shared" si="299"/>
        <v>4.8083471260000594E-4</v>
      </c>
      <c r="Z654" s="10">
        <f t="shared" si="326"/>
        <v>1.8370351141334318</v>
      </c>
      <c r="AA654">
        <f t="shared" si="304"/>
        <v>694913.88958046993</v>
      </c>
      <c r="AB654" s="10">
        <f t="shared" si="305"/>
        <v>0.69491388958046996</v>
      </c>
      <c r="AC654" s="10">
        <f t="shared" si="306"/>
        <v>0.59391388958046998</v>
      </c>
      <c r="AD654" s="3">
        <f t="shared" si="307"/>
        <v>86.136894790496001</v>
      </c>
      <c r="AI654" s="100">
        <f t="shared" si="308"/>
        <v>9.8745630783410171E-2</v>
      </c>
    </row>
    <row r="655" spans="2:35">
      <c r="B655" s="39">
        <f t="shared" si="309"/>
        <v>627</v>
      </c>
      <c r="C655" s="45">
        <f t="shared" si="310"/>
        <v>18.419064748200302</v>
      </c>
      <c r="D655" s="10">
        <f t="shared" si="311"/>
        <v>-2.969064748200072</v>
      </c>
      <c r="E655" s="40">
        <f t="shared" si="312"/>
        <v>54.278129496400148</v>
      </c>
      <c r="F655" s="40">
        <f t="shared" si="313"/>
        <v>48.34</v>
      </c>
      <c r="G655" s="3">
        <f t="shared" si="314"/>
        <v>54.523741007199703</v>
      </c>
      <c r="H655" s="3">
        <f t="shared" si="315"/>
        <v>148.0155219248214</v>
      </c>
      <c r="I655">
        <f t="shared" si="300"/>
        <v>1.4801552192482141E-4</v>
      </c>
      <c r="J655" s="4">
        <f t="shared" si="316"/>
        <v>2318.4323435712877</v>
      </c>
      <c r="K655" s="40">
        <f t="shared" si="317"/>
        <v>15.663440654209518</v>
      </c>
      <c r="L655" s="40">
        <f t="shared" si="301"/>
        <v>0</v>
      </c>
      <c r="M655" s="10">
        <f t="shared" si="318"/>
        <v>0.69491388958046996</v>
      </c>
      <c r="N655" s="10">
        <f t="shared" si="297"/>
        <v>8.26</v>
      </c>
      <c r="O655" s="10">
        <f t="shared" si="298"/>
        <v>0.31900000000000001</v>
      </c>
      <c r="P655" s="10">
        <f t="shared" si="319"/>
        <v>7.3545487971495973</v>
      </c>
      <c r="Q655" s="45">
        <f t="shared" si="320"/>
        <v>2.179909091803284</v>
      </c>
      <c r="R655" s="4">
        <f t="shared" si="321"/>
        <v>-26094.518403957583</v>
      </c>
      <c r="S655">
        <f t="shared" si="302"/>
        <v>-2.6094518403957583E-5</v>
      </c>
      <c r="T655" s="44">
        <f t="shared" si="303"/>
        <v>2.61962304039273E-4</v>
      </c>
      <c r="U655" s="45">
        <f t="shared" si="322"/>
        <v>-4.682791800182208E-2</v>
      </c>
      <c r="V655" s="45">
        <f t="shared" si="323"/>
        <v>9.7639718843261419E-2</v>
      </c>
      <c r="W655" s="45">
        <f t="shared" si="324"/>
        <v>9.8204237366074559E-2</v>
      </c>
      <c r="X655" s="45">
        <f t="shared" si="325"/>
        <v>-5.6451852281313997E-4</v>
      </c>
      <c r="Y655" s="45">
        <f t="shared" si="299"/>
        <v>4.7857983902911244E-4</v>
      </c>
      <c r="Z655" s="10">
        <f t="shared" si="326"/>
        <v>1.8269034576721559</v>
      </c>
      <c r="AA655">
        <f t="shared" si="304"/>
        <v>691638.32263538847</v>
      </c>
      <c r="AB655" s="10">
        <f t="shared" si="305"/>
        <v>0.69163832263538849</v>
      </c>
      <c r="AC655" s="10">
        <f t="shared" si="306"/>
        <v>0.59063832263538851</v>
      </c>
      <c r="AD655" s="3">
        <f t="shared" si="307"/>
        <v>85.661830694037491</v>
      </c>
      <c r="AI655" s="100">
        <f t="shared" si="308"/>
        <v>9.8204237366074559E-2</v>
      </c>
    </row>
    <row r="656" spans="2:35">
      <c r="B656" s="39">
        <f t="shared" si="309"/>
        <v>628</v>
      </c>
      <c r="C656" s="45">
        <f t="shared" si="310"/>
        <v>18.448441247001259</v>
      </c>
      <c r="D656" s="10">
        <f t="shared" si="311"/>
        <v>-2.9984412470010291</v>
      </c>
      <c r="E656" s="40">
        <f t="shared" si="312"/>
        <v>54.336882494002062</v>
      </c>
      <c r="F656" s="40">
        <f t="shared" si="313"/>
        <v>48.34</v>
      </c>
      <c r="G656" s="3">
        <f t="shared" si="314"/>
        <v>54.406235011995875</v>
      </c>
      <c r="H656" s="3">
        <f t="shared" si="315"/>
        <v>148.0155219248214</v>
      </c>
      <c r="I656">
        <f t="shared" si="300"/>
        <v>1.4801552192482141E-4</v>
      </c>
      <c r="J656" s="4">
        <f t="shared" si="316"/>
        <v>2323.4443286022206</v>
      </c>
      <c r="K656" s="40">
        <f t="shared" si="317"/>
        <v>15.697301866640188</v>
      </c>
      <c r="L656" s="40">
        <f t="shared" si="301"/>
        <v>0</v>
      </c>
      <c r="M656" s="10">
        <f t="shared" si="318"/>
        <v>0.69163832263538849</v>
      </c>
      <c r="N656" s="10">
        <f t="shared" si="297"/>
        <v>8.26</v>
      </c>
      <c r="O656" s="10">
        <f t="shared" si="298"/>
        <v>0.31900000000000001</v>
      </c>
      <c r="P656" s="10">
        <f t="shared" si="319"/>
        <v>7.3434723487568876</v>
      </c>
      <c r="Q656" s="45">
        <f t="shared" si="320"/>
        <v>2.1839094471400791</v>
      </c>
      <c r="R656" s="4">
        <f t="shared" si="321"/>
        <v>-26310.964442606437</v>
      </c>
      <c r="S656">
        <f t="shared" si="302"/>
        <v>-2.6310964442606435E-5</v>
      </c>
      <c r="T656" s="44">
        <f t="shared" si="303"/>
        <v>2.6217875007792182E-4</v>
      </c>
      <c r="U656" s="45">
        <f t="shared" si="322"/>
        <v>-4.7216341240479381E-2</v>
      </c>
      <c r="V656" s="45">
        <f t="shared" si="323"/>
        <v>9.7097184113771148E-2</v>
      </c>
      <c r="W656" s="45">
        <f t="shared" si="324"/>
        <v>9.7662619196459979E-2</v>
      </c>
      <c r="X656" s="45">
        <f t="shared" si="325"/>
        <v>-5.6543508268883103E-4</v>
      </c>
      <c r="Y656" s="45">
        <f t="shared" si="299"/>
        <v>4.7631789777846699E-4</v>
      </c>
      <c r="Z656" s="10">
        <f t="shared" si="326"/>
        <v>1.8167677496246402</v>
      </c>
      <c r="AA656">
        <f t="shared" si="304"/>
        <v>688361.44581151137</v>
      </c>
      <c r="AB656" s="10">
        <f t="shared" si="305"/>
        <v>0.68836144581151137</v>
      </c>
      <c r="AC656" s="10">
        <f t="shared" si="306"/>
        <v>0.5873614458115114</v>
      </c>
      <c r="AD656" s="3">
        <f t="shared" si="307"/>
        <v>85.186576622409191</v>
      </c>
      <c r="AI656" s="100">
        <f t="shared" si="308"/>
        <v>9.7662619196459979E-2</v>
      </c>
    </row>
    <row r="657" spans="2:35">
      <c r="B657" s="39">
        <f t="shared" si="309"/>
        <v>629</v>
      </c>
      <c r="C657" s="45">
        <f t="shared" si="310"/>
        <v>18.477817745802216</v>
      </c>
      <c r="D657" s="10">
        <f t="shared" si="311"/>
        <v>-3.0278177458019861</v>
      </c>
      <c r="E657" s="40">
        <f t="shared" si="312"/>
        <v>54.395635491603976</v>
      </c>
      <c r="F657" s="40">
        <f t="shared" si="313"/>
        <v>48.34</v>
      </c>
      <c r="G657" s="3">
        <f t="shared" si="314"/>
        <v>54.288729016792047</v>
      </c>
      <c r="H657" s="3">
        <f t="shared" si="315"/>
        <v>148.0155219248214</v>
      </c>
      <c r="I657">
        <f t="shared" si="300"/>
        <v>1.4801552192482141E-4</v>
      </c>
      <c r="J657" s="4">
        <f t="shared" si="316"/>
        <v>2328.4617358881269</v>
      </c>
      <c r="K657" s="40">
        <f t="shared" si="317"/>
        <v>15.731199712086793</v>
      </c>
      <c r="L657" s="40">
        <f t="shared" si="301"/>
        <v>0</v>
      </c>
      <c r="M657" s="10">
        <f t="shared" si="318"/>
        <v>0.68836144581151137</v>
      </c>
      <c r="N657" s="10">
        <f t="shared" si="297"/>
        <v>8.26</v>
      </c>
      <c r="O657" s="10">
        <f t="shared" si="298"/>
        <v>0.31900000000000001</v>
      </c>
      <c r="P657" s="10">
        <f t="shared" si="319"/>
        <v>7.3323556680203055</v>
      </c>
      <c r="Q657" s="45">
        <f t="shared" si="320"/>
        <v>2.1879158674681438</v>
      </c>
      <c r="R657" s="4">
        <f t="shared" si="321"/>
        <v>-26526.526972008203</v>
      </c>
      <c r="S657">
        <f t="shared" si="302"/>
        <v>-2.6526526972008202E-5</v>
      </c>
      <c r="T657" s="44">
        <f t="shared" si="303"/>
        <v>2.6239431260732359E-4</v>
      </c>
      <c r="U657" s="45">
        <f t="shared" si="322"/>
        <v>-4.7603178977617316E-2</v>
      </c>
      <c r="V657" s="45">
        <f t="shared" si="323"/>
        <v>9.6554456462832436E-2</v>
      </c>
      <c r="W657" s="45">
        <f t="shared" si="324"/>
        <v>9.7120784437116803E-2</v>
      </c>
      <c r="X657" s="45">
        <f t="shared" si="325"/>
        <v>-5.6632797428436688E-4</v>
      </c>
      <c r="Y657" s="45">
        <f t="shared" si="299"/>
        <v>4.7404894986994238E-4</v>
      </c>
      <c r="Z657" s="10">
        <f t="shared" si="326"/>
        <v>1.8066281435732283</v>
      </c>
      <c r="AA657">
        <f t="shared" si="304"/>
        <v>685083.30876204709</v>
      </c>
      <c r="AB657" s="10">
        <f t="shared" si="305"/>
        <v>0.68508330876204704</v>
      </c>
      <c r="AC657" s="10">
        <f t="shared" si="306"/>
        <v>0.58408330876204706</v>
      </c>
      <c r="AD657" s="3">
        <f t="shared" si="307"/>
        <v>84.711139776946638</v>
      </c>
      <c r="AI657" s="100">
        <f t="shared" si="308"/>
        <v>9.7120784437116803E-2</v>
      </c>
    </row>
    <row r="658" spans="2:35">
      <c r="B658" s="39">
        <f t="shared" si="309"/>
        <v>630</v>
      </c>
      <c r="C658" s="45">
        <f t="shared" si="310"/>
        <v>18.507194244603173</v>
      </c>
      <c r="D658" s="10">
        <f t="shared" si="311"/>
        <v>-3.0571942446029432</v>
      </c>
      <c r="E658" s="40">
        <f t="shared" si="312"/>
        <v>54.45438848920589</v>
      </c>
      <c r="F658" s="40">
        <f t="shared" si="313"/>
        <v>48.34</v>
      </c>
      <c r="G658" s="3">
        <f t="shared" si="314"/>
        <v>54.171223021588219</v>
      </c>
      <c r="H658" s="3">
        <f t="shared" si="315"/>
        <v>148.0155219248214</v>
      </c>
      <c r="I658">
        <f t="shared" si="300"/>
        <v>1.4801552192482141E-4</v>
      </c>
      <c r="J658" s="4">
        <f t="shared" si="316"/>
        <v>2333.484565429007</v>
      </c>
      <c r="K658" s="40">
        <f t="shared" si="317"/>
        <v>15.765134190549338</v>
      </c>
      <c r="L658" s="40">
        <f t="shared" si="301"/>
        <v>0</v>
      </c>
      <c r="M658" s="10">
        <f t="shared" si="318"/>
        <v>0.68508330876204704</v>
      </c>
      <c r="N658" s="10">
        <f t="shared" si="297"/>
        <v>8.26</v>
      </c>
      <c r="O658" s="10">
        <f t="shared" si="298"/>
        <v>0.31900000000000001</v>
      </c>
      <c r="P658" s="10">
        <f t="shared" si="319"/>
        <v>7.3211985940645494</v>
      </c>
      <c r="Q658" s="45">
        <f t="shared" si="320"/>
        <v>2.191928393343999</v>
      </c>
      <c r="R658" s="4">
        <f t="shared" si="321"/>
        <v>-26741.204080720479</v>
      </c>
      <c r="S658">
        <f t="shared" si="302"/>
        <v>-2.674120408072048E-5</v>
      </c>
      <c r="T658" s="44">
        <f t="shared" si="303"/>
        <v>2.6260898971603591E-4</v>
      </c>
      <c r="U658" s="45">
        <f t="shared" si="322"/>
        <v>-4.7988427783056932E-2</v>
      </c>
      <c r="V658" s="45">
        <f t="shared" si="323"/>
        <v>9.6011544189108927E-2</v>
      </c>
      <c r="W658" s="45">
        <f t="shared" si="324"/>
        <v>9.65787412982511E-2</v>
      </c>
      <c r="X658" s="45">
        <f t="shared" si="325"/>
        <v>-5.6719710914217292E-4</v>
      </c>
      <c r="Y658" s="45">
        <f t="shared" si="299"/>
        <v>4.7177305679279913E-4</v>
      </c>
      <c r="Z658" s="10">
        <f t="shared" si="326"/>
        <v>1.7964847940009072</v>
      </c>
      <c r="AA658">
        <f t="shared" si="304"/>
        <v>681803.96143138187</v>
      </c>
      <c r="AB658" s="10">
        <f t="shared" si="305"/>
        <v>0.68180396143138189</v>
      </c>
      <c r="AC658" s="10">
        <f t="shared" si="306"/>
        <v>0.58080396143138191</v>
      </c>
      <c r="AD658" s="3">
        <f t="shared" si="307"/>
        <v>84.235527401215649</v>
      </c>
      <c r="AI658" s="100">
        <f t="shared" si="308"/>
        <v>9.65787412982511E-2</v>
      </c>
    </row>
    <row r="659" spans="2:35">
      <c r="B659" s="39">
        <f t="shared" si="309"/>
        <v>631</v>
      </c>
      <c r="C659" s="45">
        <f t="shared" si="310"/>
        <v>18.53657074340413</v>
      </c>
      <c r="D659" s="10">
        <f t="shared" si="311"/>
        <v>-3.0865707434039003</v>
      </c>
      <c r="E659" s="40">
        <f t="shared" si="312"/>
        <v>54.513141486807804</v>
      </c>
      <c r="F659" s="40">
        <f t="shared" si="313"/>
        <v>48.34</v>
      </c>
      <c r="G659" s="3">
        <f t="shared" si="314"/>
        <v>54.05371702638439</v>
      </c>
      <c r="H659" s="3">
        <f t="shared" si="315"/>
        <v>148.0155219248214</v>
      </c>
      <c r="I659">
        <f t="shared" si="300"/>
        <v>1.4801552192482141E-4</v>
      </c>
      <c r="J659" s="4">
        <f t="shared" si="316"/>
        <v>2338.5128172248615</v>
      </c>
      <c r="K659" s="40">
        <f t="shared" si="317"/>
        <v>15.799105302027824</v>
      </c>
      <c r="L659" s="40">
        <f t="shared" si="301"/>
        <v>0</v>
      </c>
      <c r="M659" s="10">
        <f t="shared" si="318"/>
        <v>0.68180396143138189</v>
      </c>
      <c r="N659" s="10">
        <f t="shared" si="297"/>
        <v>8.26</v>
      </c>
      <c r="O659" s="10">
        <f t="shared" si="298"/>
        <v>0.31900000000000001</v>
      </c>
      <c r="P659" s="10">
        <f t="shared" si="319"/>
        <v>7.3100009648261155</v>
      </c>
      <c r="Q659" s="45">
        <f t="shared" si="320"/>
        <v>2.1959470657001736</v>
      </c>
      <c r="R659" s="4">
        <f t="shared" si="321"/>
        <v>-26954.993857300909</v>
      </c>
      <c r="S659">
        <f t="shared" si="302"/>
        <v>-2.695499385730091E-5</v>
      </c>
      <c r="T659" s="44">
        <f t="shared" si="303"/>
        <v>2.628227794926163E-4</v>
      </c>
      <c r="U659" s="45">
        <f t="shared" si="322"/>
        <v>-4.8372084226619344E-2</v>
      </c>
      <c r="V659" s="45">
        <f t="shared" si="323"/>
        <v>9.5468455638821476E-2</v>
      </c>
      <c r="W659" s="45">
        <f t="shared" si="324"/>
        <v>9.6036498038215665E-2</v>
      </c>
      <c r="X659" s="45">
        <f t="shared" si="325"/>
        <v>-5.680423993941891E-4</v>
      </c>
      <c r="Y659" s="45">
        <f t="shared" si="299"/>
        <v>4.6949028050521859E-4</v>
      </c>
      <c r="Z659" s="10">
        <f t="shared" si="326"/>
        <v>1.7863378562983669</v>
      </c>
      <c r="AA659">
        <f t="shared" si="304"/>
        <v>678523.45405736298</v>
      </c>
      <c r="AB659" s="10">
        <f t="shared" si="305"/>
        <v>0.67852345405736303</v>
      </c>
      <c r="AC659" s="10">
        <f t="shared" si="306"/>
        <v>0.57752345405736305</v>
      </c>
      <c r="AD659" s="3">
        <f t="shared" si="307"/>
        <v>83.759746781343452</v>
      </c>
      <c r="AI659" s="100">
        <f t="shared" si="308"/>
        <v>9.6036498038215665E-2</v>
      </c>
    </row>
    <row r="660" spans="2:35">
      <c r="B660" s="39">
        <f t="shared" si="309"/>
        <v>632</v>
      </c>
      <c r="C660" s="45">
        <f t="shared" si="310"/>
        <v>18.565947242205088</v>
      </c>
      <c r="D660" s="10">
        <f t="shared" si="311"/>
        <v>-3.1159472422048573</v>
      </c>
      <c r="E660" s="40">
        <f t="shared" si="312"/>
        <v>54.571894484409718</v>
      </c>
      <c r="F660" s="40">
        <f t="shared" si="313"/>
        <v>48.34</v>
      </c>
      <c r="G660" s="3">
        <f t="shared" si="314"/>
        <v>53.936211031180562</v>
      </c>
      <c r="H660" s="3">
        <f t="shared" si="315"/>
        <v>148.0155219248214</v>
      </c>
      <c r="I660">
        <f t="shared" si="300"/>
        <v>1.4801552192482141E-4</v>
      </c>
      <c r="J660" s="4">
        <f t="shared" si="316"/>
        <v>2343.5464912756897</v>
      </c>
      <c r="K660" s="40">
        <f t="shared" si="317"/>
        <v>15.83311304652225</v>
      </c>
      <c r="L660" s="40">
        <f t="shared" si="301"/>
        <v>0</v>
      </c>
      <c r="M660" s="10">
        <f t="shared" si="318"/>
        <v>0.67852345405736303</v>
      </c>
      <c r="N660" s="10">
        <f t="shared" si="297"/>
        <v>8.26</v>
      </c>
      <c r="O660" s="10">
        <f t="shared" si="298"/>
        <v>0.31900000000000001</v>
      </c>
      <c r="P660" s="10">
        <f t="shared" si="319"/>
        <v>7.2987626170435611</v>
      </c>
      <c r="Q660" s="45">
        <f t="shared" si="320"/>
        <v>2.1999719258500789</v>
      </c>
      <c r="R660" s="4">
        <f t="shared" si="321"/>
        <v>-27167.89439030705</v>
      </c>
      <c r="S660">
        <f t="shared" si="302"/>
        <v>-2.7167894390307051E-5</v>
      </c>
      <c r="T660" s="44">
        <f t="shared" si="303"/>
        <v>2.6303568002562246E-4</v>
      </c>
      <c r="U660" s="45">
        <f t="shared" si="322"/>
        <v>-4.8754144878125516E-2</v>
      </c>
      <c r="V660" s="45">
        <f t="shared" si="323"/>
        <v>9.4925199206029209E-2</v>
      </c>
      <c r="W660" s="45">
        <f t="shared" si="324"/>
        <v>9.5494062963887197E-2</v>
      </c>
      <c r="X660" s="45">
        <f t="shared" si="325"/>
        <v>-5.6886375785798748E-4</v>
      </c>
      <c r="Y660" s="45">
        <f t="shared" si="299"/>
        <v>4.6720068343549057E-4</v>
      </c>
      <c r="Z660" s="10">
        <f t="shared" si="326"/>
        <v>1.7761874867697807</v>
      </c>
      <c r="AA660">
        <f t="shared" si="304"/>
        <v>675241.83717316668</v>
      </c>
      <c r="AB660" s="10">
        <f t="shared" si="305"/>
        <v>0.67524183717316666</v>
      </c>
      <c r="AC660" s="10">
        <f t="shared" si="306"/>
        <v>0.57424183717316668</v>
      </c>
      <c r="AD660" s="3">
        <f t="shared" si="307"/>
        <v>83.283805246289589</v>
      </c>
      <c r="AI660" s="100">
        <f t="shared" si="308"/>
        <v>9.5494062963887197E-2</v>
      </c>
    </row>
    <row r="661" spans="2:35">
      <c r="B661" s="39">
        <f t="shared" si="309"/>
        <v>633</v>
      </c>
      <c r="C661" s="45">
        <f t="shared" si="310"/>
        <v>18.595323741006045</v>
      </c>
      <c r="D661" s="10">
        <f t="shared" si="311"/>
        <v>-3.1453237410058144</v>
      </c>
      <c r="E661" s="40">
        <f t="shared" si="312"/>
        <v>54.630647482011632</v>
      </c>
      <c r="F661" s="40">
        <f t="shared" si="313"/>
        <v>48.34</v>
      </c>
      <c r="G661" s="3">
        <f t="shared" si="314"/>
        <v>53.818705035976734</v>
      </c>
      <c r="H661" s="3">
        <f t="shared" si="315"/>
        <v>148.0155219248214</v>
      </c>
      <c r="I661">
        <f t="shared" si="300"/>
        <v>1.4801552192482141E-4</v>
      </c>
      <c r="J661" s="4">
        <f t="shared" si="316"/>
        <v>2348.5855875814918</v>
      </c>
      <c r="K661" s="40">
        <f t="shared" si="317"/>
        <v>15.867157424032612</v>
      </c>
      <c r="L661" s="40">
        <f t="shared" si="301"/>
        <v>0</v>
      </c>
      <c r="M661" s="10">
        <f t="shared" si="318"/>
        <v>0.67524183717316666</v>
      </c>
      <c r="N661" s="10">
        <f t="shared" si="297"/>
        <v>8.26</v>
      </c>
      <c r="O661" s="10">
        <f t="shared" si="298"/>
        <v>0.31900000000000001</v>
      </c>
      <c r="P661" s="10">
        <f t="shared" si="319"/>
        <v>7.2874833862461807</v>
      </c>
      <c r="Q661" s="45">
        <f t="shared" si="320"/>
        <v>2.2040030154929591</v>
      </c>
      <c r="R661" s="4">
        <f t="shared" si="321"/>
        <v>-27379.903768296503</v>
      </c>
      <c r="S661">
        <f t="shared" si="302"/>
        <v>-2.7379903768296502E-5</v>
      </c>
      <c r="T661" s="44">
        <f t="shared" si="303"/>
        <v>2.6324768940361192E-4</v>
      </c>
      <c r="U661" s="45">
        <f t="shared" si="322"/>
        <v>-4.9134606307396481E-2</v>
      </c>
      <c r="V661" s="45">
        <f t="shared" si="323"/>
        <v>9.43817833331866E-2</v>
      </c>
      <c r="W661" s="45">
        <f t="shared" si="324"/>
        <v>9.4951444430975321E-2</v>
      </c>
      <c r="X661" s="45">
        <f t="shared" si="325"/>
        <v>-5.6966109778872065E-4</v>
      </c>
      <c r="Y661" s="45">
        <f t="shared" si="299"/>
        <v>4.6490432848424272E-4</v>
      </c>
      <c r="Z661" s="10">
        <f t="shared" si="326"/>
        <v>1.7660338426425859</v>
      </c>
      <c r="AA661">
        <f t="shared" si="304"/>
        <v>671959.16161046096</v>
      </c>
      <c r="AB661" s="10">
        <f t="shared" si="305"/>
        <v>0.67195916161046099</v>
      </c>
      <c r="AC661" s="10">
        <f t="shared" si="306"/>
        <v>0.57095916161046101</v>
      </c>
      <c r="AD661" s="3">
        <f t="shared" si="307"/>
        <v>82.807710168304709</v>
      </c>
      <c r="AI661" s="100">
        <f t="shared" si="308"/>
        <v>9.4951444430975321E-2</v>
      </c>
    </row>
    <row r="662" spans="2:35">
      <c r="B662" s="39">
        <f t="shared" si="309"/>
        <v>634</v>
      </c>
      <c r="C662" s="45">
        <f t="shared" si="310"/>
        <v>18.624700239807002</v>
      </c>
      <c r="D662" s="10">
        <f t="shared" si="311"/>
        <v>-3.1747002398067714</v>
      </c>
      <c r="E662" s="40">
        <f t="shared" si="312"/>
        <v>54.689400479613546</v>
      </c>
      <c r="F662" s="40">
        <f t="shared" si="313"/>
        <v>48.34</v>
      </c>
      <c r="G662" s="3">
        <f t="shared" si="314"/>
        <v>53.701199040772906</v>
      </c>
      <c r="H662" s="3">
        <f t="shared" si="315"/>
        <v>148.0155219248214</v>
      </c>
      <c r="I662">
        <f t="shared" si="300"/>
        <v>1.4801552192482141E-4</v>
      </c>
      <c r="J662" s="4">
        <f t="shared" si="316"/>
        <v>2353.6301061422678</v>
      </c>
      <c r="K662" s="40">
        <f t="shared" si="317"/>
        <v>15.901238434558914</v>
      </c>
      <c r="L662" s="40">
        <f t="shared" si="301"/>
        <v>0</v>
      </c>
      <c r="M662" s="10">
        <f t="shared" si="318"/>
        <v>0.67195916161046099</v>
      </c>
      <c r="N662" s="10">
        <f t="shared" si="297"/>
        <v>8.26</v>
      </c>
      <c r="O662" s="10">
        <f t="shared" si="298"/>
        <v>0.31900000000000001</v>
      </c>
      <c r="P662" s="10">
        <f t="shared" si="319"/>
        <v>7.276163106746993</v>
      </c>
      <c r="Q662" s="45">
        <f t="shared" si="320"/>
        <v>2.2080403767189214</v>
      </c>
      <c r="R662" s="4">
        <f t="shared" si="321"/>
        <v>-27591.020079826878</v>
      </c>
      <c r="S662">
        <f t="shared" si="302"/>
        <v>-2.7591020079826877E-5</v>
      </c>
      <c r="T662" s="44">
        <f t="shared" si="303"/>
        <v>2.6345880571514228E-4</v>
      </c>
      <c r="U662" s="45">
        <f t="shared" si="322"/>
        <v>-4.9513465084253326E-2</v>
      </c>
      <c r="V662" s="45">
        <f t="shared" si="323"/>
        <v>9.3838216511464845E-2</v>
      </c>
      <c r="W662" s="45">
        <f t="shared" si="324"/>
        <v>9.4408650844545666E-2</v>
      </c>
      <c r="X662" s="45">
        <f t="shared" si="325"/>
        <v>-5.7043433308082148E-4</v>
      </c>
      <c r="Y662" s="45">
        <f t="shared" si="299"/>
        <v>4.6260127902590453E-4</v>
      </c>
      <c r="Z662" s="10">
        <f t="shared" si="326"/>
        <v>1.7558770820743781</v>
      </c>
      <c r="AA662">
        <f t="shared" si="304"/>
        <v>668675.47850163409</v>
      </c>
      <c r="AB662" s="10">
        <f t="shared" si="305"/>
        <v>0.66867547850163411</v>
      </c>
      <c r="AC662" s="10">
        <f t="shared" si="306"/>
        <v>0.56767547850163413</v>
      </c>
      <c r="AD662" s="3">
        <f t="shared" si="307"/>
        <v>82.33146896325367</v>
      </c>
      <c r="AI662" s="100">
        <f t="shared" si="308"/>
        <v>9.4408650844545666E-2</v>
      </c>
    </row>
    <row r="663" spans="2:35">
      <c r="B663" s="39">
        <f t="shared" si="309"/>
        <v>635</v>
      </c>
      <c r="C663" s="45">
        <f t="shared" si="310"/>
        <v>18.654076738607959</v>
      </c>
      <c r="D663" s="10">
        <f t="shared" si="311"/>
        <v>-3.2040767386077285</v>
      </c>
      <c r="E663" s="40">
        <f t="shared" si="312"/>
        <v>54.74815347721546</v>
      </c>
      <c r="F663" s="40">
        <f t="shared" si="313"/>
        <v>48.34</v>
      </c>
      <c r="G663" s="3">
        <f t="shared" si="314"/>
        <v>53.583693045569078</v>
      </c>
      <c r="H663" s="3">
        <f t="shared" si="315"/>
        <v>148.0155219248214</v>
      </c>
      <c r="I663">
        <f t="shared" si="300"/>
        <v>1.4801552192482141E-4</v>
      </c>
      <c r="J663" s="4">
        <f t="shared" si="316"/>
        <v>2358.6800469580176</v>
      </c>
      <c r="K663" s="40">
        <f t="shared" si="317"/>
        <v>15.935356078101156</v>
      </c>
      <c r="L663" s="40">
        <f t="shared" si="301"/>
        <v>0</v>
      </c>
      <c r="M663" s="10">
        <f t="shared" si="318"/>
        <v>0.66867547850163411</v>
      </c>
      <c r="N663" s="10">
        <f t="shared" si="297"/>
        <v>8.26</v>
      </c>
      <c r="O663" s="10">
        <f t="shared" si="298"/>
        <v>0.31900000000000001</v>
      </c>
      <c r="P663" s="10">
        <f t="shared" si="319"/>
        <v>7.2648016116323797</v>
      </c>
      <c r="Q663" s="45">
        <f t="shared" si="320"/>
        <v>2.2120840520140486</v>
      </c>
      <c r="R663" s="4">
        <f t="shared" si="321"/>
        <v>-27801.241413455788</v>
      </c>
      <c r="S663">
        <f t="shared" si="302"/>
        <v>-2.7801241413455789E-5</v>
      </c>
      <c r="T663" s="44">
        <f t="shared" si="303"/>
        <v>2.6366902704877122E-4</v>
      </c>
      <c r="U663" s="45">
        <f t="shared" si="322"/>
        <v>-4.9890717778517078E-2</v>
      </c>
      <c r="V663" s="45">
        <f t="shared" si="323"/>
        <v>9.3294507281126288E-2</v>
      </c>
      <c r="W663" s="45">
        <f t="shared" si="324"/>
        <v>9.3865690659388171E-2</v>
      </c>
      <c r="X663" s="45">
        <f t="shared" si="325"/>
        <v>-5.7118337826188303E-4</v>
      </c>
      <c r="Y663" s="45">
        <f t="shared" si="299"/>
        <v>4.6029159891023969E-4</v>
      </c>
      <c r="Z663" s="10">
        <f t="shared" si="326"/>
        <v>1.7457173641601027</v>
      </c>
      <c r="AA663">
        <f t="shared" si="304"/>
        <v>665390.83928211976</v>
      </c>
      <c r="AB663" s="10">
        <f t="shared" si="305"/>
        <v>0.66539083928211973</v>
      </c>
      <c r="AC663" s="10">
        <f t="shared" si="306"/>
        <v>0.56439083928211975</v>
      </c>
      <c r="AD663" s="3">
        <f t="shared" si="307"/>
        <v>81.855089090952831</v>
      </c>
      <c r="AI663" s="100">
        <f t="shared" si="308"/>
        <v>9.3865690659388171E-2</v>
      </c>
    </row>
    <row r="664" spans="2:35">
      <c r="B664" s="39">
        <f t="shared" si="309"/>
        <v>636</v>
      </c>
      <c r="C664" s="45">
        <f t="shared" si="310"/>
        <v>18.683453237408916</v>
      </c>
      <c r="D664" s="10">
        <f t="shared" si="311"/>
        <v>-3.2334532374086855</v>
      </c>
      <c r="E664" s="40">
        <f t="shared" si="312"/>
        <v>54.806906474817374</v>
      </c>
      <c r="F664" s="40">
        <f t="shared" si="313"/>
        <v>48.34</v>
      </c>
      <c r="G664" s="3">
        <f t="shared" si="314"/>
        <v>53.466187050365249</v>
      </c>
      <c r="H664" s="3">
        <f t="shared" si="315"/>
        <v>148.0155219248214</v>
      </c>
      <c r="I664">
        <f t="shared" si="300"/>
        <v>1.4801552192482141E-4</v>
      </c>
      <c r="J664" s="4">
        <f t="shared" si="316"/>
        <v>2363.7354100287416</v>
      </c>
      <c r="K664" s="40">
        <f t="shared" si="317"/>
        <v>15.969510354659338</v>
      </c>
      <c r="L664" s="40">
        <f t="shared" si="301"/>
        <v>0</v>
      </c>
      <c r="M664" s="10">
        <f t="shared" si="318"/>
        <v>0.66539083928211973</v>
      </c>
      <c r="N664" s="10">
        <f t="shared" si="297"/>
        <v>8.26</v>
      </c>
      <c r="O664" s="10">
        <f t="shared" si="298"/>
        <v>0.31900000000000001</v>
      </c>
      <c r="P664" s="10">
        <f t="shared" si="319"/>
        <v>7.2533987327519149</v>
      </c>
      <c r="Q664" s="45">
        <f t="shared" si="320"/>
        <v>2.216134084265593</v>
      </c>
      <c r="R664" s="4">
        <f t="shared" si="321"/>
        <v>-28010.565857740818</v>
      </c>
      <c r="S664">
        <f t="shared" si="302"/>
        <v>-2.8010565857740816E-5</v>
      </c>
      <c r="T664" s="44">
        <f t="shared" si="303"/>
        <v>2.6387835149305623E-4</v>
      </c>
      <c r="U664" s="45">
        <f t="shared" si="322"/>
        <v>-5.0266360960008777E-2</v>
      </c>
      <c r="V664" s="45">
        <f t="shared" si="323"/>
        <v>9.2750664231982693E-2</v>
      </c>
      <c r="W664" s="45">
        <f t="shared" si="324"/>
        <v>9.332257238040173E-2</v>
      </c>
      <c r="X664" s="45">
        <f t="shared" si="325"/>
        <v>-5.7190814841903692E-4</v>
      </c>
      <c r="Y664" s="45">
        <f t="shared" si="299"/>
        <v>4.5797535246422155E-4</v>
      </c>
      <c r="Z664" s="10">
        <f t="shared" si="326"/>
        <v>1.7355548489405841</v>
      </c>
      <c r="AA664">
        <f t="shared" si="304"/>
        <v>662105.29569315456</v>
      </c>
      <c r="AB664" s="10">
        <f t="shared" si="305"/>
        <v>0.66210529569315457</v>
      </c>
      <c r="AC664" s="10">
        <f t="shared" si="306"/>
        <v>0.56110529569315459</v>
      </c>
      <c r="AD664" s="3">
        <f t="shared" si="307"/>
        <v>81.378578055569918</v>
      </c>
      <c r="AI664" s="100">
        <f t="shared" si="308"/>
        <v>9.332257238040173E-2</v>
      </c>
    </row>
    <row r="665" spans="2:35">
      <c r="B665" s="39">
        <f t="shared" si="309"/>
        <v>637</v>
      </c>
      <c r="C665" s="45">
        <f t="shared" si="310"/>
        <v>18.712829736209873</v>
      </c>
      <c r="D665" s="10">
        <f t="shared" si="311"/>
        <v>-3.2628297362096426</v>
      </c>
      <c r="E665" s="40">
        <f t="shared" si="312"/>
        <v>54.865659472419289</v>
      </c>
      <c r="F665" s="40">
        <f t="shared" si="313"/>
        <v>48.34</v>
      </c>
      <c r="G665" s="3">
        <f t="shared" si="314"/>
        <v>53.348681055161421</v>
      </c>
      <c r="H665" s="3">
        <f t="shared" si="315"/>
        <v>148.0155219248214</v>
      </c>
      <c r="I665">
        <f t="shared" si="300"/>
        <v>1.4801552192482141E-4</v>
      </c>
      <c r="J665" s="4">
        <f t="shared" si="316"/>
        <v>2368.7961953544391</v>
      </c>
      <c r="K665" s="40">
        <f t="shared" si="317"/>
        <v>16.003701264233456</v>
      </c>
      <c r="L665" s="40">
        <f t="shared" si="301"/>
        <v>0</v>
      </c>
      <c r="M665" s="10">
        <f t="shared" si="318"/>
        <v>0.66210529569315457</v>
      </c>
      <c r="N665" s="10">
        <f t="shared" si="297"/>
        <v>8.26</v>
      </c>
      <c r="O665" s="10">
        <f t="shared" si="298"/>
        <v>0.31900000000000001</v>
      </c>
      <c r="P665" s="10">
        <f t="shared" si="319"/>
        <v>7.2419543007095522</v>
      </c>
      <c r="Q665" s="45">
        <f t="shared" si="320"/>
        <v>2.2201905167672562</v>
      </c>
      <c r="R665" s="4">
        <f t="shared" si="321"/>
        <v>-28218.991501239558</v>
      </c>
      <c r="S665">
        <f t="shared" si="302"/>
        <v>-2.8218991501239557E-5</v>
      </c>
      <c r="T665" s="44">
        <f t="shared" si="303"/>
        <v>2.6408677713655494E-4</v>
      </c>
      <c r="U665" s="45">
        <f t="shared" si="322"/>
        <v>-5.0640391198549441E-2</v>
      </c>
      <c r="V665" s="45">
        <f t="shared" si="323"/>
        <v>9.2206696003768018E-2</v>
      </c>
      <c r="W665" s="45">
        <f t="shared" si="324"/>
        <v>9.2779304563049891E-2</v>
      </c>
      <c r="X665" s="45">
        <f t="shared" si="325"/>
        <v>-5.7260855928187304E-4</v>
      </c>
      <c r="Y665" s="45">
        <f t="shared" si="299"/>
        <v>4.5565260449362E-4</v>
      </c>
      <c r="Z665" s="10">
        <f t="shared" si="326"/>
        <v>1.72538969740999</v>
      </c>
      <c r="AA665">
        <f t="shared" si="304"/>
        <v>658818.89978419128</v>
      </c>
      <c r="AB665" s="10">
        <f t="shared" si="305"/>
        <v>0.65881889978419128</v>
      </c>
      <c r="AC665" s="10">
        <f t="shared" si="306"/>
        <v>0.5578188997841913</v>
      </c>
      <c r="AD665" s="3">
        <f t="shared" si="307"/>
        <v>80.90194340597408</v>
      </c>
      <c r="AI665" s="100">
        <f t="shared" si="308"/>
        <v>9.2779304563049891E-2</v>
      </c>
    </row>
    <row r="666" spans="2:35">
      <c r="B666" s="39">
        <f t="shared" si="309"/>
        <v>638</v>
      </c>
      <c r="C666" s="45">
        <f t="shared" si="310"/>
        <v>18.74220623501083</v>
      </c>
      <c r="D666" s="10">
        <f t="shared" si="311"/>
        <v>-3.2922062350105996</v>
      </c>
      <c r="E666" s="40">
        <f t="shared" si="312"/>
        <v>54.924412470021203</v>
      </c>
      <c r="F666" s="40">
        <f t="shared" si="313"/>
        <v>48.34</v>
      </c>
      <c r="G666" s="3">
        <f t="shared" si="314"/>
        <v>53.231175059957593</v>
      </c>
      <c r="H666" s="3">
        <f t="shared" si="315"/>
        <v>148.0155219248214</v>
      </c>
      <c r="I666">
        <f t="shared" si="300"/>
        <v>1.4801552192482141E-4</v>
      </c>
      <c r="J666" s="4">
        <f t="shared" si="316"/>
        <v>2373.8624029351113</v>
      </c>
      <c r="K666" s="40">
        <f t="shared" si="317"/>
        <v>16.037928806823519</v>
      </c>
      <c r="L666" s="40">
        <f t="shared" si="301"/>
        <v>0</v>
      </c>
      <c r="M666" s="10">
        <f t="shared" si="318"/>
        <v>0.65881889978419128</v>
      </c>
      <c r="N666" s="10">
        <f t="shared" si="297"/>
        <v>8.26</v>
      </c>
      <c r="O666" s="10">
        <f t="shared" si="298"/>
        <v>0.31900000000000001</v>
      </c>
      <c r="P666" s="10">
        <f t="shared" si="319"/>
        <v>7.2304681448534662</v>
      </c>
      <c r="Q666" s="45">
        <f t="shared" si="320"/>
        <v>2.224253393224553</v>
      </c>
      <c r="R666" s="4">
        <f t="shared" si="321"/>
        <v>-28426.516432509619</v>
      </c>
      <c r="S666">
        <f t="shared" si="302"/>
        <v>-2.8426516432509619E-5</v>
      </c>
      <c r="T666" s="44">
        <f t="shared" si="303"/>
        <v>2.6429430206782506E-4</v>
      </c>
      <c r="U666" s="45">
        <f t="shared" si="322"/>
        <v>-5.1012805063960137E-2</v>
      </c>
      <c r="V666" s="45">
        <f t="shared" si="323"/>
        <v>9.1662611286606424E-2</v>
      </c>
      <c r="W666" s="45">
        <f t="shared" si="324"/>
        <v>9.2235895813760141E-2</v>
      </c>
      <c r="X666" s="45">
        <f t="shared" si="325"/>
        <v>-5.7328452715371681E-4</v>
      </c>
      <c r="Y666" s="45">
        <f t="shared" si="299"/>
        <v>4.5332342028491467E-4</v>
      </c>
      <c r="Z666" s="10">
        <f t="shared" si="326"/>
        <v>1.7152220715245674</v>
      </c>
      <c r="AA666">
        <f t="shared" si="304"/>
        <v>655531.70391572302</v>
      </c>
      <c r="AB666" s="10">
        <f t="shared" si="305"/>
        <v>0.65553170391572302</v>
      </c>
      <c r="AC666" s="10">
        <f t="shared" si="306"/>
        <v>0.55453170391572304</v>
      </c>
      <c r="AD666" s="3">
        <f t="shared" si="307"/>
        <v>80.425192736145476</v>
      </c>
      <c r="AI666" s="100">
        <f t="shared" si="308"/>
        <v>9.2235895813760141E-2</v>
      </c>
    </row>
    <row r="667" spans="2:35">
      <c r="B667" s="39">
        <f t="shared" si="309"/>
        <v>639</v>
      </c>
      <c r="C667" s="45">
        <f t="shared" si="310"/>
        <v>18.771582733811787</v>
      </c>
      <c r="D667" s="10">
        <f t="shared" si="311"/>
        <v>-3.3215827338115567</v>
      </c>
      <c r="E667" s="40">
        <f t="shared" si="312"/>
        <v>54.983165467623117</v>
      </c>
      <c r="F667" s="40">
        <f t="shared" si="313"/>
        <v>48.34</v>
      </c>
      <c r="G667" s="3">
        <f t="shared" si="314"/>
        <v>53.113669064753765</v>
      </c>
      <c r="H667" s="3">
        <f t="shared" si="315"/>
        <v>148.0155219248214</v>
      </c>
      <c r="I667">
        <f t="shared" si="300"/>
        <v>1.4801552192482141E-4</v>
      </c>
      <c r="J667" s="4">
        <f t="shared" si="316"/>
        <v>2378.9340327707564</v>
      </c>
      <c r="K667" s="40">
        <f t="shared" si="317"/>
        <v>16.072192982429513</v>
      </c>
      <c r="L667" s="40">
        <f t="shared" si="301"/>
        <v>0</v>
      </c>
      <c r="M667" s="10">
        <f t="shared" si="318"/>
        <v>0.65553170391572302</v>
      </c>
      <c r="N667" s="10">
        <f t="shared" si="297"/>
        <v>8.26</v>
      </c>
      <c r="O667" s="10">
        <f t="shared" si="298"/>
        <v>0.31900000000000001</v>
      </c>
      <c r="P667" s="10">
        <f t="shared" si="319"/>
        <v>7.2189400932672116</v>
      </c>
      <c r="Q667" s="45">
        <f t="shared" si="320"/>
        <v>2.2283227577602633</v>
      </c>
      <c r="R667" s="4">
        <f t="shared" si="321"/>
        <v>-28633.138740108592</v>
      </c>
      <c r="S667">
        <f t="shared" si="302"/>
        <v>-2.8633138740108593E-5</v>
      </c>
      <c r="T667" s="44">
        <f t="shared" si="303"/>
        <v>2.64500924375424E-4</v>
      </c>
      <c r="U667" s="45">
        <f t="shared" si="322"/>
        <v>-5.1383599126061871E-2</v>
      </c>
      <c r="V667" s="45">
        <f t="shared" si="323"/>
        <v>9.1118418821381164E-2</v>
      </c>
      <c r="W667" s="45">
        <f t="shared" si="324"/>
        <v>9.1692354790390798E-2</v>
      </c>
      <c r="X667" s="45">
        <f t="shared" si="325"/>
        <v>-5.7393596900963406E-4</v>
      </c>
      <c r="Y667" s="45">
        <f t="shared" si="299"/>
        <v>4.509878656068583E-4</v>
      </c>
      <c r="Z667" s="10">
        <f t="shared" si="326"/>
        <v>1.7050521342100899</v>
      </c>
      <c r="AA667">
        <f t="shared" si="304"/>
        <v>652243.76076169137</v>
      </c>
      <c r="AB667" s="10">
        <f t="shared" si="305"/>
        <v>0.65224376076169133</v>
      </c>
      <c r="AC667" s="10">
        <f t="shared" si="306"/>
        <v>0.55124376076169135</v>
      </c>
      <c r="AD667" s="3">
        <f t="shared" si="307"/>
        <v>79.948333685524489</v>
      </c>
      <c r="AI667" s="100">
        <f t="shared" si="308"/>
        <v>9.1692354790390798E-2</v>
      </c>
    </row>
    <row r="668" spans="2:35">
      <c r="B668" s="39">
        <f t="shared" si="309"/>
        <v>640</v>
      </c>
      <c r="C668" s="45">
        <f t="shared" si="310"/>
        <v>18.800959232612744</v>
      </c>
      <c r="D668" s="10">
        <f t="shared" si="311"/>
        <v>-3.3509592326125137</v>
      </c>
      <c r="E668" s="40">
        <f t="shared" si="312"/>
        <v>55.041918465225031</v>
      </c>
      <c r="F668" s="40">
        <f t="shared" si="313"/>
        <v>48.34</v>
      </c>
      <c r="G668" s="3">
        <f t="shared" si="314"/>
        <v>52.996163069549937</v>
      </c>
      <c r="H668" s="3">
        <f t="shared" si="315"/>
        <v>148.0155219248214</v>
      </c>
      <c r="I668">
        <f t="shared" si="300"/>
        <v>1.4801552192482141E-4</v>
      </c>
      <c r="J668" s="4">
        <f t="shared" si="316"/>
        <v>2384.0110848613758</v>
      </c>
      <c r="K668" s="40">
        <f t="shared" si="317"/>
        <v>16.106493791051452</v>
      </c>
      <c r="L668" s="40">
        <f t="shared" si="301"/>
        <v>0</v>
      </c>
      <c r="M668" s="10">
        <f t="shared" si="318"/>
        <v>0.65224376076169133</v>
      </c>
      <c r="N668" s="10">
        <f t="shared" ref="N668:N731" si="327">IF(fueltype=1,VLOOKUP($M668,kndxbn_,4),IF(fueltype=2,VLOOKUP($M668,knsobn_,4),IF(fueltype=3,VLOOKUP($M668,knsbcobn_,4),IF(fueltype=4,VLOOKUP($M668,knsubn_,4),IF(fueltype=5,am_1,IF(fueltype=6,am_0,IF(fueltype=7,am_3,am_4)))))))</f>
        <v>8.26</v>
      </c>
      <c r="O668" s="10">
        <f t="shared" ref="O668:O731" si="328">IF(fueltype=1,VLOOKUP($M668,kndxbn_,5),IF(fueltype=2,VLOOKUP($M668,knsobn_,5),IF(fueltype=3,VLOOKUP($M668,knsbcobn_,5),IF(fueltype=4,VLOOKUP($M668,knsubn_,5),IF(fueltype=5,nm_1,IF(fueltype=6,an_0,IF(fueltype=7,nm_3,nm_4)))))))</f>
        <v>0.31900000000000001</v>
      </c>
      <c r="P668" s="10">
        <f t="shared" si="319"/>
        <v>7.2073699727592748</v>
      </c>
      <c r="Q668" s="45">
        <f t="shared" si="320"/>
        <v>2.2323986549199746</v>
      </c>
      <c r="R668" s="4">
        <f t="shared" si="321"/>
        <v>-28838.856512594084</v>
      </c>
      <c r="S668">
        <f t="shared" si="302"/>
        <v>-2.8838856512594083E-5</v>
      </c>
      <c r="T668" s="44">
        <f t="shared" si="303"/>
        <v>2.6470664214790947E-4</v>
      </c>
      <c r="U668" s="45">
        <f t="shared" si="322"/>
        <v>-5.1752769954675704E-2</v>
      </c>
      <c r="V668" s="45">
        <f t="shared" si="323"/>
        <v>9.0574127400208149E-2</v>
      </c>
      <c r="W668" s="45">
        <f t="shared" si="324"/>
        <v>9.1148690202629154E-2</v>
      </c>
      <c r="X668" s="45">
        <f t="shared" si="325"/>
        <v>-5.7456280242100533E-4</v>
      </c>
      <c r="Y668" s="45">
        <f t="shared" si="299"/>
        <v>4.4864600671239477E-4</v>
      </c>
      <c r="Z668" s="10">
        <f t="shared" si="326"/>
        <v>1.6948800493706764</v>
      </c>
      <c r="AA668">
        <f t="shared" si="304"/>
        <v>648955.12331233674</v>
      </c>
      <c r="AB668" s="10">
        <f t="shared" si="305"/>
        <v>0.64895512331233673</v>
      </c>
      <c r="AC668" s="10">
        <f t="shared" si="306"/>
        <v>0.54795512331233676</v>
      </c>
      <c r="AD668" s="3">
        <f t="shared" si="307"/>
        <v>79.471373939425192</v>
      </c>
      <c r="AI668" s="100">
        <f t="shared" si="308"/>
        <v>9.1148690202629154E-2</v>
      </c>
    </row>
    <row r="669" spans="2:35">
      <c r="B669" s="39">
        <f t="shared" si="309"/>
        <v>641</v>
      </c>
      <c r="C669" s="45">
        <f t="shared" si="310"/>
        <v>18.830335731413701</v>
      </c>
      <c r="D669" s="10">
        <f t="shared" si="311"/>
        <v>-3.3803357314134708</v>
      </c>
      <c r="E669" s="40">
        <f t="shared" si="312"/>
        <v>55.100671462826945</v>
      </c>
      <c r="F669" s="40">
        <f t="shared" si="313"/>
        <v>48.34</v>
      </c>
      <c r="G669" s="3">
        <f t="shared" si="314"/>
        <v>52.878657074346108</v>
      </c>
      <c r="H669" s="3">
        <f t="shared" si="315"/>
        <v>148.0155219248214</v>
      </c>
      <c r="I669">
        <f t="shared" si="300"/>
        <v>1.4801552192482141E-4</v>
      </c>
      <c r="J669" s="4">
        <f t="shared" si="316"/>
        <v>2389.0935592069695</v>
      </c>
      <c r="K669" s="40">
        <f t="shared" si="317"/>
        <v>16.14083123268933</v>
      </c>
      <c r="L669" s="40">
        <f t="shared" si="301"/>
        <v>0</v>
      </c>
      <c r="M669" s="10">
        <f t="shared" si="318"/>
        <v>0.64895512331233673</v>
      </c>
      <c r="N669" s="10">
        <f t="shared" si="327"/>
        <v>8.26</v>
      </c>
      <c r="O669" s="10">
        <f t="shared" si="328"/>
        <v>0.31900000000000001</v>
      </c>
      <c r="P669" s="10">
        <f t="shared" si="319"/>
        <v>7.1957576088540387</v>
      </c>
      <c r="Q669" s="45">
        <f t="shared" si="320"/>
        <v>2.2364811296777138</v>
      </c>
      <c r="R669" s="4">
        <f t="shared" si="321"/>
        <v>-29043.667838523696</v>
      </c>
      <c r="S669">
        <f t="shared" si="302"/>
        <v>-2.9043667838523696E-5</v>
      </c>
      <c r="T669" s="44">
        <f t="shared" si="303"/>
        <v>2.649114534738391E-4</v>
      </c>
      <c r="U669" s="45">
        <f t="shared" si="322"/>
        <v>-5.2120314119622695E-2</v>
      </c>
      <c r="V669" s="45">
        <f t="shared" si="323"/>
        <v>9.0029745866824315E-2</v>
      </c>
      <c r="W669" s="45">
        <f t="shared" si="324"/>
        <v>9.0604910812462816E-2</v>
      </c>
      <c r="X669" s="45">
        <f t="shared" si="325"/>
        <v>-5.7516494563850107E-4</v>
      </c>
      <c r="Y669" s="45">
        <f t="shared" si="299"/>
        <v>4.4629791034028911E-4</v>
      </c>
      <c r="Z669" s="10">
        <f t="shared" si="326"/>
        <v>1.6847059818965606</v>
      </c>
      <c r="AA669">
        <f t="shared" si="304"/>
        <v>645665.84487671102</v>
      </c>
      <c r="AB669" s="10">
        <f t="shared" si="305"/>
        <v>0.64566584487671097</v>
      </c>
      <c r="AC669" s="10">
        <f t="shared" si="306"/>
        <v>0.54466584487671099</v>
      </c>
      <c r="AD669" s="3">
        <f t="shared" si="307"/>
        <v>78.994321229399716</v>
      </c>
      <c r="AI669" s="100">
        <f t="shared" si="308"/>
        <v>9.0604910812462816E-2</v>
      </c>
    </row>
    <row r="670" spans="2:35">
      <c r="B670" s="39">
        <f t="shared" si="309"/>
        <v>642</v>
      </c>
      <c r="C670" s="45">
        <f t="shared" si="310"/>
        <v>18.859712230214658</v>
      </c>
      <c r="D670" s="10">
        <f t="shared" si="311"/>
        <v>-3.4097122302144278</v>
      </c>
      <c r="E670" s="40">
        <f t="shared" si="312"/>
        <v>55.159424460428859</v>
      </c>
      <c r="F670" s="40">
        <f t="shared" si="313"/>
        <v>48.34</v>
      </c>
      <c r="G670" s="3">
        <f t="shared" si="314"/>
        <v>52.76115107914228</v>
      </c>
      <c r="H670" s="3">
        <f t="shared" si="315"/>
        <v>148.0155219248214</v>
      </c>
      <c r="I670">
        <f t="shared" si="300"/>
        <v>1.4801552192482141E-4</v>
      </c>
      <c r="J670" s="4">
        <f t="shared" si="316"/>
        <v>2394.1814558075366</v>
      </c>
      <c r="K670" s="40">
        <f t="shared" si="317"/>
        <v>16.175205307343145</v>
      </c>
      <c r="L670" s="40">
        <f t="shared" si="301"/>
        <v>0</v>
      </c>
      <c r="M670" s="10">
        <f t="shared" si="318"/>
        <v>0.64566584487671097</v>
      </c>
      <c r="N670" s="10">
        <f t="shared" si="327"/>
        <v>8.26</v>
      </c>
      <c r="O670" s="10">
        <f t="shared" si="328"/>
        <v>0.31900000000000001</v>
      </c>
      <c r="P670" s="10">
        <f t="shared" si="319"/>
        <v>7.1841028257814363</v>
      </c>
      <c r="Q670" s="45">
        <f t="shared" si="320"/>
        <v>2.2405702274416734</v>
      </c>
      <c r="R670" s="4">
        <f t="shared" si="321"/>
        <v>-29247.570806455016</v>
      </c>
      <c r="S670">
        <f t="shared" si="302"/>
        <v>-2.9247570806455016E-5</v>
      </c>
      <c r="T670" s="44">
        <f t="shared" si="303"/>
        <v>2.6511535644177043E-4</v>
      </c>
      <c r="U670" s="45">
        <f t="shared" si="322"/>
        <v>-5.2486228190723842E-2</v>
      </c>
      <c r="V670" s="45">
        <f t="shared" si="323"/>
        <v>8.9485283117032022E-2</v>
      </c>
      <c r="W670" s="45">
        <f t="shared" si="324"/>
        <v>9.0061025434595196E-2</v>
      </c>
      <c r="X670" s="45">
        <f t="shared" si="325"/>
        <v>-5.7574231756317429E-4</v>
      </c>
      <c r="Y670" s="45">
        <f t="shared" ref="Y670:Y733" si="329">IF((X670*(Q670-Q669)+Y669)&lt;0,0,X670*(Q670-Q669)+Y669)</f>
        <v>4.4394364371692463E-4</v>
      </c>
      <c r="Z670" s="10">
        <f t="shared" si="326"/>
        <v>1.674530097672527</v>
      </c>
      <c r="AA670">
        <f t="shared" si="304"/>
        <v>642375.97908540466</v>
      </c>
      <c r="AB670" s="10">
        <f t="shared" si="305"/>
        <v>0.64237597908540467</v>
      </c>
      <c r="AC670" s="10">
        <f t="shared" si="306"/>
        <v>0.54137597908540469</v>
      </c>
      <c r="AD670" s="3">
        <f t="shared" si="307"/>
        <v>78.517183333633739</v>
      </c>
      <c r="AI670" s="100">
        <f t="shared" si="308"/>
        <v>9.0061025434595196E-2</v>
      </c>
    </row>
    <row r="671" spans="2:35">
      <c r="B671" s="39">
        <f t="shared" si="309"/>
        <v>643</v>
      </c>
      <c r="C671" s="45">
        <f t="shared" si="310"/>
        <v>18.889088729015615</v>
      </c>
      <c r="D671" s="10">
        <f t="shared" si="311"/>
        <v>-3.4390887290153849</v>
      </c>
      <c r="E671" s="40">
        <f t="shared" si="312"/>
        <v>55.218177458030773</v>
      </c>
      <c r="F671" s="40">
        <f t="shared" si="313"/>
        <v>48.34</v>
      </c>
      <c r="G671" s="3">
        <f t="shared" si="314"/>
        <v>52.643645083938452</v>
      </c>
      <c r="H671" s="3">
        <f t="shared" si="315"/>
        <v>148.0155219248214</v>
      </c>
      <c r="I671">
        <f t="shared" si="300"/>
        <v>1.4801552192482141E-4</v>
      </c>
      <c r="J671" s="4">
        <f t="shared" si="316"/>
        <v>2399.2747746630776</v>
      </c>
      <c r="K671" s="40">
        <f t="shared" si="317"/>
        <v>16.209616015012898</v>
      </c>
      <c r="L671" s="40">
        <f t="shared" si="301"/>
        <v>0</v>
      </c>
      <c r="M671" s="10">
        <f t="shared" si="318"/>
        <v>0.64237597908540467</v>
      </c>
      <c r="N671" s="10">
        <f t="shared" si="327"/>
        <v>8.26</v>
      </c>
      <c r="O671" s="10">
        <f t="shared" si="328"/>
        <v>0.31900000000000001</v>
      </c>
      <c r="P671" s="10">
        <f t="shared" si="319"/>
        <v>7.172405446467204</v>
      </c>
      <c r="Q671" s="45">
        <f t="shared" si="320"/>
        <v>2.2446659940600298</v>
      </c>
      <c r="R671" s="4">
        <f t="shared" si="321"/>
        <v>-29450.56350494565</v>
      </c>
      <c r="S671">
        <f t="shared" si="302"/>
        <v>-2.9450563504945652E-5</v>
      </c>
      <c r="T671" s="44">
        <f t="shared" si="303"/>
        <v>2.6531834914026104E-4</v>
      </c>
      <c r="U671" s="45">
        <f t="shared" si="322"/>
        <v>-5.2850508737800214E-2</v>
      </c>
      <c r="V671" s="45">
        <f t="shared" si="323"/>
        <v>8.8940748099207559E-2</v>
      </c>
      <c r="W671" s="45">
        <f t="shared" si="324"/>
        <v>8.9517042936896427E-2</v>
      </c>
      <c r="X671" s="45">
        <f t="shared" si="325"/>
        <v>-5.7629483768886769E-4</v>
      </c>
      <c r="Y671" s="45">
        <f t="shared" si="329"/>
        <v>4.4158327455838748E-4</v>
      </c>
      <c r="Z671" s="10">
        <f t="shared" si="326"/>
        <v>1.6643525635874648</v>
      </c>
      <c r="AA671">
        <f t="shared" si="304"/>
        <v>639085.579893635</v>
      </c>
      <c r="AB671" s="10">
        <f t="shared" si="305"/>
        <v>0.63908557989363501</v>
      </c>
      <c r="AC671" s="10">
        <f t="shared" si="306"/>
        <v>0.53808557989363504</v>
      </c>
      <c r="AD671" s="3">
        <f t="shared" si="307"/>
        <v>78.039968077394491</v>
      </c>
      <c r="AI671" s="100">
        <f t="shared" si="308"/>
        <v>8.9517042936896427E-2</v>
      </c>
    </row>
    <row r="672" spans="2:35">
      <c r="B672" s="39">
        <f t="shared" si="309"/>
        <v>644</v>
      </c>
      <c r="C672" s="45">
        <f t="shared" si="310"/>
        <v>18.918465227816572</v>
      </c>
      <c r="D672" s="10">
        <f t="shared" si="311"/>
        <v>-3.4684652278163419</v>
      </c>
      <c r="E672" s="40">
        <f t="shared" si="312"/>
        <v>55.276930455632687</v>
      </c>
      <c r="F672" s="40">
        <f t="shared" si="313"/>
        <v>48.34</v>
      </c>
      <c r="G672" s="3">
        <f t="shared" si="314"/>
        <v>52.526139088734624</v>
      </c>
      <c r="H672" s="3">
        <f t="shared" si="315"/>
        <v>148.0155219248214</v>
      </c>
      <c r="I672">
        <f t="shared" si="300"/>
        <v>1.4801552192482141E-4</v>
      </c>
      <c r="J672" s="4">
        <f t="shared" si="316"/>
        <v>2404.3735157735928</v>
      </c>
      <c r="K672" s="40">
        <f t="shared" si="317"/>
        <v>16.244063355698593</v>
      </c>
      <c r="L672" s="40">
        <f t="shared" si="301"/>
        <v>0</v>
      </c>
      <c r="M672" s="10">
        <f t="shared" si="318"/>
        <v>0.63908557989363501</v>
      </c>
      <c r="N672" s="10">
        <f t="shared" si="327"/>
        <v>8.26</v>
      </c>
      <c r="O672" s="10">
        <f t="shared" si="328"/>
        <v>0.31900000000000001</v>
      </c>
      <c r="P672" s="10">
        <f t="shared" si="319"/>
        <v>7.1606652925242988</v>
      </c>
      <c r="Q672" s="45">
        <f t="shared" si="320"/>
        <v>2.2487684758268602</v>
      </c>
      <c r="R672" s="4">
        <f t="shared" si="321"/>
        <v>-29652.644022553191</v>
      </c>
      <c r="S672">
        <f t="shared" si="302"/>
        <v>-2.9652644022553192E-5</v>
      </c>
      <c r="T672" s="44">
        <f t="shared" si="303"/>
        <v>2.6552042965786863E-4</v>
      </c>
      <c r="U672" s="45">
        <f t="shared" si="322"/>
        <v>-5.3213152330672829E-2</v>
      </c>
      <c r="V672" s="45">
        <f t="shared" si="323"/>
        <v>8.8396149814649466E-2</v>
      </c>
      <c r="W672" s="45">
        <f t="shared" si="324"/>
        <v>8.8972972240913994E-2</v>
      </c>
      <c r="X672" s="45">
        <f t="shared" si="325"/>
        <v>-5.7682242626452829E-4</v>
      </c>
      <c r="Y672" s="45">
        <f t="shared" si="329"/>
        <v>4.3921687107193835E-4</v>
      </c>
      <c r="Z672" s="10">
        <f t="shared" si="326"/>
        <v>1.654173547541645</v>
      </c>
      <c r="AA672">
        <f t="shared" si="304"/>
        <v>635794.70158359979</v>
      </c>
      <c r="AB672" s="10">
        <f t="shared" si="305"/>
        <v>0.63579470158359974</v>
      </c>
      <c r="AC672" s="10">
        <f t="shared" si="306"/>
        <v>0.53479470158359976</v>
      </c>
      <c r="AD672" s="3">
        <f t="shared" si="307"/>
        <v>77.562683333371979</v>
      </c>
      <c r="AI672" s="100">
        <f t="shared" si="308"/>
        <v>8.8972972240913994E-2</v>
      </c>
    </row>
    <row r="673" spans="2:35">
      <c r="B673" s="39">
        <f t="shared" si="309"/>
        <v>645</v>
      </c>
      <c r="C673" s="45">
        <f t="shared" si="310"/>
        <v>18.947841726617529</v>
      </c>
      <c r="D673" s="10">
        <f t="shared" si="311"/>
        <v>-3.497841726617299</v>
      </c>
      <c r="E673" s="40">
        <f t="shared" si="312"/>
        <v>55.335683453234601</v>
      </c>
      <c r="F673" s="40">
        <f t="shared" si="313"/>
        <v>48.34</v>
      </c>
      <c r="G673" s="3">
        <f t="shared" si="314"/>
        <v>52.408633093530796</v>
      </c>
      <c r="H673" s="3">
        <f t="shared" si="315"/>
        <v>148.0155219248214</v>
      </c>
      <c r="I673">
        <f t="shared" si="300"/>
        <v>1.4801552192482141E-4</v>
      </c>
      <c r="J673" s="4">
        <f t="shared" si="316"/>
        <v>2409.4776791390823</v>
      </c>
      <c r="K673" s="40">
        <f t="shared" si="317"/>
        <v>16.278547329400229</v>
      </c>
      <c r="L673" s="40">
        <f t="shared" si="301"/>
        <v>0</v>
      </c>
      <c r="M673" s="10">
        <f t="shared" si="318"/>
        <v>0.63579470158359974</v>
      </c>
      <c r="N673" s="10">
        <f t="shared" si="327"/>
        <v>8.26</v>
      </c>
      <c r="O673" s="10">
        <f t="shared" si="328"/>
        <v>0.31900000000000001</v>
      </c>
      <c r="P673" s="10">
        <f t="shared" si="319"/>
        <v>7.1488821842415673</v>
      </c>
      <c r="Q673" s="45">
        <f t="shared" si="320"/>
        <v>2.2528777194881577</v>
      </c>
      <c r="R673" s="4">
        <f t="shared" si="321"/>
        <v>-29853.810447835265</v>
      </c>
      <c r="S673">
        <f t="shared" si="302"/>
        <v>-2.9853810447835267E-5</v>
      </c>
      <c r="T673" s="44">
        <f t="shared" si="303"/>
        <v>2.6572159608315068E-4</v>
      </c>
      <c r="U673" s="45">
        <f t="shared" si="322"/>
        <v>-5.3574155539162768E-2</v>
      </c>
      <c r="V673" s="45">
        <f t="shared" si="323"/>
        <v>8.7851497318110303E-2</v>
      </c>
      <c r="W673" s="45">
        <f t="shared" si="324"/>
        <v>8.8428822322261874E-2</v>
      </c>
      <c r="X673" s="45">
        <f t="shared" si="325"/>
        <v>-5.7732500415157151E-4</v>
      </c>
      <c r="Y673" s="45">
        <f t="shared" si="329"/>
        <v>4.3684450195811996E-4</v>
      </c>
      <c r="Z673" s="10">
        <f t="shared" si="326"/>
        <v>1.6439932184564359</v>
      </c>
      <c r="AA673">
        <f t="shared" si="304"/>
        <v>632503.39876761741</v>
      </c>
      <c r="AB673" s="10">
        <f t="shared" si="305"/>
        <v>0.63250339876761741</v>
      </c>
      <c r="AC673" s="10">
        <f t="shared" si="306"/>
        <v>0.53150339876761743</v>
      </c>
      <c r="AD673" s="3">
        <f t="shared" si="307"/>
        <v>77.08533702213451</v>
      </c>
      <c r="AI673" s="100">
        <f t="shared" si="308"/>
        <v>8.8428822322261874E-2</v>
      </c>
    </row>
    <row r="674" spans="2:35">
      <c r="B674" s="39">
        <f t="shared" si="309"/>
        <v>646</v>
      </c>
      <c r="C674" s="45">
        <f t="shared" si="310"/>
        <v>18.977218225418486</v>
      </c>
      <c r="D674" s="10">
        <f t="shared" si="311"/>
        <v>-3.527218225418256</v>
      </c>
      <c r="E674" s="40">
        <f t="shared" si="312"/>
        <v>55.394436450836515</v>
      </c>
      <c r="F674" s="40">
        <f t="shared" si="313"/>
        <v>48.34</v>
      </c>
      <c r="G674" s="3">
        <f t="shared" si="314"/>
        <v>52.291127098326967</v>
      </c>
      <c r="H674" s="3">
        <f t="shared" si="315"/>
        <v>148.0155219248214</v>
      </c>
      <c r="I674">
        <f t="shared" si="300"/>
        <v>1.4801552192482141E-4</v>
      </c>
      <c r="J674" s="4">
        <f t="shared" si="316"/>
        <v>2414.5872647595447</v>
      </c>
      <c r="K674" s="40">
        <f t="shared" si="317"/>
        <v>16.313067936117797</v>
      </c>
      <c r="L674" s="40">
        <f t="shared" si="301"/>
        <v>0</v>
      </c>
      <c r="M674" s="10">
        <f t="shared" si="318"/>
        <v>0.63250339876761741</v>
      </c>
      <c r="N674" s="10">
        <f t="shared" si="327"/>
        <v>8.26</v>
      </c>
      <c r="O674" s="10">
        <f t="shared" si="328"/>
        <v>0.31900000000000001</v>
      </c>
      <c r="P674" s="10">
        <f t="shared" si="319"/>
        <v>7.1370559405750873</v>
      </c>
      <c r="Q674" s="45">
        <f t="shared" si="320"/>
        <v>2.2569937722479447</v>
      </c>
      <c r="R674" s="4">
        <f t="shared" si="321"/>
        <v>-30054.060869349418</v>
      </c>
      <c r="S674">
        <f t="shared" si="302"/>
        <v>-3.0054060869349417E-5</v>
      </c>
      <c r="T674" s="44">
        <f t="shared" si="303"/>
        <v>2.6592184650466483E-4</v>
      </c>
      <c r="U674" s="45">
        <f t="shared" si="322"/>
        <v>-5.3933514933090988E-2</v>
      </c>
      <c r="V674" s="45">
        <f t="shared" si="323"/>
        <v>8.7306799718188499E-2</v>
      </c>
      <c r="W674" s="45">
        <f t="shared" si="324"/>
        <v>8.7884602211139931E-2</v>
      </c>
      <c r="X674" s="45">
        <f t="shared" si="325"/>
        <v>-5.7780249295143193E-4</v>
      </c>
      <c r="Y674" s="45">
        <f t="shared" si="329"/>
        <v>4.3446623641239541E-4</v>
      </c>
      <c r="Z674" s="10">
        <f t="shared" si="326"/>
        <v>1.6338117462822821</v>
      </c>
      <c r="AA674">
        <f t="shared" si="304"/>
        <v>629211.72639070731</v>
      </c>
      <c r="AB674" s="10">
        <f t="shared" si="305"/>
        <v>0.62921172639070733</v>
      </c>
      <c r="AC674" s="10">
        <f t="shared" si="306"/>
        <v>0.52821172639070735</v>
      </c>
      <c r="AD674" s="3">
        <f t="shared" si="307"/>
        <v>76.607937112502867</v>
      </c>
      <c r="AI674" s="100">
        <f t="shared" si="308"/>
        <v>8.7884602211139931E-2</v>
      </c>
    </row>
    <row r="675" spans="2:35">
      <c r="B675" s="39">
        <f t="shared" si="309"/>
        <v>647</v>
      </c>
      <c r="C675" s="45">
        <f t="shared" si="310"/>
        <v>19.006594724219443</v>
      </c>
      <c r="D675" s="10">
        <f t="shared" si="311"/>
        <v>-3.5565947242192131</v>
      </c>
      <c r="E675" s="40">
        <f t="shared" si="312"/>
        <v>55.45318944843843</v>
      </c>
      <c r="F675" s="40">
        <f t="shared" si="313"/>
        <v>48.34</v>
      </c>
      <c r="G675" s="3">
        <f t="shared" si="314"/>
        <v>52.173621103123139</v>
      </c>
      <c r="H675" s="3">
        <f t="shared" si="315"/>
        <v>148.0155219248214</v>
      </c>
      <c r="I675">
        <f t="shared" si="300"/>
        <v>1.4801552192482141E-4</v>
      </c>
      <c r="J675" s="4">
        <f t="shared" si="316"/>
        <v>2419.7022726349815</v>
      </c>
      <c r="K675" s="40">
        <f t="shared" si="317"/>
        <v>16.347625175851306</v>
      </c>
      <c r="L675" s="40">
        <f t="shared" si="301"/>
        <v>0</v>
      </c>
      <c r="M675" s="10">
        <f t="shared" si="318"/>
        <v>0.62921172639070733</v>
      </c>
      <c r="N675" s="10">
        <f t="shared" si="327"/>
        <v>8.26</v>
      </c>
      <c r="O675" s="10">
        <f t="shared" si="328"/>
        <v>0.31900000000000001</v>
      </c>
      <c r="P675" s="10">
        <f t="shared" si="319"/>
        <v>7.1251863791373609</v>
      </c>
      <c r="Q675" s="45">
        <f t="shared" si="320"/>
        <v>2.2611166817744901</v>
      </c>
      <c r="R675" s="4">
        <f t="shared" si="321"/>
        <v>-30253.393375653312</v>
      </c>
      <c r="S675">
        <f t="shared" si="302"/>
        <v>-3.025339337565331E-5</v>
      </c>
      <c r="T675" s="44">
        <f t="shared" si="303"/>
        <v>2.6612117901096872E-4</v>
      </c>
      <c r="U675" s="45">
        <f t="shared" si="322"/>
        <v>-5.4291227082278647E-2</v>
      </c>
      <c r="V675" s="45">
        <f t="shared" si="323"/>
        <v>8.6762066177908381E-2</v>
      </c>
      <c r="W675" s="45">
        <f t="shared" si="324"/>
        <v>8.7340320992760304E-2</v>
      </c>
      <c r="X675" s="45">
        <f t="shared" si="325"/>
        <v>-5.7825481485192232E-4</v>
      </c>
      <c r="Y675" s="45">
        <f t="shared" si="329"/>
        <v>4.320821441274717E-4</v>
      </c>
      <c r="Z675" s="10">
        <f t="shared" si="326"/>
        <v>1.6236293020093022</v>
      </c>
      <c r="AA675">
        <f t="shared" si="304"/>
        <v>625919.73973401531</v>
      </c>
      <c r="AB675" s="10">
        <f t="shared" si="305"/>
        <v>0.62591973973401527</v>
      </c>
      <c r="AC675" s="10">
        <f t="shared" si="306"/>
        <v>0.52491973973401529</v>
      </c>
      <c r="AD675" s="3">
        <f t="shared" si="307"/>
        <v>76.130491622047174</v>
      </c>
      <c r="AI675" s="100">
        <f t="shared" si="308"/>
        <v>8.7340320992760304E-2</v>
      </c>
    </row>
    <row r="676" spans="2:35">
      <c r="B676" s="39">
        <f t="shared" si="309"/>
        <v>648</v>
      </c>
      <c r="C676" s="45">
        <f t="shared" si="310"/>
        <v>19.0359712230204</v>
      </c>
      <c r="D676" s="10">
        <f t="shared" si="311"/>
        <v>-3.5859712230201701</v>
      </c>
      <c r="E676" s="40">
        <f t="shared" si="312"/>
        <v>55.511942446040344</v>
      </c>
      <c r="F676" s="40">
        <f t="shared" si="313"/>
        <v>48.34</v>
      </c>
      <c r="G676" s="3">
        <f t="shared" si="314"/>
        <v>52.056115107919311</v>
      </c>
      <c r="H676" s="3">
        <f t="shared" si="315"/>
        <v>148.0155219248214</v>
      </c>
      <c r="I676">
        <f t="shared" si="300"/>
        <v>1.4801552192482141E-4</v>
      </c>
      <c r="J676" s="4">
        <f t="shared" si="316"/>
        <v>2424.8227027653925</v>
      </c>
      <c r="K676" s="40">
        <f t="shared" si="317"/>
        <v>16.38221904860076</v>
      </c>
      <c r="L676" s="40">
        <f t="shared" si="301"/>
        <v>0</v>
      </c>
      <c r="M676" s="10">
        <f t="shared" si="318"/>
        <v>0.62591973973401527</v>
      </c>
      <c r="N676" s="10">
        <f t="shared" si="327"/>
        <v>8.26</v>
      </c>
      <c r="O676" s="10">
        <f t="shared" si="328"/>
        <v>0.31900000000000001</v>
      </c>
      <c r="P676" s="10">
        <f t="shared" si="319"/>
        <v>7.1132733161894439</v>
      </c>
      <c r="Q676" s="45">
        <f t="shared" si="320"/>
        <v>2.2652464962066303</v>
      </c>
      <c r="R676" s="4">
        <f t="shared" si="321"/>
        <v>-30451.806055304496</v>
      </c>
      <c r="S676">
        <f t="shared" si="302"/>
        <v>-3.0451806055304497E-5</v>
      </c>
      <c r="T676" s="44">
        <f t="shared" si="303"/>
        <v>2.6631959169061989E-4</v>
      </c>
      <c r="U676" s="45">
        <f t="shared" si="322"/>
        <v>-5.4647288556546679E-2</v>
      </c>
      <c r="V676" s="45">
        <f t="shared" si="323"/>
        <v>8.621730591500408E-2</v>
      </c>
      <c r="W676" s="45">
        <f t="shared" si="324"/>
        <v>8.6795987807914116E-2</v>
      </c>
      <c r="X676" s="45">
        <f t="shared" si="325"/>
        <v>-5.7868189291003513E-4</v>
      </c>
      <c r="Y676" s="45">
        <f t="shared" si="329"/>
        <v>4.2969229529451363E-4</v>
      </c>
      <c r="Z676" s="10">
        <f t="shared" si="326"/>
        <v>1.6134460576737506</v>
      </c>
      <c r="AA676">
        <f t="shared" si="304"/>
        <v>622627.49441690347</v>
      </c>
      <c r="AB676" s="10">
        <f t="shared" si="305"/>
        <v>0.62262749441690346</v>
      </c>
      <c r="AC676" s="10">
        <f t="shared" si="306"/>
        <v>0.52162749441690348</v>
      </c>
      <c r="AD676" s="3">
        <f t="shared" si="307"/>
        <v>75.653008617389915</v>
      </c>
      <c r="AI676" s="100">
        <f t="shared" si="308"/>
        <v>8.6795987807914116E-2</v>
      </c>
    </row>
    <row r="677" spans="2:35">
      <c r="B677" s="39">
        <f t="shared" si="309"/>
        <v>649</v>
      </c>
      <c r="C677" s="45">
        <f t="shared" si="310"/>
        <v>19.065347721821357</v>
      </c>
      <c r="D677" s="10">
        <f t="shared" si="311"/>
        <v>-3.6153477218211272</v>
      </c>
      <c r="E677" s="40">
        <f t="shared" si="312"/>
        <v>55.570695443642258</v>
      </c>
      <c r="F677" s="40">
        <f t="shared" si="313"/>
        <v>48.34</v>
      </c>
      <c r="G677" s="3">
        <f t="shared" si="314"/>
        <v>51.938609112715483</v>
      </c>
      <c r="H677" s="3">
        <f t="shared" si="315"/>
        <v>148.0155219248214</v>
      </c>
      <c r="I677">
        <f t="shared" si="300"/>
        <v>1.4801552192482141E-4</v>
      </c>
      <c r="J677" s="4">
        <f t="shared" si="316"/>
        <v>2429.9485551507769</v>
      </c>
      <c r="K677" s="40">
        <f t="shared" si="317"/>
        <v>16.416849554366149</v>
      </c>
      <c r="L677" s="40">
        <f t="shared" si="301"/>
        <v>0</v>
      </c>
      <c r="M677" s="10">
        <f t="shared" si="318"/>
        <v>0.62262749441690346</v>
      </c>
      <c r="N677" s="10">
        <f t="shared" si="327"/>
        <v>8.26</v>
      </c>
      <c r="O677" s="10">
        <f t="shared" si="328"/>
        <v>0.31900000000000001</v>
      </c>
      <c r="P677" s="10">
        <f t="shared" si="319"/>
        <v>7.1013165666281068</v>
      </c>
      <c r="Q677" s="45">
        <f t="shared" si="320"/>
        <v>2.2693832641601968</v>
      </c>
      <c r="R677" s="4">
        <f t="shared" si="321"/>
        <v>-30649.296996860601</v>
      </c>
      <c r="S677">
        <f t="shared" si="302"/>
        <v>-3.0649296996860601E-5</v>
      </c>
      <c r="T677" s="44">
        <f t="shared" si="303"/>
        <v>2.6651708263217603E-4</v>
      </c>
      <c r="U677" s="45">
        <f t="shared" si="322"/>
        <v>-5.5001695925716187E-2</v>
      </c>
      <c r="V677" s="45">
        <f t="shared" si="323"/>
        <v>8.5672528202594272E-2</v>
      </c>
      <c r="W677" s="45">
        <f t="shared" si="324"/>
        <v>8.6251611853316756E-2</v>
      </c>
      <c r="X677" s="45">
        <f t="shared" si="325"/>
        <v>-5.7908365072248391E-4</v>
      </c>
      <c r="Y677" s="45">
        <f t="shared" si="329"/>
        <v>4.2729676060577061E-4</v>
      </c>
      <c r="Z677" s="10">
        <f t="shared" si="326"/>
        <v>1.6032621863698278</v>
      </c>
      <c r="AA677">
        <f t="shared" si="304"/>
        <v>619335.04640076798</v>
      </c>
      <c r="AB677" s="10">
        <f t="shared" si="305"/>
        <v>0.61933504640076797</v>
      </c>
      <c r="AC677" s="10">
        <f t="shared" si="306"/>
        <v>0.518335046400768</v>
      </c>
      <c r="AD677" s="3">
        <f t="shared" si="307"/>
        <v>75.175496214759676</v>
      </c>
      <c r="AI677" s="100">
        <f t="shared" si="308"/>
        <v>8.6251611853316756E-2</v>
      </c>
    </row>
    <row r="678" spans="2:35">
      <c r="B678" s="39">
        <f t="shared" si="309"/>
        <v>650</v>
      </c>
      <c r="C678" s="45">
        <f t="shared" si="310"/>
        <v>19.094724220622314</v>
      </c>
      <c r="D678" s="10">
        <f t="shared" si="311"/>
        <v>-3.6447242206220842</v>
      </c>
      <c r="E678" s="40">
        <f t="shared" si="312"/>
        <v>55.629448441244172</v>
      </c>
      <c r="F678" s="40">
        <f t="shared" si="313"/>
        <v>48.34</v>
      </c>
      <c r="G678" s="3">
        <f t="shared" si="314"/>
        <v>51.821103117511655</v>
      </c>
      <c r="H678" s="3">
        <f t="shared" si="315"/>
        <v>148.0155219248214</v>
      </c>
      <c r="I678">
        <f t="shared" si="300"/>
        <v>1.4801552192482141E-4</v>
      </c>
      <c r="J678" s="4">
        <f t="shared" si="316"/>
        <v>2435.0798297911356</v>
      </c>
      <c r="K678" s="40">
        <f t="shared" si="317"/>
        <v>16.451516693147475</v>
      </c>
      <c r="L678" s="40">
        <f t="shared" si="301"/>
        <v>0</v>
      </c>
      <c r="M678" s="10">
        <f t="shared" si="318"/>
        <v>0.61933504640076797</v>
      </c>
      <c r="N678" s="10">
        <f t="shared" si="327"/>
        <v>8.26</v>
      </c>
      <c r="O678" s="10">
        <f t="shared" si="328"/>
        <v>0.31900000000000001</v>
      </c>
      <c r="P678" s="10">
        <f t="shared" si="319"/>
        <v>7.0893159439791242</v>
      </c>
      <c r="Q678" s="45">
        <f t="shared" si="320"/>
        <v>2.2735270347345504</v>
      </c>
      <c r="R678" s="4">
        <f t="shared" si="321"/>
        <v>-30845.864288879202</v>
      </c>
      <c r="S678">
        <f t="shared" si="302"/>
        <v>-3.0845864288879201E-5</v>
      </c>
      <c r="T678" s="44">
        <f t="shared" si="303"/>
        <v>2.6671364992419461E-4</v>
      </c>
      <c r="U678" s="45">
        <f t="shared" si="322"/>
        <v>-5.535444575960817E-2</v>
      </c>
      <c r="V678" s="45">
        <f t="shared" si="323"/>
        <v>8.5127742369521406E-2</v>
      </c>
      <c r="W678" s="45">
        <f t="shared" si="324"/>
        <v>8.5707202382239334E-2</v>
      </c>
      <c r="X678" s="45">
        <f t="shared" si="325"/>
        <v>-5.794600127179278E-4</v>
      </c>
      <c r="Y678" s="45">
        <f t="shared" si="329"/>
        <v>4.2489561125605543E-4</v>
      </c>
      <c r="Z678" s="10">
        <f t="shared" si="326"/>
        <v>1.5930778622572159</v>
      </c>
      <c r="AA678">
        <f t="shared" si="304"/>
        <v>616042.45199147565</v>
      </c>
      <c r="AB678" s="10">
        <f t="shared" si="305"/>
        <v>0.61604245199147567</v>
      </c>
      <c r="AC678" s="10">
        <f t="shared" si="306"/>
        <v>0.51504245199147569</v>
      </c>
      <c r="AD678" s="3">
        <f t="shared" si="307"/>
        <v>74.697962580344551</v>
      </c>
      <c r="AI678" s="100">
        <f t="shared" si="308"/>
        <v>8.5707202382239334E-2</v>
      </c>
    </row>
    <row r="679" spans="2:35">
      <c r="B679" s="39">
        <f t="shared" si="309"/>
        <v>651</v>
      </c>
      <c r="C679" s="45">
        <f t="shared" si="310"/>
        <v>19.124100719423271</v>
      </c>
      <c r="D679" s="10">
        <f t="shared" si="311"/>
        <v>-3.6741007194230413</v>
      </c>
      <c r="E679" s="40">
        <f t="shared" si="312"/>
        <v>55.688201438846086</v>
      </c>
      <c r="F679" s="40">
        <f t="shared" si="313"/>
        <v>48.34</v>
      </c>
      <c r="G679" s="3">
        <f t="shared" si="314"/>
        <v>51.703597122307826</v>
      </c>
      <c r="H679" s="3">
        <f t="shared" si="315"/>
        <v>148.0155219248214</v>
      </c>
      <c r="I679">
        <f t="shared" ref="I679:I742" si="330">H679/1000^2</f>
        <v>1.4801552192482141E-4</v>
      </c>
      <c r="J679" s="4">
        <f t="shared" si="316"/>
        <v>2440.2165266864681</v>
      </c>
      <c r="K679" s="40">
        <f t="shared" si="317"/>
        <v>16.486220464944743</v>
      </c>
      <c r="L679" s="40">
        <f t="shared" ref="L679:L742" si="331">IF((gstar-K679)&lt;0,0,gstar-K679)</f>
        <v>0</v>
      </c>
      <c r="M679" s="10">
        <f t="shared" si="318"/>
        <v>0.61604245199147567</v>
      </c>
      <c r="N679" s="10">
        <f t="shared" si="327"/>
        <v>8.26</v>
      </c>
      <c r="O679" s="10">
        <f t="shared" si="328"/>
        <v>0.31900000000000001</v>
      </c>
      <c r="P679" s="10">
        <f t="shared" si="319"/>
        <v>7.0772712603854409</v>
      </c>
      <c r="Q679" s="45">
        <f t="shared" si="320"/>
        <v>2.2776778575192287</v>
      </c>
      <c r="R679" s="4">
        <f t="shared" si="321"/>
        <v>-31041.506019917917</v>
      </c>
      <c r="S679">
        <f t="shared" ref="S679:S742" si="332">R679/1000^3</f>
        <v>-3.1041506019917919E-5</v>
      </c>
      <c r="T679" s="44">
        <f t="shared" ref="T679:T742" si="333">(vc/1000^3-S679)</f>
        <v>2.6690929165523335E-4</v>
      </c>
      <c r="U679" s="45">
        <f t="shared" si="322"/>
        <v>-5.5705534628043694E-2</v>
      </c>
      <c r="V679" s="45">
        <f t="shared" si="323"/>
        <v>8.4582957800916458E-2</v>
      </c>
      <c r="W679" s="45">
        <f t="shared" si="324"/>
        <v>8.5162768704911546E-2</v>
      </c>
      <c r="X679" s="45">
        <f t="shared" si="325"/>
        <v>-5.7981090399508717E-4</v>
      </c>
      <c r="Y679" s="45">
        <f t="shared" si="329"/>
        <v>4.2248891894494775E-4</v>
      </c>
      <c r="Z679" s="10">
        <f t="shared" si="326"/>
        <v>1.5828932605713726</v>
      </c>
      <c r="AA679">
        <f t="shared" ref="AA679:AA742" si="334">Z679*rat*to+patm*1000000</f>
        <v>612749.76784269162</v>
      </c>
      <c r="AB679" s="10">
        <f t="shared" ref="AB679:AB742" si="335">AA679/1000000</f>
        <v>0.61274976784269164</v>
      </c>
      <c r="AC679" s="10">
        <f t="shared" ref="AC679:AC742" si="336">AB679-patm</f>
        <v>0.51174976784269166</v>
      </c>
      <c r="AD679" s="3">
        <f t="shared" ref="AD679:AD742" si="337">AC679*1000000/6895</f>
        <v>74.22041593077472</v>
      </c>
      <c r="AI679" s="100">
        <f t="shared" ref="AI679:AI742" si="338">($M679-patm)*1000000*$I679/SQRT(rat*to)*SQRT(k)*(2/(k+1))^((k+1)/2/(k-1))</f>
        <v>8.5162768704911546E-2</v>
      </c>
    </row>
    <row r="680" spans="2:35">
      <c r="B680" s="39">
        <f t="shared" ref="B680:B743" si="339">1+B679</f>
        <v>652</v>
      </c>
      <c r="C680" s="45">
        <f t="shared" ref="C680:C743" si="340">xincp+C679</f>
        <v>19.153477218224229</v>
      </c>
      <c r="D680" s="10">
        <f t="shared" ref="D680:D743" si="341">(F680-E680)/2</f>
        <v>-3.7034772182239983</v>
      </c>
      <c r="E680" s="40">
        <f t="shared" ref="E680:E743" si="342">E679+ci*2*xincp</f>
        <v>55.746954436448</v>
      </c>
      <c r="F680" s="40">
        <f t="shared" ref="F680:F743" si="343">F679-osi*2*xincp</f>
        <v>48.34</v>
      </c>
      <c r="G680" s="3">
        <f t="shared" ref="G680:G743" si="344">G679-ei*n*2*xincp</f>
        <v>51.586091127103998</v>
      </c>
      <c r="H680" s="3">
        <f t="shared" ref="H680:H743" si="345">PI()/4*(dto+erate*(two-D680)/two)^2</f>
        <v>148.0155219248214</v>
      </c>
      <c r="I680">
        <f t="shared" si="330"/>
        <v>1.4801552192482141E-4</v>
      </c>
      <c r="J680" s="4">
        <f t="shared" ref="J680:J743" si="346">PI()/4*dc^2-PI()/4*(F680^2-E680^2)</f>
        <v>2445.3586458367745</v>
      </c>
      <c r="K680" s="40">
        <f t="shared" ref="K680:K743" si="347">J680/H680</f>
        <v>16.52096086975795</v>
      </c>
      <c r="L680" s="40">
        <f t="shared" si="331"/>
        <v>0</v>
      </c>
      <c r="M680" s="10">
        <f t="shared" ref="M680:M743" si="348">AB679</f>
        <v>0.61274976784269164</v>
      </c>
      <c r="N680" s="10">
        <f t="shared" si="327"/>
        <v>8.26</v>
      </c>
      <c r="O680" s="10">
        <f t="shared" si="328"/>
        <v>0.31900000000000001</v>
      </c>
      <c r="P680" s="10">
        <f t="shared" ref="P680:P743" si="349">(1+kv*L680)*N680*M680^O680</f>
        <v>7.0651823265984506</v>
      </c>
      <c r="Q680" s="45">
        <f t="shared" ref="Q680:Q743" si="350">xincp/P680+Q679</f>
        <v>2.2818357826007039</v>
      </c>
      <c r="R680" s="4">
        <f t="shared" ref="R680:R743" si="351">PI()/4*(F680^2-E680^2)*G680</f>
        <v>-31236.22027853434</v>
      </c>
      <c r="S680">
        <f t="shared" si="332"/>
        <v>-3.1236220278534342E-5</v>
      </c>
      <c r="T680" s="44">
        <f t="shared" si="333"/>
        <v>2.6710400591384976E-4</v>
      </c>
      <c r="U680" s="45">
        <f t="shared" ref="U680:U743" si="352">rhopgrain*R680/1000^2</f>
        <v>-5.6054959100843793E-2</v>
      </c>
      <c r="V680" s="45">
        <f t="shared" ref="V680:V743" si="353">(U679-U680)/(Q680-Q679)</f>
        <v>8.4038183938640931E-2</v>
      </c>
      <c r="W680" s="45">
        <f t="shared" ref="W680:W743" si="354">IF(V680&lt;AI680,IF(AB679&gt;pbd,AI680,0),AI680)</f>
        <v>8.4618320189071811E-2</v>
      </c>
      <c r="X680" s="45">
        <f t="shared" ref="X680:X743" si="355">V680-W680</f>
        <v>-5.8013625043087935E-4</v>
      </c>
      <c r="Y680" s="45">
        <f t="shared" si="329"/>
        <v>4.2007675587860826E-4</v>
      </c>
      <c r="Z680" s="10">
        <f t="shared" ref="Z680:Z743" si="356">Y680/T680</f>
        <v>1.5727085576324058</v>
      </c>
      <c r="AA680">
        <f t="shared" si="334"/>
        <v>609457.05095874856</v>
      </c>
      <c r="AB680" s="10">
        <f t="shared" si="335"/>
        <v>0.60945705095874858</v>
      </c>
      <c r="AC680" s="10">
        <f t="shared" si="336"/>
        <v>0.5084570509587486</v>
      </c>
      <c r="AD680" s="3">
        <f t="shared" si="337"/>
        <v>73.742864533538594</v>
      </c>
      <c r="AI680" s="100">
        <f t="shared" si="338"/>
        <v>8.4618320189071811E-2</v>
      </c>
    </row>
    <row r="681" spans="2:35">
      <c r="B681" s="39">
        <f t="shared" si="339"/>
        <v>653</v>
      </c>
      <c r="C681" s="45">
        <f t="shared" si="340"/>
        <v>19.182853717025186</v>
      </c>
      <c r="D681" s="10">
        <f t="shared" si="341"/>
        <v>-3.7328537170249554</v>
      </c>
      <c r="E681" s="40">
        <f t="shared" si="342"/>
        <v>55.805707434049914</v>
      </c>
      <c r="F681" s="40">
        <f t="shared" si="343"/>
        <v>48.34</v>
      </c>
      <c r="G681" s="3">
        <f t="shared" si="344"/>
        <v>51.46858513190017</v>
      </c>
      <c r="H681" s="3">
        <f t="shared" si="345"/>
        <v>148.0155219248214</v>
      </c>
      <c r="I681">
        <f t="shared" si="330"/>
        <v>1.4801552192482141E-4</v>
      </c>
      <c r="J681" s="4">
        <f t="shared" si="346"/>
        <v>2450.5061872420547</v>
      </c>
      <c r="K681" s="40">
        <f t="shared" si="347"/>
        <v>16.555737907587098</v>
      </c>
      <c r="L681" s="40">
        <f t="shared" si="331"/>
        <v>0</v>
      </c>
      <c r="M681" s="10">
        <f t="shared" si="348"/>
        <v>0.60945705095874858</v>
      </c>
      <c r="N681" s="10">
        <f t="shared" si="327"/>
        <v>8.26</v>
      </c>
      <c r="O681" s="10">
        <f t="shared" si="328"/>
        <v>0.31900000000000001</v>
      </c>
      <c r="P681" s="10">
        <f t="shared" si="349"/>
        <v>7.0530489519674786</v>
      </c>
      <c r="Q681" s="45">
        <f t="shared" si="350"/>
        <v>2.2860008605692559</v>
      </c>
      <c r="R681" s="4">
        <f t="shared" si="351"/>
        <v>-31430.005153286056</v>
      </c>
      <c r="S681">
        <f t="shared" si="332"/>
        <v>-3.1430005153286058E-5</v>
      </c>
      <c r="T681" s="44">
        <f t="shared" si="333"/>
        <v>2.6729779078860148E-4</v>
      </c>
      <c r="U681" s="45">
        <f t="shared" si="352"/>
        <v>-5.6402715747829492E-2</v>
      </c>
      <c r="V681" s="45">
        <f t="shared" si="353"/>
        <v>8.3493430281833231E-2</v>
      </c>
      <c r="W681" s="45">
        <f t="shared" si="354"/>
        <v>8.4073866260441776E-2</v>
      </c>
      <c r="X681" s="45">
        <f t="shared" si="355"/>
        <v>-5.8043597860854557E-4</v>
      </c>
      <c r="Y681" s="45">
        <f t="shared" si="329"/>
        <v>4.1765919477195087E-4</v>
      </c>
      <c r="Z681" s="10">
        <f t="shared" si="356"/>
        <v>1.5625239308553287</v>
      </c>
      <c r="AA681">
        <f t="shared" si="334"/>
        <v>606164.35869796248</v>
      </c>
      <c r="AB681" s="10">
        <f t="shared" si="335"/>
        <v>0.60616435869796248</v>
      </c>
      <c r="AC681" s="10">
        <f t="shared" si="336"/>
        <v>0.5051643586979625</v>
      </c>
      <c r="AD681" s="3">
        <f t="shared" si="337"/>
        <v>73.265316707463739</v>
      </c>
      <c r="AI681" s="100">
        <f t="shared" si="338"/>
        <v>8.4073866260441776E-2</v>
      </c>
    </row>
    <row r="682" spans="2:35">
      <c r="B682" s="39">
        <f t="shared" si="339"/>
        <v>654</v>
      </c>
      <c r="C682" s="45">
        <f t="shared" si="340"/>
        <v>19.212230215826143</v>
      </c>
      <c r="D682" s="10">
        <f t="shared" si="341"/>
        <v>-3.7622302158259124</v>
      </c>
      <c r="E682" s="40">
        <f t="shared" si="342"/>
        <v>55.864460431651828</v>
      </c>
      <c r="F682" s="40">
        <f t="shared" si="343"/>
        <v>48.34</v>
      </c>
      <c r="G682" s="3">
        <f t="shared" si="344"/>
        <v>51.351079136696342</v>
      </c>
      <c r="H682" s="3">
        <f t="shared" si="345"/>
        <v>148.0155219248214</v>
      </c>
      <c r="I682">
        <f t="shared" si="330"/>
        <v>1.4801552192482141E-4</v>
      </c>
      <c r="J682" s="4">
        <f t="shared" si="346"/>
        <v>2455.6591509023092</v>
      </c>
      <c r="K682" s="40">
        <f t="shared" si="347"/>
        <v>16.590551578432184</v>
      </c>
      <c r="L682" s="40">
        <f t="shared" si="331"/>
        <v>0</v>
      </c>
      <c r="M682" s="10">
        <f t="shared" si="348"/>
        <v>0.60616435869796248</v>
      </c>
      <c r="N682" s="10">
        <f t="shared" si="327"/>
        <v>8.26</v>
      </c>
      <c r="O682" s="10">
        <f t="shared" si="328"/>
        <v>0.31900000000000001</v>
      </c>
      <c r="P682" s="10">
        <f t="shared" si="349"/>
        <v>7.0408709444307895</v>
      </c>
      <c r="Q682" s="45">
        <f t="shared" si="350"/>
        <v>2.2901731425259637</v>
      </c>
      <c r="R682" s="4">
        <f t="shared" si="351"/>
        <v>-31622.858732730685</v>
      </c>
      <c r="S682">
        <f t="shared" si="332"/>
        <v>-3.1622858732730686E-5</v>
      </c>
      <c r="T682" s="44">
        <f t="shared" si="333"/>
        <v>2.6749064436804612E-4</v>
      </c>
      <c r="U682" s="45">
        <f t="shared" si="352"/>
        <v>-5.6748801138821844E-2</v>
      </c>
      <c r="V682" s="45">
        <f t="shared" si="353"/>
        <v>8.2948706387387647E-2</v>
      </c>
      <c r="W682" s="45">
        <f t="shared" si="354"/>
        <v>8.3529416403274617E-2</v>
      </c>
      <c r="X682" s="45">
        <f t="shared" si="355"/>
        <v>-5.8071001588697047E-4</v>
      </c>
      <c r="Y682" s="45">
        <f t="shared" si="329"/>
        <v>4.1523630885058614E-4</v>
      </c>
      <c r="Z682" s="10">
        <f t="shared" si="356"/>
        <v>1.5523395587594966</v>
      </c>
      <c r="AA682">
        <f t="shared" si="334"/>
        <v>602871.74877568358</v>
      </c>
      <c r="AB682" s="10">
        <f t="shared" si="335"/>
        <v>0.60287174877568361</v>
      </c>
      <c r="AC682" s="10">
        <f t="shared" si="336"/>
        <v>0.50187174877568363</v>
      </c>
      <c r="AD682" s="3">
        <f t="shared" si="337"/>
        <v>72.787780823159338</v>
      </c>
      <c r="AI682" s="100">
        <f t="shared" si="338"/>
        <v>8.3529416403274617E-2</v>
      </c>
    </row>
    <row r="683" spans="2:35">
      <c r="B683" s="39">
        <f t="shared" si="339"/>
        <v>655</v>
      </c>
      <c r="C683" s="45">
        <f t="shared" si="340"/>
        <v>19.2416067146271</v>
      </c>
      <c r="D683" s="10">
        <f t="shared" si="341"/>
        <v>-3.7916067146268695</v>
      </c>
      <c r="E683" s="40">
        <f t="shared" si="342"/>
        <v>55.923213429253742</v>
      </c>
      <c r="F683" s="40">
        <f t="shared" si="343"/>
        <v>48.34</v>
      </c>
      <c r="G683" s="3">
        <f t="shared" si="344"/>
        <v>51.233573141492514</v>
      </c>
      <c r="H683" s="3">
        <f t="shared" si="345"/>
        <v>148.0155219248214</v>
      </c>
      <c r="I683">
        <f t="shared" si="330"/>
        <v>1.4801552192482141E-4</v>
      </c>
      <c r="J683" s="4">
        <f t="shared" si="346"/>
        <v>2460.8175368175371</v>
      </c>
      <c r="K683" s="40">
        <f t="shared" si="347"/>
        <v>16.625401882293207</v>
      </c>
      <c r="L683" s="40">
        <f t="shared" si="331"/>
        <v>0</v>
      </c>
      <c r="M683" s="10">
        <f t="shared" si="348"/>
        <v>0.60287174877568361</v>
      </c>
      <c r="N683" s="10">
        <f t="shared" si="327"/>
        <v>8.26</v>
      </c>
      <c r="O683" s="10">
        <f t="shared" si="328"/>
        <v>0.31900000000000001</v>
      </c>
      <c r="P683" s="10">
        <f t="shared" si="349"/>
        <v>7.0286481105055083</v>
      </c>
      <c r="Q683" s="45">
        <f t="shared" si="350"/>
        <v>2.294352680089816</v>
      </c>
      <c r="R683" s="4">
        <f t="shared" si="351"/>
        <v>-31814.779105425805</v>
      </c>
      <c r="S683">
        <f t="shared" si="332"/>
        <v>-3.1814779105425808E-5</v>
      </c>
      <c r="T683" s="44">
        <f t="shared" si="333"/>
        <v>2.6768256474074125E-4</v>
      </c>
      <c r="U683" s="45">
        <f t="shared" si="352"/>
        <v>-5.7093211843641876E-2</v>
      </c>
      <c r="V683" s="45">
        <f t="shared" si="353"/>
        <v>8.2404021870446084E-2</v>
      </c>
      <c r="W683" s="45">
        <f t="shared" si="354"/>
        <v>8.2984980160859451E-2</v>
      </c>
      <c r="X683" s="45">
        <f t="shared" si="355"/>
        <v>-5.8095829041336644E-4</v>
      </c>
      <c r="Y683" s="45">
        <f t="shared" si="329"/>
        <v>4.1280817185277211E-4</v>
      </c>
      <c r="Z683" s="10">
        <f t="shared" si="356"/>
        <v>1.5421556209781142</v>
      </c>
      <c r="AA683">
        <f t="shared" si="334"/>
        <v>599579.27926736977</v>
      </c>
      <c r="AB683" s="10">
        <f t="shared" si="335"/>
        <v>0.59957927926736976</v>
      </c>
      <c r="AC683" s="10">
        <f t="shared" si="336"/>
        <v>0.49857927926736978</v>
      </c>
      <c r="AD683" s="3">
        <f t="shared" si="337"/>
        <v>72.31026530346189</v>
      </c>
      <c r="AI683" s="100">
        <f t="shared" si="338"/>
        <v>8.2984980160859451E-2</v>
      </c>
    </row>
    <row r="684" spans="2:35">
      <c r="B684" s="39">
        <f t="shared" si="339"/>
        <v>656</v>
      </c>
      <c r="C684" s="45">
        <f t="shared" si="340"/>
        <v>19.270983213428057</v>
      </c>
      <c r="D684" s="10">
        <f t="shared" si="341"/>
        <v>-3.8209832134278265</v>
      </c>
      <c r="E684" s="40">
        <f t="shared" si="342"/>
        <v>55.981966426855656</v>
      </c>
      <c r="F684" s="40">
        <f t="shared" si="343"/>
        <v>48.34</v>
      </c>
      <c r="G684" s="3">
        <f t="shared" si="344"/>
        <v>51.116067146288685</v>
      </c>
      <c r="H684" s="3">
        <f t="shared" si="345"/>
        <v>148.0155219248214</v>
      </c>
      <c r="I684">
        <f t="shared" si="330"/>
        <v>1.4801552192482141E-4</v>
      </c>
      <c r="J684" s="4">
        <f t="shared" si="346"/>
        <v>2465.9813449877392</v>
      </c>
      <c r="K684" s="40">
        <f t="shared" si="347"/>
        <v>16.660288819170169</v>
      </c>
      <c r="L684" s="40">
        <f t="shared" si="331"/>
        <v>0</v>
      </c>
      <c r="M684" s="10">
        <f t="shared" si="348"/>
        <v>0.59957927926736976</v>
      </c>
      <c r="N684" s="10">
        <f t="shared" si="327"/>
        <v>8.26</v>
      </c>
      <c r="O684" s="10">
        <f t="shared" si="328"/>
        <v>0.31900000000000001</v>
      </c>
      <c r="P684" s="10">
        <f t="shared" si="349"/>
        <v>7.0163802552775074</v>
      </c>
      <c r="Q684" s="45">
        <f t="shared" si="350"/>
        <v>2.298539525404943</v>
      </c>
      <c r="R684" s="4">
        <f t="shared" si="351"/>
        <v>-32005.76435992905</v>
      </c>
      <c r="S684">
        <f t="shared" si="332"/>
        <v>-3.2005764359929052E-5</v>
      </c>
      <c r="T684" s="44">
        <f t="shared" si="333"/>
        <v>2.6787354999524446E-4</v>
      </c>
      <c r="U684" s="45">
        <f t="shared" si="352"/>
        <v>-5.7435944432110669E-2</v>
      </c>
      <c r="V684" s="45">
        <f t="shared" si="353"/>
        <v>8.1859386404963055E-2</v>
      </c>
      <c r="W684" s="45">
        <f t="shared" si="354"/>
        <v>8.2440567136029527E-2</v>
      </c>
      <c r="X684" s="45">
        <f t="shared" si="355"/>
        <v>-5.8118073106647183E-4</v>
      </c>
      <c r="Y684" s="45">
        <f t="shared" si="329"/>
        <v>4.1037485803166435E-4</v>
      </c>
      <c r="Z684" s="10">
        <f t="shared" si="356"/>
        <v>1.5319722982689024</v>
      </c>
      <c r="AA684">
        <f t="shared" si="334"/>
        <v>596287.00861203484</v>
      </c>
      <c r="AB684" s="10">
        <f t="shared" si="335"/>
        <v>0.59628700861203487</v>
      </c>
      <c r="AC684" s="10">
        <f t="shared" si="336"/>
        <v>0.4952870086120349</v>
      </c>
      <c r="AD684" s="3">
        <f t="shared" si="337"/>
        <v>71.83277862393544</v>
      </c>
      <c r="AI684" s="100">
        <f t="shared" si="338"/>
        <v>8.2440567136029527E-2</v>
      </c>
    </row>
    <row r="685" spans="2:35">
      <c r="B685" s="39">
        <f t="shared" si="339"/>
        <v>657</v>
      </c>
      <c r="C685" s="45">
        <f t="shared" si="340"/>
        <v>19.300359712229014</v>
      </c>
      <c r="D685" s="10">
        <f t="shared" si="341"/>
        <v>-3.8503597122287836</v>
      </c>
      <c r="E685" s="40">
        <f t="shared" si="342"/>
        <v>56.040719424457571</v>
      </c>
      <c r="F685" s="40">
        <f t="shared" si="343"/>
        <v>48.34</v>
      </c>
      <c r="G685" s="3">
        <f t="shared" si="344"/>
        <v>50.998561151084857</v>
      </c>
      <c r="H685" s="3">
        <f t="shared" si="345"/>
        <v>148.0155219248214</v>
      </c>
      <c r="I685">
        <f t="shared" si="330"/>
        <v>1.4801552192482141E-4</v>
      </c>
      <c r="J685" s="4">
        <f t="shared" si="346"/>
        <v>2471.1505754129153</v>
      </c>
      <c r="K685" s="40">
        <f t="shared" si="347"/>
        <v>16.695212389063073</v>
      </c>
      <c r="L685" s="40">
        <f t="shared" si="331"/>
        <v>0</v>
      </c>
      <c r="M685" s="10">
        <f t="shared" si="348"/>
        <v>0.59628700861203487</v>
      </c>
      <c r="N685" s="10">
        <f t="shared" si="327"/>
        <v>8.26</v>
      </c>
      <c r="O685" s="10">
        <f t="shared" si="328"/>
        <v>0.31900000000000001</v>
      </c>
      <c r="P685" s="10">
        <f t="shared" si="349"/>
        <v>7.0040671823925758</v>
      </c>
      <c r="Q685" s="45">
        <f t="shared" si="350"/>
        <v>2.3027337311479728</v>
      </c>
      <c r="R685" s="4">
        <f t="shared" si="351"/>
        <v>-32195.812584797986</v>
      </c>
      <c r="S685">
        <f t="shared" si="332"/>
        <v>-3.2195812584797985E-5</v>
      </c>
      <c r="T685" s="44">
        <f t="shared" si="333"/>
        <v>2.6806359822011339E-4</v>
      </c>
      <c r="U685" s="45">
        <f t="shared" si="352"/>
        <v>-5.7776995474049228E-2</v>
      </c>
      <c r="V685" s="45">
        <f t="shared" si="353"/>
        <v>8.1314809724187434E-2</v>
      </c>
      <c r="W685" s="45">
        <f t="shared" si="354"/>
        <v>8.1896186991732428E-2</v>
      </c>
      <c r="X685" s="45">
        <f t="shared" si="355"/>
        <v>-5.8137726754499408E-4</v>
      </c>
      <c r="Y685" s="45">
        <f t="shared" si="329"/>
        <v>4.0793644215726021E-4</v>
      </c>
      <c r="Z685" s="10">
        <f t="shared" si="356"/>
        <v>1.5217897725236602</v>
      </c>
      <c r="AA685">
        <f t="shared" si="334"/>
        <v>592994.99561534112</v>
      </c>
      <c r="AB685" s="10">
        <f t="shared" si="335"/>
        <v>0.59299499561534108</v>
      </c>
      <c r="AC685" s="10">
        <f t="shared" si="336"/>
        <v>0.4919949956153411</v>
      </c>
      <c r="AD685" s="3">
        <f t="shared" si="337"/>
        <v>71.355329313319956</v>
      </c>
      <c r="AI685" s="100">
        <f t="shared" si="338"/>
        <v>8.1896186991732428E-2</v>
      </c>
    </row>
    <row r="686" spans="2:35">
      <c r="B686" s="39">
        <f t="shared" si="339"/>
        <v>658</v>
      </c>
      <c r="C686" s="45">
        <f t="shared" si="340"/>
        <v>19.329736211029971</v>
      </c>
      <c r="D686" s="10">
        <f t="shared" si="341"/>
        <v>-3.8797362110297406</v>
      </c>
      <c r="E686" s="40">
        <f t="shared" si="342"/>
        <v>56.099472422059485</v>
      </c>
      <c r="F686" s="40">
        <f t="shared" si="343"/>
        <v>48.34</v>
      </c>
      <c r="G686" s="3">
        <f t="shared" si="344"/>
        <v>50.881055155881029</v>
      </c>
      <c r="H686" s="3">
        <f t="shared" si="345"/>
        <v>148.0155219248214</v>
      </c>
      <c r="I686">
        <f t="shared" si="330"/>
        <v>1.4801552192482141E-4</v>
      </c>
      <c r="J686" s="4">
        <f t="shared" si="346"/>
        <v>2476.3252280930651</v>
      </c>
      <c r="K686" s="40">
        <f t="shared" si="347"/>
        <v>16.730172591971915</v>
      </c>
      <c r="L686" s="40">
        <f t="shared" si="331"/>
        <v>0</v>
      </c>
      <c r="M686" s="10">
        <f t="shared" si="348"/>
        <v>0.59299499561534108</v>
      </c>
      <c r="N686" s="10">
        <f t="shared" si="327"/>
        <v>8.26</v>
      </c>
      <c r="O686" s="10">
        <f t="shared" si="328"/>
        <v>0.31900000000000001</v>
      </c>
      <c r="P686" s="10">
        <f t="shared" si="349"/>
        <v>6.991708694046161</v>
      </c>
      <c r="Q686" s="45">
        <f t="shared" si="350"/>
        <v>2.3069353505355159</v>
      </c>
      <c r="R686" s="4">
        <f t="shared" si="351"/>
        <v>-32384.921868590212</v>
      </c>
      <c r="S686">
        <f t="shared" si="332"/>
        <v>-3.2384921868590213E-5</v>
      </c>
      <c r="T686" s="44">
        <f t="shared" si="333"/>
        <v>2.6825270750390563E-4</v>
      </c>
      <c r="U686" s="45">
        <f t="shared" si="352"/>
        <v>-5.8116361539278558E-2</v>
      </c>
      <c r="V686" s="45">
        <f t="shared" si="353"/>
        <v>8.0770301621196999E-2</v>
      </c>
      <c r="W686" s="45">
        <f t="shared" si="354"/>
        <v>8.1351849451541378E-2</v>
      </c>
      <c r="X686" s="45">
        <f t="shared" si="355"/>
        <v>-5.8154783034437829E-4</v>
      </c>
      <c r="Y686" s="45">
        <f t="shared" si="329"/>
        <v>4.0549299951850163E-4</v>
      </c>
      <c r="Z686" s="10">
        <f t="shared" si="356"/>
        <v>1.5116082267784672</v>
      </c>
      <c r="AA686">
        <f t="shared" si="334"/>
        <v>589703.29945289646</v>
      </c>
      <c r="AB686" s="10">
        <f t="shared" si="335"/>
        <v>0.58970329945289646</v>
      </c>
      <c r="AC686" s="10">
        <f t="shared" si="336"/>
        <v>0.48870329945289648</v>
      </c>
      <c r="AD686" s="3">
        <f t="shared" si="337"/>
        <v>70.87792595400964</v>
      </c>
      <c r="AI686" s="100">
        <f t="shared" si="338"/>
        <v>8.1351849451541378E-2</v>
      </c>
    </row>
    <row r="687" spans="2:35">
      <c r="B687" s="39">
        <f t="shared" si="339"/>
        <v>659</v>
      </c>
      <c r="C687" s="45">
        <f t="shared" si="340"/>
        <v>19.359112709830928</v>
      </c>
      <c r="D687" s="10">
        <f t="shared" si="341"/>
        <v>-3.9091127098306977</v>
      </c>
      <c r="E687" s="40">
        <f t="shared" si="342"/>
        <v>56.158225419661399</v>
      </c>
      <c r="F687" s="40">
        <f t="shared" si="343"/>
        <v>48.34</v>
      </c>
      <c r="G687" s="3">
        <f t="shared" si="344"/>
        <v>50.763549160677201</v>
      </c>
      <c r="H687" s="3">
        <f t="shared" si="345"/>
        <v>148.0155219248214</v>
      </c>
      <c r="I687">
        <f t="shared" si="330"/>
        <v>1.4801552192482141E-4</v>
      </c>
      <c r="J687" s="4">
        <f t="shared" si="346"/>
        <v>2481.5053030281888</v>
      </c>
      <c r="K687" s="40">
        <f t="shared" si="347"/>
        <v>16.765169427896694</v>
      </c>
      <c r="L687" s="40">
        <f t="shared" si="331"/>
        <v>0</v>
      </c>
      <c r="M687" s="10">
        <f t="shared" si="348"/>
        <v>0.58970329945289646</v>
      </c>
      <c r="N687" s="10">
        <f t="shared" si="327"/>
        <v>8.26</v>
      </c>
      <c r="O687" s="10">
        <f t="shared" si="328"/>
        <v>0.31900000000000001</v>
      </c>
      <c r="P687" s="10">
        <f t="shared" si="349"/>
        <v>6.9793045909737739</v>
      </c>
      <c r="Q687" s="45">
        <f t="shared" si="350"/>
        <v>2.311144437331778</v>
      </c>
      <c r="R687" s="4">
        <f t="shared" si="351"/>
        <v>-32573.090299863346</v>
      </c>
      <c r="S687">
        <f t="shared" si="332"/>
        <v>-3.2573090299863345E-5</v>
      </c>
      <c r="T687" s="44">
        <f t="shared" si="333"/>
        <v>2.6844087593517877E-4</v>
      </c>
      <c r="U687" s="45">
        <f t="shared" si="352"/>
        <v>-5.8454039197619767E-2</v>
      </c>
      <c r="V687" s="45">
        <f t="shared" si="353"/>
        <v>8.0225871949489602E-2</v>
      </c>
      <c r="W687" s="45">
        <f t="shared" si="354"/>
        <v>8.0807564300200599E-2</v>
      </c>
      <c r="X687" s="45">
        <f t="shared" si="355"/>
        <v>-5.8169235071099668E-4</v>
      </c>
      <c r="Y687" s="45">
        <f t="shared" si="329"/>
        <v>4.0304460592563733E-4</v>
      </c>
      <c r="Z687" s="10">
        <f t="shared" si="356"/>
        <v>1.5014278452248895</v>
      </c>
      <c r="AA687">
        <f t="shared" si="334"/>
        <v>586411.97967387817</v>
      </c>
      <c r="AB687" s="10">
        <f t="shared" si="335"/>
        <v>0.58641197967387815</v>
      </c>
      <c r="AC687" s="10">
        <f t="shared" si="336"/>
        <v>0.48541197967387817</v>
      </c>
      <c r="AD687" s="3">
        <f t="shared" si="337"/>
        <v>70.400577182578417</v>
      </c>
      <c r="AI687" s="100">
        <f t="shared" si="338"/>
        <v>8.0807564300200599E-2</v>
      </c>
    </row>
    <row r="688" spans="2:35">
      <c r="B688" s="39">
        <f t="shared" si="339"/>
        <v>660</v>
      </c>
      <c r="C688" s="45">
        <f t="shared" si="340"/>
        <v>19.388489208631885</v>
      </c>
      <c r="D688" s="10">
        <f t="shared" si="341"/>
        <v>-3.9384892086316547</v>
      </c>
      <c r="E688" s="40">
        <f t="shared" si="342"/>
        <v>56.216978417263313</v>
      </c>
      <c r="F688" s="40">
        <f t="shared" si="343"/>
        <v>48.34</v>
      </c>
      <c r="G688" s="3">
        <f t="shared" si="344"/>
        <v>50.646043165473372</v>
      </c>
      <c r="H688" s="3">
        <f t="shared" si="345"/>
        <v>148.0155219248214</v>
      </c>
      <c r="I688">
        <f t="shared" si="330"/>
        <v>1.4801552192482141E-4</v>
      </c>
      <c r="J688" s="4">
        <f t="shared" si="346"/>
        <v>2486.6908002182863</v>
      </c>
      <c r="K688" s="40">
        <f t="shared" si="347"/>
        <v>16.800202896837416</v>
      </c>
      <c r="L688" s="40">
        <f t="shared" si="331"/>
        <v>0</v>
      </c>
      <c r="M688" s="10">
        <f t="shared" si="348"/>
        <v>0.58641197967387815</v>
      </c>
      <c r="N688" s="10">
        <f t="shared" si="327"/>
        <v>8.26</v>
      </c>
      <c r="O688" s="10">
        <f t="shared" si="328"/>
        <v>0.31900000000000001</v>
      </c>
      <c r="P688" s="10">
        <f t="shared" si="349"/>
        <v>6.9668546724425209</v>
      </c>
      <c r="Q688" s="45">
        <f t="shared" si="350"/>
        <v>2.3153610458563043</v>
      </c>
      <c r="R688" s="4">
        <f t="shared" si="351"/>
        <v>-32760.315967174982</v>
      </c>
      <c r="S688">
        <f t="shared" si="332"/>
        <v>-3.2760315967174982E-5</v>
      </c>
      <c r="T688" s="44">
        <f t="shared" si="333"/>
        <v>2.686281016024904E-4</v>
      </c>
      <c r="U688" s="45">
        <f t="shared" si="352"/>
        <v>-5.8790025018893861E-2</v>
      </c>
      <c r="V688" s="45">
        <f t="shared" si="353"/>
        <v>7.9681530623438121E-2</v>
      </c>
      <c r="W688" s="45">
        <f t="shared" si="354"/>
        <v>8.026334138422421E-2</v>
      </c>
      <c r="X688" s="45">
        <f t="shared" si="355"/>
        <v>-5.8181076078608895E-4</v>
      </c>
      <c r="Y688" s="45">
        <f t="shared" si="329"/>
        <v>4.0059133771204556E-4</v>
      </c>
      <c r="Z688" s="10">
        <f t="shared" si="356"/>
        <v>1.491248813219219</v>
      </c>
      <c r="AA688">
        <f t="shared" si="334"/>
        <v>583121.09620401938</v>
      </c>
      <c r="AB688" s="10">
        <f t="shared" si="335"/>
        <v>0.58312109620401942</v>
      </c>
      <c r="AC688" s="10">
        <f t="shared" si="336"/>
        <v>0.48212109620401944</v>
      </c>
      <c r="AD688" s="3">
        <f t="shared" si="337"/>
        <v>69.923291690213119</v>
      </c>
      <c r="AI688" s="100">
        <f t="shared" si="338"/>
        <v>8.026334138422421E-2</v>
      </c>
    </row>
    <row r="689" spans="2:35">
      <c r="B689" s="39">
        <f t="shared" si="339"/>
        <v>661</v>
      </c>
      <c r="C689" s="45">
        <f t="shared" si="340"/>
        <v>19.417865707432842</v>
      </c>
      <c r="D689" s="10">
        <f t="shared" si="341"/>
        <v>-3.9678657074326118</v>
      </c>
      <c r="E689" s="40">
        <f t="shared" si="342"/>
        <v>56.275731414865227</v>
      </c>
      <c r="F689" s="40">
        <f t="shared" si="343"/>
        <v>48.34</v>
      </c>
      <c r="G689" s="3">
        <f t="shared" si="344"/>
        <v>50.528537170269544</v>
      </c>
      <c r="H689" s="3">
        <f t="shared" si="345"/>
        <v>148.0155219248214</v>
      </c>
      <c r="I689">
        <f t="shared" si="330"/>
        <v>1.4801552192482141E-4</v>
      </c>
      <c r="J689" s="4">
        <f t="shared" si="346"/>
        <v>2491.8817196633581</v>
      </c>
      <c r="K689" s="40">
        <f t="shared" si="347"/>
        <v>16.835272998794075</v>
      </c>
      <c r="L689" s="40">
        <f t="shared" si="331"/>
        <v>0</v>
      </c>
      <c r="M689" s="10">
        <f t="shared" si="348"/>
        <v>0.58312109620401942</v>
      </c>
      <c r="N689" s="10">
        <f t="shared" si="327"/>
        <v>8.26</v>
      </c>
      <c r="O689" s="10">
        <f t="shared" si="328"/>
        <v>0.31900000000000001</v>
      </c>
      <c r="P689" s="10">
        <f t="shared" si="349"/>
        <v>6.9543587362401462</v>
      </c>
      <c r="Q689" s="45">
        <f t="shared" si="350"/>
        <v>2.3195852309918616</v>
      </c>
      <c r="R689" s="4">
        <f t="shared" si="351"/>
        <v>-32946.596959082708</v>
      </c>
      <c r="S689">
        <f t="shared" si="332"/>
        <v>-3.2946596959082711E-5</v>
      </c>
      <c r="T689" s="44">
        <f t="shared" si="333"/>
        <v>2.6881438259439814E-4</v>
      </c>
      <c r="U689" s="45">
        <f t="shared" si="352"/>
        <v>-5.9124315572921873E-2</v>
      </c>
      <c r="V689" s="45">
        <f t="shared" si="353"/>
        <v>7.9137287618883209E-2</v>
      </c>
      <c r="W689" s="45">
        <f t="shared" si="354"/>
        <v>7.9719190612390273E-2</v>
      </c>
      <c r="X689" s="45">
        <f t="shared" si="355"/>
        <v>-5.8190299350706354E-4</v>
      </c>
      <c r="Y689" s="45">
        <f t="shared" si="329"/>
        <v>3.9813327173653671E-4</v>
      </c>
      <c r="Z689" s="10">
        <f t="shared" si="356"/>
        <v>1.4810713172935466</v>
      </c>
      <c r="AA689">
        <f t="shared" si="334"/>
        <v>579830.70934918954</v>
      </c>
      <c r="AB689" s="10">
        <f t="shared" si="335"/>
        <v>0.57983070934918957</v>
      </c>
      <c r="AC689" s="10">
        <f t="shared" si="336"/>
        <v>0.47883070934918959</v>
      </c>
      <c r="AD689" s="3">
        <f t="shared" si="337"/>
        <v>69.446078223232718</v>
      </c>
      <c r="AI689" s="100">
        <f t="shared" si="338"/>
        <v>7.9719190612390273E-2</v>
      </c>
    </row>
    <row r="690" spans="2:35">
      <c r="B690" s="39">
        <f t="shared" si="339"/>
        <v>662</v>
      </c>
      <c r="C690" s="45">
        <f t="shared" si="340"/>
        <v>19.447242206233799</v>
      </c>
      <c r="D690" s="10">
        <f t="shared" si="341"/>
        <v>-3.9972422062335689</v>
      </c>
      <c r="E690" s="40">
        <f t="shared" si="342"/>
        <v>56.334484412467141</v>
      </c>
      <c r="F690" s="40">
        <f t="shared" si="343"/>
        <v>48.34</v>
      </c>
      <c r="G690" s="3">
        <f t="shared" si="344"/>
        <v>50.411031175065716</v>
      </c>
      <c r="H690" s="3">
        <f t="shared" si="345"/>
        <v>148.0155219248214</v>
      </c>
      <c r="I690">
        <f t="shared" si="330"/>
        <v>1.4801552192482141E-4</v>
      </c>
      <c r="J690" s="4">
        <f t="shared" si="346"/>
        <v>2497.0780613634033</v>
      </c>
      <c r="K690" s="40">
        <f t="shared" si="347"/>
        <v>16.870379733766672</v>
      </c>
      <c r="L690" s="40">
        <f t="shared" si="331"/>
        <v>0</v>
      </c>
      <c r="M690" s="10">
        <f t="shared" si="348"/>
        <v>0.57983070934918957</v>
      </c>
      <c r="N690" s="10">
        <f t="shared" si="327"/>
        <v>8.26</v>
      </c>
      <c r="O690" s="10">
        <f t="shared" si="328"/>
        <v>0.31900000000000001</v>
      </c>
      <c r="P690" s="10">
        <f t="shared" si="349"/>
        <v>6.9418165786662245</v>
      </c>
      <c r="Q690" s="45">
        <f t="shared" si="350"/>
        <v>2.323817048192454</v>
      </c>
      <c r="R690" s="4">
        <f t="shared" si="351"/>
        <v>-33131.931364144133</v>
      </c>
      <c r="S690">
        <f t="shared" si="332"/>
        <v>-3.3131931364144131E-5</v>
      </c>
      <c r="T690" s="44">
        <f t="shared" si="333"/>
        <v>2.6899971699945955E-4</v>
      </c>
      <c r="U690" s="45">
        <f t="shared" si="352"/>
        <v>-5.945690742952485E-2</v>
      </c>
      <c r="V690" s="45">
        <f t="shared" si="353"/>
        <v>7.8593152973719521E-2</v>
      </c>
      <c r="W690" s="45">
        <f t="shared" si="354"/>
        <v>7.9175121956332778E-2</v>
      </c>
      <c r="X690" s="45">
        <f t="shared" si="355"/>
        <v>-5.819689826132568E-4</v>
      </c>
      <c r="Y690" s="45">
        <f t="shared" si="329"/>
        <v>3.9567048538570264E-4</v>
      </c>
      <c r="Z690" s="10">
        <f t="shared" si="356"/>
        <v>1.4708955451670516</v>
      </c>
      <c r="AA690">
        <f t="shared" si="334"/>
        <v>576540.87979904399</v>
      </c>
      <c r="AB690" s="10">
        <f t="shared" si="335"/>
        <v>0.576540879799044</v>
      </c>
      <c r="AC690" s="10">
        <f t="shared" si="336"/>
        <v>0.47554087979904403</v>
      </c>
      <c r="AD690" s="3">
        <f t="shared" si="337"/>
        <v>68.968945583617696</v>
      </c>
      <c r="AI690" s="100">
        <f t="shared" si="338"/>
        <v>7.9175121956332778E-2</v>
      </c>
    </row>
    <row r="691" spans="2:35">
      <c r="B691" s="39">
        <f t="shared" si="339"/>
        <v>663</v>
      </c>
      <c r="C691" s="45">
        <f t="shared" si="340"/>
        <v>19.476618705034756</v>
      </c>
      <c r="D691" s="10">
        <f t="shared" si="341"/>
        <v>-4.0266187050345259</v>
      </c>
      <c r="E691" s="40">
        <f t="shared" si="342"/>
        <v>56.393237410069055</v>
      </c>
      <c r="F691" s="40">
        <f t="shared" si="343"/>
        <v>48.34</v>
      </c>
      <c r="G691" s="3">
        <f t="shared" si="344"/>
        <v>50.293525179861888</v>
      </c>
      <c r="H691" s="3">
        <f t="shared" si="345"/>
        <v>148.0155219248214</v>
      </c>
      <c r="I691">
        <f t="shared" si="330"/>
        <v>1.4801552192482141E-4</v>
      </c>
      <c r="J691" s="4">
        <f t="shared" si="346"/>
        <v>2502.2798253184228</v>
      </c>
      <c r="K691" s="40">
        <f t="shared" si="347"/>
        <v>16.905523101755207</v>
      </c>
      <c r="L691" s="40">
        <f t="shared" si="331"/>
        <v>0</v>
      </c>
      <c r="M691" s="10">
        <f t="shared" si="348"/>
        <v>0.576540879799044</v>
      </c>
      <c r="N691" s="10">
        <f t="shared" si="327"/>
        <v>8.26</v>
      </c>
      <c r="O691" s="10">
        <f t="shared" si="328"/>
        <v>0.31900000000000001</v>
      </c>
      <c r="P691" s="10">
        <f t="shared" si="349"/>
        <v>6.9292279945235249</v>
      </c>
      <c r="Q691" s="45">
        <f t="shared" si="350"/>
        <v>2.3280565534914825</v>
      </c>
      <c r="R691" s="4">
        <f t="shared" si="351"/>
        <v>-33316.317270916858</v>
      </c>
      <c r="S691">
        <f t="shared" si="332"/>
        <v>-3.3316317270916859E-5</v>
      </c>
      <c r="T691" s="44">
        <f t="shared" si="333"/>
        <v>2.6918410290623226E-4</v>
      </c>
      <c r="U691" s="45">
        <f t="shared" si="352"/>
        <v>-5.9787797158523844E-2</v>
      </c>
      <c r="V691" s="45">
        <f t="shared" si="353"/>
        <v>7.804913678839337E-2</v>
      </c>
      <c r="W691" s="45">
        <f t="shared" si="354"/>
        <v>7.8631145451145065E-2</v>
      </c>
      <c r="X691" s="45">
        <f t="shared" si="355"/>
        <v>-5.8200866275169572E-4</v>
      </c>
      <c r="Y691" s="45">
        <f t="shared" si="329"/>
        <v>3.9320305657588635E-4</v>
      </c>
      <c r="Z691" s="10">
        <f t="shared" si="356"/>
        <v>1.4607216857559189</v>
      </c>
      <c r="AA691">
        <f t="shared" si="334"/>
        <v>573251.66863023024</v>
      </c>
      <c r="AB691" s="10">
        <f t="shared" si="335"/>
        <v>0.57325166863023025</v>
      </c>
      <c r="AC691" s="10">
        <f t="shared" si="336"/>
        <v>0.47225166863023027</v>
      </c>
      <c r="AD691" s="3">
        <f t="shared" si="337"/>
        <v>68.491902629475021</v>
      </c>
      <c r="AI691" s="100">
        <f t="shared" si="338"/>
        <v>7.8631145451145065E-2</v>
      </c>
    </row>
    <row r="692" spans="2:35">
      <c r="B692" s="39">
        <f t="shared" si="339"/>
        <v>664</v>
      </c>
      <c r="C692" s="45">
        <f t="shared" si="340"/>
        <v>19.505995203835713</v>
      </c>
      <c r="D692" s="10">
        <f t="shared" si="341"/>
        <v>-4.055995203835483</v>
      </c>
      <c r="E692" s="40">
        <f t="shared" si="342"/>
        <v>56.451990407670969</v>
      </c>
      <c r="F692" s="40">
        <f t="shared" si="343"/>
        <v>48.34</v>
      </c>
      <c r="G692" s="3">
        <f t="shared" si="344"/>
        <v>50.17601918465806</v>
      </c>
      <c r="H692" s="3">
        <f t="shared" si="345"/>
        <v>148.0155219248214</v>
      </c>
      <c r="I692">
        <f t="shared" si="330"/>
        <v>1.4801552192482141E-4</v>
      </c>
      <c r="J692" s="4">
        <f t="shared" si="346"/>
        <v>2507.4870115284161</v>
      </c>
      <c r="K692" s="40">
        <f t="shared" si="347"/>
        <v>16.940703102759684</v>
      </c>
      <c r="L692" s="40">
        <f t="shared" si="331"/>
        <v>0</v>
      </c>
      <c r="M692" s="10">
        <f t="shared" si="348"/>
        <v>0.57325166863023025</v>
      </c>
      <c r="N692" s="10">
        <f t="shared" si="327"/>
        <v>8.26</v>
      </c>
      <c r="O692" s="10">
        <f t="shared" si="328"/>
        <v>0.31900000000000001</v>
      </c>
      <c r="P692" s="10">
        <f t="shared" si="349"/>
        <v>6.9165927771076285</v>
      </c>
      <c r="Q692" s="45">
        <f t="shared" si="350"/>
        <v>2.3323038035100447</v>
      </c>
      <c r="R692" s="4">
        <f t="shared" si="351"/>
        <v>-33499.752767958475</v>
      </c>
      <c r="S692">
        <f t="shared" si="332"/>
        <v>-3.3499752767958474E-5</v>
      </c>
      <c r="T692" s="44">
        <f t="shared" si="333"/>
        <v>2.6936753840327391E-4</v>
      </c>
      <c r="U692" s="45">
        <f t="shared" si="352"/>
        <v>-6.0116981329739881E-2</v>
      </c>
      <c r="V692" s="45">
        <f t="shared" si="353"/>
        <v>7.7505249226527906E-2</v>
      </c>
      <c r="W692" s="45">
        <f t="shared" si="354"/>
        <v>7.8087271195910038E-2</v>
      </c>
      <c r="X692" s="45">
        <f t="shared" si="355"/>
        <v>-5.8202196938213213E-4</v>
      </c>
      <c r="Y692" s="45">
        <f t="shared" si="329"/>
        <v>3.9073106375562449E-4</v>
      </c>
      <c r="Z692" s="10">
        <f t="shared" si="356"/>
        <v>1.4505499291850659</v>
      </c>
      <c r="AA692">
        <f t="shared" si="334"/>
        <v>569963.1373101793</v>
      </c>
      <c r="AB692" s="10">
        <f t="shared" si="335"/>
        <v>0.56996313731017934</v>
      </c>
      <c r="AC692" s="10">
        <f t="shared" si="336"/>
        <v>0.46896313731017936</v>
      </c>
      <c r="AD692" s="3">
        <f t="shared" si="337"/>
        <v>68.014958275588015</v>
      </c>
      <c r="AI692" s="100">
        <f t="shared" si="338"/>
        <v>7.8087271195910038E-2</v>
      </c>
    </row>
    <row r="693" spans="2:35">
      <c r="B693" s="39">
        <f t="shared" si="339"/>
        <v>665</v>
      </c>
      <c r="C693" s="45">
        <f t="shared" si="340"/>
        <v>19.53537170263667</v>
      </c>
      <c r="D693" s="10">
        <f t="shared" si="341"/>
        <v>-4.08537170263644</v>
      </c>
      <c r="E693" s="40">
        <f t="shared" si="342"/>
        <v>56.510743405272883</v>
      </c>
      <c r="F693" s="40">
        <f t="shared" si="343"/>
        <v>48.34</v>
      </c>
      <c r="G693" s="3">
        <f t="shared" si="344"/>
        <v>50.058513189454231</v>
      </c>
      <c r="H693" s="3">
        <f t="shared" si="345"/>
        <v>148.0155219248214</v>
      </c>
      <c r="I693">
        <f t="shared" si="330"/>
        <v>1.4801552192482141E-4</v>
      </c>
      <c r="J693" s="4">
        <f t="shared" si="346"/>
        <v>2512.6996199933837</v>
      </c>
      <c r="K693" s="40">
        <f t="shared" si="347"/>
        <v>16.975919736780103</v>
      </c>
      <c r="L693" s="40">
        <f t="shared" si="331"/>
        <v>0</v>
      </c>
      <c r="M693" s="10">
        <f t="shared" si="348"/>
        <v>0.56996313731017934</v>
      </c>
      <c r="N693" s="10">
        <f t="shared" si="327"/>
        <v>8.26</v>
      </c>
      <c r="O693" s="10">
        <f t="shared" si="328"/>
        <v>0.31900000000000001</v>
      </c>
      <c r="P693" s="10">
        <f t="shared" si="349"/>
        <v>6.9039107181986861</v>
      </c>
      <c r="Q693" s="45">
        <f t="shared" si="350"/>
        <v>2.336558855465384</v>
      </c>
      <c r="R693" s="4">
        <f t="shared" si="351"/>
        <v>-33682.235943826585</v>
      </c>
      <c r="S693">
        <f t="shared" si="332"/>
        <v>-3.3682235943826583E-5</v>
      </c>
      <c r="T693" s="44">
        <f t="shared" si="333"/>
        <v>2.6955002157914198E-4</v>
      </c>
      <c r="U693" s="45">
        <f t="shared" si="352"/>
        <v>-6.0444456512993995E-2</v>
      </c>
      <c r="V693" s="45">
        <f t="shared" si="353"/>
        <v>7.6961500515451128E-2</v>
      </c>
      <c r="W693" s="45">
        <f t="shared" si="354"/>
        <v>7.7543509354326939E-2</v>
      </c>
      <c r="X693" s="45">
        <f t="shared" si="355"/>
        <v>-5.8200883887581101E-4</v>
      </c>
      <c r="Y693" s="45">
        <f t="shared" si="329"/>
        <v>3.8825458590774126E-4</v>
      </c>
      <c r="Z693" s="10">
        <f t="shared" si="356"/>
        <v>1.4403804667986149</v>
      </c>
      <c r="AA693">
        <f t="shared" si="334"/>
        <v>566675.34770049155</v>
      </c>
      <c r="AB693" s="10">
        <f t="shared" si="335"/>
        <v>0.56667534770049155</v>
      </c>
      <c r="AC693" s="10">
        <f t="shared" si="336"/>
        <v>0.46567534770049157</v>
      </c>
      <c r="AD693" s="3">
        <f t="shared" si="337"/>
        <v>67.538121493907397</v>
      </c>
      <c r="AI693" s="100">
        <f t="shared" si="338"/>
        <v>7.7543509354326939E-2</v>
      </c>
    </row>
    <row r="694" spans="2:35">
      <c r="B694" s="39">
        <f t="shared" si="339"/>
        <v>666</v>
      </c>
      <c r="C694" s="45">
        <f t="shared" si="340"/>
        <v>19.564748201437627</v>
      </c>
      <c r="D694" s="10">
        <f t="shared" si="341"/>
        <v>-4.1147482014373971</v>
      </c>
      <c r="E694" s="40">
        <f t="shared" si="342"/>
        <v>56.569496402874798</v>
      </c>
      <c r="F694" s="40">
        <f t="shared" si="343"/>
        <v>48.34</v>
      </c>
      <c r="G694" s="3">
        <f t="shared" si="344"/>
        <v>49.941007194250403</v>
      </c>
      <c r="H694" s="3">
        <f t="shared" si="345"/>
        <v>148.0155219248214</v>
      </c>
      <c r="I694">
        <f t="shared" si="330"/>
        <v>1.4801552192482141E-4</v>
      </c>
      <c r="J694" s="4">
        <f t="shared" si="346"/>
        <v>2517.9176507133247</v>
      </c>
      <c r="K694" s="40">
        <f t="shared" si="347"/>
        <v>17.011173003816456</v>
      </c>
      <c r="L694" s="40">
        <f t="shared" si="331"/>
        <v>0</v>
      </c>
      <c r="M694" s="10">
        <f t="shared" si="348"/>
        <v>0.56667534770049155</v>
      </c>
      <c r="N694" s="10">
        <f t="shared" si="327"/>
        <v>8.26</v>
      </c>
      <c r="O694" s="10">
        <f t="shared" si="328"/>
        <v>0.31900000000000001</v>
      </c>
      <c r="P694" s="10">
        <f t="shared" si="349"/>
        <v>6.891181608051558</v>
      </c>
      <c r="Q694" s="45">
        <f t="shared" si="350"/>
        <v>2.3408217671794844</v>
      </c>
      <c r="R694" s="4">
        <f t="shared" si="351"/>
        <v>-33863.764887078803</v>
      </c>
      <c r="S694">
        <f t="shared" si="332"/>
        <v>-3.3863764887078802E-5</v>
      </c>
      <c r="T694" s="44">
        <f t="shared" si="333"/>
        <v>2.6973155052239422E-4</v>
      </c>
      <c r="U694" s="45">
        <f t="shared" si="352"/>
        <v>-6.077021927810726E-2</v>
      </c>
      <c r="V694" s="45">
        <f t="shared" si="353"/>
        <v>7.6417900946843378E-2</v>
      </c>
      <c r="W694" s="45">
        <f t="shared" si="354"/>
        <v>7.6999870155271391E-2</v>
      </c>
      <c r="X694" s="45">
        <f t="shared" si="355"/>
        <v>-5.8196920842801259E-4</v>
      </c>
      <c r="Y694" s="45">
        <f t="shared" si="329"/>
        <v>3.8577370255188771E-4</v>
      </c>
      <c r="Z694" s="10">
        <f t="shared" si="356"/>
        <v>1.4302134911720652</v>
      </c>
      <c r="AA694">
        <f t="shared" si="334"/>
        <v>563388.36206087191</v>
      </c>
      <c r="AB694" s="10">
        <f t="shared" si="335"/>
        <v>0.56338836206087195</v>
      </c>
      <c r="AC694" s="10">
        <f t="shared" si="336"/>
        <v>0.46238836206087197</v>
      </c>
      <c r="AD694" s="3">
        <f t="shared" si="337"/>
        <v>67.061401314122108</v>
      </c>
      <c r="AI694" s="100">
        <f t="shared" si="338"/>
        <v>7.6999870155271391E-2</v>
      </c>
    </row>
    <row r="695" spans="2:35">
      <c r="B695" s="39">
        <f t="shared" si="339"/>
        <v>667</v>
      </c>
      <c r="C695" s="45">
        <f t="shared" si="340"/>
        <v>19.594124700238584</v>
      </c>
      <c r="D695" s="10">
        <f t="shared" si="341"/>
        <v>-4.1441247002383541</v>
      </c>
      <c r="E695" s="40">
        <f t="shared" si="342"/>
        <v>56.628249400476712</v>
      </c>
      <c r="F695" s="40">
        <f t="shared" si="343"/>
        <v>48.34</v>
      </c>
      <c r="G695" s="3">
        <f t="shared" si="344"/>
        <v>49.823501199046575</v>
      </c>
      <c r="H695" s="3">
        <f t="shared" si="345"/>
        <v>148.0155219248214</v>
      </c>
      <c r="I695">
        <f t="shared" si="330"/>
        <v>1.4801552192482141E-4</v>
      </c>
      <c r="J695" s="4">
        <f t="shared" si="346"/>
        <v>2523.14110368824</v>
      </c>
      <c r="K695" s="40">
        <f t="shared" si="347"/>
        <v>17.046462903868754</v>
      </c>
      <c r="L695" s="40">
        <f t="shared" si="331"/>
        <v>0</v>
      </c>
      <c r="M695" s="10">
        <f t="shared" si="348"/>
        <v>0.56338836206087195</v>
      </c>
      <c r="N695" s="10">
        <f t="shared" si="327"/>
        <v>8.26</v>
      </c>
      <c r="O695" s="10">
        <f t="shared" si="328"/>
        <v>0.31900000000000001</v>
      </c>
      <c r="P695" s="10">
        <f t="shared" si="349"/>
        <v>6.8784052353880183</v>
      </c>
      <c r="Q695" s="45">
        <f t="shared" si="350"/>
        <v>2.3450925970878216</v>
      </c>
      <c r="R695" s="4">
        <f t="shared" si="351"/>
        <v>-34044.337686272695</v>
      </c>
      <c r="S695">
        <f t="shared" si="332"/>
        <v>-3.4044337686272697E-5</v>
      </c>
      <c r="T695" s="44">
        <f t="shared" si="333"/>
        <v>2.699121233215881E-4</v>
      </c>
      <c r="U695" s="45">
        <f t="shared" si="352"/>
        <v>-6.1094266194900659E-2</v>
      </c>
      <c r="V695" s="45">
        <f t="shared" si="353"/>
        <v>7.5874460877222508E-2</v>
      </c>
      <c r="W695" s="45">
        <f t="shared" si="354"/>
        <v>7.6456363893445956E-2</v>
      </c>
      <c r="X695" s="45">
        <f t="shared" si="355"/>
        <v>-5.8190301622344787E-4</v>
      </c>
      <c r="Y695" s="45">
        <f t="shared" si="329"/>
        <v>3.8328849374644902E-4</v>
      </c>
      <c r="Z695" s="10">
        <f t="shared" si="356"/>
        <v>1.4200491961221693</v>
      </c>
      <c r="AA695">
        <f t="shared" si="334"/>
        <v>560102.24305232218</v>
      </c>
      <c r="AB695" s="10">
        <f t="shared" si="335"/>
        <v>0.56010224305232215</v>
      </c>
      <c r="AC695" s="10">
        <f t="shared" si="336"/>
        <v>0.45910224305232217</v>
      </c>
      <c r="AD695" s="3">
        <f t="shared" si="337"/>
        <v>66.58480682412214</v>
      </c>
      <c r="AI695" s="100">
        <f t="shared" si="338"/>
        <v>7.6456363893445956E-2</v>
      </c>
    </row>
    <row r="696" spans="2:35">
      <c r="B696" s="39">
        <f t="shared" si="339"/>
        <v>668</v>
      </c>
      <c r="C696" s="45">
        <f t="shared" si="340"/>
        <v>19.623501199039541</v>
      </c>
      <c r="D696" s="10">
        <f t="shared" si="341"/>
        <v>-4.1735011990393112</v>
      </c>
      <c r="E696" s="40">
        <f t="shared" si="342"/>
        <v>56.687002398078626</v>
      </c>
      <c r="F696" s="40">
        <f t="shared" si="343"/>
        <v>48.34</v>
      </c>
      <c r="G696" s="3">
        <f t="shared" si="344"/>
        <v>49.705995203842747</v>
      </c>
      <c r="H696" s="3">
        <f t="shared" si="345"/>
        <v>148.0155219248214</v>
      </c>
      <c r="I696">
        <f t="shared" si="330"/>
        <v>1.4801552192482141E-4</v>
      </c>
      <c r="J696" s="4">
        <f t="shared" si="346"/>
        <v>2528.3699789181292</v>
      </c>
      <c r="K696" s="40">
        <f t="shared" si="347"/>
        <v>17.081789436936987</v>
      </c>
      <c r="L696" s="40">
        <f t="shared" si="331"/>
        <v>0</v>
      </c>
      <c r="M696" s="10">
        <f t="shared" si="348"/>
        <v>0.56010224305232215</v>
      </c>
      <c r="N696" s="10">
        <f t="shared" si="327"/>
        <v>8.26</v>
      </c>
      <c r="O696" s="10">
        <f t="shared" si="328"/>
        <v>0.31900000000000001</v>
      </c>
      <c r="P696" s="10">
        <f t="shared" si="349"/>
        <v>6.8655813873860065</v>
      </c>
      <c r="Q696" s="45">
        <f t="shared" si="350"/>
        <v>2.3493714042482656</v>
      </c>
      <c r="R696" s="4">
        <f t="shared" si="351"/>
        <v>-34223.952429965888</v>
      </c>
      <c r="S696">
        <f t="shared" si="332"/>
        <v>-3.4223952429965889E-5</v>
      </c>
      <c r="T696" s="44">
        <f t="shared" si="333"/>
        <v>2.7009173806528128E-4</v>
      </c>
      <c r="U696" s="45">
        <f t="shared" si="352"/>
        <v>-6.1416593833195275E-2</v>
      </c>
      <c r="V696" s="45">
        <f t="shared" si="353"/>
        <v>7.5331190728671574E-2</v>
      </c>
      <c r="W696" s="45">
        <f t="shared" si="354"/>
        <v>7.591300092990802E-2</v>
      </c>
      <c r="X696" s="45">
        <f t="shared" si="355"/>
        <v>-5.8181020123644622E-4</v>
      </c>
      <c r="Y696" s="45">
        <f t="shared" si="329"/>
        <v>3.8079904009137913E-4</v>
      </c>
      <c r="Z696" s="10">
        <f t="shared" si="356"/>
        <v>1.4098877767202929</v>
      </c>
      <c r="AA696">
        <f t="shared" si="334"/>
        <v>556817.05374146136</v>
      </c>
      <c r="AB696" s="10">
        <f t="shared" si="335"/>
        <v>0.5568170537414614</v>
      </c>
      <c r="AC696" s="10">
        <f t="shared" si="336"/>
        <v>0.45581705374146142</v>
      </c>
      <c r="AD696" s="3">
        <f t="shared" si="337"/>
        <v>66.108347170625294</v>
      </c>
      <c r="AI696" s="100">
        <f t="shared" si="338"/>
        <v>7.591300092990802E-2</v>
      </c>
    </row>
    <row r="697" spans="2:35">
      <c r="B697" s="39">
        <f t="shared" si="339"/>
        <v>669</v>
      </c>
      <c r="C697" s="45">
        <f t="shared" si="340"/>
        <v>19.652877697840498</v>
      </c>
      <c r="D697" s="10">
        <f t="shared" si="341"/>
        <v>-4.2028776978402682</v>
      </c>
      <c r="E697" s="40">
        <f t="shared" si="342"/>
        <v>56.74575539568054</v>
      </c>
      <c r="F697" s="40">
        <f t="shared" si="343"/>
        <v>48.34</v>
      </c>
      <c r="G697" s="3">
        <f t="shared" si="344"/>
        <v>49.588489208638919</v>
      </c>
      <c r="H697" s="3">
        <f t="shared" si="345"/>
        <v>148.0155219248214</v>
      </c>
      <c r="I697">
        <f t="shared" si="330"/>
        <v>1.4801552192482141E-4</v>
      </c>
      <c r="J697" s="4">
        <f t="shared" si="346"/>
        <v>2533.6042764029917</v>
      </c>
      <c r="K697" s="40">
        <f t="shared" si="347"/>
        <v>17.117152603021157</v>
      </c>
      <c r="L697" s="40">
        <f t="shared" si="331"/>
        <v>0</v>
      </c>
      <c r="M697" s="10">
        <f t="shared" si="348"/>
        <v>0.5568170537414614</v>
      </c>
      <c r="N697" s="10">
        <f t="shared" si="327"/>
        <v>8.26</v>
      </c>
      <c r="O697" s="10">
        <f t="shared" si="328"/>
        <v>0.31900000000000001</v>
      </c>
      <c r="P697" s="10">
        <f t="shared" si="349"/>
        <v>6.8527098496732286</v>
      </c>
      <c r="Q697" s="45">
        <f t="shared" si="350"/>
        <v>2.3536582483501443</v>
      </c>
      <c r="R697" s="4">
        <f t="shared" si="351"/>
        <v>-34402.607206715955</v>
      </c>
      <c r="S697">
        <f t="shared" si="332"/>
        <v>-3.4402607206715952E-5</v>
      </c>
      <c r="T697" s="44">
        <f t="shared" si="333"/>
        <v>2.7027039284203134E-4</v>
      </c>
      <c r="U697" s="45">
        <f t="shared" si="352"/>
        <v>-6.1737198762812112E-2</v>
      </c>
      <c r="V697" s="45">
        <f t="shared" si="353"/>
        <v>7.4788100989335707E-2</v>
      </c>
      <c r="W697" s="45">
        <f t="shared" si="354"/>
        <v>7.5369791692784169E-2</v>
      </c>
      <c r="X697" s="45">
        <f t="shared" si="355"/>
        <v>-5.8169070344846197E-4</v>
      </c>
      <c r="Y697" s="45">
        <f t="shared" si="329"/>
        <v>3.7830542273018349E-4</v>
      </c>
      <c r="Z697" s="10">
        <f t="shared" si="356"/>
        <v>1.3997294293026645</v>
      </c>
      <c r="AA697">
        <f t="shared" si="334"/>
        <v>553532.85760383913</v>
      </c>
      <c r="AB697" s="10">
        <f t="shared" si="335"/>
        <v>0.55353285760383908</v>
      </c>
      <c r="AC697" s="10">
        <f t="shared" si="336"/>
        <v>0.4525328576038391</v>
      </c>
      <c r="AD697" s="3">
        <f t="shared" si="337"/>
        <v>65.632031559657591</v>
      </c>
      <c r="AI697" s="100">
        <f t="shared" si="338"/>
        <v>7.5369791692784169E-2</v>
      </c>
    </row>
    <row r="698" spans="2:35">
      <c r="B698" s="39">
        <f t="shared" si="339"/>
        <v>670</v>
      </c>
      <c r="C698" s="45">
        <f t="shared" si="340"/>
        <v>19.682254196641455</v>
      </c>
      <c r="D698" s="10">
        <f t="shared" si="341"/>
        <v>-4.2322541966412253</v>
      </c>
      <c r="E698" s="40">
        <f t="shared" si="342"/>
        <v>56.804508393282454</v>
      </c>
      <c r="F698" s="40">
        <f t="shared" si="343"/>
        <v>48.34</v>
      </c>
      <c r="G698" s="3">
        <f t="shared" si="344"/>
        <v>49.47098321343509</v>
      </c>
      <c r="H698" s="3">
        <f t="shared" si="345"/>
        <v>148.0155219248214</v>
      </c>
      <c r="I698">
        <f t="shared" si="330"/>
        <v>1.4801552192482141E-4</v>
      </c>
      <c r="J698" s="4">
        <f t="shared" si="346"/>
        <v>2538.8439961428285</v>
      </c>
      <c r="K698" s="40">
        <f t="shared" si="347"/>
        <v>17.152552402121266</v>
      </c>
      <c r="L698" s="40">
        <f t="shared" si="331"/>
        <v>0</v>
      </c>
      <c r="M698" s="10">
        <f t="shared" si="348"/>
        <v>0.55353285760383908</v>
      </c>
      <c r="N698" s="10">
        <f t="shared" si="327"/>
        <v>8.26</v>
      </c>
      <c r="O698" s="10">
        <f t="shared" si="328"/>
        <v>0.31900000000000001</v>
      </c>
      <c r="P698" s="10">
        <f t="shared" si="349"/>
        <v>6.8397904063167836</v>
      </c>
      <c r="Q698" s="45">
        <f t="shared" si="350"/>
        <v>2.3579531897234687</v>
      </c>
      <c r="R698" s="4">
        <f t="shared" si="351"/>
        <v>-34580.300105080532</v>
      </c>
      <c r="S698">
        <f t="shared" si="332"/>
        <v>-3.4580300105080534E-5</v>
      </c>
      <c r="T698" s="44">
        <f t="shared" si="333"/>
        <v>2.7044808574039597E-4</v>
      </c>
      <c r="U698" s="45">
        <f t="shared" si="352"/>
        <v>-6.2056077553572266E-2</v>
      </c>
      <c r="V698" s="45">
        <f t="shared" si="353"/>
        <v>7.4245202214094697E-2</v>
      </c>
      <c r="W698" s="45">
        <f t="shared" si="354"/>
        <v>7.4826746677818065E-2</v>
      </c>
      <c r="X698" s="45">
        <f t="shared" si="355"/>
        <v>-5.8154446372336854E-4</v>
      </c>
      <c r="Y698" s="45">
        <f t="shared" si="329"/>
        <v>3.7580772335251024E-4</v>
      </c>
      <c r="Z698" s="10">
        <f t="shared" si="356"/>
        <v>1.3895743514829288</v>
      </c>
      <c r="AA698">
        <f t="shared" si="334"/>
        <v>550249.71852799377</v>
      </c>
      <c r="AB698" s="10">
        <f t="shared" si="335"/>
        <v>0.55024971852799376</v>
      </c>
      <c r="AC698" s="10">
        <f t="shared" si="336"/>
        <v>0.44924971852799378</v>
      </c>
      <c r="AD698" s="3">
        <f t="shared" si="337"/>
        <v>65.155869257141958</v>
      </c>
      <c r="AI698" s="100">
        <f t="shared" si="338"/>
        <v>7.4826746677818065E-2</v>
      </c>
    </row>
    <row r="699" spans="2:35">
      <c r="B699" s="39">
        <f t="shared" si="339"/>
        <v>671</v>
      </c>
      <c r="C699" s="45">
        <f t="shared" si="340"/>
        <v>19.711630695442413</v>
      </c>
      <c r="D699" s="10">
        <f t="shared" si="341"/>
        <v>-4.2616306954421823</v>
      </c>
      <c r="E699" s="40">
        <f t="shared" si="342"/>
        <v>56.863261390884368</v>
      </c>
      <c r="F699" s="40">
        <f t="shared" si="343"/>
        <v>48.34</v>
      </c>
      <c r="G699" s="3">
        <f t="shared" si="344"/>
        <v>49.353477218231262</v>
      </c>
      <c r="H699" s="3">
        <f t="shared" si="345"/>
        <v>148.0155219248214</v>
      </c>
      <c r="I699">
        <f t="shared" si="330"/>
        <v>1.4801552192482141E-4</v>
      </c>
      <c r="J699" s="4">
        <f t="shared" si="346"/>
        <v>2544.0891381376391</v>
      </c>
      <c r="K699" s="40">
        <f t="shared" si="347"/>
        <v>17.187988834237316</v>
      </c>
      <c r="L699" s="40">
        <f t="shared" si="331"/>
        <v>0</v>
      </c>
      <c r="M699" s="10">
        <f t="shared" si="348"/>
        <v>0.55024971852799376</v>
      </c>
      <c r="N699" s="10">
        <f t="shared" si="327"/>
        <v>8.26</v>
      </c>
      <c r="O699" s="10">
        <f t="shared" si="328"/>
        <v>0.31900000000000001</v>
      </c>
      <c r="P699" s="10">
        <f t="shared" si="349"/>
        <v>6.8268228398156721</v>
      </c>
      <c r="Q699" s="45">
        <f t="shared" si="350"/>
        <v>2.362256289348323</v>
      </c>
      <c r="R699" s="4">
        <f t="shared" si="351"/>
        <v>-34757.029213617199</v>
      </c>
      <c r="S699">
        <f t="shared" si="332"/>
        <v>-3.4757029213617202E-5</v>
      </c>
      <c r="T699" s="44">
        <f t="shared" si="333"/>
        <v>2.7062481484893259E-4</v>
      </c>
      <c r="U699" s="45">
        <f t="shared" si="352"/>
        <v>-6.237322677529674E-2</v>
      </c>
      <c r="V699" s="45">
        <f t="shared" si="353"/>
        <v>7.3702505025133452E-2</v>
      </c>
      <c r="W699" s="45">
        <f t="shared" si="354"/>
        <v>7.4283876449041455E-2</v>
      </c>
      <c r="X699" s="45">
        <f t="shared" si="355"/>
        <v>-5.8137142390800312E-4</v>
      </c>
      <c r="Y699" s="45">
        <f t="shared" si="329"/>
        <v>3.7330602419639072E-4</v>
      </c>
      <c r="Z699" s="10">
        <f t="shared" si="356"/>
        <v>1.3794227421634506</v>
      </c>
      <c r="AA699">
        <f t="shared" si="334"/>
        <v>546967.70081910712</v>
      </c>
      <c r="AB699" s="10">
        <f t="shared" si="335"/>
        <v>0.54696770081910717</v>
      </c>
      <c r="AC699" s="10">
        <f t="shared" si="336"/>
        <v>0.44596770081910719</v>
      </c>
      <c r="AD699" s="3">
        <f t="shared" si="337"/>
        <v>64.679869589428165</v>
      </c>
      <c r="AI699" s="100">
        <f t="shared" si="338"/>
        <v>7.4283876449041455E-2</v>
      </c>
    </row>
    <row r="700" spans="2:35">
      <c r="B700" s="39">
        <f t="shared" si="339"/>
        <v>672</v>
      </c>
      <c r="C700" s="45">
        <f t="shared" si="340"/>
        <v>19.74100719424337</v>
      </c>
      <c r="D700" s="10">
        <f t="shared" si="341"/>
        <v>-4.2910071942431394</v>
      </c>
      <c r="E700" s="40">
        <f t="shared" si="342"/>
        <v>56.922014388486282</v>
      </c>
      <c r="F700" s="40">
        <f t="shared" si="343"/>
        <v>48.34</v>
      </c>
      <c r="G700" s="3">
        <f t="shared" si="344"/>
        <v>49.235971223027434</v>
      </c>
      <c r="H700" s="3">
        <f t="shared" si="345"/>
        <v>148.0155219248214</v>
      </c>
      <c r="I700">
        <f t="shared" si="330"/>
        <v>1.4801552192482141E-4</v>
      </c>
      <c r="J700" s="4">
        <f t="shared" si="346"/>
        <v>2549.3397023874236</v>
      </c>
      <c r="K700" s="40">
        <f t="shared" si="347"/>
        <v>17.223461899369305</v>
      </c>
      <c r="L700" s="40">
        <f t="shared" si="331"/>
        <v>0</v>
      </c>
      <c r="M700" s="10">
        <f t="shared" si="348"/>
        <v>0.54696770081910717</v>
      </c>
      <c r="N700" s="10">
        <f t="shared" si="327"/>
        <v>8.26</v>
      </c>
      <c r="O700" s="10">
        <f t="shared" si="328"/>
        <v>0.31900000000000001</v>
      </c>
      <c r="P700" s="10">
        <f t="shared" si="349"/>
        <v>6.8138069310916816</v>
      </c>
      <c r="Q700" s="45">
        <f t="shared" si="350"/>
        <v>2.3665676088644236</v>
      </c>
      <c r="R700" s="4">
        <f t="shared" si="351"/>
        <v>-34932.792620883534</v>
      </c>
      <c r="S700">
        <f t="shared" si="332"/>
        <v>-3.4932792620883536E-5</v>
      </c>
      <c r="T700" s="44">
        <f t="shared" si="333"/>
        <v>2.7080057825619897E-4</v>
      </c>
      <c r="U700" s="45">
        <f t="shared" si="352"/>
        <v>-6.2688642997806548E-2</v>
      </c>
      <c r="V700" s="45">
        <f t="shared" si="353"/>
        <v>7.3160020112609331E-2</v>
      </c>
      <c r="W700" s="45">
        <f t="shared" si="354"/>
        <v>7.374119163937852E-2</v>
      </c>
      <c r="X700" s="45">
        <f t="shared" si="355"/>
        <v>-5.8117152676918915E-4</v>
      </c>
      <c r="Y700" s="45">
        <f t="shared" si="329"/>
        <v>3.7080040805082871E-4</v>
      </c>
      <c r="Z700" s="10">
        <f t="shared" si="356"/>
        <v>1.3692748015479566</v>
      </c>
      <c r="AA700">
        <f t="shared" si="334"/>
        <v>543686.8692030916</v>
      </c>
      <c r="AB700" s="10">
        <f t="shared" si="335"/>
        <v>0.54368686920309162</v>
      </c>
      <c r="AC700" s="10">
        <f t="shared" si="336"/>
        <v>0.44268686920309164</v>
      </c>
      <c r="AD700" s="3">
        <f t="shared" si="337"/>
        <v>64.20404194388567</v>
      </c>
      <c r="AI700" s="100">
        <f t="shared" si="338"/>
        <v>7.374119163937852E-2</v>
      </c>
    </row>
    <row r="701" spans="2:35">
      <c r="B701" s="39">
        <f t="shared" si="339"/>
        <v>673</v>
      </c>
      <c r="C701" s="45">
        <f t="shared" si="340"/>
        <v>19.770383693044327</v>
      </c>
      <c r="D701" s="10">
        <f t="shared" si="341"/>
        <v>-4.3203836930440964</v>
      </c>
      <c r="E701" s="40">
        <f t="shared" si="342"/>
        <v>56.980767386088196</v>
      </c>
      <c r="F701" s="40">
        <f t="shared" si="343"/>
        <v>48.34</v>
      </c>
      <c r="G701" s="3">
        <f t="shared" si="344"/>
        <v>49.118465227823606</v>
      </c>
      <c r="H701" s="3">
        <f t="shared" si="345"/>
        <v>148.0155219248214</v>
      </c>
      <c r="I701">
        <f t="shared" si="330"/>
        <v>1.4801552192482141E-4</v>
      </c>
      <c r="J701" s="4">
        <f t="shared" si="346"/>
        <v>2554.5956888921828</v>
      </c>
      <c r="K701" s="40">
        <f t="shared" si="347"/>
        <v>17.258971597517238</v>
      </c>
      <c r="L701" s="40">
        <f t="shared" si="331"/>
        <v>0</v>
      </c>
      <c r="M701" s="10">
        <f t="shared" si="348"/>
        <v>0.54368686920309162</v>
      </c>
      <c r="N701" s="10">
        <f t="shared" si="327"/>
        <v>8.26</v>
      </c>
      <c r="O701" s="10">
        <f t="shared" si="328"/>
        <v>0.31900000000000001</v>
      </c>
      <c r="P701" s="10">
        <f t="shared" si="349"/>
        <v>6.8007424594819623</v>
      </c>
      <c r="Q701" s="45">
        <f t="shared" si="350"/>
        <v>2.3708872105808507</v>
      </c>
      <c r="R701" s="4">
        <f t="shared" si="351"/>
        <v>-35107.588415437189</v>
      </c>
      <c r="S701">
        <f t="shared" si="332"/>
        <v>-3.5107588415437192E-5</v>
      </c>
      <c r="T701" s="44">
        <f t="shared" si="333"/>
        <v>2.7097537405075262E-4</v>
      </c>
      <c r="U701" s="45">
        <f t="shared" si="352"/>
        <v>-6.3002322790922799E-2</v>
      </c>
      <c r="V701" s="45">
        <f t="shared" si="353"/>
        <v>7.2617758235290999E-2</v>
      </c>
      <c r="W701" s="45">
        <f t="shared" si="354"/>
        <v>7.3198702951321554E-2</v>
      </c>
      <c r="X701" s="45">
        <f t="shared" si="355"/>
        <v>-5.809447160305542E-4</v>
      </c>
      <c r="Y701" s="45">
        <f t="shared" si="329"/>
        <v>3.6829095825831386E-4</v>
      </c>
      <c r="Z701" s="10">
        <f t="shared" si="356"/>
        <v>1.3591307311539476</v>
      </c>
      <c r="AA701">
        <f t="shared" si="334"/>
        <v>540407.28883060312</v>
      </c>
      <c r="AB701" s="10">
        <f t="shared" si="335"/>
        <v>0.54040728883060307</v>
      </c>
      <c r="AC701" s="10">
        <f t="shared" si="336"/>
        <v>0.43940728883060309</v>
      </c>
      <c r="AD701" s="3">
        <f t="shared" si="337"/>
        <v>63.72839576948558</v>
      </c>
      <c r="AI701" s="100">
        <f t="shared" si="338"/>
        <v>7.3198702951321554E-2</v>
      </c>
    </row>
    <row r="702" spans="2:35">
      <c r="B702" s="39">
        <f t="shared" si="339"/>
        <v>674</v>
      </c>
      <c r="C702" s="45">
        <f t="shared" si="340"/>
        <v>19.799760191845284</v>
      </c>
      <c r="D702" s="10">
        <f t="shared" si="341"/>
        <v>-4.3497601918450535</v>
      </c>
      <c r="E702" s="40">
        <f t="shared" si="342"/>
        <v>57.03952038369011</v>
      </c>
      <c r="F702" s="40">
        <f t="shared" si="343"/>
        <v>48.34</v>
      </c>
      <c r="G702" s="3">
        <f t="shared" si="344"/>
        <v>49.000959232619778</v>
      </c>
      <c r="H702" s="3">
        <f t="shared" si="345"/>
        <v>148.0155219248214</v>
      </c>
      <c r="I702">
        <f t="shared" si="330"/>
        <v>1.4801552192482141E-4</v>
      </c>
      <c r="J702" s="4">
        <f t="shared" si="346"/>
        <v>2559.857097651915</v>
      </c>
      <c r="K702" s="40">
        <f t="shared" si="347"/>
        <v>17.294517928681106</v>
      </c>
      <c r="L702" s="40">
        <f t="shared" si="331"/>
        <v>0</v>
      </c>
      <c r="M702" s="10">
        <f t="shared" si="348"/>
        <v>0.54040728883060307</v>
      </c>
      <c r="N702" s="10">
        <f t="shared" si="327"/>
        <v>8.26</v>
      </c>
      <c r="O702" s="10">
        <f t="shared" si="328"/>
        <v>0.31900000000000001</v>
      </c>
      <c r="P702" s="10">
        <f t="shared" si="349"/>
        <v>6.7876292027313161</v>
      </c>
      <c r="Q702" s="45">
        <f t="shared" si="350"/>
        <v>2.3752151574859552</v>
      </c>
      <c r="R702" s="4">
        <f t="shared" si="351"/>
        <v>-35281.414685835698</v>
      </c>
      <c r="S702">
        <f t="shared" si="332"/>
        <v>-3.5281414685835695E-5</v>
      </c>
      <c r="T702" s="44">
        <f t="shared" si="333"/>
        <v>2.7114920032115109E-4</v>
      </c>
      <c r="U702" s="45">
        <f t="shared" si="352"/>
        <v>-6.3314262724466441E-2</v>
      </c>
      <c r="V702" s="45">
        <f t="shared" si="353"/>
        <v>7.2075730221119502E-2</v>
      </c>
      <c r="W702" s="45">
        <f t="shared" si="354"/>
        <v>7.2656421157594714E-2</v>
      </c>
      <c r="X702" s="45">
        <f t="shared" si="355"/>
        <v>-5.8069093647521164E-4</v>
      </c>
      <c r="Y702" s="45">
        <f t="shared" si="329"/>
        <v>3.6577775871697371E-4</v>
      </c>
      <c r="Z702" s="10">
        <f t="shared" si="356"/>
        <v>1.3489907338238278</v>
      </c>
      <c r="AA702">
        <f t="shared" si="334"/>
        <v>537129.02528063953</v>
      </c>
      <c r="AB702" s="10">
        <f t="shared" si="335"/>
        <v>0.53712902528063955</v>
      </c>
      <c r="AC702" s="10">
        <f t="shared" si="336"/>
        <v>0.43612902528063957</v>
      </c>
      <c r="AD702" s="3">
        <f t="shared" si="337"/>
        <v>63.25294057732264</v>
      </c>
      <c r="AI702" s="100">
        <f t="shared" si="338"/>
        <v>7.2656421157594714E-2</v>
      </c>
    </row>
    <row r="703" spans="2:35">
      <c r="B703" s="39">
        <f t="shared" si="339"/>
        <v>675</v>
      </c>
      <c r="C703" s="45">
        <f t="shared" si="340"/>
        <v>19.829136690646241</v>
      </c>
      <c r="D703" s="10">
        <f t="shared" si="341"/>
        <v>-4.3791366906460105</v>
      </c>
      <c r="E703" s="40">
        <f t="shared" si="342"/>
        <v>57.098273381292024</v>
      </c>
      <c r="F703" s="40">
        <f t="shared" si="343"/>
        <v>48.34</v>
      </c>
      <c r="G703" s="3">
        <f t="shared" si="344"/>
        <v>48.883453237415949</v>
      </c>
      <c r="H703" s="3">
        <f t="shared" si="345"/>
        <v>148.0155219248214</v>
      </c>
      <c r="I703">
        <f t="shared" si="330"/>
        <v>1.4801552192482141E-4</v>
      </c>
      <c r="J703" s="4">
        <f t="shared" si="346"/>
        <v>2565.1239286666209</v>
      </c>
      <c r="K703" s="40">
        <f t="shared" si="347"/>
        <v>17.330100892860909</v>
      </c>
      <c r="L703" s="40">
        <f t="shared" si="331"/>
        <v>0</v>
      </c>
      <c r="M703" s="10">
        <f t="shared" si="348"/>
        <v>0.53712902528063955</v>
      </c>
      <c r="N703" s="10">
        <f t="shared" si="327"/>
        <v>8.26</v>
      </c>
      <c r="O703" s="10">
        <f t="shared" si="328"/>
        <v>0.31900000000000001</v>
      </c>
      <c r="P703" s="10">
        <f t="shared" si="349"/>
        <v>6.774466936982809</v>
      </c>
      <c r="Q703" s="45">
        <f t="shared" si="350"/>
        <v>2.3795515132574461</v>
      </c>
      <c r="R703" s="4">
        <f t="shared" si="351"/>
        <v>-35454.269520636699</v>
      </c>
      <c r="S703">
        <f t="shared" si="332"/>
        <v>-3.5454269520636701E-5</v>
      </c>
      <c r="T703" s="44">
        <f t="shared" si="333"/>
        <v>2.7132205515595213E-4</v>
      </c>
      <c r="U703" s="45">
        <f t="shared" si="352"/>
        <v>-6.3624459368258585E-2</v>
      </c>
      <c r="V703" s="45">
        <f t="shared" si="353"/>
        <v>7.1533946967985595E-2</v>
      </c>
      <c r="W703" s="45">
        <f t="shared" si="354"/>
        <v>7.2114357101748877E-2</v>
      </c>
      <c r="X703" s="45">
        <f t="shared" si="355"/>
        <v>-5.8041013376328165E-4</v>
      </c>
      <c r="Y703" s="45">
        <f t="shared" si="329"/>
        <v>3.6326089388359753E-4</v>
      </c>
      <c r="Z703" s="10">
        <f t="shared" si="356"/>
        <v>1.3388550137393005</v>
      </c>
      <c r="AA703">
        <f t="shared" si="334"/>
        <v>533852.1445651938</v>
      </c>
      <c r="AB703" s="10">
        <f t="shared" si="335"/>
        <v>0.53385214456519381</v>
      </c>
      <c r="AC703" s="10">
        <f t="shared" si="336"/>
        <v>0.43285214456519383</v>
      </c>
      <c r="AD703" s="3">
        <f t="shared" si="337"/>
        <v>62.777685941289896</v>
      </c>
      <c r="AI703" s="100">
        <f t="shared" si="338"/>
        <v>7.2114357101748877E-2</v>
      </c>
    </row>
    <row r="704" spans="2:35">
      <c r="B704" s="39">
        <f t="shared" si="339"/>
        <v>676</v>
      </c>
      <c r="C704" s="45">
        <f t="shared" si="340"/>
        <v>19.858513189447198</v>
      </c>
      <c r="D704" s="10">
        <f t="shared" si="341"/>
        <v>-4.4085131894469676</v>
      </c>
      <c r="E704" s="40">
        <f t="shared" si="342"/>
        <v>57.157026378893939</v>
      </c>
      <c r="F704" s="40">
        <f t="shared" si="343"/>
        <v>48.34</v>
      </c>
      <c r="G704" s="3">
        <f t="shared" si="344"/>
        <v>48.765947242212121</v>
      </c>
      <c r="H704" s="3">
        <f t="shared" si="345"/>
        <v>148.0155219248214</v>
      </c>
      <c r="I704">
        <f t="shared" si="330"/>
        <v>1.4801552192482141E-4</v>
      </c>
      <c r="J704" s="4">
        <f t="shared" si="346"/>
        <v>2570.3961819363012</v>
      </c>
      <c r="K704" s="40">
        <f t="shared" si="347"/>
        <v>17.365720490056656</v>
      </c>
      <c r="L704" s="40">
        <f t="shared" si="331"/>
        <v>0</v>
      </c>
      <c r="M704" s="10">
        <f t="shared" si="348"/>
        <v>0.53385214456519381</v>
      </c>
      <c r="N704" s="10">
        <f t="shared" si="327"/>
        <v>8.26</v>
      </c>
      <c r="O704" s="10">
        <f t="shared" si="328"/>
        <v>0.31900000000000001</v>
      </c>
      <c r="P704" s="10">
        <f t="shared" si="349"/>
        <v>6.7612554367726183</v>
      </c>
      <c r="Q704" s="45">
        <f t="shared" si="350"/>
        <v>2.3838963422726591</v>
      </c>
      <c r="R704" s="4">
        <f t="shared" si="351"/>
        <v>-35626.151008397792</v>
      </c>
      <c r="S704">
        <f t="shared" si="332"/>
        <v>-3.562615100839779E-5</v>
      </c>
      <c r="T704" s="44">
        <f t="shared" si="333"/>
        <v>2.714939366437132E-4</v>
      </c>
      <c r="U704" s="45">
        <f t="shared" si="352"/>
        <v>-6.3932909292120255E-2</v>
      </c>
      <c r="V704" s="45">
        <f t="shared" si="353"/>
        <v>7.0992419444277088E-2</v>
      </c>
      <c r="W704" s="45">
        <f t="shared" si="354"/>
        <v>7.1572521698931038E-2</v>
      </c>
      <c r="X704" s="45">
        <f t="shared" si="355"/>
        <v>-5.8010225465394971E-4</v>
      </c>
      <c r="Y704" s="45">
        <f t="shared" si="329"/>
        <v>3.6074044877578652E-4</v>
      </c>
      <c r="Z704" s="10">
        <f t="shared" si="356"/>
        <v>1.3287237764325959</v>
      </c>
      <c r="AA704">
        <f t="shared" si="334"/>
        <v>530576.71313288494</v>
      </c>
      <c r="AB704" s="10">
        <f t="shared" si="335"/>
        <v>0.5305767131328849</v>
      </c>
      <c r="AC704" s="10">
        <f t="shared" si="336"/>
        <v>0.42957671313288492</v>
      </c>
      <c r="AD704" s="3">
        <f t="shared" si="337"/>
        <v>62.302641498605503</v>
      </c>
      <c r="AI704" s="100">
        <f t="shared" si="338"/>
        <v>7.1572521698931038E-2</v>
      </c>
    </row>
    <row r="705" spans="2:35">
      <c r="B705" s="39">
        <f t="shared" si="339"/>
        <v>677</v>
      </c>
      <c r="C705" s="45">
        <f t="shared" si="340"/>
        <v>19.887889688248155</v>
      </c>
      <c r="D705" s="10">
        <f t="shared" si="341"/>
        <v>-4.4378896882479246</v>
      </c>
      <c r="E705" s="40">
        <f t="shared" si="342"/>
        <v>57.215779376495853</v>
      </c>
      <c r="F705" s="40">
        <f t="shared" si="343"/>
        <v>48.34</v>
      </c>
      <c r="G705" s="3">
        <f t="shared" si="344"/>
        <v>48.648441247008293</v>
      </c>
      <c r="H705" s="3">
        <f t="shared" si="345"/>
        <v>148.0155219248214</v>
      </c>
      <c r="I705">
        <f t="shared" si="330"/>
        <v>1.4801552192482141E-4</v>
      </c>
      <c r="J705" s="4">
        <f t="shared" si="346"/>
        <v>2575.6738574609558</v>
      </c>
      <c r="K705" s="40">
        <f t="shared" si="347"/>
        <v>17.401376720268345</v>
      </c>
      <c r="L705" s="40">
        <f t="shared" si="331"/>
        <v>0</v>
      </c>
      <c r="M705" s="10">
        <f t="shared" si="348"/>
        <v>0.5305767131328849</v>
      </c>
      <c r="N705" s="10">
        <f t="shared" si="327"/>
        <v>8.26</v>
      </c>
      <c r="O705" s="10">
        <f t="shared" si="328"/>
        <v>0.31900000000000001</v>
      </c>
      <c r="P705" s="10">
        <f t="shared" si="349"/>
        <v>6.7479944750208096</v>
      </c>
      <c r="Q705" s="45">
        <f t="shared" si="350"/>
        <v>2.3882497096190169</v>
      </c>
      <c r="R705" s="4">
        <f t="shared" si="351"/>
        <v>-35797.057237676578</v>
      </c>
      <c r="S705">
        <f t="shared" si="332"/>
        <v>-3.5797057237676577E-5</v>
      </c>
      <c r="T705" s="44">
        <f t="shared" si="333"/>
        <v>2.7166484287299202E-4</v>
      </c>
      <c r="U705" s="45">
        <f t="shared" si="352"/>
        <v>-6.4239609065872505E-2</v>
      </c>
      <c r="V705" s="45">
        <f t="shared" si="353"/>
        <v>7.0451158689570623E-2</v>
      </c>
      <c r="W705" s="45">
        <f t="shared" si="354"/>
        <v>7.1030925936484759E-2</v>
      </c>
      <c r="X705" s="45">
        <f t="shared" si="355"/>
        <v>-5.7976724691413684E-4</v>
      </c>
      <c r="Y705" s="45">
        <f t="shared" si="329"/>
        <v>3.5821650897458276E-4</v>
      </c>
      <c r="Z705" s="10">
        <f t="shared" si="356"/>
        <v>1.3185972287995142</v>
      </c>
      <c r="AA705">
        <f t="shared" si="334"/>
        <v>527302.79787317442</v>
      </c>
      <c r="AB705" s="10">
        <f t="shared" si="335"/>
        <v>0.52730279787317447</v>
      </c>
      <c r="AC705" s="10">
        <f t="shared" si="336"/>
        <v>0.42630279787317449</v>
      </c>
      <c r="AD705" s="3">
        <f t="shared" si="337"/>
        <v>61.827816950424143</v>
      </c>
      <c r="AI705" s="100">
        <f t="shared" si="338"/>
        <v>7.1030925936484759E-2</v>
      </c>
    </row>
    <row r="706" spans="2:35">
      <c r="B706" s="39">
        <f t="shared" si="339"/>
        <v>678</v>
      </c>
      <c r="C706" s="45">
        <f t="shared" si="340"/>
        <v>19.917266187049112</v>
      </c>
      <c r="D706" s="10">
        <f t="shared" si="341"/>
        <v>-4.4672661870488817</v>
      </c>
      <c r="E706" s="40">
        <f t="shared" si="342"/>
        <v>57.274532374097767</v>
      </c>
      <c r="F706" s="40">
        <f t="shared" si="343"/>
        <v>48.34</v>
      </c>
      <c r="G706" s="3">
        <f t="shared" si="344"/>
        <v>48.530935251804465</v>
      </c>
      <c r="H706" s="3">
        <f t="shared" si="345"/>
        <v>148.0155219248214</v>
      </c>
      <c r="I706">
        <f t="shared" si="330"/>
        <v>1.4801552192482141E-4</v>
      </c>
      <c r="J706" s="4">
        <f t="shared" si="346"/>
        <v>2580.9569552405837</v>
      </c>
      <c r="K706" s="40">
        <f t="shared" si="347"/>
        <v>17.437069583495969</v>
      </c>
      <c r="L706" s="40">
        <f t="shared" si="331"/>
        <v>0</v>
      </c>
      <c r="M706" s="10">
        <f t="shared" si="348"/>
        <v>0.52730279787317447</v>
      </c>
      <c r="N706" s="10">
        <f t="shared" si="327"/>
        <v>8.26</v>
      </c>
      <c r="O706" s="10">
        <f t="shared" si="328"/>
        <v>0.31900000000000001</v>
      </c>
      <c r="P706" s="10">
        <f t="shared" si="349"/>
        <v>6.7346838230244774</v>
      </c>
      <c r="Q706" s="45">
        <f t="shared" si="350"/>
        <v>2.3926116811046754</v>
      </c>
      <c r="R706" s="4">
        <f t="shared" si="351"/>
        <v>-35966.986297030628</v>
      </c>
      <c r="S706">
        <f t="shared" si="332"/>
        <v>-3.5966986297030627E-5</v>
      </c>
      <c r="T706" s="44">
        <f t="shared" si="333"/>
        <v>2.7183477193234605E-4</v>
      </c>
      <c r="U706" s="45">
        <f t="shared" si="352"/>
        <v>-6.4544555259336306E-2</v>
      </c>
      <c r="V706" s="45">
        <f t="shared" si="353"/>
        <v>6.9910175815321843E-2</v>
      </c>
      <c r="W706" s="45">
        <f t="shared" si="354"/>
        <v>7.0489580874647378E-2</v>
      </c>
      <c r="X706" s="45">
        <f t="shared" si="355"/>
        <v>-5.7940505932553565E-4</v>
      </c>
      <c r="Y706" s="45">
        <f t="shared" si="329"/>
        <v>3.5568916062715856E-4</v>
      </c>
      <c r="Z706" s="10">
        <f t="shared" si="356"/>
        <v>1.3084755791127491</v>
      </c>
      <c r="AA706">
        <f t="shared" si="334"/>
        <v>524030.46612067375</v>
      </c>
      <c r="AB706" s="10">
        <f t="shared" si="335"/>
        <v>0.52403046612067372</v>
      </c>
      <c r="AC706" s="10">
        <f t="shared" si="336"/>
        <v>0.42303046612067374</v>
      </c>
      <c r="AD706" s="3">
        <f t="shared" si="337"/>
        <v>61.353222062461747</v>
      </c>
      <c r="AI706" s="100">
        <f t="shared" si="338"/>
        <v>7.0489580874647378E-2</v>
      </c>
    </row>
    <row r="707" spans="2:35">
      <c r="B707" s="39">
        <f t="shared" si="339"/>
        <v>679</v>
      </c>
      <c r="C707" s="45">
        <f t="shared" si="340"/>
        <v>19.946642685850069</v>
      </c>
      <c r="D707" s="10">
        <f t="shared" si="341"/>
        <v>-4.4966426858498387</v>
      </c>
      <c r="E707" s="40">
        <f t="shared" si="342"/>
        <v>57.333285371699681</v>
      </c>
      <c r="F707" s="40">
        <f t="shared" si="343"/>
        <v>48.34</v>
      </c>
      <c r="G707" s="3">
        <f t="shared" si="344"/>
        <v>48.413429256600637</v>
      </c>
      <c r="H707" s="3">
        <f t="shared" si="345"/>
        <v>148.0155219248214</v>
      </c>
      <c r="I707">
        <f t="shared" si="330"/>
        <v>1.4801552192482141E-4</v>
      </c>
      <c r="J707" s="4">
        <f t="shared" si="346"/>
        <v>2586.2454752751855</v>
      </c>
      <c r="K707" s="40">
        <f t="shared" si="347"/>
        <v>17.472799079739531</v>
      </c>
      <c r="L707" s="40">
        <f t="shared" si="331"/>
        <v>0</v>
      </c>
      <c r="M707" s="10">
        <f t="shared" si="348"/>
        <v>0.52403046612067372</v>
      </c>
      <c r="N707" s="10">
        <f t="shared" si="327"/>
        <v>8.26</v>
      </c>
      <c r="O707" s="10">
        <f t="shared" si="328"/>
        <v>0.31900000000000001</v>
      </c>
      <c r="P707" s="10">
        <f t="shared" si="349"/>
        <v>6.7213232504513085</v>
      </c>
      <c r="Q707" s="45">
        <f t="shared" si="350"/>
        <v>2.396982323269369</v>
      </c>
      <c r="R707" s="4">
        <f t="shared" si="351"/>
        <v>-36135.936275017579</v>
      </c>
      <c r="S707">
        <f t="shared" si="332"/>
        <v>-3.6135936275017577E-5</v>
      </c>
      <c r="T707" s="44">
        <f t="shared" si="333"/>
        <v>2.7200372191033299E-4</v>
      </c>
      <c r="U707" s="45">
        <f t="shared" si="352"/>
        <v>-6.4847744442332794E-2</v>
      </c>
      <c r="V707" s="45">
        <f t="shared" si="353"/>
        <v>6.9369482005567307E-2</v>
      </c>
      <c r="W707" s="45">
        <f t="shared" si="354"/>
        <v>6.9948497647262131E-2</v>
      </c>
      <c r="X707" s="45">
        <f t="shared" si="355"/>
        <v>-5.7901564169482445E-4</v>
      </c>
      <c r="Y707" s="45">
        <f t="shared" si="329"/>
        <v>3.5315849044955001E-4</v>
      </c>
      <c r="Z707" s="10">
        <f t="shared" si="356"/>
        <v>1.2983590370354197</v>
      </c>
      <c r="AA707">
        <f t="shared" si="334"/>
        <v>520759.78565951902</v>
      </c>
      <c r="AB707" s="10">
        <f t="shared" si="335"/>
        <v>0.52075978565951897</v>
      </c>
      <c r="AC707" s="10">
        <f t="shared" si="336"/>
        <v>0.41975978565951899</v>
      </c>
      <c r="AD707" s="3">
        <f t="shared" si="337"/>
        <v>60.878866665630014</v>
      </c>
      <c r="AI707" s="100">
        <f t="shared" si="338"/>
        <v>6.9948497647262131E-2</v>
      </c>
    </row>
    <row r="708" spans="2:35">
      <c r="B708" s="39">
        <f t="shared" si="339"/>
        <v>680</v>
      </c>
      <c r="C708" s="45">
        <f t="shared" si="340"/>
        <v>19.976019184651026</v>
      </c>
      <c r="D708" s="10">
        <f t="shared" si="341"/>
        <v>-4.5260191846507958</v>
      </c>
      <c r="E708" s="40">
        <f t="shared" si="342"/>
        <v>57.392038369301595</v>
      </c>
      <c r="F708" s="40">
        <f t="shared" si="343"/>
        <v>48.34</v>
      </c>
      <c r="G708" s="3">
        <f t="shared" si="344"/>
        <v>48.295923261396808</v>
      </c>
      <c r="H708" s="3">
        <f t="shared" si="345"/>
        <v>148.0155219248214</v>
      </c>
      <c r="I708">
        <f t="shared" si="330"/>
        <v>1.4801552192482141E-4</v>
      </c>
      <c r="J708" s="4">
        <f t="shared" si="346"/>
        <v>2591.5394175647616</v>
      </c>
      <c r="K708" s="40">
        <f t="shared" si="347"/>
        <v>17.508565208999034</v>
      </c>
      <c r="L708" s="40">
        <f t="shared" si="331"/>
        <v>0</v>
      </c>
      <c r="M708" s="10">
        <f t="shared" si="348"/>
        <v>0.52075978565951897</v>
      </c>
      <c r="N708" s="10">
        <f t="shared" si="327"/>
        <v>8.26</v>
      </c>
      <c r="O708" s="10">
        <f t="shared" si="328"/>
        <v>0.31900000000000001</v>
      </c>
      <c r="P708" s="10">
        <f t="shared" si="349"/>
        <v>6.7079125253334793</v>
      </c>
      <c r="Q708" s="45">
        <f t="shared" si="350"/>
        <v>2.4013617033954535</v>
      </c>
      <c r="R708" s="4">
        <f t="shared" si="351"/>
        <v>-36303.905260195002</v>
      </c>
      <c r="S708">
        <f t="shared" si="332"/>
        <v>-3.6303905260195E-5</v>
      </c>
      <c r="T708" s="44">
        <f t="shared" si="333"/>
        <v>2.7217169089551043E-4</v>
      </c>
      <c r="U708" s="45">
        <f t="shared" si="352"/>
        <v>-6.514917318468294E-2</v>
      </c>
      <c r="V708" s="45">
        <f t="shared" si="353"/>
        <v>6.8829088517521536E-2</v>
      </c>
      <c r="W708" s="45">
        <f t="shared" si="354"/>
        <v>6.9407687462501672E-2</v>
      </c>
      <c r="X708" s="45">
        <f t="shared" si="355"/>
        <v>-5.7859894498013542E-4</v>
      </c>
      <c r="Y708" s="45">
        <f t="shared" si="329"/>
        <v>3.5062458572893054E-4</v>
      </c>
      <c r="Z708" s="10">
        <f t="shared" si="356"/>
        <v>1.2882478136329725</v>
      </c>
      <c r="AA708">
        <f t="shared" si="334"/>
        <v>517490.82472721959</v>
      </c>
      <c r="AB708" s="10">
        <f t="shared" si="335"/>
        <v>0.51749082472721963</v>
      </c>
      <c r="AC708" s="10">
        <f t="shared" si="336"/>
        <v>0.41649082472721966</v>
      </c>
      <c r="AD708" s="3">
        <f t="shared" si="337"/>
        <v>60.404760656594583</v>
      </c>
      <c r="AI708" s="100">
        <f t="shared" si="338"/>
        <v>6.9407687462501672E-2</v>
      </c>
    </row>
    <row r="709" spans="2:35">
      <c r="B709" s="39">
        <f t="shared" si="339"/>
        <v>681</v>
      </c>
      <c r="C709" s="45">
        <f t="shared" si="340"/>
        <v>20.005395683451983</v>
      </c>
      <c r="D709" s="10">
        <f t="shared" si="341"/>
        <v>-4.5553956834517528</v>
      </c>
      <c r="E709" s="40">
        <f t="shared" si="342"/>
        <v>57.450791366903509</v>
      </c>
      <c r="F709" s="40">
        <f t="shared" si="343"/>
        <v>48.34</v>
      </c>
      <c r="G709" s="3">
        <f t="shared" si="344"/>
        <v>48.17841726619298</v>
      </c>
      <c r="H709" s="3">
        <f t="shared" si="345"/>
        <v>148.0155219248214</v>
      </c>
      <c r="I709">
        <f t="shared" si="330"/>
        <v>1.4801552192482141E-4</v>
      </c>
      <c r="J709" s="4">
        <f t="shared" si="346"/>
        <v>2596.8387821093115</v>
      </c>
      <c r="K709" s="40">
        <f t="shared" si="347"/>
        <v>17.544367971274475</v>
      </c>
      <c r="L709" s="40">
        <f t="shared" si="331"/>
        <v>0</v>
      </c>
      <c r="M709" s="10">
        <f t="shared" si="348"/>
        <v>0.51749082472721963</v>
      </c>
      <c r="N709" s="10">
        <f t="shared" si="327"/>
        <v>8.26</v>
      </c>
      <c r="O709" s="10">
        <f t="shared" si="328"/>
        <v>0.31900000000000001</v>
      </c>
      <c r="P709" s="10">
        <f t="shared" si="349"/>
        <v>6.6944514140594649</v>
      </c>
      <c r="Q709" s="45">
        <f t="shared" si="350"/>
        <v>2.4057498895191531</v>
      </c>
      <c r="R709" s="4">
        <f t="shared" si="351"/>
        <v>-36470.891341120507</v>
      </c>
      <c r="S709">
        <f t="shared" si="332"/>
        <v>-3.6470891341120509E-5</v>
      </c>
      <c r="T709" s="44">
        <f t="shared" si="333"/>
        <v>2.7233867697643591E-4</v>
      </c>
      <c r="U709" s="45">
        <f t="shared" si="352"/>
        <v>-6.5448838056207798E-2</v>
      </c>
      <c r="V709" s="45">
        <f t="shared" si="353"/>
        <v>6.8289006682381512E-2</v>
      </c>
      <c r="W709" s="45">
        <f t="shared" si="354"/>
        <v>6.8867161603504312E-2</v>
      </c>
      <c r="X709" s="45">
        <f t="shared" si="355"/>
        <v>-5.7815492112280042E-4</v>
      </c>
      <c r="Y709" s="45">
        <f t="shared" si="329"/>
        <v>3.4808753432671082E-4</v>
      </c>
      <c r="Z709" s="10">
        <f t="shared" si="356"/>
        <v>1.2781421213881754</v>
      </c>
      <c r="AA709">
        <f t="shared" si="334"/>
        <v>514223.65201950469</v>
      </c>
      <c r="AB709" s="10">
        <f t="shared" si="335"/>
        <v>0.51422365201950471</v>
      </c>
      <c r="AC709" s="10">
        <f t="shared" si="336"/>
        <v>0.41322365201950473</v>
      </c>
      <c r="AD709" s="3">
        <f t="shared" si="337"/>
        <v>59.930913998477848</v>
      </c>
      <c r="AI709" s="100">
        <f t="shared" si="338"/>
        <v>6.8867161603504312E-2</v>
      </c>
    </row>
    <row r="710" spans="2:35">
      <c r="B710" s="39">
        <f t="shared" si="339"/>
        <v>682</v>
      </c>
      <c r="C710" s="45">
        <f t="shared" si="340"/>
        <v>20.03477218225294</v>
      </c>
      <c r="D710" s="10">
        <f t="shared" si="341"/>
        <v>-4.5847721822527099</v>
      </c>
      <c r="E710" s="40">
        <f t="shared" si="342"/>
        <v>57.509544364505423</v>
      </c>
      <c r="F710" s="40">
        <f t="shared" si="343"/>
        <v>48.34</v>
      </c>
      <c r="G710" s="3">
        <f t="shared" si="344"/>
        <v>48.060911270989152</v>
      </c>
      <c r="H710" s="3">
        <f t="shared" si="345"/>
        <v>148.0155219248214</v>
      </c>
      <c r="I710">
        <f t="shared" si="330"/>
        <v>1.4801552192482141E-4</v>
      </c>
      <c r="J710" s="4">
        <f t="shared" si="346"/>
        <v>2602.1435689088348</v>
      </c>
      <c r="K710" s="40">
        <f t="shared" si="347"/>
        <v>17.580207366565855</v>
      </c>
      <c r="L710" s="40">
        <f t="shared" si="331"/>
        <v>0</v>
      </c>
      <c r="M710" s="10">
        <f t="shared" si="348"/>
        <v>0.51422365201950471</v>
      </c>
      <c r="N710" s="10">
        <f t="shared" si="327"/>
        <v>8.26</v>
      </c>
      <c r="O710" s="10">
        <f t="shared" si="328"/>
        <v>0.31900000000000001</v>
      </c>
      <c r="P710" s="10">
        <f t="shared" si="349"/>
        <v>6.6809396813700133</v>
      </c>
      <c r="Q710" s="45">
        <f t="shared" si="350"/>
        <v>2.4101469504420163</v>
      </c>
      <c r="R710" s="4">
        <f t="shared" si="351"/>
        <v>-36636.89260635167</v>
      </c>
      <c r="S710">
        <f t="shared" si="332"/>
        <v>-3.6636892606351672E-5</v>
      </c>
      <c r="T710" s="44">
        <f t="shared" si="333"/>
        <v>2.7250467824166706E-4</v>
      </c>
      <c r="U710" s="45">
        <f t="shared" si="352"/>
        <v>-6.5746735626728392E-2</v>
      </c>
      <c r="V710" s="45">
        <f t="shared" si="353"/>
        <v>6.7749247905943485E-2</v>
      </c>
      <c r="W710" s="45">
        <f t="shared" si="354"/>
        <v>6.8326931429175439E-2</v>
      </c>
      <c r="X710" s="45">
        <f t="shared" si="355"/>
        <v>-5.7768352323195327E-4</v>
      </c>
      <c r="Y710" s="45">
        <f t="shared" si="329"/>
        <v>3.4554742468092566E-4</v>
      </c>
      <c r="Z710" s="10">
        <f t="shared" si="356"/>
        <v>1.2680421742135437</v>
      </c>
      <c r="AA710">
        <f t="shared" si="334"/>
        <v>510958.33669434156</v>
      </c>
      <c r="AB710" s="10">
        <f t="shared" si="335"/>
        <v>0.51095833669434154</v>
      </c>
      <c r="AC710" s="10">
        <f t="shared" si="336"/>
        <v>0.40995833669434156</v>
      </c>
      <c r="AD710" s="3">
        <f t="shared" si="337"/>
        <v>59.457336721441848</v>
      </c>
      <c r="AI710" s="100">
        <f t="shared" si="338"/>
        <v>6.8326931429175439E-2</v>
      </c>
    </row>
    <row r="711" spans="2:35">
      <c r="B711" s="39">
        <f t="shared" si="339"/>
        <v>683</v>
      </c>
      <c r="C711" s="45">
        <f t="shared" si="340"/>
        <v>20.064148681053897</v>
      </c>
      <c r="D711" s="10">
        <f t="shared" si="341"/>
        <v>-4.6141486810536669</v>
      </c>
      <c r="E711" s="40">
        <f t="shared" si="342"/>
        <v>57.568297362107337</v>
      </c>
      <c r="F711" s="40">
        <f t="shared" si="343"/>
        <v>48.34</v>
      </c>
      <c r="G711" s="3">
        <f t="shared" si="344"/>
        <v>47.943405275785324</v>
      </c>
      <c r="H711" s="3">
        <f t="shared" si="345"/>
        <v>148.0155219248214</v>
      </c>
      <c r="I711">
        <f t="shared" si="330"/>
        <v>1.4801552192482141E-4</v>
      </c>
      <c r="J711" s="4">
        <f t="shared" si="346"/>
        <v>2607.4537779633329</v>
      </c>
      <c r="K711" s="40">
        <f t="shared" si="347"/>
        <v>17.616083394873176</v>
      </c>
      <c r="L711" s="40">
        <f t="shared" si="331"/>
        <v>0</v>
      </c>
      <c r="M711" s="10">
        <f t="shared" si="348"/>
        <v>0.51095833669434154</v>
      </c>
      <c r="N711" s="10">
        <f t="shared" si="327"/>
        <v>8.26</v>
      </c>
      <c r="O711" s="10">
        <f t="shared" si="328"/>
        <v>0.31900000000000001</v>
      </c>
      <c r="P711" s="10">
        <f t="shared" si="349"/>
        <v>6.6673770903508132</v>
      </c>
      <c r="Q711" s="45">
        <f t="shared" si="350"/>
        <v>2.4145529557425824</v>
      </c>
      <c r="R711" s="4">
        <f t="shared" si="351"/>
        <v>-36801.907144446144</v>
      </c>
      <c r="S711">
        <f t="shared" si="332"/>
        <v>-3.6801907144446145E-5</v>
      </c>
      <c r="T711" s="44">
        <f t="shared" si="333"/>
        <v>2.7266969277976158E-4</v>
      </c>
      <c r="U711" s="45">
        <f t="shared" si="352"/>
        <v>-6.6042862466065819E-2</v>
      </c>
      <c r="V711" s="45">
        <f t="shared" si="353"/>
        <v>6.7209823669385507E-2</v>
      </c>
      <c r="W711" s="45">
        <f t="shared" si="354"/>
        <v>6.7787008374851979E-2</v>
      </c>
      <c r="X711" s="45">
        <f t="shared" si="355"/>
        <v>-5.7718470546647138E-4</v>
      </c>
      <c r="Y711" s="45">
        <f t="shared" si="329"/>
        <v>3.4300434580923471E-4</v>
      </c>
      <c r="Z711" s="10">
        <f t="shared" si="356"/>
        <v>1.2579481874660827</v>
      </c>
      <c r="AA711">
        <f t="shared" si="334"/>
        <v>507694.94837670116</v>
      </c>
      <c r="AB711" s="10">
        <f t="shared" si="335"/>
        <v>0.50769494837670115</v>
      </c>
      <c r="AC711" s="10">
        <f t="shared" si="336"/>
        <v>0.40669494837670117</v>
      </c>
      <c r="AD711" s="3">
        <f t="shared" si="337"/>
        <v>58.98403892337943</v>
      </c>
      <c r="AI711" s="100">
        <f t="shared" si="338"/>
        <v>6.7787008374851979E-2</v>
      </c>
    </row>
    <row r="712" spans="2:35">
      <c r="B712" s="39">
        <f t="shared" si="339"/>
        <v>684</v>
      </c>
      <c r="C712" s="45">
        <f t="shared" si="340"/>
        <v>20.093525179854854</v>
      </c>
      <c r="D712" s="10">
        <f t="shared" si="341"/>
        <v>-4.643525179854624</v>
      </c>
      <c r="E712" s="40">
        <f t="shared" si="342"/>
        <v>57.627050359709251</v>
      </c>
      <c r="F712" s="40">
        <f t="shared" si="343"/>
        <v>48.34</v>
      </c>
      <c r="G712" s="3">
        <f t="shared" si="344"/>
        <v>47.825899280581496</v>
      </c>
      <c r="H712" s="3">
        <f t="shared" si="345"/>
        <v>148.0155219248214</v>
      </c>
      <c r="I712">
        <f t="shared" si="330"/>
        <v>1.4801552192482141E-4</v>
      </c>
      <c r="J712" s="4">
        <f t="shared" si="346"/>
        <v>2612.7694092728043</v>
      </c>
      <c r="K712" s="40">
        <f t="shared" si="347"/>
        <v>17.651996056196435</v>
      </c>
      <c r="L712" s="40">
        <f t="shared" si="331"/>
        <v>0</v>
      </c>
      <c r="M712" s="10">
        <f t="shared" si="348"/>
        <v>0.50769494837670115</v>
      </c>
      <c r="N712" s="10">
        <f t="shared" si="327"/>
        <v>8.26</v>
      </c>
      <c r="O712" s="10">
        <f t="shared" si="328"/>
        <v>0.31900000000000001</v>
      </c>
      <c r="P712" s="10">
        <f t="shared" si="349"/>
        <v>6.6537634024283614</v>
      </c>
      <c r="Q712" s="45">
        <f t="shared" si="350"/>
        <v>2.4189679757882661</v>
      </c>
      <c r="R712" s="4">
        <f t="shared" si="351"/>
        <v>-36965.933043961479</v>
      </c>
      <c r="S712">
        <f t="shared" si="332"/>
        <v>-3.6965933043961479E-5</v>
      </c>
      <c r="T712" s="44">
        <f t="shared" si="333"/>
        <v>2.7283371867927689E-4</v>
      </c>
      <c r="U712" s="45">
        <f t="shared" si="352"/>
        <v>-6.6337215144041062E-2</v>
      </c>
      <c r="V712" s="45">
        <f t="shared" si="353"/>
        <v>6.6670745529914338E-2</v>
      </c>
      <c r="W712" s="45">
        <f t="shared" si="354"/>
        <v>6.7247403953090409E-2</v>
      </c>
      <c r="X712" s="45">
        <f t="shared" si="355"/>
        <v>-5.766584231760713E-4</v>
      </c>
      <c r="Y712" s="45">
        <f t="shared" si="329"/>
        <v>3.4045838731140005E-4</v>
      </c>
      <c r="Z712" s="10">
        <f t="shared" si="356"/>
        <v>1.247860377960166</v>
      </c>
      <c r="AA712">
        <f t="shared" si="334"/>
        <v>504433.55716272205</v>
      </c>
      <c r="AB712" s="10">
        <f t="shared" si="335"/>
        <v>0.50443355716272209</v>
      </c>
      <c r="AC712" s="10">
        <f t="shared" si="336"/>
        <v>0.40343355716272211</v>
      </c>
      <c r="AD712" s="3">
        <f t="shared" si="337"/>
        <v>58.511030770518069</v>
      </c>
      <c r="AI712" s="100">
        <f t="shared" si="338"/>
        <v>6.7247403953090409E-2</v>
      </c>
    </row>
    <row r="713" spans="2:35">
      <c r="B713" s="39">
        <f t="shared" si="339"/>
        <v>685</v>
      </c>
      <c r="C713" s="45">
        <f t="shared" si="340"/>
        <v>20.122901678655811</v>
      </c>
      <c r="D713" s="10">
        <f t="shared" si="341"/>
        <v>-4.672901678655581</v>
      </c>
      <c r="E713" s="40">
        <f t="shared" si="342"/>
        <v>57.685803357311165</v>
      </c>
      <c r="F713" s="40">
        <f t="shared" si="343"/>
        <v>48.34</v>
      </c>
      <c r="G713" s="3">
        <f t="shared" si="344"/>
        <v>47.708393285377667</v>
      </c>
      <c r="H713" s="3">
        <f t="shared" si="345"/>
        <v>148.0155219248214</v>
      </c>
      <c r="I713">
        <f t="shared" si="330"/>
        <v>1.4801552192482141E-4</v>
      </c>
      <c r="J713" s="4">
        <f t="shared" si="346"/>
        <v>2618.09046283725</v>
      </c>
      <c r="K713" s="40">
        <f t="shared" si="347"/>
        <v>17.687945350535635</v>
      </c>
      <c r="L713" s="40">
        <f t="shared" si="331"/>
        <v>0</v>
      </c>
      <c r="M713" s="10">
        <f t="shared" si="348"/>
        <v>0.50443355716272209</v>
      </c>
      <c r="N713" s="10">
        <f t="shared" si="327"/>
        <v>8.26</v>
      </c>
      <c r="O713" s="10">
        <f t="shared" si="328"/>
        <v>0.31900000000000001</v>
      </c>
      <c r="P713" s="10">
        <f t="shared" si="349"/>
        <v>6.6400983773634472</v>
      </c>
      <c r="Q713" s="45">
        <f t="shared" si="350"/>
        <v>2.4233920817474646</v>
      </c>
      <c r="R713" s="4">
        <f t="shared" si="351"/>
        <v>-37128.968393455289</v>
      </c>
      <c r="S713">
        <f t="shared" si="332"/>
        <v>-3.712896839345529E-5</v>
      </c>
      <c r="T713" s="44">
        <f t="shared" si="333"/>
        <v>2.729967540287707E-4</v>
      </c>
      <c r="U713" s="45">
        <f t="shared" si="352"/>
        <v>-6.6629790230475175E-2</v>
      </c>
      <c r="V713" s="45">
        <f t="shared" si="353"/>
        <v>6.6132025121549587E-2</v>
      </c>
      <c r="W713" s="45">
        <f t="shared" si="354"/>
        <v>6.670812975435518E-2</v>
      </c>
      <c r="X713" s="45">
        <f t="shared" si="355"/>
        <v>-5.7610463280559354E-4</v>
      </c>
      <c r="Y713" s="45">
        <f t="shared" si="329"/>
        <v>3.3790963937228293E-4</v>
      </c>
      <c r="Z713" s="10">
        <f t="shared" si="356"/>
        <v>1.2377789639823746</v>
      </c>
      <c r="AA713">
        <f t="shared" si="334"/>
        <v>501174.23362450791</v>
      </c>
      <c r="AB713" s="10">
        <f t="shared" si="335"/>
        <v>0.50117423362450786</v>
      </c>
      <c r="AC713" s="10">
        <f t="shared" si="336"/>
        <v>0.40017423362450788</v>
      </c>
      <c r="AD713" s="3">
        <f t="shared" si="337"/>
        <v>58.038322498115726</v>
      </c>
      <c r="AI713" s="100">
        <f t="shared" si="338"/>
        <v>6.670812975435518E-2</v>
      </c>
    </row>
    <row r="714" spans="2:35">
      <c r="B714" s="39">
        <f t="shared" si="339"/>
        <v>686</v>
      </c>
      <c r="C714" s="45">
        <f t="shared" si="340"/>
        <v>20.152278177456768</v>
      </c>
      <c r="D714" s="10">
        <f t="shared" si="341"/>
        <v>-4.7022781774565381</v>
      </c>
      <c r="E714" s="40">
        <f t="shared" si="342"/>
        <v>57.74455635491308</v>
      </c>
      <c r="F714" s="40">
        <f t="shared" si="343"/>
        <v>48.34</v>
      </c>
      <c r="G714" s="3">
        <f t="shared" si="344"/>
        <v>47.590887290173839</v>
      </c>
      <c r="H714" s="3">
        <f t="shared" si="345"/>
        <v>148.0155219248214</v>
      </c>
      <c r="I714">
        <f t="shared" si="330"/>
        <v>1.4801552192482141E-4</v>
      </c>
      <c r="J714" s="4">
        <f t="shared" si="346"/>
        <v>2623.4169386566691</v>
      </c>
      <c r="K714" s="40">
        <f t="shared" si="347"/>
        <v>17.72393127789077</v>
      </c>
      <c r="L714" s="40">
        <f t="shared" si="331"/>
        <v>0</v>
      </c>
      <c r="M714" s="10">
        <f t="shared" si="348"/>
        <v>0.50117423362450786</v>
      </c>
      <c r="N714" s="10">
        <f t="shared" si="327"/>
        <v>8.26</v>
      </c>
      <c r="O714" s="10">
        <f t="shared" si="328"/>
        <v>0.31900000000000001</v>
      </c>
      <c r="P714" s="10">
        <f t="shared" si="349"/>
        <v>6.6263817732474264</v>
      </c>
      <c r="Q714" s="45">
        <f t="shared" si="350"/>
        <v>2.4278253456018897</v>
      </c>
      <c r="R714" s="4">
        <f t="shared" si="351"/>
        <v>-37291.011281485182</v>
      </c>
      <c r="S714">
        <f t="shared" si="332"/>
        <v>-3.7291011281485179E-5</v>
      </c>
      <c r="T714" s="44">
        <f t="shared" si="333"/>
        <v>2.7315879691680058E-4</v>
      </c>
      <c r="U714" s="45">
        <f t="shared" si="352"/>
        <v>-6.6920584295189225E-2</v>
      </c>
      <c r="V714" s="45">
        <f t="shared" si="353"/>
        <v>6.5593674155846049E-2</v>
      </c>
      <c r="W714" s="45">
        <f t="shared" si="354"/>
        <v>6.6169197447812036E-2</v>
      </c>
      <c r="X714" s="45">
        <f t="shared" si="355"/>
        <v>-5.755232919659875E-4</v>
      </c>
      <c r="Y714" s="45">
        <f t="shared" si="329"/>
        <v>3.3535819276463039E-4</v>
      </c>
      <c r="Z714" s="10">
        <f t="shared" si="356"/>
        <v>1.2277041653056286</v>
      </c>
      <c r="AA714">
        <f t="shared" si="334"/>
        <v>497917.04881469603</v>
      </c>
      <c r="AB714" s="10">
        <f t="shared" si="335"/>
        <v>0.49791704881469601</v>
      </c>
      <c r="AC714" s="10">
        <f t="shared" si="336"/>
        <v>0.39691704881469603</v>
      </c>
      <c r="AD714" s="3">
        <f t="shared" si="337"/>
        <v>57.565924411123426</v>
      </c>
      <c r="AI714" s="100">
        <f t="shared" si="338"/>
        <v>6.6169197447812036E-2</v>
      </c>
    </row>
    <row r="715" spans="2:35">
      <c r="B715" s="39">
        <f t="shared" si="339"/>
        <v>687</v>
      </c>
      <c r="C715" s="45">
        <f t="shared" si="340"/>
        <v>20.181654676257725</v>
      </c>
      <c r="D715" s="10">
        <f t="shared" si="341"/>
        <v>-4.7316546762574951</v>
      </c>
      <c r="E715" s="40">
        <f t="shared" si="342"/>
        <v>57.803309352514994</v>
      </c>
      <c r="F715" s="40">
        <f t="shared" si="343"/>
        <v>48.34</v>
      </c>
      <c r="G715" s="3">
        <f t="shared" si="344"/>
        <v>47.473381294970011</v>
      </c>
      <c r="H715" s="3">
        <f t="shared" si="345"/>
        <v>148.0155219248214</v>
      </c>
      <c r="I715">
        <f t="shared" si="330"/>
        <v>1.4801552192482141E-4</v>
      </c>
      <c r="J715" s="4">
        <f t="shared" si="346"/>
        <v>2628.7488367310625</v>
      </c>
      <c r="K715" s="40">
        <f t="shared" si="347"/>
        <v>17.759953838261847</v>
      </c>
      <c r="L715" s="40">
        <f t="shared" si="331"/>
        <v>0</v>
      </c>
      <c r="M715" s="10">
        <f t="shared" si="348"/>
        <v>0.49791704881469601</v>
      </c>
      <c r="N715" s="10">
        <f t="shared" si="327"/>
        <v>8.26</v>
      </c>
      <c r="O715" s="10">
        <f t="shared" si="328"/>
        <v>0.31900000000000001</v>
      </c>
      <c r="P715" s="10">
        <f t="shared" si="349"/>
        <v>6.6126133464976968</v>
      </c>
      <c r="Q715" s="45">
        <f t="shared" si="350"/>
        <v>2.4322678401591311</v>
      </c>
      <c r="R715" s="4">
        <f t="shared" si="351"/>
        <v>-37452.059796608752</v>
      </c>
      <c r="S715">
        <f t="shared" si="332"/>
        <v>-3.7452059796608752E-5</v>
      </c>
      <c r="T715" s="44">
        <f t="shared" si="333"/>
        <v>2.7331984543192418E-4</v>
      </c>
      <c r="U715" s="45">
        <f t="shared" si="352"/>
        <v>-6.7209593908004225E-2</v>
      </c>
      <c r="V715" s="45">
        <f t="shared" si="353"/>
        <v>6.5055704422620625E-2</v>
      </c>
      <c r="W715" s="45">
        <f t="shared" si="354"/>
        <v>6.5630618782083414E-2</v>
      </c>
      <c r="X715" s="45">
        <f t="shared" si="355"/>
        <v>-5.7491435946278868E-4</v>
      </c>
      <c r="Y715" s="45">
        <f t="shared" si="329"/>
        <v>3.32804138851837E-4</v>
      </c>
      <c r="Z715" s="10">
        <f t="shared" si="356"/>
        <v>1.2176362032032855</v>
      </c>
      <c r="AA715">
        <f t="shared" si="334"/>
        <v>494662.07427101559</v>
      </c>
      <c r="AB715" s="10">
        <f t="shared" si="335"/>
        <v>0.49466207427101561</v>
      </c>
      <c r="AC715" s="10">
        <f t="shared" si="336"/>
        <v>0.39366207427101563</v>
      </c>
      <c r="AD715" s="3">
        <f t="shared" si="337"/>
        <v>57.093846884846357</v>
      </c>
      <c r="AI715" s="100">
        <f t="shared" si="338"/>
        <v>6.5630618782083414E-2</v>
      </c>
    </row>
    <row r="716" spans="2:35">
      <c r="B716" s="39">
        <f t="shared" si="339"/>
        <v>688</v>
      </c>
      <c r="C716" s="45">
        <f t="shared" si="340"/>
        <v>20.211031175058682</v>
      </c>
      <c r="D716" s="10">
        <f t="shared" si="341"/>
        <v>-4.7610311750584522</v>
      </c>
      <c r="E716" s="40">
        <f t="shared" si="342"/>
        <v>57.862062350116908</v>
      </c>
      <c r="F716" s="40">
        <f t="shared" si="343"/>
        <v>48.34</v>
      </c>
      <c r="G716" s="3">
        <f t="shared" si="344"/>
        <v>47.355875299766183</v>
      </c>
      <c r="H716" s="3">
        <f t="shared" si="345"/>
        <v>148.0155219248214</v>
      </c>
      <c r="I716">
        <f t="shared" si="330"/>
        <v>1.4801552192482141E-4</v>
      </c>
      <c r="J716" s="4">
        <f t="shared" si="346"/>
        <v>2634.0861570604297</v>
      </c>
      <c r="K716" s="40">
        <f t="shared" si="347"/>
        <v>17.796013031648865</v>
      </c>
      <c r="L716" s="40">
        <f t="shared" si="331"/>
        <v>0</v>
      </c>
      <c r="M716" s="10">
        <f t="shared" si="348"/>
        <v>0.49466207427101561</v>
      </c>
      <c r="N716" s="10">
        <f t="shared" si="327"/>
        <v>8.26</v>
      </c>
      <c r="O716" s="10">
        <f t="shared" si="328"/>
        <v>0.31900000000000001</v>
      </c>
      <c r="P716" s="10">
        <f t="shared" si="349"/>
        <v>6.5987928518533066</v>
      </c>
      <c r="Q716" s="45">
        <f t="shared" si="350"/>
        <v>2.436719639065458</v>
      </c>
      <c r="R716" s="4">
        <f t="shared" si="351"/>
        <v>-37612.112027383584</v>
      </c>
      <c r="S716">
        <f t="shared" si="332"/>
        <v>-3.7612112027383584E-5</v>
      </c>
      <c r="T716" s="44">
        <f t="shared" si="333"/>
        <v>2.7347989766269898E-4</v>
      </c>
      <c r="U716" s="45">
        <f t="shared" si="352"/>
        <v>-6.74968156387412E-2</v>
      </c>
      <c r="V716" s="45">
        <f t="shared" si="353"/>
        <v>6.4518127790718111E-2</v>
      </c>
      <c r="W716" s="45">
        <f t="shared" si="354"/>
        <v>6.5092405586002225E-2</v>
      </c>
      <c r="X716" s="45">
        <f t="shared" si="355"/>
        <v>-5.7427779528411438E-4</v>
      </c>
      <c r="Y716" s="45">
        <f t="shared" si="329"/>
        <v>3.3024756959086339E-4</v>
      </c>
      <c r="Z716" s="10">
        <f t="shared" si="356"/>
        <v>1.2075753004638745</v>
      </c>
      <c r="AA716">
        <f t="shared" si="334"/>
        <v>491409.38202105119</v>
      </c>
      <c r="AB716" s="10">
        <f t="shared" si="335"/>
        <v>0.49140938202105117</v>
      </c>
      <c r="AC716" s="10">
        <f t="shared" si="336"/>
        <v>0.39040938202105113</v>
      </c>
      <c r="AD716" s="3">
        <f t="shared" si="337"/>
        <v>56.62210036563468</v>
      </c>
      <c r="AI716" s="100">
        <f t="shared" si="338"/>
        <v>6.5092405586002225E-2</v>
      </c>
    </row>
    <row r="717" spans="2:35">
      <c r="B717" s="39">
        <f t="shared" si="339"/>
        <v>689</v>
      </c>
      <c r="C717" s="45">
        <f t="shared" si="340"/>
        <v>20.240407673859639</v>
      </c>
      <c r="D717" s="10">
        <f t="shared" si="341"/>
        <v>-4.7904076738594092</v>
      </c>
      <c r="E717" s="40">
        <f t="shared" si="342"/>
        <v>57.920815347718822</v>
      </c>
      <c r="F717" s="40">
        <f t="shared" si="343"/>
        <v>48.34</v>
      </c>
      <c r="G717" s="3">
        <f t="shared" si="344"/>
        <v>47.238369304562355</v>
      </c>
      <c r="H717" s="3">
        <f t="shared" si="345"/>
        <v>148.0155219248214</v>
      </c>
      <c r="I717">
        <f t="shared" si="330"/>
        <v>1.4801552192482141E-4</v>
      </c>
      <c r="J717" s="4">
        <f t="shared" si="346"/>
        <v>2639.4288996447708</v>
      </c>
      <c r="K717" s="40">
        <f t="shared" si="347"/>
        <v>17.832108858051818</v>
      </c>
      <c r="L717" s="40">
        <f t="shared" si="331"/>
        <v>0</v>
      </c>
      <c r="M717" s="10">
        <f t="shared" si="348"/>
        <v>0.49140938202105117</v>
      </c>
      <c r="N717" s="10">
        <f t="shared" si="327"/>
        <v>8.26</v>
      </c>
      <c r="O717" s="10">
        <f t="shared" si="328"/>
        <v>0.31900000000000001</v>
      </c>
      <c r="P717" s="10">
        <f t="shared" si="349"/>
        <v>6.5849200423716212</v>
      </c>
      <c r="Q717" s="45">
        <f t="shared" si="350"/>
        <v>2.4411808168188598</v>
      </c>
      <c r="R717" s="4">
        <f t="shared" si="351"/>
        <v>-37771.166062367294</v>
      </c>
      <c r="S717">
        <f t="shared" si="332"/>
        <v>-3.7771166062367296E-5</v>
      </c>
      <c r="T717" s="44">
        <f t="shared" si="333"/>
        <v>2.7363895169768272E-4</v>
      </c>
      <c r="U717" s="45">
        <f t="shared" si="352"/>
        <v>-6.7782246057221232E-2</v>
      </c>
      <c r="V717" s="45">
        <f t="shared" si="353"/>
        <v>6.3980956208790296E-2</v>
      </c>
      <c r="W717" s="45">
        <f t="shared" si="354"/>
        <v>6.4554569769399356E-2</v>
      </c>
      <c r="X717" s="45">
        <f t="shared" si="355"/>
        <v>-5.7361356060905977E-4</v>
      </c>
      <c r="Y717" s="45">
        <f t="shared" si="329"/>
        <v>3.2768857753522464E-4</v>
      </c>
      <c r="Z717" s="10">
        <f t="shared" si="356"/>
        <v>1.1975216814061476</v>
      </c>
      <c r="AA717">
        <f t="shared" si="334"/>
        <v>488159.04458710854</v>
      </c>
      <c r="AB717" s="10">
        <f t="shared" si="335"/>
        <v>0.48815904458710851</v>
      </c>
      <c r="AC717" s="10">
        <f t="shared" si="336"/>
        <v>0.38715904458710848</v>
      </c>
      <c r="AD717" s="3">
        <f t="shared" si="337"/>
        <v>56.150695371589336</v>
      </c>
      <c r="AI717" s="100">
        <f t="shared" si="338"/>
        <v>6.4554569769399356E-2</v>
      </c>
    </row>
    <row r="718" spans="2:35">
      <c r="B718" s="39">
        <f t="shared" si="339"/>
        <v>690</v>
      </c>
      <c r="C718" s="45">
        <f t="shared" si="340"/>
        <v>20.269784172660597</v>
      </c>
      <c r="D718" s="10">
        <f t="shared" si="341"/>
        <v>-4.8197841726603663</v>
      </c>
      <c r="E718" s="40">
        <f t="shared" si="342"/>
        <v>57.979568345320736</v>
      </c>
      <c r="F718" s="40">
        <f t="shared" si="343"/>
        <v>48.34</v>
      </c>
      <c r="G718" s="3">
        <f t="shared" si="344"/>
        <v>47.120863309358526</v>
      </c>
      <c r="H718" s="3">
        <f t="shared" si="345"/>
        <v>148.0155219248214</v>
      </c>
      <c r="I718">
        <f t="shared" si="330"/>
        <v>1.4801552192482141E-4</v>
      </c>
      <c r="J718" s="4">
        <f t="shared" si="346"/>
        <v>2644.7770644840857</v>
      </c>
      <c r="K718" s="40">
        <f t="shared" si="347"/>
        <v>17.868241317470712</v>
      </c>
      <c r="L718" s="40">
        <f t="shared" si="331"/>
        <v>0</v>
      </c>
      <c r="M718" s="10">
        <f t="shared" si="348"/>
        <v>0.48815904458710851</v>
      </c>
      <c r="N718" s="10">
        <f t="shared" si="327"/>
        <v>8.26</v>
      </c>
      <c r="O718" s="10">
        <f t="shared" si="328"/>
        <v>0.31900000000000001</v>
      </c>
      <c r="P718" s="10">
        <f t="shared" si="349"/>
        <v>6.5709946694256507</v>
      </c>
      <c r="Q718" s="45">
        <f t="shared" si="350"/>
        <v>2.4456514487823346</v>
      </c>
      <c r="R718" s="4">
        <f t="shared" si="351"/>
        <v>-37929.219990117483</v>
      </c>
      <c r="S718">
        <f t="shared" si="332"/>
        <v>-3.7929219990117481E-5</v>
      </c>
      <c r="T718" s="44">
        <f t="shared" si="333"/>
        <v>2.7379700562543289E-4</v>
      </c>
      <c r="U718" s="45">
        <f t="shared" si="352"/>
        <v>-6.8065881733265332E-2</v>
      </c>
      <c r="V718" s="45">
        <f t="shared" si="353"/>
        <v>6.3444201706024661E-2</v>
      </c>
      <c r="W718" s="45">
        <f t="shared" si="354"/>
        <v>6.4017123323908368E-2</v>
      </c>
      <c r="X718" s="45">
        <f t="shared" si="355"/>
        <v>-5.7292161788370655E-4</v>
      </c>
      <c r="Y718" s="45">
        <f t="shared" si="329"/>
        <v>3.2512725583774799E-4</v>
      </c>
      <c r="Z718" s="10">
        <f t="shared" si="356"/>
        <v>1.1874755718933512</v>
      </c>
      <c r="AA718">
        <f t="shared" si="334"/>
        <v>484911.1349908291</v>
      </c>
      <c r="AB718" s="10">
        <f t="shared" si="335"/>
        <v>0.48491113499082911</v>
      </c>
      <c r="AC718" s="10">
        <f t="shared" si="336"/>
        <v>0.38391113499082907</v>
      </c>
      <c r="AD718" s="3">
        <f t="shared" si="337"/>
        <v>55.679642493231199</v>
      </c>
      <c r="AI718" s="100">
        <f t="shared" si="338"/>
        <v>6.4017123323908368E-2</v>
      </c>
    </row>
    <row r="719" spans="2:35">
      <c r="B719" s="39">
        <f t="shared" si="339"/>
        <v>691</v>
      </c>
      <c r="C719" s="45">
        <f t="shared" si="340"/>
        <v>20.299160671461554</v>
      </c>
      <c r="D719" s="10">
        <f t="shared" si="341"/>
        <v>-4.8491606714613233</v>
      </c>
      <c r="E719" s="40">
        <f t="shared" si="342"/>
        <v>58.03832134292265</v>
      </c>
      <c r="F719" s="40">
        <f t="shared" si="343"/>
        <v>48.34</v>
      </c>
      <c r="G719" s="3">
        <f t="shared" si="344"/>
        <v>47.003357314154698</v>
      </c>
      <c r="H719" s="3">
        <f t="shared" si="345"/>
        <v>148.0155219248214</v>
      </c>
      <c r="I719">
        <f t="shared" si="330"/>
        <v>1.4801552192482141E-4</v>
      </c>
      <c r="J719" s="4">
        <f t="shared" si="346"/>
        <v>2650.1306515783749</v>
      </c>
      <c r="K719" s="40">
        <f t="shared" si="347"/>
        <v>17.904410409905548</v>
      </c>
      <c r="L719" s="40">
        <f t="shared" si="331"/>
        <v>0</v>
      </c>
      <c r="M719" s="10">
        <f t="shared" si="348"/>
        <v>0.48491113499082911</v>
      </c>
      <c r="N719" s="10">
        <f t="shared" si="327"/>
        <v>8.26</v>
      </c>
      <c r="O719" s="10">
        <f t="shared" si="328"/>
        <v>0.31900000000000001</v>
      </c>
      <c r="P719" s="10">
        <f t="shared" si="349"/>
        <v>6.5570164827005355</v>
      </c>
      <c r="Q719" s="45">
        <f t="shared" si="350"/>
        <v>2.4501316111974303</v>
      </c>
      <c r="R719" s="4">
        <f t="shared" si="351"/>
        <v>-38086.27189919175</v>
      </c>
      <c r="S719">
        <f t="shared" si="332"/>
        <v>-3.8086271899191748E-5</v>
      </c>
      <c r="T719" s="44">
        <f t="shared" si="333"/>
        <v>2.7395405753450719E-4</v>
      </c>
      <c r="U719" s="45">
        <f t="shared" si="352"/>
        <v>-6.8347719236694554E-2</v>
      </c>
      <c r="V719" s="45">
        <f t="shared" si="353"/>
        <v>6.2907876392960152E-2</v>
      </c>
      <c r="W719" s="45">
        <f t="shared" si="354"/>
        <v>6.3480078323728498E-2</v>
      </c>
      <c r="X719" s="45">
        <f t="shared" si="355"/>
        <v>-5.7220193076834569E-4</v>
      </c>
      <c r="Y719" s="45">
        <f t="shared" si="329"/>
        <v>3.2256369825367449E-4</v>
      </c>
      <c r="Z719" s="10">
        <f t="shared" si="356"/>
        <v>1.1774371993488157</v>
      </c>
      <c r="AA719">
        <f t="shared" si="334"/>
        <v>481665.72675822966</v>
      </c>
      <c r="AB719" s="10">
        <f t="shared" si="335"/>
        <v>0.48166572675822966</v>
      </c>
      <c r="AC719" s="10">
        <f t="shared" si="336"/>
        <v>0.38066572675822963</v>
      </c>
      <c r="AD719" s="3">
        <f t="shared" si="337"/>
        <v>55.208952394231993</v>
      </c>
      <c r="AI719" s="100">
        <f t="shared" si="338"/>
        <v>6.3480078323728498E-2</v>
      </c>
    </row>
    <row r="720" spans="2:35">
      <c r="B720" s="39">
        <f t="shared" si="339"/>
        <v>692</v>
      </c>
      <c r="C720" s="45">
        <f t="shared" si="340"/>
        <v>20.328537170262511</v>
      </c>
      <c r="D720" s="10">
        <f t="shared" si="341"/>
        <v>-4.8785371702622804</v>
      </c>
      <c r="E720" s="40">
        <f t="shared" si="342"/>
        <v>58.097074340524564</v>
      </c>
      <c r="F720" s="40">
        <f t="shared" si="343"/>
        <v>48.34</v>
      </c>
      <c r="G720" s="3">
        <f t="shared" si="344"/>
        <v>46.88585131895087</v>
      </c>
      <c r="H720" s="3">
        <f t="shared" si="345"/>
        <v>148.0155219248214</v>
      </c>
      <c r="I720">
        <f t="shared" si="330"/>
        <v>1.4801552192482141E-4</v>
      </c>
      <c r="J720" s="4">
        <f t="shared" si="346"/>
        <v>2655.4896609276379</v>
      </c>
      <c r="K720" s="40">
        <f t="shared" si="347"/>
        <v>17.940616135356318</v>
      </c>
      <c r="L720" s="40">
        <f t="shared" si="331"/>
        <v>0</v>
      </c>
      <c r="M720" s="10">
        <f t="shared" si="348"/>
        <v>0.48166572675822966</v>
      </c>
      <c r="N720" s="10">
        <f t="shared" si="327"/>
        <v>8.26</v>
      </c>
      <c r="O720" s="10">
        <f t="shared" si="328"/>
        <v>0.31900000000000001</v>
      </c>
      <c r="P720" s="10">
        <f t="shared" si="349"/>
        <v>6.5429852301921132</v>
      </c>
      <c r="Q720" s="45">
        <f t="shared" si="350"/>
        <v>2.4546213811980415</v>
      </c>
      <c r="R720" s="4">
        <f t="shared" si="351"/>
        <v>-38242.319878147675</v>
      </c>
      <c r="S720">
        <f t="shared" si="332"/>
        <v>-3.8242319878147676E-5</v>
      </c>
      <c r="T720" s="44">
        <f t="shared" si="333"/>
        <v>2.7411010551346308E-4</v>
      </c>
      <c r="U720" s="45">
        <f t="shared" si="352"/>
        <v>-6.862775513732991E-2</v>
      </c>
      <c r="V720" s="45">
        <f t="shared" si="353"/>
        <v>6.2371992462249025E-2</v>
      </c>
      <c r="W720" s="45">
        <f t="shared" si="354"/>
        <v>6.2943446926457855E-2</v>
      </c>
      <c r="X720" s="45">
        <f t="shared" si="355"/>
        <v>-5.7145446420883012E-4</v>
      </c>
      <c r="Y720" s="45">
        <f t="shared" si="329"/>
        <v>3.1999799914355433E-4</v>
      </c>
      <c r="Z720" s="10">
        <f t="shared" si="356"/>
        <v>1.1674067927708613</v>
      </c>
      <c r="AA720">
        <f t="shared" si="334"/>
        <v>478422.89392452169</v>
      </c>
      <c r="AB720" s="10">
        <f t="shared" si="335"/>
        <v>0.4784228939245217</v>
      </c>
      <c r="AC720" s="10">
        <f t="shared" si="336"/>
        <v>0.37742289392452166</v>
      </c>
      <c r="AD720" s="3">
        <f t="shared" si="337"/>
        <v>54.738635812113372</v>
      </c>
      <c r="AI720" s="100">
        <f t="shared" si="338"/>
        <v>6.2943446926457855E-2</v>
      </c>
    </row>
    <row r="721" spans="2:35">
      <c r="B721" s="39">
        <f t="shared" si="339"/>
        <v>693</v>
      </c>
      <c r="C721" s="45">
        <f t="shared" si="340"/>
        <v>20.357913669063468</v>
      </c>
      <c r="D721" s="10">
        <f t="shared" si="341"/>
        <v>-4.9079136690632374</v>
      </c>
      <c r="E721" s="40">
        <f t="shared" si="342"/>
        <v>58.155827338126478</v>
      </c>
      <c r="F721" s="40">
        <f t="shared" si="343"/>
        <v>48.34</v>
      </c>
      <c r="G721" s="3">
        <f t="shared" si="344"/>
        <v>46.768345323747042</v>
      </c>
      <c r="H721" s="3">
        <f t="shared" si="345"/>
        <v>148.0155219248214</v>
      </c>
      <c r="I721">
        <f t="shared" si="330"/>
        <v>1.4801552192482141E-4</v>
      </c>
      <c r="J721" s="4">
        <f t="shared" si="346"/>
        <v>2660.8540925318748</v>
      </c>
      <c r="K721" s="40">
        <f t="shared" si="347"/>
        <v>17.97685849382303</v>
      </c>
      <c r="L721" s="40">
        <f t="shared" si="331"/>
        <v>0</v>
      </c>
      <c r="M721" s="10">
        <f t="shared" si="348"/>
        <v>0.4784228939245217</v>
      </c>
      <c r="N721" s="10">
        <f t="shared" si="327"/>
        <v>8.26</v>
      </c>
      <c r="O721" s="10">
        <f t="shared" si="328"/>
        <v>0.31900000000000001</v>
      </c>
      <c r="P721" s="10">
        <f t="shared" si="349"/>
        <v>6.5289006582048259</v>
      </c>
      <c r="Q721" s="45">
        <f t="shared" si="350"/>
        <v>2.459120836824471</v>
      </c>
      <c r="R721" s="4">
        <f t="shared" si="351"/>
        <v>-38397.36201554288</v>
      </c>
      <c r="S721">
        <f t="shared" si="332"/>
        <v>-3.839736201554288E-5</v>
      </c>
      <c r="T721" s="44">
        <f t="shared" si="333"/>
        <v>2.7426514765085827E-4</v>
      </c>
      <c r="U721" s="45">
        <f t="shared" si="352"/>
        <v>-6.8905986004992481E-2</v>
      </c>
      <c r="V721" s="45">
        <f t="shared" si="353"/>
        <v>6.1836562189492739E-2</v>
      </c>
      <c r="W721" s="45">
        <f t="shared" si="354"/>
        <v>6.2407241373890456E-2</v>
      </c>
      <c r="X721" s="45">
        <f t="shared" si="355"/>
        <v>-5.7067918439771687E-4</v>
      </c>
      <c r="Y721" s="45">
        <f t="shared" si="329"/>
        <v>3.1743025347642984E-4</v>
      </c>
      <c r="Z721" s="10">
        <f t="shared" si="356"/>
        <v>1.1573845827488116</v>
      </c>
      <c r="AA721">
        <f t="shared" si="334"/>
        <v>475182.71103928826</v>
      </c>
      <c r="AB721" s="10">
        <f t="shared" si="335"/>
        <v>0.47518271103928827</v>
      </c>
      <c r="AC721" s="10">
        <f t="shared" si="336"/>
        <v>0.37418271103928824</v>
      </c>
      <c r="AD721" s="3">
        <f t="shared" si="337"/>
        <v>54.268703558997572</v>
      </c>
      <c r="AI721" s="100">
        <f t="shared" si="338"/>
        <v>6.2407241373890456E-2</v>
      </c>
    </row>
    <row r="722" spans="2:35">
      <c r="B722" s="39">
        <f t="shared" si="339"/>
        <v>694</v>
      </c>
      <c r="C722" s="45">
        <f t="shared" si="340"/>
        <v>20.387290167864425</v>
      </c>
      <c r="D722" s="10">
        <f t="shared" si="341"/>
        <v>-4.9372901678641945</v>
      </c>
      <c r="E722" s="40">
        <f t="shared" si="342"/>
        <v>58.214580335728392</v>
      </c>
      <c r="F722" s="40">
        <f t="shared" si="343"/>
        <v>48.34</v>
      </c>
      <c r="G722" s="3">
        <f t="shared" si="344"/>
        <v>46.650839328543213</v>
      </c>
      <c r="H722" s="3">
        <f t="shared" si="345"/>
        <v>148.0155219248214</v>
      </c>
      <c r="I722">
        <f t="shared" si="330"/>
        <v>1.4801552192482141E-4</v>
      </c>
      <c r="J722" s="4">
        <f t="shared" si="346"/>
        <v>2666.2239463910851</v>
      </c>
      <c r="K722" s="40">
        <f t="shared" si="347"/>
        <v>18.01313748530568</v>
      </c>
      <c r="L722" s="40">
        <f t="shared" si="331"/>
        <v>0</v>
      </c>
      <c r="M722" s="10">
        <f t="shared" si="348"/>
        <v>0.47518271103928827</v>
      </c>
      <c r="N722" s="10">
        <f t="shared" si="327"/>
        <v>8.26</v>
      </c>
      <c r="O722" s="10">
        <f t="shared" si="328"/>
        <v>0.31900000000000001</v>
      </c>
      <c r="P722" s="10">
        <f t="shared" si="349"/>
        <v>6.5147625113514813</v>
      </c>
      <c r="Q722" s="45">
        <f t="shared" si="350"/>
        <v>2.4636300570377592</v>
      </c>
      <c r="R722" s="4">
        <f t="shared" si="351"/>
        <v>-38551.396399934936</v>
      </c>
      <c r="S722">
        <f t="shared" si="332"/>
        <v>-3.8551396399934935E-5</v>
      </c>
      <c r="T722" s="44">
        <f t="shared" si="333"/>
        <v>2.7441918203525035E-4</v>
      </c>
      <c r="U722" s="45">
        <f t="shared" si="352"/>
        <v>-6.9182408409503224E-2</v>
      </c>
      <c r="V722" s="45">
        <f t="shared" si="353"/>
        <v>6.1301597933974966E-2</v>
      </c>
      <c r="W722" s="45">
        <f t="shared" si="354"/>
        <v>6.1871473992872093E-2</v>
      </c>
      <c r="X722" s="45">
        <f t="shared" si="355"/>
        <v>-5.6987605889712717E-4</v>
      </c>
      <c r="Y722" s="45">
        <f t="shared" si="329"/>
        <v>3.1486055683258192E-4</v>
      </c>
      <c r="Z722" s="10">
        <f t="shared" si="356"/>
        <v>1.1473708014774882</v>
      </c>
      <c r="AA722">
        <f t="shared" si="334"/>
        <v>471945.2531711706</v>
      </c>
      <c r="AB722" s="10">
        <f t="shared" si="335"/>
        <v>0.47194525317117059</v>
      </c>
      <c r="AC722" s="10">
        <f t="shared" si="336"/>
        <v>0.37094525317117055</v>
      </c>
      <c r="AD722" s="3">
        <f t="shared" si="337"/>
        <v>53.799166522287244</v>
      </c>
      <c r="AI722" s="100">
        <f t="shared" si="338"/>
        <v>6.1871473992872093E-2</v>
      </c>
    </row>
    <row r="723" spans="2:35">
      <c r="B723" s="39">
        <f t="shared" si="339"/>
        <v>695</v>
      </c>
      <c r="C723" s="45">
        <f t="shared" si="340"/>
        <v>20.416666666665382</v>
      </c>
      <c r="D723" s="10">
        <f t="shared" si="341"/>
        <v>-4.9666666666651516</v>
      </c>
      <c r="E723" s="40">
        <f t="shared" si="342"/>
        <v>58.273333333330307</v>
      </c>
      <c r="F723" s="40">
        <f t="shared" si="343"/>
        <v>48.34</v>
      </c>
      <c r="G723" s="3">
        <f t="shared" si="344"/>
        <v>46.533333333339385</v>
      </c>
      <c r="H723" s="3">
        <f t="shared" si="345"/>
        <v>148.0155219248214</v>
      </c>
      <c r="I723">
        <f t="shared" si="330"/>
        <v>1.4801552192482141E-4</v>
      </c>
      <c r="J723" s="4">
        <f t="shared" si="346"/>
        <v>2671.5992225052696</v>
      </c>
      <c r="K723" s="40">
        <f t="shared" si="347"/>
        <v>18.049453109804269</v>
      </c>
      <c r="L723" s="40">
        <f t="shared" si="331"/>
        <v>0</v>
      </c>
      <c r="M723" s="10">
        <f t="shared" si="348"/>
        <v>0.47194525317117059</v>
      </c>
      <c r="N723" s="10">
        <f t="shared" si="327"/>
        <v>8.26</v>
      </c>
      <c r="O723" s="10">
        <f t="shared" si="328"/>
        <v>0.31900000000000001</v>
      </c>
      <c r="P723" s="10">
        <f t="shared" si="349"/>
        <v>6.5005705325512162</v>
      </c>
      <c r="Q723" s="45">
        <f t="shared" si="350"/>
        <v>2.4681491217342897</v>
      </c>
      <c r="R723" s="4">
        <f t="shared" si="351"/>
        <v>-38704.421119881466</v>
      </c>
      <c r="S723">
        <f t="shared" si="332"/>
        <v>-3.8704421119881467E-5</v>
      </c>
      <c r="T723" s="44">
        <f t="shared" si="333"/>
        <v>2.7457220675519689E-4</v>
      </c>
      <c r="U723" s="45">
        <f t="shared" si="352"/>
        <v>-6.9457018920683289E-2</v>
      </c>
      <c r="V723" s="45">
        <f t="shared" si="353"/>
        <v>6.0767112139575148E-2</v>
      </c>
      <c r="W723" s="45">
        <f t="shared" si="354"/>
        <v>6.1336157196075367E-2</v>
      </c>
      <c r="X723" s="45">
        <f t="shared" si="355"/>
        <v>-5.6904505650021836E-4</v>
      </c>
      <c r="Y723" s="45">
        <f t="shared" si="329"/>
        <v>3.1228900540701657E-4</v>
      </c>
      <c r="Z723" s="10">
        <f t="shared" si="356"/>
        <v>1.1373656827744667</v>
      </c>
      <c r="AA723">
        <f t="shared" si="334"/>
        <v>468710.59591344645</v>
      </c>
      <c r="AB723" s="10">
        <f t="shared" si="335"/>
        <v>0.46871059591344644</v>
      </c>
      <c r="AC723" s="10">
        <f t="shared" si="336"/>
        <v>0.36771059591344646</v>
      </c>
      <c r="AD723" s="3">
        <f t="shared" si="337"/>
        <v>53.330035665474469</v>
      </c>
      <c r="AI723" s="100">
        <f t="shared" si="338"/>
        <v>6.1336157196075367E-2</v>
      </c>
    </row>
    <row r="724" spans="2:35">
      <c r="B724" s="39">
        <f t="shared" si="339"/>
        <v>696</v>
      </c>
      <c r="C724" s="45">
        <f t="shared" si="340"/>
        <v>20.446043165466339</v>
      </c>
      <c r="D724" s="10">
        <f t="shared" si="341"/>
        <v>-4.9960431654661086</v>
      </c>
      <c r="E724" s="40">
        <f t="shared" si="342"/>
        <v>58.332086330932221</v>
      </c>
      <c r="F724" s="40">
        <f t="shared" si="343"/>
        <v>48.34</v>
      </c>
      <c r="G724" s="3">
        <f t="shared" si="344"/>
        <v>46.415827338135557</v>
      </c>
      <c r="H724" s="3">
        <f t="shared" si="345"/>
        <v>148.0155219248214</v>
      </c>
      <c r="I724">
        <f t="shared" si="330"/>
        <v>1.4801552192482141E-4</v>
      </c>
      <c r="J724" s="4">
        <f t="shared" si="346"/>
        <v>2676.9799208744284</v>
      </c>
      <c r="K724" s="40">
        <f t="shared" si="347"/>
        <v>18.085805367318802</v>
      </c>
      <c r="L724" s="40">
        <f t="shared" si="331"/>
        <v>0</v>
      </c>
      <c r="M724" s="10">
        <f t="shared" si="348"/>
        <v>0.46871059591344644</v>
      </c>
      <c r="N724" s="10">
        <f t="shared" si="327"/>
        <v>8.26</v>
      </c>
      <c r="O724" s="10">
        <f t="shared" si="328"/>
        <v>0.31900000000000001</v>
      </c>
      <c r="P724" s="10">
        <f t="shared" si="349"/>
        <v>6.4863244630317087</v>
      </c>
      <c r="Q724" s="45">
        <f t="shared" si="350"/>
        <v>2.4726781117606733</v>
      </c>
      <c r="R724" s="4">
        <f t="shared" si="351"/>
        <v>-38856.434263940071</v>
      </c>
      <c r="S724">
        <f t="shared" si="332"/>
        <v>-3.885643426394007E-5</v>
      </c>
      <c r="T724" s="44">
        <f t="shared" si="333"/>
        <v>2.747242198992555E-4</v>
      </c>
      <c r="U724" s="45">
        <f t="shared" si="352"/>
        <v>-6.9729814108353647E-2</v>
      </c>
      <c r="V724" s="45">
        <f t="shared" si="353"/>
        <v>6.0233117335474255E-2</v>
      </c>
      <c r="W724" s="45">
        <f t="shared" si="354"/>
        <v>6.0801303482922064E-2</v>
      </c>
      <c r="X724" s="45">
        <f t="shared" si="355"/>
        <v>-5.6818614744780921E-4</v>
      </c>
      <c r="Y724" s="45">
        <f t="shared" si="329"/>
        <v>3.0971569601209611E-4</v>
      </c>
      <c r="Z724" s="10">
        <f t="shared" si="356"/>
        <v>1.1273694620942865</v>
      </c>
      <c r="AA724">
        <f t="shared" si="334"/>
        <v>465478.8153886245</v>
      </c>
      <c r="AB724" s="10">
        <f t="shared" si="335"/>
        <v>0.46547881538862451</v>
      </c>
      <c r="AC724" s="10">
        <f t="shared" si="336"/>
        <v>0.36447881538862448</v>
      </c>
      <c r="AD724" s="3">
        <f t="shared" si="337"/>
        <v>52.861322028807031</v>
      </c>
      <c r="AI724" s="100">
        <f t="shared" si="338"/>
        <v>6.0801303482922064E-2</v>
      </c>
    </row>
    <row r="725" spans="2:35">
      <c r="B725" s="39">
        <f t="shared" si="339"/>
        <v>697</v>
      </c>
      <c r="C725" s="45">
        <f t="shared" si="340"/>
        <v>20.475419664267296</v>
      </c>
      <c r="D725" s="10">
        <f t="shared" si="341"/>
        <v>-5.0254196642670657</v>
      </c>
      <c r="E725" s="40">
        <f t="shared" si="342"/>
        <v>58.390839328534135</v>
      </c>
      <c r="F725" s="40">
        <f t="shared" si="343"/>
        <v>48.34</v>
      </c>
      <c r="G725" s="3">
        <f t="shared" si="344"/>
        <v>46.298321342931729</v>
      </c>
      <c r="H725" s="3">
        <f t="shared" si="345"/>
        <v>148.0155219248214</v>
      </c>
      <c r="I725">
        <f t="shared" si="330"/>
        <v>1.4801552192482141E-4</v>
      </c>
      <c r="J725" s="4">
        <f t="shared" si="346"/>
        <v>2682.3660414985607</v>
      </c>
      <c r="K725" s="40">
        <f t="shared" si="347"/>
        <v>18.122194257849266</v>
      </c>
      <c r="L725" s="40">
        <f t="shared" si="331"/>
        <v>0</v>
      </c>
      <c r="M725" s="10">
        <f t="shared" si="348"/>
        <v>0.46547881538862451</v>
      </c>
      <c r="N725" s="10">
        <f t="shared" si="327"/>
        <v>8.26</v>
      </c>
      <c r="O725" s="10">
        <f t="shared" si="328"/>
        <v>0.31900000000000001</v>
      </c>
      <c r="P725" s="10">
        <f t="shared" si="349"/>
        <v>6.4720240423274769</v>
      </c>
      <c r="Q725" s="45">
        <f t="shared" si="350"/>
        <v>2.4772171089289214</v>
      </c>
      <c r="R725" s="4">
        <f t="shared" si="351"/>
        <v>-39007.433920668336</v>
      </c>
      <c r="S725">
        <f t="shared" si="332"/>
        <v>-3.9007433920668339E-5</v>
      </c>
      <c r="T725" s="44">
        <f t="shared" si="333"/>
        <v>2.7487521955598375E-4</v>
      </c>
      <c r="U725" s="45">
        <f t="shared" si="352"/>
        <v>-7.000079054233535E-2</v>
      </c>
      <c r="V725" s="45">
        <f t="shared" si="353"/>
        <v>5.969962613708571E-2</v>
      </c>
      <c r="W725" s="45">
        <f t="shared" si="354"/>
        <v>6.0266925440342761E-2</v>
      </c>
      <c r="X725" s="45">
        <f t="shared" si="355"/>
        <v>-5.6729930325705169E-4</v>
      </c>
      <c r="Y725" s="45">
        <f t="shared" si="329"/>
        <v>3.0714072608106324E-4</v>
      </c>
      <c r="Z725" s="10">
        <f t="shared" si="356"/>
        <v>1.1173823765459803</v>
      </c>
      <c r="AA725">
        <f t="shared" si="334"/>
        <v>462249.98825411138</v>
      </c>
      <c r="AB725" s="10">
        <f t="shared" si="335"/>
        <v>0.4622499882541114</v>
      </c>
      <c r="AC725" s="10">
        <f t="shared" si="336"/>
        <v>0.36124998825411136</v>
      </c>
      <c r="AD725" s="3">
        <f t="shared" si="337"/>
        <v>52.393036730110424</v>
      </c>
      <c r="AI725" s="100">
        <f t="shared" si="338"/>
        <v>6.0266925440342761E-2</v>
      </c>
    </row>
    <row r="726" spans="2:35">
      <c r="B726" s="39">
        <f t="shared" si="339"/>
        <v>698</v>
      </c>
      <c r="C726" s="45">
        <f t="shared" si="340"/>
        <v>20.504796163068253</v>
      </c>
      <c r="D726" s="10">
        <f t="shared" si="341"/>
        <v>-5.0547961630680227</v>
      </c>
      <c r="E726" s="40">
        <f t="shared" si="342"/>
        <v>58.449592326136049</v>
      </c>
      <c r="F726" s="40">
        <f t="shared" si="343"/>
        <v>48.34</v>
      </c>
      <c r="G726" s="3">
        <f t="shared" si="344"/>
        <v>46.180815347727901</v>
      </c>
      <c r="H726" s="3">
        <f t="shared" si="345"/>
        <v>148.0155219248214</v>
      </c>
      <c r="I726">
        <f t="shared" si="330"/>
        <v>1.4801552192482141E-4</v>
      </c>
      <c r="J726" s="4">
        <f t="shared" si="346"/>
        <v>2687.7575843776672</v>
      </c>
      <c r="K726" s="40">
        <f t="shared" si="347"/>
        <v>18.158619781395675</v>
      </c>
      <c r="L726" s="40">
        <f t="shared" si="331"/>
        <v>0</v>
      </c>
      <c r="M726" s="10">
        <f t="shared" si="348"/>
        <v>0.4622499882541114</v>
      </c>
      <c r="N726" s="10">
        <f t="shared" si="327"/>
        <v>8.26</v>
      </c>
      <c r="O726" s="10">
        <f t="shared" si="328"/>
        <v>0.31900000000000001</v>
      </c>
      <c r="P726" s="10">
        <f t="shared" si="349"/>
        <v>6.4576690082833013</v>
      </c>
      <c r="Q726" s="45">
        <f t="shared" si="350"/>
        <v>2.4817661960319111</v>
      </c>
      <c r="R726" s="4">
        <f t="shared" si="351"/>
        <v>-39157.418178623877</v>
      </c>
      <c r="S726">
        <f t="shared" si="332"/>
        <v>-3.9157418178623875E-5</v>
      </c>
      <c r="T726" s="44">
        <f t="shared" si="333"/>
        <v>2.7502520381393928E-4</v>
      </c>
      <c r="U726" s="45">
        <f t="shared" si="352"/>
        <v>-7.0269944792449468E-2</v>
      </c>
      <c r="V726" s="45">
        <f t="shared" si="353"/>
        <v>5.9166651246847196E-2</v>
      </c>
      <c r="W726" s="45">
        <f t="shared" si="354"/>
        <v>5.9733035743713962E-2</v>
      </c>
      <c r="X726" s="45">
        <f t="shared" si="355"/>
        <v>-5.6638449686676612E-4</v>
      </c>
      <c r="Y726" s="45">
        <f t="shared" si="329"/>
        <v>3.0456419367103337E-4</v>
      </c>
      <c r="Z726" s="10">
        <f t="shared" si="356"/>
        <v>1.1074046649087401</v>
      </c>
      <c r="AA726">
        <f t="shared" si="334"/>
        <v>459024.19170727674</v>
      </c>
      <c r="AB726" s="10">
        <f t="shared" si="335"/>
        <v>0.45902419170727676</v>
      </c>
      <c r="AC726" s="10">
        <f t="shared" si="336"/>
        <v>0.35802419170727673</v>
      </c>
      <c r="AD726" s="3">
        <f t="shared" si="337"/>
        <v>51.925190965522368</v>
      </c>
      <c r="AI726" s="100">
        <f t="shared" si="338"/>
        <v>5.9733035743713962E-2</v>
      </c>
    </row>
    <row r="727" spans="2:35">
      <c r="B727" s="39">
        <f t="shared" si="339"/>
        <v>699</v>
      </c>
      <c r="C727" s="45">
        <f t="shared" si="340"/>
        <v>20.53417266186921</v>
      </c>
      <c r="D727" s="10">
        <f t="shared" si="341"/>
        <v>-5.0841726618689798</v>
      </c>
      <c r="E727" s="40">
        <f t="shared" si="342"/>
        <v>58.508345323737963</v>
      </c>
      <c r="F727" s="40">
        <f t="shared" si="343"/>
        <v>48.34</v>
      </c>
      <c r="G727" s="3">
        <f t="shared" si="344"/>
        <v>46.063309352524072</v>
      </c>
      <c r="H727" s="3">
        <f t="shared" si="345"/>
        <v>148.0155219248214</v>
      </c>
      <c r="I727">
        <f t="shared" si="330"/>
        <v>1.4801552192482141E-4</v>
      </c>
      <c r="J727" s="4">
        <f t="shared" si="346"/>
        <v>2693.1545495117475</v>
      </c>
      <c r="K727" s="40">
        <f t="shared" si="347"/>
        <v>18.195081937958022</v>
      </c>
      <c r="L727" s="40">
        <f t="shared" si="331"/>
        <v>0</v>
      </c>
      <c r="M727" s="10">
        <f t="shared" si="348"/>
        <v>0.45902419170727676</v>
      </c>
      <c r="N727" s="10">
        <f t="shared" si="327"/>
        <v>8.26</v>
      </c>
      <c r="O727" s="10">
        <f t="shared" si="328"/>
        <v>0.31900000000000001</v>
      </c>
      <c r="P727" s="10">
        <f t="shared" si="349"/>
        <v>6.4432590970554608</v>
      </c>
      <c r="Q727" s="45">
        <f t="shared" si="350"/>
        <v>2.4863254568591504</v>
      </c>
      <c r="R727" s="4">
        <f t="shared" si="351"/>
        <v>-39306.385126364279</v>
      </c>
      <c r="S727">
        <f t="shared" si="332"/>
        <v>-3.9306385126364277E-5</v>
      </c>
      <c r="T727" s="44">
        <f t="shared" si="333"/>
        <v>2.7517417076167969E-4</v>
      </c>
      <c r="U727" s="45">
        <f t="shared" si="352"/>
        <v>-7.0537273428517011E-2</v>
      </c>
      <c r="V727" s="45">
        <f t="shared" si="353"/>
        <v>5.863420545505664E-2</v>
      </c>
      <c r="W727" s="45">
        <f t="shared" si="354"/>
        <v>5.9199647157695573E-2</v>
      </c>
      <c r="X727" s="45">
        <f t="shared" si="355"/>
        <v>-5.6544170263893301E-4</v>
      </c>
      <c r="Y727" s="45">
        <f t="shared" si="329"/>
        <v>3.019861974661042E-4</v>
      </c>
      <c r="Z727" s="10">
        <f t="shared" si="356"/>
        <v>1.0974365676480793</v>
      </c>
      <c r="AA727">
        <f t="shared" si="334"/>
        <v>455801.50349067821</v>
      </c>
      <c r="AB727" s="10">
        <f t="shared" si="335"/>
        <v>0.45580150349067822</v>
      </c>
      <c r="AC727" s="10">
        <f t="shared" si="336"/>
        <v>0.35480150349067818</v>
      </c>
      <c r="AD727" s="3">
        <f t="shared" si="337"/>
        <v>51.457796010250647</v>
      </c>
      <c r="AI727" s="100">
        <f t="shared" si="338"/>
        <v>5.9199647157695573E-2</v>
      </c>
    </row>
    <row r="728" spans="2:35">
      <c r="B728" s="39">
        <f t="shared" si="339"/>
        <v>700</v>
      </c>
      <c r="C728" s="45">
        <f t="shared" si="340"/>
        <v>20.563549160670167</v>
      </c>
      <c r="D728" s="10">
        <f t="shared" si="341"/>
        <v>-5.1135491606699368</v>
      </c>
      <c r="E728" s="40">
        <f t="shared" si="342"/>
        <v>58.567098321339877</v>
      </c>
      <c r="F728" s="40">
        <f t="shared" si="343"/>
        <v>48.34</v>
      </c>
      <c r="G728" s="3">
        <f t="shared" si="344"/>
        <v>45.945803357320244</v>
      </c>
      <c r="H728" s="3">
        <f t="shared" si="345"/>
        <v>148.0155219248214</v>
      </c>
      <c r="I728">
        <f t="shared" si="330"/>
        <v>1.4801552192482141E-4</v>
      </c>
      <c r="J728" s="4">
        <f t="shared" si="346"/>
        <v>2698.5569369008017</v>
      </c>
      <c r="K728" s="40">
        <f t="shared" si="347"/>
        <v>18.231580727536308</v>
      </c>
      <c r="L728" s="40">
        <f t="shared" si="331"/>
        <v>0</v>
      </c>
      <c r="M728" s="10">
        <f t="shared" si="348"/>
        <v>0.45580150349067822</v>
      </c>
      <c r="N728" s="10">
        <f t="shared" si="327"/>
        <v>8.26</v>
      </c>
      <c r="O728" s="10">
        <f t="shared" si="328"/>
        <v>0.31900000000000001</v>
      </c>
      <c r="P728" s="10">
        <f t="shared" si="349"/>
        <v>6.4287940431141397</v>
      </c>
      <c r="Q728" s="45">
        <f t="shared" si="350"/>
        <v>2.4908949762128501</v>
      </c>
      <c r="R728" s="4">
        <f t="shared" si="351"/>
        <v>-39454.332852447136</v>
      </c>
      <c r="S728">
        <f t="shared" si="332"/>
        <v>-3.9454332852447135E-5</v>
      </c>
      <c r="T728" s="44">
        <f t="shared" si="333"/>
        <v>2.7532211848776256E-4</v>
      </c>
      <c r="U728" s="45">
        <f t="shared" si="352"/>
        <v>-7.0802773020359006E-2</v>
      </c>
      <c r="V728" s="45">
        <f t="shared" si="353"/>
        <v>5.8102301640770258E-2</v>
      </c>
      <c r="W728" s="45">
        <f t="shared" si="354"/>
        <v>5.8666772537094847E-2</v>
      </c>
      <c r="X728" s="45">
        <f t="shared" si="355"/>
        <v>-5.6447089632458841E-4</v>
      </c>
      <c r="Y728" s="45">
        <f t="shared" si="329"/>
        <v>2.994068367807488E-4</v>
      </c>
      <c r="Z728" s="10">
        <f t="shared" si="356"/>
        <v>1.0874783269331001</v>
      </c>
      <c r="AA728">
        <f t="shared" si="334"/>
        <v>452582.00189764425</v>
      </c>
      <c r="AB728" s="10">
        <f t="shared" si="335"/>
        <v>0.45258200189764425</v>
      </c>
      <c r="AC728" s="10">
        <f t="shared" si="336"/>
        <v>0.35158200189764421</v>
      </c>
      <c r="AD728" s="3">
        <f t="shared" si="337"/>
        <v>50.990863219382767</v>
      </c>
      <c r="AI728" s="100">
        <f t="shared" si="338"/>
        <v>5.8666772537094847E-2</v>
      </c>
    </row>
    <row r="729" spans="2:35">
      <c r="B729" s="39">
        <f t="shared" si="339"/>
        <v>701</v>
      </c>
      <c r="C729" s="45">
        <f t="shared" si="340"/>
        <v>20.592925659471124</v>
      </c>
      <c r="D729" s="10">
        <f t="shared" si="341"/>
        <v>-5.1429256594708939</v>
      </c>
      <c r="E729" s="40">
        <f t="shared" si="342"/>
        <v>58.625851318941791</v>
      </c>
      <c r="F729" s="40">
        <f t="shared" si="343"/>
        <v>48.34</v>
      </c>
      <c r="G729" s="3">
        <f t="shared" si="344"/>
        <v>45.828297362116416</v>
      </c>
      <c r="H729" s="3">
        <f t="shared" si="345"/>
        <v>148.0155219248214</v>
      </c>
      <c r="I729">
        <f t="shared" si="330"/>
        <v>1.4801552192482141E-4</v>
      </c>
      <c r="J729" s="4">
        <f t="shared" si="346"/>
        <v>2703.9647465448297</v>
      </c>
      <c r="K729" s="40">
        <f t="shared" si="347"/>
        <v>18.268116150130531</v>
      </c>
      <c r="L729" s="40">
        <f t="shared" si="331"/>
        <v>0</v>
      </c>
      <c r="M729" s="10">
        <f t="shared" si="348"/>
        <v>0.45258200189764425</v>
      </c>
      <c r="N729" s="10">
        <f t="shared" si="327"/>
        <v>8.26</v>
      </c>
      <c r="O729" s="10">
        <f t="shared" si="328"/>
        <v>0.31900000000000001</v>
      </c>
      <c r="P729" s="10">
        <f t="shared" si="349"/>
        <v>6.4142735792479533</v>
      </c>
      <c r="Q729" s="45">
        <f t="shared" si="350"/>
        <v>2.4954748399243076</v>
      </c>
      <c r="R729" s="4">
        <f t="shared" si="351"/>
        <v>-39601.259445430063</v>
      </c>
      <c r="S729">
        <f t="shared" si="332"/>
        <v>-3.9601259445430061E-5</v>
      </c>
      <c r="T729" s="44">
        <f t="shared" si="333"/>
        <v>2.7546904508074548E-4</v>
      </c>
      <c r="U729" s="45">
        <f t="shared" si="352"/>
        <v>-7.1066440137796505E-2</v>
      </c>
      <c r="V729" s="45">
        <f t="shared" si="353"/>
        <v>5.7570952772650362E-2</v>
      </c>
      <c r="W729" s="45">
        <f t="shared" si="354"/>
        <v>5.8134424827789535E-2</v>
      </c>
      <c r="X729" s="45">
        <f t="shared" si="355"/>
        <v>-5.6347205513917337E-4</v>
      </c>
      <c r="Y729" s="45">
        <f t="shared" si="329"/>
        <v>2.9682621156299649E-4</v>
      </c>
      <c r="Z729" s="10">
        <f t="shared" si="356"/>
        <v>1.0775301866530622</v>
      </c>
      <c r="AA729">
        <f t="shared" si="334"/>
        <v>449365.76577763056</v>
      </c>
      <c r="AB729" s="10">
        <f t="shared" si="335"/>
        <v>0.44936576577763054</v>
      </c>
      <c r="AC729" s="10">
        <f t="shared" si="336"/>
        <v>0.34836576577763056</v>
      </c>
      <c r="AD729" s="3">
        <f t="shared" si="337"/>
        <v>50.524404028662879</v>
      </c>
      <c r="AI729" s="100">
        <f t="shared" si="338"/>
        <v>5.8134424827789535E-2</v>
      </c>
    </row>
    <row r="730" spans="2:35">
      <c r="B730" s="39">
        <f t="shared" si="339"/>
        <v>702</v>
      </c>
      <c r="C730" s="45">
        <f t="shared" si="340"/>
        <v>20.622302158272081</v>
      </c>
      <c r="D730" s="10">
        <f t="shared" si="341"/>
        <v>-5.1723021582718509</v>
      </c>
      <c r="E730" s="40">
        <f t="shared" si="342"/>
        <v>58.684604316543705</v>
      </c>
      <c r="F730" s="40">
        <f t="shared" si="343"/>
        <v>48.34</v>
      </c>
      <c r="G730" s="3">
        <f t="shared" si="344"/>
        <v>45.710791366912588</v>
      </c>
      <c r="H730" s="3">
        <f t="shared" si="345"/>
        <v>148.0155219248214</v>
      </c>
      <c r="I730">
        <f t="shared" si="330"/>
        <v>1.4801552192482141E-4</v>
      </c>
      <c r="J730" s="4">
        <f t="shared" si="346"/>
        <v>2709.3779784438311</v>
      </c>
      <c r="K730" s="40">
        <f t="shared" si="347"/>
        <v>18.304688205740693</v>
      </c>
      <c r="L730" s="40">
        <f t="shared" si="331"/>
        <v>0</v>
      </c>
      <c r="M730" s="10">
        <f t="shared" si="348"/>
        <v>0.44936576577763054</v>
      </c>
      <c r="N730" s="10">
        <f t="shared" si="327"/>
        <v>8.26</v>
      </c>
      <c r="O730" s="10">
        <f t="shared" si="328"/>
        <v>0.31900000000000001</v>
      </c>
      <c r="P730" s="10">
        <f t="shared" si="349"/>
        <v>6.3996974365680357</v>
      </c>
      <c r="Q730" s="45">
        <f t="shared" si="350"/>
        <v>2.5000651348706122</v>
      </c>
      <c r="R730" s="4">
        <f t="shared" si="351"/>
        <v>-39747.162993870639</v>
      </c>
      <c r="S730">
        <f t="shared" si="332"/>
        <v>-3.9747162993870636E-5</v>
      </c>
      <c r="T730" s="44">
        <f t="shared" si="333"/>
        <v>2.7561494862918604E-4</v>
      </c>
      <c r="U730" s="45">
        <f t="shared" si="352"/>
        <v>-7.1328271350650549E-2</v>
      </c>
      <c r="V730" s="45">
        <f t="shared" si="353"/>
        <v>5.7040171909831433E-2</v>
      </c>
      <c r="W730" s="45">
        <f t="shared" si="354"/>
        <v>5.7602617067613611E-2</v>
      </c>
      <c r="X730" s="45">
        <f t="shared" si="355"/>
        <v>-5.6244515778217791E-4</v>
      </c>
      <c r="Y730" s="45">
        <f t="shared" si="329"/>
        <v>2.9424442239765546E-4</v>
      </c>
      <c r="Z730" s="10">
        <f t="shared" si="356"/>
        <v>1.0675923924341768</v>
      </c>
      <c r="AA730">
        <f t="shared" si="334"/>
        <v>446152.87454164959</v>
      </c>
      <c r="AB730" s="10">
        <f t="shared" si="335"/>
        <v>0.44615287454164959</v>
      </c>
      <c r="AC730" s="10">
        <f t="shared" si="336"/>
        <v>0.34515287454164956</v>
      </c>
      <c r="AD730" s="3">
        <f t="shared" si="337"/>
        <v>50.058429955279124</v>
      </c>
      <c r="AI730" s="100">
        <f t="shared" si="338"/>
        <v>5.7602617067613611E-2</v>
      </c>
    </row>
    <row r="731" spans="2:35">
      <c r="B731" s="39">
        <f t="shared" si="339"/>
        <v>703</v>
      </c>
      <c r="C731" s="45">
        <f t="shared" si="340"/>
        <v>20.651678657073038</v>
      </c>
      <c r="D731" s="10">
        <f t="shared" si="341"/>
        <v>-5.201678657072808</v>
      </c>
      <c r="E731" s="40">
        <f t="shared" si="342"/>
        <v>58.743357314145619</v>
      </c>
      <c r="F731" s="40">
        <f t="shared" si="343"/>
        <v>48.34</v>
      </c>
      <c r="G731" s="3">
        <f t="shared" si="344"/>
        <v>45.59328537170876</v>
      </c>
      <c r="H731" s="3">
        <f t="shared" si="345"/>
        <v>148.0155219248214</v>
      </c>
      <c r="I731">
        <f t="shared" si="330"/>
        <v>1.4801552192482141E-4</v>
      </c>
      <c r="J731" s="4">
        <f t="shared" si="346"/>
        <v>2714.7966325978073</v>
      </c>
      <c r="K731" s="40">
        <f t="shared" si="347"/>
        <v>18.341296894366796</v>
      </c>
      <c r="L731" s="40">
        <f t="shared" si="331"/>
        <v>0</v>
      </c>
      <c r="M731" s="10">
        <f t="shared" si="348"/>
        <v>0.44615287454164959</v>
      </c>
      <c r="N731" s="10">
        <f t="shared" si="327"/>
        <v>8.26</v>
      </c>
      <c r="O731" s="10">
        <f t="shared" si="328"/>
        <v>0.31900000000000001</v>
      </c>
      <c r="P731" s="10">
        <f t="shared" si="349"/>
        <v>6.3850653445130181</v>
      </c>
      <c r="Q731" s="45">
        <f t="shared" si="350"/>
        <v>2.5046659489916769</v>
      </c>
      <c r="R731" s="4">
        <f t="shared" si="351"/>
        <v>-39892.041586326486</v>
      </c>
      <c r="S731">
        <f t="shared" si="332"/>
        <v>-3.9892041586326488E-5</v>
      </c>
      <c r="T731" s="44">
        <f t="shared" si="333"/>
        <v>2.7575982722164192E-4</v>
      </c>
      <c r="U731" s="45">
        <f t="shared" si="352"/>
        <v>-7.1588263228742191E-2</v>
      </c>
      <c r="V731" s="45">
        <f t="shared" si="353"/>
        <v>5.6509972202805424E-2</v>
      </c>
      <c r="W731" s="45">
        <f t="shared" si="354"/>
        <v>5.7071362387254909E-2</v>
      </c>
      <c r="X731" s="45">
        <f t="shared" si="355"/>
        <v>-5.6139018444948535E-4</v>
      </c>
      <c r="Y731" s="45">
        <f t="shared" si="329"/>
        <v>2.9166157050961316E-4</v>
      </c>
      <c r="Z731" s="10">
        <f t="shared" si="356"/>
        <v>1.0576651916567608</v>
      </c>
      <c r="AA731">
        <f t="shared" si="334"/>
        <v>442943.40816781681</v>
      </c>
      <c r="AB731" s="10">
        <f t="shared" si="335"/>
        <v>0.4429434081678168</v>
      </c>
      <c r="AC731" s="10">
        <f t="shared" si="336"/>
        <v>0.34194340816781676</v>
      </c>
      <c r="AD731" s="3">
        <f t="shared" si="337"/>
        <v>49.592952598668127</v>
      </c>
      <c r="AI731" s="100">
        <f t="shared" si="338"/>
        <v>5.7071362387254909E-2</v>
      </c>
    </row>
    <row r="732" spans="2:35">
      <c r="B732" s="39">
        <f t="shared" si="339"/>
        <v>704</v>
      </c>
      <c r="C732" s="45">
        <f t="shared" si="340"/>
        <v>20.681055155873995</v>
      </c>
      <c r="D732" s="10">
        <f t="shared" si="341"/>
        <v>-5.231055155873765</v>
      </c>
      <c r="E732" s="40">
        <f t="shared" si="342"/>
        <v>58.802110311747533</v>
      </c>
      <c r="F732" s="40">
        <f t="shared" si="343"/>
        <v>48.34</v>
      </c>
      <c r="G732" s="3">
        <f t="shared" si="344"/>
        <v>45.475779376504931</v>
      </c>
      <c r="H732" s="3">
        <f t="shared" si="345"/>
        <v>148.0155219248214</v>
      </c>
      <c r="I732">
        <f t="shared" si="330"/>
        <v>1.4801552192482141E-4</v>
      </c>
      <c r="J732" s="4">
        <f t="shared" si="346"/>
        <v>2720.2207090067573</v>
      </c>
      <c r="K732" s="40">
        <f t="shared" si="347"/>
        <v>18.37794221600884</v>
      </c>
      <c r="L732" s="40">
        <f t="shared" si="331"/>
        <v>0</v>
      </c>
      <c r="M732" s="10">
        <f t="shared" si="348"/>
        <v>0.4429434081678168</v>
      </c>
      <c r="N732" s="10">
        <f t="shared" ref="N732:N795" si="357">IF(fueltype=1,VLOOKUP($M732,kndxbn_,4),IF(fueltype=2,VLOOKUP($M732,knsobn_,4),IF(fueltype=3,VLOOKUP($M732,knsbcobn_,4),IF(fueltype=4,VLOOKUP($M732,knsubn_,4),IF(fueltype=5,am_1,IF(fueltype=6,am_0,IF(fueltype=7,am_3,am_4)))))))</f>
        <v>8.26</v>
      </c>
      <c r="O732" s="10">
        <f t="shared" ref="O732:O795" si="358">IF(fueltype=1,VLOOKUP($M732,kndxbn_,5),IF(fueltype=2,VLOOKUP($M732,knsobn_,5),IF(fueltype=3,VLOOKUP($M732,knsbcobn_,5),IF(fueltype=4,VLOOKUP($M732,knsubn_,5),IF(fueltype=5,nm_1,IF(fueltype=6,an_0,IF(fueltype=7,nm_3,nm_4)))))))</f>
        <v>0.31900000000000001</v>
      </c>
      <c r="P732" s="10">
        <f t="shared" si="349"/>
        <v>6.3703770308551837</v>
      </c>
      <c r="Q732" s="45">
        <f t="shared" si="350"/>
        <v>2.5092773713076046</v>
      </c>
      <c r="R732" s="4">
        <f t="shared" si="351"/>
        <v>-40035.893311355198</v>
      </c>
      <c r="S732">
        <f t="shared" si="332"/>
        <v>-4.0035893311355198E-5</v>
      </c>
      <c r="T732" s="44">
        <f t="shared" si="333"/>
        <v>2.7590367894667062E-4</v>
      </c>
      <c r="U732" s="45">
        <f t="shared" si="352"/>
        <v>-7.1846412341892457E-2</v>
      </c>
      <c r="V732" s="45">
        <f t="shared" si="353"/>
        <v>5.5980366894315313E-2</v>
      </c>
      <c r="W732" s="45">
        <f t="shared" si="354"/>
        <v>5.6540674011172409E-2</v>
      </c>
      <c r="X732" s="45">
        <f t="shared" si="355"/>
        <v>-5.6030711685709639E-4</v>
      </c>
      <c r="Y732" s="45">
        <f t="shared" si="329"/>
        <v>2.890777577671652E-4</v>
      </c>
      <c r="Z732" s="10">
        <f t="shared" si="356"/>
        <v>1.0477488334725722</v>
      </c>
      <c r="AA732">
        <f t="shared" si="334"/>
        <v>439737.4472069547</v>
      </c>
      <c r="AB732" s="10">
        <f t="shared" si="335"/>
        <v>0.43973744720695468</v>
      </c>
      <c r="AC732" s="10">
        <f t="shared" si="336"/>
        <v>0.33873744720695464</v>
      </c>
      <c r="AD732" s="3">
        <f t="shared" si="337"/>
        <v>49.127983641327724</v>
      </c>
      <c r="AI732" s="100">
        <f t="shared" si="338"/>
        <v>5.6540674011172409E-2</v>
      </c>
    </row>
    <row r="733" spans="2:35">
      <c r="B733" s="39">
        <f t="shared" si="339"/>
        <v>705</v>
      </c>
      <c r="C733" s="45">
        <f t="shared" si="340"/>
        <v>20.710431654674952</v>
      </c>
      <c r="D733" s="10">
        <f t="shared" si="341"/>
        <v>-5.2604316546747221</v>
      </c>
      <c r="E733" s="40">
        <f t="shared" si="342"/>
        <v>58.860863309349448</v>
      </c>
      <c r="F733" s="40">
        <f t="shared" si="343"/>
        <v>48.34</v>
      </c>
      <c r="G733" s="3">
        <f t="shared" si="344"/>
        <v>45.358273381301103</v>
      </c>
      <c r="H733" s="3">
        <f t="shared" si="345"/>
        <v>148.0155219248214</v>
      </c>
      <c r="I733">
        <f t="shared" si="330"/>
        <v>1.4801552192482141E-4</v>
      </c>
      <c r="J733" s="4">
        <f t="shared" si="346"/>
        <v>2725.6502076706806</v>
      </c>
      <c r="K733" s="40">
        <f t="shared" si="347"/>
        <v>18.414624170666819</v>
      </c>
      <c r="L733" s="40">
        <f t="shared" si="331"/>
        <v>0</v>
      </c>
      <c r="M733" s="10">
        <f t="shared" si="348"/>
        <v>0.43973744720695468</v>
      </c>
      <c r="N733" s="10">
        <f t="shared" si="357"/>
        <v>8.26</v>
      </c>
      <c r="O733" s="10">
        <f t="shared" si="358"/>
        <v>0.31900000000000001</v>
      </c>
      <c r="P733" s="10">
        <f t="shared" si="349"/>
        <v>6.3556322217075492</v>
      </c>
      <c r="Q733" s="45">
        <f t="shared" si="350"/>
        <v>2.5138994919363946</v>
      </c>
      <c r="R733" s="4">
        <f t="shared" si="351"/>
        <v>-40178.716257514352</v>
      </c>
      <c r="S733">
        <f t="shared" si="332"/>
        <v>-4.0178716257514353E-5</v>
      </c>
      <c r="T733" s="44">
        <f t="shared" si="333"/>
        <v>2.7604650189282977E-4</v>
      </c>
      <c r="U733" s="45">
        <f t="shared" si="352"/>
        <v>-7.2102715259922373E-2</v>
      </c>
      <c r="V733" s="45">
        <f t="shared" si="353"/>
        <v>5.5451369320279643E-2</v>
      </c>
      <c r="W733" s="45">
        <f t="shared" si="354"/>
        <v>5.6010565258522653E-2</v>
      </c>
      <c r="X733" s="45">
        <f t="shared" si="355"/>
        <v>-5.591959382430095E-4</v>
      </c>
      <c r="Y733" s="45">
        <f t="shared" si="329"/>
        <v>2.8649308668547664E-4</v>
      </c>
      <c r="Z733" s="10">
        <f t="shared" si="356"/>
        <v>1.0378435688226999</v>
      </c>
      <c r="AA733">
        <f t="shared" si="334"/>
        <v>436535.07278837712</v>
      </c>
      <c r="AB733" s="10">
        <f t="shared" si="335"/>
        <v>0.43653507278837711</v>
      </c>
      <c r="AC733" s="10">
        <f t="shared" si="336"/>
        <v>0.33553507278837713</v>
      </c>
      <c r="AD733" s="3">
        <f t="shared" si="337"/>
        <v>48.663534849655854</v>
      </c>
      <c r="AI733" s="100">
        <f t="shared" si="338"/>
        <v>5.6010565258522653E-2</v>
      </c>
    </row>
    <row r="734" spans="2:35">
      <c r="B734" s="39">
        <f t="shared" si="339"/>
        <v>706</v>
      </c>
      <c r="C734" s="45">
        <f t="shared" si="340"/>
        <v>20.739808153475909</v>
      </c>
      <c r="D734" s="10">
        <f t="shared" si="341"/>
        <v>-5.2898081534756791</v>
      </c>
      <c r="E734" s="40">
        <f t="shared" si="342"/>
        <v>58.919616306951362</v>
      </c>
      <c r="F734" s="40">
        <f t="shared" si="343"/>
        <v>48.34</v>
      </c>
      <c r="G734" s="3">
        <f t="shared" si="344"/>
        <v>45.240767386097275</v>
      </c>
      <c r="H734" s="3">
        <f t="shared" si="345"/>
        <v>148.0155219248214</v>
      </c>
      <c r="I734">
        <f t="shared" si="330"/>
        <v>1.4801552192482141E-4</v>
      </c>
      <c r="J734" s="4">
        <f t="shared" si="346"/>
        <v>2731.0851285895787</v>
      </c>
      <c r="K734" s="40">
        <f t="shared" si="347"/>
        <v>18.451342758340743</v>
      </c>
      <c r="L734" s="40">
        <f t="shared" si="331"/>
        <v>0</v>
      </c>
      <c r="M734" s="10">
        <f t="shared" si="348"/>
        <v>0.43653507278837711</v>
      </c>
      <c r="N734" s="10">
        <f t="shared" si="357"/>
        <v>8.26</v>
      </c>
      <c r="O734" s="10">
        <f t="shared" si="358"/>
        <v>0.31900000000000001</v>
      </c>
      <c r="P734" s="10">
        <f t="shared" si="349"/>
        <v>6.3408306415324907</v>
      </c>
      <c r="Q734" s="45">
        <f t="shared" si="350"/>
        <v>2.5185324021120019</v>
      </c>
      <c r="R734" s="4">
        <f t="shared" si="351"/>
        <v>-40320.508513361594</v>
      </c>
      <c r="S734">
        <f t="shared" si="332"/>
        <v>-4.0320508513361594E-5</v>
      </c>
      <c r="T734" s="44">
        <f t="shared" si="333"/>
        <v>2.7618829414867701E-4</v>
      </c>
      <c r="U734" s="45">
        <f t="shared" si="352"/>
        <v>-7.2357168552653048E-2</v>
      </c>
      <c r="V734" s="45">
        <f t="shared" si="353"/>
        <v>5.492299291067524E-2</v>
      </c>
      <c r="W734" s="45">
        <f t="shared" si="354"/>
        <v>5.5481049544116333E-2</v>
      </c>
      <c r="X734" s="45">
        <f t="shared" si="355"/>
        <v>-5.5805663344109246E-4</v>
      </c>
      <c r="Y734" s="45">
        <f t="shared" ref="Y734:Y797" si="359">IF((X734*(Q734-Q733)+Y733)&lt;0,0,X734*(Q734-Q733)+Y733)</f>
        <v>2.8390766042984223E-4</v>
      </c>
      <c r="Z734" s="10">
        <f t="shared" si="356"/>
        <v>1.027949650454808</v>
      </c>
      <c r="AA734">
        <f t="shared" si="334"/>
        <v>433336.36662546411</v>
      </c>
      <c r="AB734" s="10">
        <f t="shared" si="335"/>
        <v>0.4333363666254641</v>
      </c>
      <c r="AC734" s="10">
        <f t="shared" si="336"/>
        <v>0.33233636662546406</v>
      </c>
      <c r="AD734" s="3">
        <f t="shared" si="337"/>
        <v>48.199618074759108</v>
      </c>
      <c r="AI734" s="100">
        <f t="shared" si="338"/>
        <v>5.5481049544116333E-2</v>
      </c>
    </row>
    <row r="735" spans="2:35">
      <c r="B735" s="39">
        <f t="shared" si="339"/>
        <v>707</v>
      </c>
      <c r="C735" s="45">
        <f t="shared" si="340"/>
        <v>20.769184652276866</v>
      </c>
      <c r="D735" s="10">
        <f t="shared" si="341"/>
        <v>-5.3191846522766362</v>
      </c>
      <c r="E735" s="40">
        <f t="shared" si="342"/>
        <v>58.978369304553276</v>
      </c>
      <c r="F735" s="40">
        <f t="shared" si="343"/>
        <v>48.34</v>
      </c>
      <c r="G735" s="3">
        <f t="shared" si="344"/>
        <v>45.123261390893447</v>
      </c>
      <c r="H735" s="3">
        <f t="shared" si="345"/>
        <v>148.0155219248214</v>
      </c>
      <c r="I735">
        <f t="shared" si="330"/>
        <v>1.4801552192482141E-4</v>
      </c>
      <c r="J735" s="4">
        <f t="shared" si="346"/>
        <v>2736.5254717634498</v>
      </c>
      <c r="K735" s="40">
        <f t="shared" si="347"/>
        <v>18.488097979030599</v>
      </c>
      <c r="L735" s="40">
        <f t="shared" si="331"/>
        <v>0</v>
      </c>
      <c r="M735" s="10">
        <f t="shared" si="348"/>
        <v>0.4333363666254641</v>
      </c>
      <c r="N735" s="10">
        <f t="shared" si="357"/>
        <v>8.26</v>
      </c>
      <c r="O735" s="10">
        <f t="shared" si="358"/>
        <v>0.31900000000000001</v>
      </c>
      <c r="P735" s="10">
        <f t="shared" si="349"/>
        <v>6.3259720131501807</v>
      </c>
      <c r="Q735" s="45">
        <f t="shared" si="350"/>
        <v>2.5231761942027497</v>
      </c>
      <c r="R735" s="4">
        <f t="shared" si="351"/>
        <v>-40461.268167454466</v>
      </c>
      <c r="S735">
        <f t="shared" si="332"/>
        <v>-4.0461268167454467E-5</v>
      </c>
      <c r="T735" s="44">
        <f t="shared" si="333"/>
        <v>2.7632905380276987E-4</v>
      </c>
      <c r="U735" s="45">
        <f t="shared" si="352"/>
        <v>-7.2609768789905396E-2</v>
      </c>
      <c r="V735" s="45">
        <f t="shared" si="353"/>
        <v>5.4395251190427388E-2</v>
      </c>
      <c r="W735" s="45">
        <f t="shared" si="354"/>
        <v>5.4952140379340049E-2</v>
      </c>
      <c r="X735" s="45">
        <f t="shared" si="355"/>
        <v>-5.568891889126612E-4</v>
      </c>
      <c r="Y735" s="45">
        <f t="shared" si="359"/>
        <v>2.8132158281894665E-4</v>
      </c>
      <c r="Z735" s="10">
        <f t="shared" si="356"/>
        <v>1.0180673329404595</v>
      </c>
      <c r="AA735">
        <f t="shared" si="334"/>
        <v>430141.41102126235</v>
      </c>
      <c r="AB735" s="10">
        <f t="shared" si="335"/>
        <v>0.43014141102126235</v>
      </c>
      <c r="AC735" s="10">
        <f t="shared" si="336"/>
        <v>0.32914141102126238</v>
      </c>
      <c r="AD735" s="3">
        <f t="shared" si="337"/>
        <v>47.736245253265025</v>
      </c>
      <c r="AI735" s="100">
        <f t="shared" si="338"/>
        <v>5.4952140379340049E-2</v>
      </c>
    </row>
    <row r="736" spans="2:35">
      <c r="B736" s="39">
        <f t="shared" si="339"/>
        <v>708</v>
      </c>
      <c r="C736" s="45">
        <f t="shared" si="340"/>
        <v>20.798561151077823</v>
      </c>
      <c r="D736" s="10">
        <f t="shared" si="341"/>
        <v>-5.3485611510775932</v>
      </c>
      <c r="E736" s="40">
        <f t="shared" si="342"/>
        <v>59.03712230215519</v>
      </c>
      <c r="F736" s="40">
        <f t="shared" si="343"/>
        <v>48.34</v>
      </c>
      <c r="G736" s="3">
        <f t="shared" si="344"/>
        <v>45.005755395689619</v>
      </c>
      <c r="H736" s="3">
        <f t="shared" si="345"/>
        <v>148.0155219248214</v>
      </c>
      <c r="I736">
        <f t="shared" si="330"/>
        <v>1.4801552192482141E-4</v>
      </c>
      <c r="J736" s="4">
        <f t="shared" si="346"/>
        <v>2741.9712371922956</v>
      </c>
      <c r="K736" s="40">
        <f t="shared" si="347"/>
        <v>18.524889832736399</v>
      </c>
      <c r="L736" s="40">
        <f t="shared" si="331"/>
        <v>0</v>
      </c>
      <c r="M736" s="10">
        <f t="shared" si="348"/>
        <v>0.43014141102126235</v>
      </c>
      <c r="N736" s="10">
        <f t="shared" si="357"/>
        <v>8.26</v>
      </c>
      <c r="O736" s="10">
        <f t="shared" si="358"/>
        <v>0.31900000000000001</v>
      </c>
      <c r="P736" s="10">
        <f t="shared" si="349"/>
        <v>6.3110560577479253</v>
      </c>
      <c r="Q736" s="45">
        <f t="shared" si="350"/>
        <v>2.5278309617301105</v>
      </c>
      <c r="R736" s="4">
        <f t="shared" si="351"/>
        <v>-40600.993308350618</v>
      </c>
      <c r="S736">
        <f t="shared" si="332"/>
        <v>-4.0600993308350615E-5</v>
      </c>
      <c r="T736" s="44">
        <f t="shared" si="333"/>
        <v>2.7646877894366601E-4</v>
      </c>
      <c r="U736" s="45">
        <f t="shared" si="352"/>
        <v>-7.2860512541500611E-2</v>
      </c>
      <c r="V736" s="45">
        <f t="shared" si="353"/>
        <v>5.3868157780456928E-2</v>
      </c>
      <c r="W736" s="45">
        <f t="shared" si="354"/>
        <v>5.442385137308238E-2</v>
      </c>
      <c r="X736" s="45">
        <f t="shared" si="355"/>
        <v>-5.5569359262545165E-4</v>
      </c>
      <c r="Y736" s="45">
        <f t="shared" si="359"/>
        <v>2.7873495832883127E-4</v>
      </c>
      <c r="Z736" s="10">
        <f t="shared" si="356"/>
        <v>1.0081968726950794</v>
      </c>
      <c r="AA736">
        <f t="shared" si="334"/>
        <v>426950.28887493996</v>
      </c>
      <c r="AB736" s="10">
        <f t="shared" si="335"/>
        <v>0.42695028887493996</v>
      </c>
      <c r="AC736" s="10">
        <f t="shared" si="336"/>
        <v>0.32595028887493993</v>
      </c>
      <c r="AD736" s="3">
        <f t="shared" si="337"/>
        <v>47.273428408258155</v>
      </c>
      <c r="AI736" s="100">
        <f t="shared" si="338"/>
        <v>5.442385137308238E-2</v>
      </c>
    </row>
    <row r="737" spans="2:35">
      <c r="B737" s="39">
        <f t="shared" si="339"/>
        <v>709</v>
      </c>
      <c r="C737" s="45">
        <f t="shared" si="340"/>
        <v>20.82793764987878</v>
      </c>
      <c r="D737" s="10">
        <f t="shared" si="341"/>
        <v>-5.3779376498785503</v>
      </c>
      <c r="E737" s="40">
        <f t="shared" si="342"/>
        <v>59.095875299757104</v>
      </c>
      <c r="F737" s="40">
        <f t="shared" si="343"/>
        <v>48.34</v>
      </c>
      <c r="G737" s="3">
        <f t="shared" si="344"/>
        <v>44.88824940048579</v>
      </c>
      <c r="H737" s="3">
        <f t="shared" si="345"/>
        <v>148.0155219248214</v>
      </c>
      <c r="I737">
        <f t="shared" si="330"/>
        <v>1.4801552192482141E-4</v>
      </c>
      <c r="J737" s="4">
        <f t="shared" si="346"/>
        <v>2747.4224248761147</v>
      </c>
      <c r="K737" s="40">
        <f t="shared" si="347"/>
        <v>18.561718319458137</v>
      </c>
      <c r="L737" s="40">
        <f t="shared" si="331"/>
        <v>0</v>
      </c>
      <c r="M737" s="10">
        <f t="shared" si="348"/>
        <v>0.42695028887493996</v>
      </c>
      <c r="N737" s="10">
        <f t="shared" si="357"/>
        <v>8.26</v>
      </c>
      <c r="O737" s="10">
        <f t="shared" si="358"/>
        <v>0.31900000000000001</v>
      </c>
      <c r="P737" s="10">
        <f t="shared" si="349"/>
        <v>6.2960824948943515</v>
      </c>
      <c r="Q737" s="45">
        <f t="shared" si="350"/>
        <v>2.5324967993878573</v>
      </c>
      <c r="R737" s="4">
        <f t="shared" si="351"/>
        <v>-40739.682024607602</v>
      </c>
      <c r="S737">
        <f t="shared" si="332"/>
        <v>-4.0739682024607604E-5</v>
      </c>
      <c r="T737" s="44">
        <f t="shared" si="333"/>
        <v>2.76607467659923E-4</v>
      </c>
      <c r="U737" s="45">
        <f t="shared" si="352"/>
        <v>-7.3109396377259578E-2</v>
      </c>
      <c r="V737" s="45">
        <f t="shared" si="353"/>
        <v>5.3341726398417715E-2</v>
      </c>
      <c r="W737" s="45">
        <f t="shared" si="354"/>
        <v>5.3896196232801105E-2</v>
      </c>
      <c r="X737" s="45">
        <f t="shared" si="355"/>
        <v>-5.5446983438339065E-4</v>
      </c>
      <c r="Y737" s="45">
        <f t="shared" si="359"/>
        <v>2.7614789209548057E-4</v>
      </c>
      <c r="Z737" s="10">
        <f t="shared" si="356"/>
        <v>0.99833852799300615</v>
      </c>
      <c r="AA737">
        <f t="shared" si="334"/>
        <v>423763.08368665195</v>
      </c>
      <c r="AB737" s="10">
        <f t="shared" si="335"/>
        <v>0.42376308368665194</v>
      </c>
      <c r="AC737" s="10">
        <f t="shared" si="336"/>
        <v>0.32276308368665196</v>
      </c>
      <c r="AD737" s="3">
        <f t="shared" si="337"/>
        <v>46.811179649985782</v>
      </c>
      <c r="AI737" s="100">
        <f t="shared" si="338"/>
        <v>5.3896196232801105E-2</v>
      </c>
    </row>
    <row r="738" spans="2:35">
      <c r="B738" s="39">
        <f t="shared" si="339"/>
        <v>710</v>
      </c>
      <c r="C738" s="45">
        <f t="shared" si="340"/>
        <v>20.857314148679738</v>
      </c>
      <c r="D738" s="10">
        <f t="shared" si="341"/>
        <v>-5.4073141486795073</v>
      </c>
      <c r="E738" s="40">
        <f t="shared" si="342"/>
        <v>59.154628297359018</v>
      </c>
      <c r="F738" s="40">
        <f t="shared" si="343"/>
        <v>48.34</v>
      </c>
      <c r="G738" s="3">
        <f t="shared" si="344"/>
        <v>44.770743405281962</v>
      </c>
      <c r="H738" s="3">
        <f t="shared" si="345"/>
        <v>148.0155219248214</v>
      </c>
      <c r="I738">
        <f t="shared" si="330"/>
        <v>1.4801552192482141E-4</v>
      </c>
      <c r="J738" s="4">
        <f t="shared" si="346"/>
        <v>2752.8790348149078</v>
      </c>
      <c r="K738" s="40">
        <f t="shared" si="347"/>
        <v>18.59858343919581</v>
      </c>
      <c r="L738" s="40">
        <f t="shared" si="331"/>
        <v>0</v>
      </c>
      <c r="M738" s="10">
        <f t="shared" si="348"/>
        <v>0.42376308368665194</v>
      </c>
      <c r="N738" s="10">
        <f t="shared" si="357"/>
        <v>8.26</v>
      </c>
      <c r="O738" s="10">
        <f t="shared" si="358"/>
        <v>0.31900000000000001</v>
      </c>
      <c r="P738" s="10">
        <f t="shared" si="349"/>
        <v>6.2810510425470847</v>
      </c>
      <c r="Q738" s="45">
        <f t="shared" si="350"/>
        <v>2.5371738030616</v>
      </c>
      <c r="R738" s="4">
        <f t="shared" si="351"/>
        <v>-40877.332404783054</v>
      </c>
      <c r="S738">
        <f t="shared" si="332"/>
        <v>-4.0877332404783056E-5</v>
      </c>
      <c r="T738" s="44">
        <f t="shared" si="333"/>
        <v>2.7674511804009848E-4</v>
      </c>
      <c r="U738" s="45">
        <f t="shared" si="352"/>
        <v>-7.3356416867003421E-2</v>
      </c>
      <c r="V738" s="45">
        <f t="shared" si="353"/>
        <v>5.2815970859858168E-2</v>
      </c>
      <c r="W738" s="45">
        <f t="shared" si="354"/>
        <v>5.3369188765327799E-2</v>
      </c>
      <c r="X738" s="45">
        <f t="shared" si="355"/>
        <v>-5.5321790546963151E-4</v>
      </c>
      <c r="Y738" s="45">
        <f t="shared" si="359"/>
        <v>2.7356048991921886E-4</v>
      </c>
      <c r="Z738" s="10">
        <f t="shared" si="356"/>
        <v>0.98849255898917721</v>
      </c>
      <c r="AA738">
        <f t="shared" si="334"/>
        <v>420579.87956455152</v>
      </c>
      <c r="AB738" s="10">
        <f t="shared" si="335"/>
        <v>0.42057987956455151</v>
      </c>
      <c r="AC738" s="10">
        <f t="shared" si="336"/>
        <v>0.31957987956455147</v>
      </c>
      <c r="AD738" s="3">
        <f t="shared" si="337"/>
        <v>46.349511176874756</v>
      </c>
      <c r="AI738" s="100">
        <f t="shared" si="338"/>
        <v>5.3369188765327799E-2</v>
      </c>
    </row>
    <row r="739" spans="2:35">
      <c r="B739" s="39">
        <f t="shared" si="339"/>
        <v>711</v>
      </c>
      <c r="C739" s="45">
        <f t="shared" si="340"/>
        <v>20.886690647480695</v>
      </c>
      <c r="D739" s="10">
        <f t="shared" si="341"/>
        <v>-5.4366906474804644</v>
      </c>
      <c r="E739" s="40">
        <f t="shared" si="342"/>
        <v>59.213381294960932</v>
      </c>
      <c r="F739" s="40">
        <f t="shared" si="343"/>
        <v>48.34</v>
      </c>
      <c r="G739" s="3">
        <f t="shared" si="344"/>
        <v>44.653237410078134</v>
      </c>
      <c r="H739" s="3">
        <f t="shared" si="345"/>
        <v>148.0155219248214</v>
      </c>
      <c r="I739">
        <f t="shared" si="330"/>
        <v>1.4801552192482141E-4</v>
      </c>
      <c r="J739" s="4">
        <f t="shared" si="346"/>
        <v>2758.3410670086751</v>
      </c>
      <c r="K739" s="40">
        <f t="shared" si="347"/>
        <v>18.635485191949428</v>
      </c>
      <c r="L739" s="40">
        <f t="shared" si="331"/>
        <v>0</v>
      </c>
      <c r="M739" s="10">
        <f t="shared" si="348"/>
        <v>0.42057987956455151</v>
      </c>
      <c r="N739" s="10">
        <f t="shared" si="357"/>
        <v>8.26</v>
      </c>
      <c r="O739" s="10">
        <f t="shared" si="358"/>
        <v>0.31900000000000001</v>
      </c>
      <c r="P739" s="10">
        <f t="shared" si="349"/>
        <v>6.2659614170714351</v>
      </c>
      <c r="Q739" s="45">
        <f t="shared" si="350"/>
        <v>2.5418620698487082</v>
      </c>
      <c r="R739" s="4">
        <f t="shared" si="351"/>
        <v>-41013.942537434559</v>
      </c>
      <c r="S739">
        <f t="shared" si="332"/>
        <v>-4.1013942537434557E-5</v>
      </c>
      <c r="T739" s="44">
        <f t="shared" si="333"/>
        <v>2.7688172817274994E-4</v>
      </c>
      <c r="U739" s="45">
        <f t="shared" si="352"/>
        <v>-7.360157058055318E-2</v>
      </c>
      <c r="V739" s="45">
        <f t="shared" si="353"/>
        <v>5.2290905079011789E-2</v>
      </c>
      <c r="W739" s="45">
        <f t="shared" si="354"/>
        <v>5.2842842878027131E-2</v>
      </c>
      <c r="X739" s="45">
        <f t="shared" si="355"/>
        <v>-5.5193779901534235E-4</v>
      </c>
      <c r="Y739" s="45">
        <f t="shared" si="359"/>
        <v>2.709728582675456E-4</v>
      </c>
      <c r="Z739" s="10">
        <f t="shared" si="356"/>
        <v>0.9786592277352526</v>
      </c>
      <c r="AA739">
        <f t="shared" si="334"/>
        <v>417400.76123000274</v>
      </c>
      <c r="AB739" s="10">
        <f t="shared" si="335"/>
        <v>0.41740076123000275</v>
      </c>
      <c r="AC739" s="10">
        <f t="shared" si="336"/>
        <v>0.31640076123000271</v>
      </c>
      <c r="AD739" s="3">
        <f t="shared" si="337"/>
        <v>45.888435276287559</v>
      </c>
      <c r="AI739" s="100">
        <f t="shared" si="338"/>
        <v>5.2842842878027131E-2</v>
      </c>
    </row>
    <row r="740" spans="2:35">
      <c r="B740" s="39">
        <f t="shared" si="339"/>
        <v>712</v>
      </c>
      <c r="C740" s="45">
        <f t="shared" si="340"/>
        <v>20.916067146281652</v>
      </c>
      <c r="D740" s="10">
        <f t="shared" si="341"/>
        <v>-5.4660671462814214</v>
      </c>
      <c r="E740" s="40">
        <f t="shared" si="342"/>
        <v>59.272134292562846</v>
      </c>
      <c r="F740" s="40">
        <f t="shared" si="343"/>
        <v>48.34</v>
      </c>
      <c r="G740" s="3">
        <f t="shared" si="344"/>
        <v>44.535731414874306</v>
      </c>
      <c r="H740" s="3">
        <f t="shared" si="345"/>
        <v>148.0155219248214</v>
      </c>
      <c r="I740">
        <f t="shared" si="330"/>
        <v>1.4801552192482141E-4</v>
      </c>
      <c r="J740" s="4">
        <f t="shared" si="346"/>
        <v>2763.8085214574162</v>
      </c>
      <c r="K740" s="40">
        <f t="shared" si="347"/>
        <v>18.672423577718984</v>
      </c>
      <c r="L740" s="40">
        <f t="shared" si="331"/>
        <v>0</v>
      </c>
      <c r="M740" s="10">
        <f t="shared" si="348"/>
        <v>0.41740076123000275</v>
      </c>
      <c r="N740" s="10">
        <f t="shared" si="357"/>
        <v>8.26</v>
      </c>
      <c r="O740" s="10">
        <f t="shared" si="358"/>
        <v>0.31900000000000001</v>
      </c>
      <c r="P740" s="10">
        <f t="shared" si="349"/>
        <v>6.2508133332516724</v>
      </c>
      <c r="Q740" s="45">
        <f t="shared" si="350"/>
        <v>2.5465616980786359</v>
      </c>
      <c r="R740" s="4">
        <f t="shared" si="351"/>
        <v>-41149.510511119719</v>
      </c>
      <c r="S740">
        <f t="shared" si="332"/>
        <v>-4.1149510511119722E-5</v>
      </c>
      <c r="T740" s="44">
        <f t="shared" si="333"/>
        <v>2.7701729614643513E-4</v>
      </c>
      <c r="U740" s="45">
        <f t="shared" si="352"/>
        <v>-7.384485408772988E-2</v>
      </c>
      <c r="V740" s="45">
        <f t="shared" si="353"/>
        <v>5.1766543069821924E-2</v>
      </c>
      <c r="W740" s="45">
        <f t="shared" si="354"/>
        <v>5.2317172579658802E-2</v>
      </c>
      <c r="X740" s="45">
        <f t="shared" si="355"/>
        <v>-5.5062950983687797E-4</v>
      </c>
      <c r="Y740" s="45">
        <f t="shared" si="359"/>
        <v>2.6838510427888501E-4</v>
      </c>
      <c r="Z740" s="10">
        <f t="shared" si="356"/>
        <v>0.9688387981991311</v>
      </c>
      <c r="AA740">
        <f t="shared" si="334"/>
        <v>414225.81402389001</v>
      </c>
      <c r="AB740" s="10">
        <f t="shared" si="335"/>
        <v>0.41422581402389003</v>
      </c>
      <c r="AC740" s="10">
        <f t="shared" si="336"/>
        <v>0.31322581402389005</v>
      </c>
      <c r="AD740" s="3">
        <f t="shared" si="337"/>
        <v>45.42796432543728</v>
      </c>
      <c r="AI740" s="100">
        <f t="shared" si="338"/>
        <v>5.2317172579658802E-2</v>
      </c>
    </row>
    <row r="741" spans="2:35">
      <c r="B741" s="39">
        <f t="shared" si="339"/>
        <v>713</v>
      </c>
      <c r="C741" s="45">
        <f t="shared" si="340"/>
        <v>20.945443645082609</v>
      </c>
      <c r="D741" s="10">
        <f t="shared" si="341"/>
        <v>-5.4954436450823785</v>
      </c>
      <c r="E741" s="40">
        <f t="shared" si="342"/>
        <v>59.33088729016476</v>
      </c>
      <c r="F741" s="40">
        <f t="shared" si="343"/>
        <v>48.34</v>
      </c>
      <c r="G741" s="3">
        <f t="shared" si="344"/>
        <v>44.418225419670478</v>
      </c>
      <c r="H741" s="3">
        <f t="shared" si="345"/>
        <v>148.0155219248214</v>
      </c>
      <c r="I741">
        <f t="shared" si="330"/>
        <v>1.4801552192482141E-4</v>
      </c>
      <c r="J741" s="4">
        <f t="shared" si="346"/>
        <v>2769.2813981611316</v>
      </c>
      <c r="K741" s="40">
        <f t="shared" si="347"/>
        <v>18.709398596504482</v>
      </c>
      <c r="L741" s="40">
        <f t="shared" si="331"/>
        <v>0</v>
      </c>
      <c r="M741" s="10">
        <f t="shared" si="348"/>
        <v>0.41422581402389003</v>
      </c>
      <c r="N741" s="10">
        <f t="shared" si="357"/>
        <v>8.26</v>
      </c>
      <c r="O741" s="10">
        <f t="shared" si="358"/>
        <v>0.31900000000000001</v>
      </c>
      <c r="P741" s="10">
        <f t="shared" si="349"/>
        <v>6.2356065043085369</v>
      </c>
      <c r="Q741" s="45">
        <f t="shared" si="350"/>
        <v>2.551272787333652</v>
      </c>
      <c r="R741" s="4">
        <f t="shared" si="351"/>
        <v>-41284.034414396134</v>
      </c>
      <c r="S741">
        <f t="shared" si="332"/>
        <v>-4.1284034414396131E-5</v>
      </c>
      <c r="T741" s="44">
        <f t="shared" si="333"/>
        <v>2.7715182004971152E-4</v>
      </c>
      <c r="U741" s="45">
        <f t="shared" si="352"/>
        <v>-7.4086263958354576E-2</v>
      </c>
      <c r="V741" s="45">
        <f t="shared" si="353"/>
        <v>5.1242898946915916E-2</v>
      </c>
      <c r="W741" s="45">
        <f t="shared" si="354"/>
        <v>5.1792191981420752E-2</v>
      </c>
      <c r="X741" s="45">
        <f t="shared" si="355"/>
        <v>-5.492930345048358E-4</v>
      </c>
      <c r="Y741" s="45">
        <f t="shared" si="359"/>
        <v>2.6579733576617405E-4</v>
      </c>
      <c r="Z741" s="10">
        <f t="shared" si="356"/>
        <v>0.95903153628397297</v>
      </c>
      <c r="AA741">
        <f t="shared" si="334"/>
        <v>411055.12391276844</v>
      </c>
      <c r="AB741" s="10">
        <f t="shared" si="335"/>
        <v>0.41105512391276844</v>
      </c>
      <c r="AC741" s="10">
        <f t="shared" si="336"/>
        <v>0.31005512391276846</v>
      </c>
      <c r="AD741" s="3">
        <f t="shared" si="337"/>
        <v>44.968110792279688</v>
      </c>
      <c r="AI741" s="100">
        <f t="shared" si="338"/>
        <v>5.1792191981420752E-2</v>
      </c>
    </row>
    <row r="742" spans="2:35">
      <c r="B742" s="39">
        <f t="shared" si="339"/>
        <v>714</v>
      </c>
      <c r="C742" s="45">
        <f t="shared" si="340"/>
        <v>20.974820143883566</v>
      </c>
      <c r="D742" s="10">
        <f t="shared" si="341"/>
        <v>-5.5248201438833355</v>
      </c>
      <c r="E742" s="40">
        <f t="shared" si="342"/>
        <v>59.389640287766674</v>
      </c>
      <c r="F742" s="40">
        <f t="shared" si="343"/>
        <v>48.34</v>
      </c>
      <c r="G742" s="3">
        <f t="shared" si="344"/>
        <v>44.300719424466649</v>
      </c>
      <c r="H742" s="3">
        <f t="shared" si="345"/>
        <v>148.0155219248214</v>
      </c>
      <c r="I742">
        <f t="shared" si="330"/>
        <v>1.4801552192482141E-4</v>
      </c>
      <c r="J742" s="4">
        <f t="shared" si="346"/>
        <v>2774.7596971198204</v>
      </c>
      <c r="K742" s="40">
        <f t="shared" si="347"/>
        <v>18.746410248305914</v>
      </c>
      <c r="L742" s="40">
        <f t="shared" si="331"/>
        <v>0</v>
      </c>
      <c r="M742" s="10">
        <f t="shared" si="348"/>
        <v>0.41105512391276844</v>
      </c>
      <c r="N742" s="10">
        <f t="shared" si="357"/>
        <v>8.26</v>
      </c>
      <c r="O742" s="10">
        <f t="shared" si="358"/>
        <v>0.31900000000000001</v>
      </c>
      <c r="P742" s="10">
        <f t="shared" si="349"/>
        <v>6.2203406419171605</v>
      </c>
      <c r="Q742" s="45">
        <f t="shared" si="350"/>
        <v>2.5559954384699899</v>
      </c>
      <c r="R742" s="4">
        <f t="shared" si="351"/>
        <v>-41417.512335821397</v>
      </c>
      <c r="S742">
        <f t="shared" si="332"/>
        <v>-4.1417512335821398E-5</v>
      </c>
      <c r="T742" s="44">
        <f t="shared" si="333"/>
        <v>2.772852979711368E-4</v>
      </c>
      <c r="U742" s="45">
        <f t="shared" si="352"/>
        <v>-7.4325796762248278E-2</v>
      </c>
      <c r="V742" s="45">
        <f t="shared" si="353"/>
        <v>5.0719986926547861E-2</v>
      </c>
      <c r="W742" s="45">
        <f t="shared" si="354"/>
        <v>5.1267915297966184E-2</v>
      </c>
      <c r="X742" s="45">
        <f t="shared" si="355"/>
        <v>-5.4792837141832279E-4</v>
      </c>
      <c r="Y742" s="45">
        <f t="shared" si="359"/>
        <v>2.6320966122026358E-4</v>
      </c>
      <c r="Z742" s="10">
        <f t="shared" si="356"/>
        <v>0.94923770984663458</v>
      </c>
      <c r="AA742">
        <f t="shared" si="334"/>
        <v>407888.77749482339</v>
      </c>
      <c r="AB742" s="10">
        <f t="shared" si="335"/>
        <v>0.40788877749482338</v>
      </c>
      <c r="AC742" s="10">
        <f t="shared" si="336"/>
        <v>0.30688877749482335</v>
      </c>
      <c r="AD742" s="3">
        <f t="shared" si="337"/>
        <v>44.508887236377568</v>
      </c>
      <c r="AI742" s="100">
        <f t="shared" si="338"/>
        <v>5.1267915297966184E-2</v>
      </c>
    </row>
    <row r="743" spans="2:35">
      <c r="B743" s="39">
        <f t="shared" si="339"/>
        <v>715</v>
      </c>
      <c r="C743" s="45">
        <f t="shared" si="340"/>
        <v>21.004196642684523</v>
      </c>
      <c r="D743" s="10">
        <f t="shared" si="341"/>
        <v>-5.5541966426842926</v>
      </c>
      <c r="E743" s="40">
        <f t="shared" si="342"/>
        <v>59.448393285368589</v>
      </c>
      <c r="F743" s="40">
        <f t="shared" si="343"/>
        <v>48.34</v>
      </c>
      <c r="G743" s="3">
        <f t="shared" si="344"/>
        <v>44.183213429262821</v>
      </c>
      <c r="H743" s="3">
        <f t="shared" si="345"/>
        <v>148.0155219248214</v>
      </c>
      <c r="I743">
        <f t="shared" ref="I743:I806" si="360">H743/1000^2</f>
        <v>1.4801552192482141E-4</v>
      </c>
      <c r="J743" s="4">
        <f t="shared" si="346"/>
        <v>2780.2434183334831</v>
      </c>
      <c r="K743" s="40">
        <f t="shared" si="347"/>
        <v>18.783458533123284</v>
      </c>
      <c r="L743" s="40">
        <f t="shared" ref="L743:L806" si="361">IF((gstar-K743)&lt;0,0,gstar-K743)</f>
        <v>0</v>
      </c>
      <c r="M743" s="10">
        <f t="shared" si="348"/>
        <v>0.40788877749482338</v>
      </c>
      <c r="N743" s="10">
        <f t="shared" si="357"/>
        <v>8.26</v>
      </c>
      <c r="O743" s="10">
        <f t="shared" si="358"/>
        <v>0.31900000000000001</v>
      </c>
      <c r="P743" s="10">
        <f t="shared" si="349"/>
        <v>6.2050154562252793</v>
      </c>
      <c r="Q743" s="45">
        <f t="shared" si="350"/>
        <v>2.5607297536394205</v>
      </c>
      <c r="R743" s="4">
        <f t="shared" si="351"/>
        <v>-41549.942363953109</v>
      </c>
      <c r="S743">
        <f t="shared" ref="S743:S806" si="362">R743/1000^3</f>
        <v>-4.1549942363953112E-5</v>
      </c>
      <c r="T743" s="44">
        <f t="shared" ref="T743:T806" si="363">(vc/1000^3-S743)</f>
        <v>2.7741772799926852E-4</v>
      </c>
      <c r="U743" s="45">
        <f t="shared" si="352"/>
        <v>-7.4563449069232041E-2</v>
      </c>
      <c r="V743" s="45">
        <f t="shared" si="353"/>
        <v>5.0197821327629712E-2</v>
      </c>
      <c r="W743" s="45">
        <f t="shared" si="354"/>
        <v>5.0744356848389002E-2</v>
      </c>
      <c r="X743" s="45">
        <f t="shared" si="355"/>
        <v>-5.4653552075929063E-4</v>
      </c>
      <c r="Y743" s="45">
        <f t="shared" si="359"/>
        <v>2.6062218981370025E-4</v>
      </c>
      <c r="Z743" s="10">
        <f t="shared" si="356"/>
        <v>0.93945758871757268</v>
      </c>
      <c r="AA743">
        <f t="shared" ref="AA743:AA806" si="364">Z743*rat*to+patm*1000000</f>
        <v>404726.86200630572</v>
      </c>
      <c r="AB743" s="10">
        <f t="shared" ref="AB743:AB806" si="365">AA743/1000000</f>
        <v>0.4047268620063057</v>
      </c>
      <c r="AC743" s="10">
        <f t="shared" ref="AC743:AC806" si="366">AB743-patm</f>
        <v>0.30372686200630572</v>
      </c>
      <c r="AD743" s="3">
        <f t="shared" ref="AD743:AD806" si="367">AC743*1000000/6895</f>
        <v>44.050306309834042</v>
      </c>
      <c r="AI743" s="100">
        <f t="shared" ref="AI743:AI806" si="368">($M743-patm)*1000000*$I743/SQRT(rat*to)*SQRT(k)*(2/(k+1))^((k+1)/2/(k-1))</f>
        <v>5.0744356848389002E-2</v>
      </c>
    </row>
    <row r="744" spans="2:35">
      <c r="B744" s="39">
        <f t="shared" ref="B744:B807" si="369">1+B743</f>
        <v>716</v>
      </c>
      <c r="C744" s="45">
        <f t="shared" ref="C744:C807" si="370">xincp+C743</f>
        <v>21.03357314148548</v>
      </c>
      <c r="D744" s="10">
        <f t="shared" ref="D744:D807" si="371">(F744-E744)/2</f>
        <v>-5.5835731414852496</v>
      </c>
      <c r="E744" s="40">
        <f t="shared" ref="E744:E807" si="372">E743+ci*2*xincp</f>
        <v>59.507146282970503</v>
      </c>
      <c r="F744" s="40">
        <f t="shared" ref="F744:F807" si="373">F743-osi*2*xincp</f>
        <v>48.34</v>
      </c>
      <c r="G744" s="3">
        <f t="shared" ref="G744:G807" si="374">G743-ei*n*2*xincp</f>
        <v>44.065707434058993</v>
      </c>
      <c r="H744" s="3">
        <f t="shared" ref="H744:H807" si="375">PI()/4*(dto+erate*(two-D744)/two)^2</f>
        <v>148.0155219248214</v>
      </c>
      <c r="I744">
        <f t="shared" si="360"/>
        <v>1.4801552192482141E-4</v>
      </c>
      <c r="J744" s="4">
        <f t="shared" ref="J744:J807" si="376">PI()/4*dc^2-PI()/4*(F744^2-E744^2)</f>
        <v>2785.7325618021196</v>
      </c>
      <c r="K744" s="40">
        <f t="shared" ref="K744:K807" si="377">J744/H744</f>
        <v>18.820543450956595</v>
      </c>
      <c r="L744" s="40">
        <f t="shared" si="361"/>
        <v>0</v>
      </c>
      <c r="M744" s="10">
        <f t="shared" ref="M744:M807" si="378">AB743</f>
        <v>0.4047268620063057</v>
      </c>
      <c r="N744" s="10">
        <f t="shared" si="357"/>
        <v>8.26</v>
      </c>
      <c r="O744" s="10">
        <f t="shared" si="358"/>
        <v>0.31900000000000001</v>
      </c>
      <c r="P744" s="10">
        <f t="shared" ref="P744:P807" si="379">(1+kv*L744)*N744*M744^O744</f>
        <v>6.1896306558750283</v>
      </c>
      <c r="Q744" s="45">
        <f t="shared" ref="Q744:Q807" si="380">xincp/P744+Q743</f>
        <v>2.5654758363112635</v>
      </c>
      <c r="R744" s="4">
        <f t="shared" ref="R744:R807" si="381">PI()/4*(F744^2-E744^2)*G744</f>
        <v>-41681.322587348863</v>
      </c>
      <c r="S744">
        <f t="shared" si="362"/>
        <v>-4.1681322587348865E-5</v>
      </c>
      <c r="T744" s="44">
        <f t="shared" si="363"/>
        <v>2.7754910822266426E-4</v>
      </c>
      <c r="U744" s="45">
        <f t="shared" ref="U744:U807" si="382">rhopgrain*R744/1000^2</f>
        <v>-7.479921744912689E-2</v>
      </c>
      <c r="V744" s="45">
        <f t="shared" ref="V744:V807" si="383">(U743-U744)/(Q744-Q743)</f>
        <v>4.9676416572678891E-2</v>
      </c>
      <c r="W744" s="45">
        <f t="shared" ref="W744:W807" si="384">IF(V744&lt;AI744,IF(AB743&gt;pbd,AI744,0),AI744)</f>
        <v>5.0221531057287883E-2</v>
      </c>
      <c r="X744" s="45">
        <f t="shared" ref="X744:X807" si="385">V744-W744</f>
        <v>-5.4511448460899115E-4</v>
      </c>
      <c r="Y744" s="45">
        <f t="shared" si="359"/>
        <v>2.5803503140412685E-4</v>
      </c>
      <c r="Z744" s="10">
        <f t="shared" ref="Z744:Z807" si="386">Y744/T744</f>
        <v>0.9296914447194613</v>
      </c>
      <c r="AA744">
        <f t="shared" si="364"/>
        <v>401569.46532755066</v>
      </c>
      <c r="AB744" s="10">
        <f t="shared" si="365"/>
        <v>0.40156946532755067</v>
      </c>
      <c r="AC744" s="10">
        <f t="shared" si="366"/>
        <v>0.30056946532755069</v>
      </c>
      <c r="AD744" s="3">
        <f t="shared" si="367"/>
        <v>43.59238075816544</v>
      </c>
      <c r="AI744" s="100">
        <f t="shared" si="368"/>
        <v>5.0221531057287883E-2</v>
      </c>
    </row>
    <row r="745" spans="2:35">
      <c r="B745" s="39">
        <f t="shared" si="369"/>
        <v>717</v>
      </c>
      <c r="C745" s="45">
        <f t="shared" si="370"/>
        <v>21.062949640286437</v>
      </c>
      <c r="D745" s="10">
        <f t="shared" si="371"/>
        <v>-5.6129496402862067</v>
      </c>
      <c r="E745" s="40">
        <f t="shared" si="372"/>
        <v>59.565899280572417</v>
      </c>
      <c r="F745" s="40">
        <f t="shared" si="373"/>
        <v>48.34</v>
      </c>
      <c r="G745" s="3">
        <f t="shared" si="374"/>
        <v>43.948201438855165</v>
      </c>
      <c r="H745" s="3">
        <f t="shared" si="375"/>
        <v>148.0155219248214</v>
      </c>
      <c r="I745">
        <f t="shared" si="360"/>
        <v>1.4801552192482141E-4</v>
      </c>
      <c r="J745" s="4">
        <f t="shared" si="376"/>
        <v>2791.2271275257303</v>
      </c>
      <c r="K745" s="40">
        <f t="shared" si="377"/>
        <v>18.857665001805845</v>
      </c>
      <c r="L745" s="40">
        <f t="shared" si="361"/>
        <v>0</v>
      </c>
      <c r="M745" s="10">
        <f t="shared" si="378"/>
        <v>0.40156946532755067</v>
      </c>
      <c r="N745" s="10">
        <f t="shared" si="357"/>
        <v>8.26</v>
      </c>
      <c r="O745" s="10">
        <f t="shared" si="358"/>
        <v>0.31900000000000001</v>
      </c>
      <c r="P745" s="10">
        <f t="shared" si="379"/>
        <v>6.1741859480240651</v>
      </c>
      <c r="Q745" s="45">
        <f t="shared" si="380"/>
        <v>2.5702337912948447</v>
      </c>
      <c r="R745" s="4">
        <f t="shared" si="381"/>
        <v>-41811.651094566274</v>
      </c>
      <c r="S745">
        <f t="shared" si="362"/>
        <v>-4.1811651094566273E-5</v>
      </c>
      <c r="T745" s="44">
        <f t="shared" si="363"/>
        <v>2.7767943672988167E-4</v>
      </c>
      <c r="U745" s="45">
        <f t="shared" si="382"/>
        <v>-7.5033098471753892E-2</v>
      </c>
      <c r="V745" s="45">
        <f t="shared" si="383"/>
        <v>4.9155787188840692E-2</v>
      </c>
      <c r="W745" s="45">
        <f t="shared" si="384"/>
        <v>4.9699452455761427E-2</v>
      </c>
      <c r="X745" s="45">
        <f t="shared" si="385"/>
        <v>-5.4366526692073425E-4</v>
      </c>
      <c r="Y745" s="45">
        <f t="shared" si="359"/>
        <v>2.5544829653798132E-4</v>
      </c>
      <c r="Z745" s="10">
        <f t="shared" si="386"/>
        <v>0.91993955168698305</v>
      </c>
      <c r="AA745">
        <f t="shared" si="364"/>
        <v>398416.67598937632</v>
      </c>
      <c r="AB745" s="10">
        <f t="shared" si="365"/>
        <v>0.3984166759893763</v>
      </c>
      <c r="AC745" s="10">
        <f t="shared" si="366"/>
        <v>0.29741667598937627</v>
      </c>
      <c r="AD745" s="3">
        <f t="shared" si="367"/>
        <v>43.135123421229338</v>
      </c>
      <c r="AI745" s="100">
        <f t="shared" si="368"/>
        <v>4.9699452455761427E-2</v>
      </c>
    </row>
    <row r="746" spans="2:35">
      <c r="B746" s="39">
        <f t="shared" si="369"/>
        <v>718</v>
      </c>
      <c r="C746" s="45">
        <f t="shared" si="370"/>
        <v>21.092326139087394</v>
      </c>
      <c r="D746" s="10">
        <f t="shared" si="371"/>
        <v>-5.6423261390871637</v>
      </c>
      <c r="E746" s="40">
        <f t="shared" si="372"/>
        <v>59.624652278174331</v>
      </c>
      <c r="F746" s="40">
        <f t="shared" si="373"/>
        <v>48.34</v>
      </c>
      <c r="G746" s="3">
        <f t="shared" si="374"/>
        <v>43.830695443651337</v>
      </c>
      <c r="H746" s="3">
        <f t="shared" si="375"/>
        <v>148.0155219248214</v>
      </c>
      <c r="I746">
        <f t="shared" si="360"/>
        <v>1.4801552192482141E-4</v>
      </c>
      <c r="J746" s="4">
        <f t="shared" si="376"/>
        <v>2796.727115504315</v>
      </c>
      <c r="K746" s="40">
        <f t="shared" si="377"/>
        <v>18.894823185671036</v>
      </c>
      <c r="L746" s="40">
        <f t="shared" si="361"/>
        <v>0</v>
      </c>
      <c r="M746" s="10">
        <f t="shared" si="378"/>
        <v>0.3984166759893763</v>
      </c>
      <c r="N746" s="10">
        <f t="shared" si="357"/>
        <v>8.26</v>
      </c>
      <c r="O746" s="10">
        <f t="shared" si="358"/>
        <v>0.31900000000000001</v>
      </c>
      <c r="P746" s="10">
        <f t="shared" si="379"/>
        <v>6.1586810383699708</v>
      </c>
      <c r="Q746" s="45">
        <f t="shared" si="380"/>
        <v>2.5750037247624062</v>
      </c>
      <c r="R746" s="4">
        <f t="shared" si="381"/>
        <v>-41940.925974162936</v>
      </c>
      <c r="S746">
        <f t="shared" si="362"/>
        <v>-4.1940925974162935E-5</v>
      </c>
      <c r="T746" s="44">
        <f t="shared" si="363"/>
        <v>2.7780871160947837E-4</v>
      </c>
      <c r="U746" s="45">
        <f t="shared" si="382"/>
        <v>-7.5265088706934102E-2</v>
      </c>
      <c r="V746" s="45">
        <f t="shared" si="383"/>
        <v>4.863594780889241E-2</v>
      </c>
      <c r="W746" s="45">
        <f t="shared" si="384"/>
        <v>4.9178135682466186E-2</v>
      </c>
      <c r="X746" s="45">
        <f t="shared" si="385"/>
        <v>-5.4218787357377535E-4</v>
      </c>
      <c r="Y746" s="45">
        <f t="shared" si="359"/>
        <v>2.5286209645411576E-4</v>
      </c>
      <c r="Z746" s="10">
        <f t="shared" si="386"/>
        <v>0.91020218548642706</v>
      </c>
      <c r="AA746">
        <f t="shared" si="364"/>
        <v>395268.58317941951</v>
      </c>
      <c r="AB746" s="10">
        <f t="shared" si="365"/>
        <v>0.39526858317941949</v>
      </c>
      <c r="AC746" s="10">
        <f t="shared" si="366"/>
        <v>0.29426858317941951</v>
      </c>
      <c r="AD746" s="3">
        <f t="shared" si="367"/>
        <v>42.678547234143508</v>
      </c>
      <c r="AI746" s="100">
        <f t="shared" si="368"/>
        <v>4.9178135682466186E-2</v>
      </c>
    </row>
    <row r="747" spans="2:35">
      <c r="B747" s="39">
        <f t="shared" si="369"/>
        <v>719</v>
      </c>
      <c r="C747" s="45">
        <f t="shared" si="370"/>
        <v>21.121702637888351</v>
      </c>
      <c r="D747" s="10">
        <f t="shared" si="371"/>
        <v>-5.6717026378881208</v>
      </c>
      <c r="E747" s="40">
        <f t="shared" si="372"/>
        <v>59.683405275776245</v>
      </c>
      <c r="F747" s="40">
        <f t="shared" si="373"/>
        <v>48.34</v>
      </c>
      <c r="G747" s="3">
        <f t="shared" si="374"/>
        <v>43.713189448447508</v>
      </c>
      <c r="H747" s="3">
        <f t="shared" si="375"/>
        <v>148.0155219248214</v>
      </c>
      <c r="I747">
        <f t="shared" si="360"/>
        <v>1.4801552192482141E-4</v>
      </c>
      <c r="J747" s="4">
        <f t="shared" si="376"/>
        <v>2802.2325257378734</v>
      </c>
      <c r="K747" s="40">
        <f t="shared" si="377"/>
        <v>18.932018002552166</v>
      </c>
      <c r="L747" s="40">
        <f t="shared" si="361"/>
        <v>0</v>
      </c>
      <c r="M747" s="10">
        <f t="shared" si="378"/>
        <v>0.39526858317941949</v>
      </c>
      <c r="N747" s="10">
        <f t="shared" si="357"/>
        <v>8.26</v>
      </c>
      <c r="O747" s="10">
        <f t="shared" si="358"/>
        <v>0.31900000000000001</v>
      </c>
      <c r="P747" s="10">
        <f t="shared" si="379"/>
        <v>6.1431156311758519</v>
      </c>
      <c r="Q747" s="45">
        <f t="shared" si="380"/>
        <v>2.5797857442724856</v>
      </c>
      <c r="R747" s="4">
        <f t="shared" si="381"/>
        <v>-42069.145314696434</v>
      </c>
      <c r="S747">
        <f t="shared" si="362"/>
        <v>-4.2069145314696433E-5</v>
      </c>
      <c r="T747" s="44">
        <f t="shared" si="363"/>
        <v>2.7793693095001185E-4</v>
      </c>
      <c r="U747" s="45">
        <f t="shared" si="382"/>
        <v>-7.549518472448849E-2</v>
      </c>
      <c r="V747" s="45">
        <f t="shared" si="383"/>
        <v>4.8116913172227396E-2</v>
      </c>
      <c r="W747" s="45">
        <f t="shared" si="384"/>
        <v>4.8657595484664438E-2</v>
      </c>
      <c r="X747" s="45">
        <f t="shared" si="385"/>
        <v>-5.4068231243704218E-4</v>
      </c>
      <c r="Y747" s="45">
        <f t="shared" si="359"/>
        <v>2.5027654308728696E-4</v>
      </c>
      <c r="Z747" s="10">
        <f t="shared" si="386"/>
        <v>0.90047962403492277</v>
      </c>
      <c r="AA747">
        <f t="shared" si="364"/>
        <v>392125.27674835437</v>
      </c>
      <c r="AB747" s="10">
        <f t="shared" si="365"/>
        <v>0.39212527674835435</v>
      </c>
      <c r="AC747" s="10">
        <f t="shared" si="366"/>
        <v>0.29112527674835431</v>
      </c>
      <c r="AD747" s="3">
        <f t="shared" si="367"/>
        <v>42.222665228187715</v>
      </c>
      <c r="AI747" s="100">
        <f t="shared" si="368"/>
        <v>4.8657595484664438E-2</v>
      </c>
    </row>
    <row r="748" spans="2:35">
      <c r="B748" s="39">
        <f t="shared" si="369"/>
        <v>720</v>
      </c>
      <c r="C748" s="45">
        <f t="shared" si="370"/>
        <v>21.151079136689308</v>
      </c>
      <c r="D748" s="10">
        <f t="shared" si="371"/>
        <v>-5.7010791366890778</v>
      </c>
      <c r="E748" s="40">
        <f t="shared" si="372"/>
        <v>59.742158273378159</v>
      </c>
      <c r="F748" s="40">
        <f t="shared" si="373"/>
        <v>48.34</v>
      </c>
      <c r="G748" s="3">
        <f t="shared" si="374"/>
        <v>43.59568345324368</v>
      </c>
      <c r="H748" s="3">
        <f t="shared" si="375"/>
        <v>148.0155219248214</v>
      </c>
      <c r="I748">
        <f t="shared" si="360"/>
        <v>1.4801552192482141E-4</v>
      </c>
      <c r="J748" s="4">
        <f t="shared" si="376"/>
        <v>2807.7433582264057</v>
      </c>
      <c r="K748" s="40">
        <f t="shared" si="377"/>
        <v>18.969249452449233</v>
      </c>
      <c r="L748" s="40">
        <f t="shared" si="361"/>
        <v>0</v>
      </c>
      <c r="M748" s="10">
        <f t="shared" si="378"/>
        <v>0.39212527674835435</v>
      </c>
      <c r="N748" s="10">
        <f t="shared" si="357"/>
        <v>8.26</v>
      </c>
      <c r="O748" s="10">
        <f t="shared" si="358"/>
        <v>0.31900000000000001</v>
      </c>
      <c r="P748" s="10">
        <f t="shared" si="379"/>
        <v>6.1274894292969488</v>
      </c>
      <c r="Q748" s="45">
        <f t="shared" si="380"/>
        <v>2.5845799587937708</v>
      </c>
      <c r="R748" s="4">
        <f t="shared" si="381"/>
        <v>-42196.307204724384</v>
      </c>
      <c r="S748">
        <f t="shared" si="362"/>
        <v>-4.2196307204724381E-5</v>
      </c>
      <c r="T748" s="44">
        <f t="shared" si="363"/>
        <v>2.7806409284003981E-4</v>
      </c>
      <c r="U748" s="45">
        <f t="shared" si="382"/>
        <v>-7.5723383094238136E-2</v>
      </c>
      <c r="V748" s="45">
        <f t="shared" si="383"/>
        <v>4.7598698125939351E-2</v>
      </c>
      <c r="W748" s="45">
        <f t="shared" si="384"/>
        <v>4.8137846719252191E-2</v>
      </c>
      <c r="X748" s="45">
        <f t="shared" si="385"/>
        <v>-5.3914859331283954E-4</v>
      </c>
      <c r="Y748" s="45">
        <f t="shared" si="359"/>
        <v>2.476917490720961E-4</v>
      </c>
      <c r="Z748" s="10">
        <f t="shared" si="386"/>
        <v>0.8907721473213881</v>
      </c>
      <c r="AA748">
        <f t="shared" si="364"/>
        <v>388986.84721666476</v>
      </c>
      <c r="AB748" s="10">
        <f t="shared" si="365"/>
        <v>0.38898684721666477</v>
      </c>
      <c r="AC748" s="10">
        <f t="shared" si="366"/>
        <v>0.28798684721666479</v>
      </c>
      <c r="AD748" s="3">
        <f t="shared" si="367"/>
        <v>41.767490531786052</v>
      </c>
      <c r="AI748" s="100">
        <f t="shared" si="368"/>
        <v>4.8137846719252191E-2</v>
      </c>
    </row>
    <row r="749" spans="2:35">
      <c r="B749" s="39">
        <f t="shared" si="369"/>
        <v>721</v>
      </c>
      <c r="C749" s="45">
        <f t="shared" si="370"/>
        <v>21.180455635490265</v>
      </c>
      <c r="D749" s="10">
        <f t="shared" si="371"/>
        <v>-5.7304556354900349</v>
      </c>
      <c r="E749" s="40">
        <f t="shared" si="372"/>
        <v>59.800911270980073</v>
      </c>
      <c r="F749" s="40">
        <f t="shared" si="373"/>
        <v>48.34</v>
      </c>
      <c r="G749" s="3">
        <f t="shared" si="374"/>
        <v>43.478177458039852</v>
      </c>
      <c r="H749" s="3">
        <f t="shared" si="375"/>
        <v>148.0155219248214</v>
      </c>
      <c r="I749">
        <f t="shared" si="360"/>
        <v>1.4801552192482141E-4</v>
      </c>
      <c r="J749" s="4">
        <f t="shared" si="376"/>
        <v>2813.2596129699118</v>
      </c>
      <c r="K749" s="40">
        <f t="shared" si="377"/>
        <v>19.006517535362239</v>
      </c>
      <c r="L749" s="40">
        <f t="shared" si="361"/>
        <v>0</v>
      </c>
      <c r="M749" s="10">
        <f t="shared" si="378"/>
        <v>0.38898684721666477</v>
      </c>
      <c r="N749" s="10">
        <f t="shared" si="357"/>
        <v>8.26</v>
      </c>
      <c r="O749" s="10">
        <f t="shared" si="358"/>
        <v>0.31900000000000001</v>
      </c>
      <c r="P749" s="10">
        <f t="shared" si="379"/>
        <v>6.1118021342116648</v>
      </c>
      <c r="Q749" s="45">
        <f t="shared" si="380"/>
        <v>2.5893864787294407</v>
      </c>
      <c r="R749" s="4">
        <f t="shared" si="381"/>
        <v>-42322.409732804372</v>
      </c>
      <c r="S749">
        <f t="shared" si="362"/>
        <v>-4.2322409732804372E-5</v>
      </c>
      <c r="T749" s="44">
        <f t="shared" si="363"/>
        <v>2.7819019536811979E-4</v>
      </c>
      <c r="U749" s="45">
        <f t="shared" si="382"/>
        <v>-7.5949680386004081E-2</v>
      </c>
      <c r="V749" s="45">
        <f t="shared" si="383"/>
        <v>4.7081317625785192E-2</v>
      </c>
      <c r="W749" s="45">
        <f t="shared" si="384"/>
        <v>4.7618904353879242E-2</v>
      </c>
      <c r="X749" s="45">
        <f t="shared" si="385"/>
        <v>-5.3758672809404995E-4</v>
      </c>
      <c r="Y749" s="45">
        <f t="shared" si="359"/>
        <v>2.4510782774636049E-4</v>
      </c>
      <c r="Z749" s="10">
        <f t="shared" si="386"/>
        <v>0.8810800374255372</v>
      </c>
      <c r="AA749">
        <f t="shared" si="364"/>
        <v>385853.38578078931</v>
      </c>
      <c r="AB749" s="10">
        <f t="shared" si="365"/>
        <v>0.38585338578078932</v>
      </c>
      <c r="AC749" s="10">
        <f t="shared" si="366"/>
        <v>0.28485338578078934</v>
      </c>
      <c r="AD749" s="3">
        <f t="shared" si="367"/>
        <v>41.31303637139802</v>
      </c>
      <c r="AI749" s="100">
        <f t="shared" si="368"/>
        <v>4.7618904353879242E-2</v>
      </c>
    </row>
    <row r="750" spans="2:35">
      <c r="B750" s="39">
        <f t="shared" si="369"/>
        <v>722</v>
      </c>
      <c r="C750" s="45">
        <f t="shared" si="370"/>
        <v>21.209832134291222</v>
      </c>
      <c r="D750" s="10">
        <f t="shared" si="371"/>
        <v>-5.7598321342909919</v>
      </c>
      <c r="E750" s="40">
        <f t="shared" si="372"/>
        <v>59.859664268581987</v>
      </c>
      <c r="F750" s="40">
        <f t="shared" si="373"/>
        <v>48.34</v>
      </c>
      <c r="G750" s="3">
        <f t="shared" si="374"/>
        <v>43.360671462836024</v>
      </c>
      <c r="H750" s="3">
        <f t="shared" si="375"/>
        <v>148.0155219248214</v>
      </c>
      <c r="I750">
        <f t="shared" si="360"/>
        <v>1.4801552192482141E-4</v>
      </c>
      <c r="J750" s="4">
        <f t="shared" si="376"/>
        <v>2818.7812899683922</v>
      </c>
      <c r="K750" s="40">
        <f t="shared" si="377"/>
        <v>19.043822251291186</v>
      </c>
      <c r="L750" s="40">
        <f t="shared" si="361"/>
        <v>0</v>
      </c>
      <c r="M750" s="10">
        <f t="shared" si="378"/>
        <v>0.38585338578078932</v>
      </c>
      <c r="N750" s="10">
        <f t="shared" si="357"/>
        <v>8.26</v>
      </c>
      <c r="O750" s="10">
        <f t="shared" si="358"/>
        <v>0.31900000000000001</v>
      </c>
      <c r="P750" s="10">
        <f t="shared" si="379"/>
        <v>6.0960534460512541</v>
      </c>
      <c r="Q750" s="45">
        <f t="shared" si="380"/>
        <v>2.5942054159420049</v>
      </c>
      <c r="R750" s="4">
        <f t="shared" si="381"/>
        <v>-42447.450987494027</v>
      </c>
      <c r="S750">
        <f t="shared" si="362"/>
        <v>-4.2447450987494029E-5</v>
      </c>
      <c r="T750" s="44">
        <f t="shared" si="363"/>
        <v>2.7831523662280946E-4</v>
      </c>
      <c r="U750" s="45">
        <f t="shared" si="382"/>
        <v>-7.6174073169607406E-2</v>
      </c>
      <c r="V750" s="45">
        <f t="shared" si="383"/>
        <v>4.6564786737265447E-2</v>
      </c>
      <c r="W750" s="45">
        <f t="shared" si="384"/>
        <v>4.7100783467965097E-2</v>
      </c>
      <c r="X750" s="45">
        <f t="shared" si="385"/>
        <v>-5.3599673069965048E-4</v>
      </c>
      <c r="Y750" s="45">
        <f t="shared" si="359"/>
        <v>2.4252489315497919E-4</v>
      </c>
      <c r="Z750" s="10">
        <f t="shared" si="386"/>
        <v>0.8714035785387646</v>
      </c>
      <c r="AA750">
        <f t="shared" si="364"/>
        <v>382724.98431987356</v>
      </c>
      <c r="AB750" s="10">
        <f t="shared" si="365"/>
        <v>0.38272498431987356</v>
      </c>
      <c r="AC750" s="10">
        <f t="shared" si="366"/>
        <v>0.28172498431987358</v>
      </c>
      <c r="AD750" s="3">
        <f t="shared" si="367"/>
        <v>40.859316072497975</v>
      </c>
      <c r="AI750" s="100">
        <f t="shared" si="368"/>
        <v>4.7100783467965097E-2</v>
      </c>
    </row>
    <row r="751" spans="2:35">
      <c r="B751" s="39">
        <f t="shared" si="369"/>
        <v>723</v>
      </c>
      <c r="C751" s="45">
        <f t="shared" si="370"/>
        <v>21.239208633092179</v>
      </c>
      <c r="D751" s="10">
        <f t="shared" si="371"/>
        <v>-5.789208633091949</v>
      </c>
      <c r="E751" s="40">
        <f t="shared" si="372"/>
        <v>59.918417266183901</v>
      </c>
      <c r="F751" s="40">
        <f t="shared" si="373"/>
        <v>48.34</v>
      </c>
      <c r="G751" s="3">
        <f t="shared" si="374"/>
        <v>43.243165467632195</v>
      </c>
      <c r="H751" s="3">
        <f t="shared" si="375"/>
        <v>148.0155219248214</v>
      </c>
      <c r="I751">
        <f t="shared" si="360"/>
        <v>1.4801552192482141E-4</v>
      </c>
      <c r="J751" s="4">
        <f t="shared" si="376"/>
        <v>2824.3083892218465</v>
      </c>
      <c r="K751" s="40">
        <f t="shared" si="377"/>
        <v>19.081163600236074</v>
      </c>
      <c r="L751" s="40">
        <f t="shared" si="361"/>
        <v>0</v>
      </c>
      <c r="M751" s="10">
        <f t="shared" si="378"/>
        <v>0.38272498431987356</v>
      </c>
      <c r="N751" s="10">
        <f t="shared" si="357"/>
        <v>8.26</v>
      </c>
      <c r="O751" s="10">
        <f t="shared" si="358"/>
        <v>0.31900000000000001</v>
      </c>
      <c r="P751" s="10">
        <f t="shared" si="379"/>
        <v>6.0802430636343949</v>
      </c>
      <c r="Q751" s="45">
        <f t="shared" si="380"/>
        <v>2.5990368837786542</v>
      </c>
      <c r="R751" s="4">
        <f t="shared" si="381"/>
        <v>-42571.429057350913</v>
      </c>
      <c r="S751">
        <f t="shared" si="362"/>
        <v>-4.2571429057350917E-5</v>
      </c>
      <c r="T751" s="44">
        <f t="shared" si="363"/>
        <v>2.7843921469266632E-4</v>
      </c>
      <c r="U751" s="45">
        <f t="shared" si="382"/>
        <v>-7.6396558014869081E-2</v>
      </c>
      <c r="V751" s="45">
        <f t="shared" si="383"/>
        <v>4.6049120636592132E-2</v>
      </c>
      <c r="W751" s="45">
        <f t="shared" si="384"/>
        <v>4.6583499253815525E-2</v>
      </c>
      <c r="X751" s="45">
        <f t="shared" si="385"/>
        <v>-5.3437861722339247E-4</v>
      </c>
      <c r="Y751" s="45">
        <f t="shared" si="359"/>
        <v>2.3994306005327128E-4</v>
      </c>
      <c r="Z751" s="10">
        <f t="shared" si="386"/>
        <v>0.86174305698324116</v>
      </c>
      <c r="AA751">
        <f t="shared" si="364"/>
        <v>379601.73540194338</v>
      </c>
      <c r="AB751" s="10">
        <f t="shared" si="365"/>
        <v>0.37960173540194336</v>
      </c>
      <c r="AC751" s="10">
        <f t="shared" si="366"/>
        <v>0.27860173540194333</v>
      </c>
      <c r="AD751" s="3">
        <f t="shared" si="367"/>
        <v>40.406343060470391</v>
      </c>
      <c r="AI751" s="100">
        <f t="shared" si="368"/>
        <v>4.6583499253815525E-2</v>
      </c>
    </row>
    <row r="752" spans="2:35">
      <c r="B752" s="39">
        <f t="shared" si="369"/>
        <v>724</v>
      </c>
      <c r="C752" s="45">
        <f t="shared" si="370"/>
        <v>21.268585131893136</v>
      </c>
      <c r="D752" s="10">
        <f t="shared" si="371"/>
        <v>-5.818585131892906</v>
      </c>
      <c r="E752" s="40">
        <f t="shared" si="372"/>
        <v>59.977170263785816</v>
      </c>
      <c r="F752" s="40">
        <f t="shared" si="373"/>
        <v>48.34</v>
      </c>
      <c r="G752" s="3">
        <f t="shared" si="374"/>
        <v>43.125659472428367</v>
      </c>
      <c r="H752" s="3">
        <f t="shared" si="375"/>
        <v>148.0155219248214</v>
      </c>
      <c r="I752">
        <f t="shared" si="360"/>
        <v>1.4801552192482141E-4</v>
      </c>
      <c r="J752" s="4">
        <f t="shared" si="376"/>
        <v>2829.8409107302746</v>
      </c>
      <c r="K752" s="40">
        <f t="shared" si="377"/>
        <v>19.118541582196897</v>
      </c>
      <c r="L752" s="40">
        <f t="shared" si="361"/>
        <v>0</v>
      </c>
      <c r="M752" s="10">
        <f t="shared" si="378"/>
        <v>0.37960173540194336</v>
      </c>
      <c r="N752" s="10">
        <f t="shared" si="357"/>
        <v>8.26</v>
      </c>
      <c r="O752" s="10">
        <f t="shared" si="358"/>
        <v>0.31900000000000001</v>
      </c>
      <c r="P752" s="10">
        <f t="shared" si="379"/>
        <v>6.0643706845007994</v>
      </c>
      <c r="Q752" s="45">
        <f t="shared" si="380"/>
        <v>2.6038809970971291</v>
      </c>
      <c r="R752" s="4">
        <f t="shared" si="381"/>
        <v>-42694.342030932632</v>
      </c>
      <c r="S752">
        <f t="shared" si="362"/>
        <v>-4.2694342030932631E-5</v>
      </c>
      <c r="T752" s="44">
        <f t="shared" si="363"/>
        <v>2.7856212766624806E-4</v>
      </c>
      <c r="U752" s="45">
        <f t="shared" si="382"/>
        <v>-7.661713149161016E-2</v>
      </c>
      <c r="V752" s="45">
        <f t="shared" si="383"/>
        <v>4.5534334611834273E-2</v>
      </c>
      <c r="W752" s="45">
        <f t="shared" si="384"/>
        <v>4.6067067017643348E-2</v>
      </c>
      <c r="X752" s="45">
        <f t="shared" si="385"/>
        <v>-5.3273240580907488E-4</v>
      </c>
      <c r="Y752" s="45">
        <f t="shared" si="359"/>
        <v>2.3736244391110836E-4</v>
      </c>
      <c r="Z752" s="10">
        <f t="shared" si="386"/>
        <v>0.85209876123396777</v>
      </c>
      <c r="AA752">
        <f t="shared" si="364"/>
        <v>376483.73229103535</v>
      </c>
      <c r="AB752" s="10">
        <f t="shared" si="365"/>
        <v>0.37648373229103538</v>
      </c>
      <c r="AC752" s="10">
        <f t="shared" si="366"/>
        <v>0.2754837322910354</v>
      </c>
      <c r="AD752" s="3">
        <f t="shared" si="367"/>
        <v>39.954130861644003</v>
      </c>
      <c r="AI752" s="100">
        <f t="shared" si="368"/>
        <v>4.6067067017643348E-2</v>
      </c>
    </row>
    <row r="753" spans="2:35">
      <c r="B753" s="39">
        <f t="shared" si="369"/>
        <v>725</v>
      </c>
      <c r="C753" s="45">
        <f t="shared" si="370"/>
        <v>21.297961630694093</v>
      </c>
      <c r="D753" s="10">
        <f t="shared" si="371"/>
        <v>-5.8479616306938631</v>
      </c>
      <c r="E753" s="40">
        <f t="shared" si="372"/>
        <v>60.03592326138773</v>
      </c>
      <c r="F753" s="40">
        <f t="shared" si="373"/>
        <v>48.34</v>
      </c>
      <c r="G753" s="3">
        <f t="shared" si="374"/>
        <v>43.008153477224539</v>
      </c>
      <c r="H753" s="3">
        <f t="shared" si="375"/>
        <v>148.0155219248214</v>
      </c>
      <c r="I753">
        <f t="shared" si="360"/>
        <v>1.4801552192482141E-4</v>
      </c>
      <c r="J753" s="4">
        <f t="shared" si="376"/>
        <v>2835.378854493676</v>
      </c>
      <c r="K753" s="40">
        <f t="shared" si="377"/>
        <v>19.155956197173658</v>
      </c>
      <c r="L753" s="40">
        <f t="shared" si="361"/>
        <v>0</v>
      </c>
      <c r="M753" s="10">
        <f t="shared" si="378"/>
        <v>0.37648373229103538</v>
      </c>
      <c r="N753" s="10">
        <f t="shared" si="357"/>
        <v>8.26</v>
      </c>
      <c r="O753" s="10">
        <f t="shared" si="358"/>
        <v>0.31900000000000001</v>
      </c>
      <c r="P753" s="10">
        <f t="shared" si="379"/>
        <v>6.0484360049517409</v>
      </c>
      <c r="Q753" s="45">
        <f t="shared" si="380"/>
        <v>2.6087378722921231</v>
      </c>
      <c r="R753" s="4">
        <f t="shared" si="381"/>
        <v>-42816.187996796798</v>
      </c>
      <c r="S753">
        <f t="shared" si="362"/>
        <v>-4.2816187996796798E-5</v>
      </c>
      <c r="T753" s="44">
        <f t="shared" si="363"/>
        <v>2.7868397363211222E-4</v>
      </c>
      <c r="U753" s="45">
        <f t="shared" si="382"/>
        <v>-7.6835790169651697E-2</v>
      </c>
      <c r="V753" s="45">
        <f t="shared" si="383"/>
        <v>4.5020444063892835E-2</v>
      </c>
      <c r="W753" s="45">
        <f t="shared" si="384"/>
        <v>4.5551502180747452E-2</v>
      </c>
      <c r="X753" s="45">
        <f t="shared" si="385"/>
        <v>-5.3105811685461718E-4</v>
      </c>
      <c r="Y753" s="45">
        <f t="shared" si="359"/>
        <v>2.3478316091625695E-4</v>
      </c>
      <c r="Z753" s="10">
        <f t="shared" si="386"/>
        <v>0.84247098193809933</v>
      </c>
      <c r="AA753">
        <f t="shared" si="364"/>
        <v>373371.06895344373</v>
      </c>
      <c r="AB753" s="10">
        <f t="shared" si="365"/>
        <v>0.37337106895344374</v>
      </c>
      <c r="AC753" s="10">
        <f t="shared" si="366"/>
        <v>0.27237106895344376</v>
      </c>
      <c r="AD753" s="3">
        <f t="shared" si="367"/>
        <v>39.502693104197796</v>
      </c>
      <c r="AI753" s="100">
        <f t="shared" si="368"/>
        <v>4.5551502180747452E-2</v>
      </c>
    </row>
    <row r="754" spans="2:35">
      <c r="B754" s="39">
        <f t="shared" si="369"/>
        <v>726</v>
      </c>
      <c r="C754" s="45">
        <f t="shared" si="370"/>
        <v>21.32733812949505</v>
      </c>
      <c r="D754" s="10">
        <f t="shared" si="371"/>
        <v>-5.8773381294948202</v>
      </c>
      <c r="E754" s="40">
        <f t="shared" si="372"/>
        <v>60.094676258989644</v>
      </c>
      <c r="F754" s="40">
        <f t="shared" si="373"/>
        <v>48.34</v>
      </c>
      <c r="G754" s="3">
        <f t="shared" si="374"/>
        <v>42.890647482020711</v>
      </c>
      <c r="H754" s="3">
        <f t="shared" si="375"/>
        <v>148.0155219248214</v>
      </c>
      <c r="I754">
        <f t="shared" si="360"/>
        <v>1.4801552192482141E-4</v>
      </c>
      <c r="J754" s="4">
        <f t="shared" si="376"/>
        <v>2840.9222205120523</v>
      </c>
      <c r="K754" s="40">
        <f t="shared" si="377"/>
        <v>19.193407445166365</v>
      </c>
      <c r="L754" s="40">
        <f t="shared" si="361"/>
        <v>0</v>
      </c>
      <c r="M754" s="10">
        <f t="shared" si="378"/>
        <v>0.37337106895344374</v>
      </c>
      <c r="N754" s="10">
        <f t="shared" si="357"/>
        <v>8.26</v>
      </c>
      <c r="O754" s="10">
        <f t="shared" si="358"/>
        <v>0.31900000000000001</v>
      </c>
      <c r="P754" s="10">
        <f t="shared" si="379"/>
        <v>6.0324387200882725</v>
      </c>
      <c r="Q754" s="45">
        <f t="shared" si="380"/>
        <v>2.6136076273222293</v>
      </c>
      <c r="R754" s="4">
        <f t="shared" si="381"/>
        <v>-42936.965043501012</v>
      </c>
      <c r="S754">
        <f t="shared" si="362"/>
        <v>-4.2936965043501013E-5</v>
      </c>
      <c r="T754" s="44">
        <f t="shared" si="363"/>
        <v>2.7880475067881643E-4</v>
      </c>
      <c r="U754" s="45">
        <f t="shared" si="382"/>
        <v>-7.7052530618814744E-2</v>
      </c>
      <c r="V754" s="45">
        <f t="shared" si="383"/>
        <v>4.4507464507576915E-2</v>
      </c>
      <c r="W754" s="45">
        <f t="shared" si="384"/>
        <v>4.5036820280545634E-2</v>
      </c>
      <c r="X754" s="45">
        <f t="shared" si="385"/>
        <v>-5.29355772968719E-4</v>
      </c>
      <c r="Y754" s="45">
        <f t="shared" si="359"/>
        <v>2.3220532797812676E-4</v>
      </c>
      <c r="Z754" s="10">
        <f t="shared" si="386"/>
        <v>0.8328600119358357</v>
      </c>
      <c r="AA754">
        <f t="shared" si="364"/>
        <v>370263.84006447491</v>
      </c>
      <c r="AB754" s="10">
        <f t="shared" si="365"/>
        <v>0.37026384006447488</v>
      </c>
      <c r="AC754" s="10">
        <f t="shared" si="366"/>
        <v>0.2692638400644749</v>
      </c>
      <c r="AD754" s="3">
        <f t="shared" si="367"/>
        <v>39.052043519140668</v>
      </c>
      <c r="AI754" s="100">
        <f t="shared" si="368"/>
        <v>4.5036820280545634E-2</v>
      </c>
    </row>
    <row r="755" spans="2:35">
      <c r="B755" s="39">
        <f t="shared" si="369"/>
        <v>727</v>
      </c>
      <c r="C755" s="45">
        <f t="shared" si="370"/>
        <v>21.356714628296007</v>
      </c>
      <c r="D755" s="10">
        <f t="shared" si="371"/>
        <v>-5.9067146282957772</v>
      </c>
      <c r="E755" s="40">
        <f t="shared" si="372"/>
        <v>60.153429256591558</v>
      </c>
      <c r="F755" s="40">
        <f t="shared" si="373"/>
        <v>48.34</v>
      </c>
      <c r="G755" s="3">
        <f t="shared" si="374"/>
        <v>42.773141486816883</v>
      </c>
      <c r="H755" s="3">
        <f t="shared" si="375"/>
        <v>148.0155219248214</v>
      </c>
      <c r="I755">
        <f t="shared" si="360"/>
        <v>1.4801552192482141E-4</v>
      </c>
      <c r="J755" s="4">
        <f t="shared" si="376"/>
        <v>2846.4710087854019</v>
      </c>
      <c r="K755" s="40">
        <f t="shared" si="377"/>
        <v>19.230895326175006</v>
      </c>
      <c r="L755" s="40">
        <f t="shared" si="361"/>
        <v>0</v>
      </c>
      <c r="M755" s="10">
        <f t="shared" si="378"/>
        <v>0.37026384006447488</v>
      </c>
      <c r="N755" s="10">
        <f t="shared" si="357"/>
        <v>8.26</v>
      </c>
      <c r="O755" s="10">
        <f t="shared" si="358"/>
        <v>0.31900000000000001</v>
      </c>
      <c r="P755" s="10">
        <f t="shared" si="379"/>
        <v>6.0163785238543044</v>
      </c>
      <c r="Q755" s="45">
        <f t="shared" si="380"/>
        <v>2.6184903817374447</v>
      </c>
      <c r="R755" s="4">
        <f t="shared" si="381"/>
        <v>-43056.671259602859</v>
      </c>
      <c r="S755">
        <f t="shared" si="362"/>
        <v>-4.3056671259602857E-5</v>
      </c>
      <c r="T755" s="44">
        <f t="shared" si="363"/>
        <v>2.7892445689491828E-4</v>
      </c>
      <c r="U755" s="45">
        <f t="shared" si="382"/>
        <v>-7.7267349408920299E-2</v>
      </c>
      <c r="V755" s="45">
        <f t="shared" si="383"/>
        <v>4.3995411572645436E-2</v>
      </c>
      <c r="W755" s="45">
        <f t="shared" si="384"/>
        <v>4.4523036971691604E-2</v>
      </c>
      <c r="X755" s="45">
        <f t="shared" si="385"/>
        <v>-5.2762539904616795E-4</v>
      </c>
      <c r="Y755" s="45">
        <f t="shared" si="359"/>
        <v>2.2962906273135426E-4</v>
      </c>
      <c r="Z755" s="10">
        <f t="shared" si="386"/>
        <v>0.82326614628083505</v>
      </c>
      <c r="AA755">
        <f t="shared" si="364"/>
        <v>367162.14101504668</v>
      </c>
      <c r="AB755" s="10">
        <f t="shared" si="365"/>
        <v>0.36716214101504668</v>
      </c>
      <c r="AC755" s="10">
        <f t="shared" si="366"/>
        <v>0.26616214101504665</v>
      </c>
      <c r="AD755" s="3">
        <f t="shared" si="367"/>
        <v>38.602195941268548</v>
      </c>
      <c r="AI755" s="100">
        <f t="shared" si="368"/>
        <v>4.4523036971691604E-2</v>
      </c>
    </row>
    <row r="756" spans="2:35">
      <c r="B756" s="39">
        <f t="shared" si="369"/>
        <v>728</v>
      </c>
      <c r="C756" s="45">
        <f t="shared" si="370"/>
        <v>21.386091127096964</v>
      </c>
      <c r="D756" s="10">
        <f t="shared" si="371"/>
        <v>-5.9360911270967343</v>
      </c>
      <c r="E756" s="40">
        <f t="shared" si="372"/>
        <v>60.212182254193472</v>
      </c>
      <c r="F756" s="40">
        <f t="shared" si="373"/>
        <v>48.34</v>
      </c>
      <c r="G756" s="3">
        <f t="shared" si="374"/>
        <v>42.655635491613054</v>
      </c>
      <c r="H756" s="3">
        <f t="shared" si="375"/>
        <v>148.0155219248214</v>
      </c>
      <c r="I756">
        <f t="shared" si="360"/>
        <v>1.4801552192482141E-4</v>
      </c>
      <c r="J756" s="4">
        <f t="shared" si="376"/>
        <v>2852.0252193137258</v>
      </c>
      <c r="K756" s="40">
        <f t="shared" si="377"/>
        <v>19.268419840199588</v>
      </c>
      <c r="L756" s="40">
        <f t="shared" si="361"/>
        <v>0</v>
      </c>
      <c r="M756" s="10">
        <f t="shared" si="378"/>
        <v>0.36716214101504668</v>
      </c>
      <c r="N756" s="10">
        <f t="shared" si="357"/>
        <v>8.26</v>
      </c>
      <c r="O756" s="10">
        <f t="shared" si="358"/>
        <v>0.31900000000000001</v>
      </c>
      <c r="P756" s="10">
        <f t="shared" si="379"/>
        <v>6.0002551090812908</v>
      </c>
      <c r="Q756" s="45">
        <f t="shared" si="380"/>
        <v>2.6233862567072435</v>
      </c>
      <c r="R756" s="4">
        <f t="shared" si="381"/>
        <v>-43175.304733659948</v>
      </c>
      <c r="S756">
        <f t="shared" si="362"/>
        <v>-4.317530473365995E-5</v>
      </c>
      <c r="T756" s="44">
        <f t="shared" si="363"/>
        <v>2.7904309036897536E-4</v>
      </c>
      <c r="U756" s="45">
        <f t="shared" si="382"/>
        <v>-7.7480243109789459E-2</v>
      </c>
      <c r="V756" s="45">
        <f t="shared" si="383"/>
        <v>4.3484301004915793E-2</v>
      </c>
      <c r="W756" s="45">
        <f t="shared" si="384"/>
        <v>4.4010168027166084E-2</v>
      </c>
      <c r="X756" s="45">
        <f t="shared" si="385"/>
        <v>-5.2586702225029119E-4</v>
      </c>
      <c r="Y756" s="45">
        <f t="shared" si="359"/>
        <v>2.2705448353967648E-4</v>
      </c>
      <c r="Z756" s="10">
        <f t="shared" si="386"/>
        <v>0.81368968226177918</v>
      </c>
      <c r="AA756">
        <f t="shared" si="364"/>
        <v>364066.06791866064</v>
      </c>
      <c r="AB756" s="10">
        <f t="shared" si="365"/>
        <v>0.36406606791866064</v>
      </c>
      <c r="AC756" s="10">
        <f t="shared" si="366"/>
        <v>0.26306606791866061</v>
      </c>
      <c r="AD756" s="3">
        <f t="shared" si="367"/>
        <v>38.153164310175576</v>
      </c>
      <c r="AI756" s="100">
        <f t="shared" si="368"/>
        <v>4.4010168027166084E-2</v>
      </c>
    </row>
    <row r="757" spans="2:35">
      <c r="B757" s="39">
        <f t="shared" si="369"/>
        <v>729</v>
      </c>
      <c r="C757" s="45">
        <f t="shared" si="370"/>
        <v>21.415467625897922</v>
      </c>
      <c r="D757" s="10">
        <f t="shared" si="371"/>
        <v>-5.9654676258976913</v>
      </c>
      <c r="E757" s="40">
        <f t="shared" si="372"/>
        <v>60.270935251795386</v>
      </c>
      <c r="F757" s="40">
        <f t="shared" si="373"/>
        <v>48.34</v>
      </c>
      <c r="G757" s="3">
        <f t="shared" si="374"/>
        <v>42.538129496409226</v>
      </c>
      <c r="H757" s="3">
        <f t="shared" si="375"/>
        <v>148.0155219248214</v>
      </c>
      <c r="I757">
        <f t="shared" si="360"/>
        <v>1.4801552192482141E-4</v>
      </c>
      <c r="J757" s="4">
        <f t="shared" si="376"/>
        <v>2857.584852097023</v>
      </c>
      <c r="K757" s="40">
        <f t="shared" si="377"/>
        <v>19.305980987240105</v>
      </c>
      <c r="L757" s="40">
        <f t="shared" si="361"/>
        <v>0</v>
      </c>
      <c r="M757" s="10">
        <f t="shared" si="378"/>
        <v>0.36406606791866064</v>
      </c>
      <c r="N757" s="10">
        <f t="shared" si="357"/>
        <v>8.26</v>
      </c>
      <c r="O757" s="10">
        <f t="shared" si="358"/>
        <v>0.31900000000000001</v>
      </c>
      <c r="P757" s="10">
        <f t="shared" si="379"/>
        <v>5.9840681675373686</v>
      </c>
      <c r="Q757" s="45">
        <f t="shared" si="380"/>
        <v>2.6282953750492304</v>
      </c>
      <c r="R757" s="4">
        <f t="shared" si="381"/>
        <v>-43292.863554229873</v>
      </c>
      <c r="S757">
        <f t="shared" si="362"/>
        <v>-4.3292863554229872E-5</v>
      </c>
      <c r="T757" s="44">
        <f t="shared" si="363"/>
        <v>2.7916064918954531E-4</v>
      </c>
      <c r="U757" s="45">
        <f t="shared" si="382"/>
        <v>-7.7691208291243208E-2</v>
      </c>
      <c r="V757" s="45">
        <f t="shared" si="383"/>
        <v>4.2974148667265934E-2</v>
      </c>
      <c r="W757" s="45">
        <f t="shared" si="384"/>
        <v>4.3498229339429741E-2</v>
      </c>
      <c r="X757" s="45">
        <f t="shared" si="385"/>
        <v>-5.2408067216380694E-4</v>
      </c>
      <c r="Y757" s="45">
        <f t="shared" si="359"/>
        <v>2.2448170949927629E-4</v>
      </c>
      <c r="Z757" s="10">
        <f t="shared" si="386"/>
        <v>0.80413091942216053</v>
      </c>
      <c r="AA757">
        <f t="shared" si="364"/>
        <v>360975.7176177993</v>
      </c>
      <c r="AB757" s="10">
        <f t="shared" si="365"/>
        <v>0.36097571761779929</v>
      </c>
      <c r="AC757" s="10">
        <f t="shared" si="366"/>
        <v>0.25997571761779925</v>
      </c>
      <c r="AD757" s="3">
        <f t="shared" si="367"/>
        <v>37.704962671181903</v>
      </c>
      <c r="AI757" s="100">
        <f t="shared" si="368"/>
        <v>4.3498229339429741E-2</v>
      </c>
    </row>
    <row r="758" spans="2:35">
      <c r="B758" s="39">
        <f t="shared" si="369"/>
        <v>730</v>
      </c>
      <c r="C758" s="45">
        <f t="shared" si="370"/>
        <v>21.444844124698879</v>
      </c>
      <c r="D758" s="10">
        <f t="shared" si="371"/>
        <v>-5.9948441246986484</v>
      </c>
      <c r="E758" s="40">
        <f t="shared" si="372"/>
        <v>60.3296882493973</v>
      </c>
      <c r="F758" s="40">
        <f t="shared" si="373"/>
        <v>48.34</v>
      </c>
      <c r="G758" s="3">
        <f t="shared" si="374"/>
        <v>42.420623501205398</v>
      </c>
      <c r="H758" s="3">
        <f t="shared" si="375"/>
        <v>148.0155219248214</v>
      </c>
      <c r="I758">
        <f t="shared" si="360"/>
        <v>1.4801552192482141E-4</v>
      </c>
      <c r="J758" s="4">
        <f t="shared" si="376"/>
        <v>2863.1499071352946</v>
      </c>
      <c r="K758" s="40">
        <f t="shared" si="377"/>
        <v>19.343578767296567</v>
      </c>
      <c r="L758" s="40">
        <f t="shared" si="361"/>
        <v>0</v>
      </c>
      <c r="M758" s="10">
        <f t="shared" si="378"/>
        <v>0.36097571761779929</v>
      </c>
      <c r="N758" s="10">
        <f t="shared" si="357"/>
        <v>8.26</v>
      </c>
      <c r="O758" s="10">
        <f t="shared" si="358"/>
        <v>0.31900000000000001</v>
      </c>
      <c r="P758" s="10">
        <f t="shared" si="379"/>
        <v>5.9678173899761777</v>
      </c>
      <c r="Q758" s="45">
        <f t="shared" si="380"/>
        <v>2.6332178612583927</v>
      </c>
      <c r="R758" s="4">
        <f t="shared" si="381"/>
        <v>-43409.345809870239</v>
      </c>
      <c r="S758">
        <f t="shared" si="362"/>
        <v>-4.3409345809870238E-5</v>
      </c>
      <c r="T758" s="44">
        <f t="shared" si="363"/>
        <v>2.7927713144518566E-4</v>
      </c>
      <c r="U758" s="45">
        <f t="shared" si="382"/>
        <v>-7.790024152310264E-2</v>
      </c>
      <c r="V758" s="45">
        <f t="shared" si="383"/>
        <v>4.2464970540771155E-2</v>
      </c>
      <c r="W758" s="45">
        <f t="shared" si="384"/>
        <v>4.2987236921480938E-2</v>
      </c>
      <c r="X758" s="45">
        <f t="shared" si="385"/>
        <v>-5.2226638070978354E-4</v>
      </c>
      <c r="Y758" s="45">
        <f t="shared" si="359"/>
        <v>2.2191086044272325E-4</v>
      </c>
      <c r="Z758" s="10">
        <f t="shared" si="386"/>
        <v>0.79459015958232226</v>
      </c>
      <c r="AA758">
        <f t="shared" si="364"/>
        <v>357891.18769105128</v>
      </c>
      <c r="AB758" s="10">
        <f t="shared" si="365"/>
        <v>0.35789118769105127</v>
      </c>
      <c r="AC758" s="10">
        <f t="shared" si="366"/>
        <v>0.25689118769105124</v>
      </c>
      <c r="AD758" s="3">
        <f t="shared" si="367"/>
        <v>37.257605176367115</v>
      </c>
      <c r="AI758" s="100">
        <f t="shared" si="368"/>
        <v>4.2987236921480938E-2</v>
      </c>
    </row>
    <row r="759" spans="2:35">
      <c r="B759" s="39">
        <f t="shared" si="369"/>
        <v>731</v>
      </c>
      <c r="C759" s="45">
        <f t="shared" si="370"/>
        <v>21.474220623499836</v>
      </c>
      <c r="D759" s="10">
        <f t="shared" si="371"/>
        <v>-6.0242206234996054</v>
      </c>
      <c r="E759" s="40">
        <f t="shared" si="372"/>
        <v>60.388441246999214</v>
      </c>
      <c r="F759" s="40">
        <f t="shared" si="373"/>
        <v>48.34</v>
      </c>
      <c r="G759" s="3">
        <f t="shared" si="374"/>
        <v>42.30311750600157</v>
      </c>
      <c r="H759" s="3">
        <f t="shared" si="375"/>
        <v>148.0155219248214</v>
      </c>
      <c r="I759">
        <f t="shared" si="360"/>
        <v>1.4801552192482141E-4</v>
      </c>
      <c r="J759" s="4">
        <f t="shared" si="376"/>
        <v>2868.72038442854</v>
      </c>
      <c r="K759" s="40">
        <f t="shared" si="377"/>
        <v>19.381213180368963</v>
      </c>
      <c r="L759" s="40">
        <f t="shared" si="361"/>
        <v>0</v>
      </c>
      <c r="M759" s="10">
        <f t="shared" si="378"/>
        <v>0.35789118769105127</v>
      </c>
      <c r="N759" s="10">
        <f t="shared" si="357"/>
        <v>8.26</v>
      </c>
      <c r="O759" s="10">
        <f t="shared" si="358"/>
        <v>0.31900000000000001</v>
      </c>
      <c r="P759" s="10">
        <f t="shared" si="379"/>
        <v>5.9515024661922631</v>
      </c>
      <c r="Q759" s="45">
        <f t="shared" si="380"/>
        <v>2.6381538415369579</v>
      </c>
      <c r="R759" s="4">
        <f t="shared" si="381"/>
        <v>-43524.749589138642</v>
      </c>
      <c r="S759">
        <f t="shared" si="362"/>
        <v>-4.3524749589138643E-5</v>
      </c>
      <c r="T759" s="44">
        <f t="shared" si="363"/>
        <v>2.7939253522445406E-4</v>
      </c>
      <c r="U759" s="45">
        <f t="shared" si="382"/>
        <v>-7.8107339375188753E-2</v>
      </c>
      <c r="V759" s="45">
        <f t="shared" si="383"/>
        <v>4.1956782725703308E-2</v>
      </c>
      <c r="W759" s="45">
        <f t="shared" si="384"/>
        <v>4.2477206908033888E-2</v>
      </c>
      <c r="X759" s="45">
        <f t="shared" si="385"/>
        <v>-5.2042418233057969E-4</v>
      </c>
      <c r="Y759" s="45">
        <f t="shared" si="359"/>
        <v>2.1934205694225113E-4</v>
      </c>
      <c r="Z759" s="10">
        <f t="shared" si="386"/>
        <v>0.78506770685923832</v>
      </c>
      <c r="AA759">
        <f t="shared" si="364"/>
        <v>354812.57645950676</v>
      </c>
      <c r="AB759" s="10">
        <f t="shared" si="365"/>
        <v>0.35481257645950676</v>
      </c>
      <c r="AC759" s="10">
        <f t="shared" si="366"/>
        <v>0.25381257645950672</v>
      </c>
      <c r="AD759" s="3">
        <f t="shared" si="367"/>
        <v>36.811106085497713</v>
      </c>
      <c r="AI759" s="100">
        <f t="shared" si="368"/>
        <v>4.2477206908033888E-2</v>
      </c>
    </row>
    <row r="760" spans="2:35">
      <c r="B760" s="39">
        <f t="shared" si="369"/>
        <v>732</v>
      </c>
      <c r="C760" s="45">
        <f t="shared" si="370"/>
        <v>21.503597122300793</v>
      </c>
      <c r="D760" s="10">
        <f t="shared" si="371"/>
        <v>-6.0535971223005625</v>
      </c>
      <c r="E760" s="40">
        <f t="shared" si="372"/>
        <v>60.447194244601128</v>
      </c>
      <c r="F760" s="40">
        <f t="shared" si="373"/>
        <v>48.34</v>
      </c>
      <c r="G760" s="3">
        <f t="shared" si="374"/>
        <v>42.185611510797742</v>
      </c>
      <c r="H760" s="3">
        <f t="shared" si="375"/>
        <v>148.0155219248214</v>
      </c>
      <c r="I760">
        <f t="shared" si="360"/>
        <v>1.4801552192482141E-4</v>
      </c>
      <c r="J760" s="4">
        <f t="shared" si="376"/>
        <v>2874.2962839767597</v>
      </c>
      <c r="K760" s="40">
        <f t="shared" si="377"/>
        <v>19.418884226457305</v>
      </c>
      <c r="L760" s="40">
        <f t="shared" si="361"/>
        <v>0</v>
      </c>
      <c r="M760" s="10">
        <f t="shared" si="378"/>
        <v>0.35481257645950676</v>
      </c>
      <c r="N760" s="10">
        <f t="shared" si="357"/>
        <v>8.26</v>
      </c>
      <c r="O760" s="10">
        <f t="shared" si="358"/>
        <v>0.31900000000000001</v>
      </c>
      <c r="P760" s="10">
        <f t="shared" si="379"/>
        <v>5.9351230850755732</v>
      </c>
      <c r="Q760" s="45">
        <f t="shared" si="380"/>
        <v>2.6431034438248746</v>
      </c>
      <c r="R760" s="4">
        <f t="shared" si="381"/>
        <v>-43639.072980592682</v>
      </c>
      <c r="S760">
        <f t="shared" si="362"/>
        <v>-4.3639072980592679E-5</v>
      </c>
      <c r="T760" s="44">
        <f t="shared" si="363"/>
        <v>2.7950685861590809E-4</v>
      </c>
      <c r="U760" s="45">
        <f t="shared" si="382"/>
        <v>-7.8312498417322601E-2</v>
      </c>
      <c r="V760" s="45">
        <f t="shared" si="383"/>
        <v>4.1449601442664304E-2</v>
      </c>
      <c r="W760" s="45">
        <f t="shared" si="384"/>
        <v>4.1968155556576132E-2</v>
      </c>
      <c r="X760" s="45">
        <f t="shared" si="385"/>
        <v>-5.1855411391182882E-4</v>
      </c>
      <c r="Y760" s="45">
        <f t="shared" si="359"/>
        <v>2.1677542031362451E-4</v>
      </c>
      <c r="Z760" s="10">
        <f t="shared" si="386"/>
        <v>0.77556386768852892</v>
      </c>
      <c r="AA760">
        <f t="shared" si="364"/>
        <v>351739.98299387458</v>
      </c>
      <c r="AB760" s="10">
        <f t="shared" si="365"/>
        <v>0.3517399829938746</v>
      </c>
      <c r="AC760" s="10">
        <f t="shared" si="366"/>
        <v>0.25073998299387457</v>
      </c>
      <c r="AD760" s="3">
        <f t="shared" si="367"/>
        <v>36.365479767059398</v>
      </c>
      <c r="AI760" s="100">
        <f t="shared" si="368"/>
        <v>4.1968155556576132E-2</v>
      </c>
    </row>
    <row r="761" spans="2:35">
      <c r="B761" s="39">
        <f t="shared" si="369"/>
        <v>733</v>
      </c>
      <c r="C761" s="45">
        <f t="shared" si="370"/>
        <v>21.53297362110175</v>
      </c>
      <c r="D761" s="10">
        <f t="shared" si="371"/>
        <v>-6.0829736211015195</v>
      </c>
      <c r="E761" s="40">
        <f t="shared" si="372"/>
        <v>60.505947242203042</v>
      </c>
      <c r="F761" s="40">
        <f t="shared" si="373"/>
        <v>48.34</v>
      </c>
      <c r="G761" s="3">
        <f t="shared" si="374"/>
        <v>42.068105515593913</v>
      </c>
      <c r="H761" s="3">
        <f t="shared" si="375"/>
        <v>148.0155219248214</v>
      </c>
      <c r="I761">
        <f t="shared" si="360"/>
        <v>1.4801552192482141E-4</v>
      </c>
      <c r="J761" s="4">
        <f t="shared" si="376"/>
        <v>2879.8776057799523</v>
      </c>
      <c r="K761" s="40">
        <f t="shared" si="377"/>
        <v>19.456591905561577</v>
      </c>
      <c r="L761" s="40">
        <f t="shared" si="361"/>
        <v>0</v>
      </c>
      <c r="M761" s="10">
        <f t="shared" si="378"/>
        <v>0.3517399829938746</v>
      </c>
      <c r="N761" s="10">
        <f t="shared" si="357"/>
        <v>8.26</v>
      </c>
      <c r="O761" s="10">
        <f t="shared" si="358"/>
        <v>0.31900000000000001</v>
      </c>
      <c r="P761" s="10">
        <f t="shared" si="379"/>
        <v>5.9186789346728563</v>
      </c>
      <c r="Q761" s="45">
        <f t="shared" si="380"/>
        <v>2.6480667978309289</v>
      </c>
      <c r="R761" s="4">
        <f t="shared" si="381"/>
        <v>-43752.314072789944</v>
      </c>
      <c r="S761">
        <f t="shared" si="362"/>
        <v>-4.3752314072789942E-5</v>
      </c>
      <c r="T761" s="44">
        <f t="shared" si="363"/>
        <v>2.7962009970810533E-4</v>
      </c>
      <c r="U761" s="45">
        <f t="shared" si="382"/>
        <v>-7.8515715219325183E-2</v>
      </c>
      <c r="V761" s="45">
        <f t="shared" si="383"/>
        <v>4.0943443033621553E-2</v>
      </c>
      <c r="W761" s="45">
        <f t="shared" si="384"/>
        <v>4.1460099248545462E-2</v>
      </c>
      <c r="X761" s="45">
        <f t="shared" si="385"/>
        <v>-5.1665621492390928E-4</v>
      </c>
      <c r="Y761" s="45">
        <f t="shared" si="359"/>
        <v>2.1421107261952908E-4</v>
      </c>
      <c r="Z761" s="10">
        <f t="shared" si="386"/>
        <v>0.76607895084489075</v>
      </c>
      <c r="AA761">
        <f t="shared" si="364"/>
        <v>348673.50712108769</v>
      </c>
      <c r="AB761" s="10">
        <f t="shared" si="365"/>
        <v>0.34867350712108769</v>
      </c>
      <c r="AC761" s="10">
        <f t="shared" si="366"/>
        <v>0.24767350712108768</v>
      </c>
      <c r="AD761" s="3">
        <f t="shared" si="367"/>
        <v>35.920740699215038</v>
      </c>
      <c r="AI761" s="100">
        <f t="shared" si="368"/>
        <v>4.1460099248545462E-2</v>
      </c>
    </row>
    <row r="762" spans="2:35">
      <c r="B762" s="39">
        <f t="shared" si="369"/>
        <v>734</v>
      </c>
      <c r="C762" s="45">
        <f t="shared" si="370"/>
        <v>21.562350119902707</v>
      </c>
      <c r="D762" s="10">
        <f t="shared" si="371"/>
        <v>-6.1123501199024766</v>
      </c>
      <c r="E762" s="40">
        <f t="shared" si="372"/>
        <v>60.564700239804957</v>
      </c>
      <c r="F762" s="40">
        <f t="shared" si="373"/>
        <v>48.34</v>
      </c>
      <c r="G762" s="3">
        <f t="shared" si="374"/>
        <v>41.950599520390085</v>
      </c>
      <c r="H762" s="3">
        <f t="shared" si="375"/>
        <v>148.0155219248214</v>
      </c>
      <c r="I762">
        <f t="shared" si="360"/>
        <v>1.4801552192482141E-4</v>
      </c>
      <c r="J762" s="4">
        <f t="shared" si="376"/>
        <v>2885.4643498381197</v>
      </c>
      <c r="K762" s="40">
        <f t="shared" si="377"/>
        <v>19.494336217681795</v>
      </c>
      <c r="L762" s="40">
        <f t="shared" si="361"/>
        <v>0</v>
      </c>
      <c r="M762" s="10">
        <f t="shared" si="378"/>
        <v>0.34867350712108769</v>
      </c>
      <c r="N762" s="10">
        <f t="shared" si="357"/>
        <v>8.26</v>
      </c>
      <c r="O762" s="10">
        <f t="shared" si="358"/>
        <v>0.31900000000000001</v>
      </c>
      <c r="P762" s="10">
        <f t="shared" si="379"/>
        <v>5.9021697022495694</v>
      </c>
      <c r="Q762" s="45">
        <f t="shared" si="380"/>
        <v>2.6530440350645113</v>
      </c>
      <c r="R762" s="4">
        <f t="shared" si="381"/>
        <v>-43864.470954288052</v>
      </c>
      <c r="S762">
        <f t="shared" si="362"/>
        <v>-4.3864470954288052E-5</v>
      </c>
      <c r="T762" s="44">
        <f t="shared" si="363"/>
        <v>2.7973225658960344E-4</v>
      </c>
      <c r="U762" s="45">
        <f t="shared" si="382"/>
        <v>-7.871698635101762E-2</v>
      </c>
      <c r="V762" s="45">
        <f t="shared" si="383"/>
        <v>4.0438323963025893E-2</v>
      </c>
      <c r="W762" s="45">
        <f t="shared" si="384"/>
        <v>4.095305449042199E-2</v>
      </c>
      <c r="X762" s="45">
        <f t="shared" si="385"/>
        <v>-5.1473052739609698E-4</v>
      </c>
      <c r="Y762" s="45">
        <f t="shared" si="359"/>
        <v>2.1164913667331175E-4</v>
      </c>
      <c r="Z762" s="10">
        <f t="shared" si="386"/>
        <v>0.75661326746390645</v>
      </c>
      <c r="AA762">
        <f t="shared" si="364"/>
        <v>345613.24943135399</v>
      </c>
      <c r="AB762" s="10">
        <f t="shared" si="365"/>
        <v>0.34561324943135402</v>
      </c>
      <c r="AC762" s="10">
        <f t="shared" si="366"/>
        <v>0.24461324943135401</v>
      </c>
      <c r="AD762" s="3">
        <f t="shared" si="367"/>
        <v>35.476903470827267</v>
      </c>
      <c r="AI762" s="100">
        <f t="shared" si="368"/>
        <v>4.095305449042199E-2</v>
      </c>
    </row>
    <row r="763" spans="2:35">
      <c r="B763" s="39">
        <f t="shared" si="369"/>
        <v>735</v>
      </c>
      <c r="C763" s="45">
        <f t="shared" si="370"/>
        <v>21.591726618703664</v>
      </c>
      <c r="D763" s="10">
        <f t="shared" si="371"/>
        <v>-6.1417266187034336</v>
      </c>
      <c r="E763" s="40">
        <f t="shared" si="372"/>
        <v>60.623453237406871</v>
      </c>
      <c r="F763" s="40">
        <f t="shared" si="373"/>
        <v>48.34</v>
      </c>
      <c r="G763" s="3">
        <f t="shared" si="374"/>
        <v>41.833093525186257</v>
      </c>
      <c r="H763" s="3">
        <f t="shared" si="375"/>
        <v>148.0155219248214</v>
      </c>
      <c r="I763">
        <f t="shared" si="360"/>
        <v>1.4801552192482141E-4</v>
      </c>
      <c r="J763" s="4">
        <f t="shared" si="376"/>
        <v>2891.0565161512613</v>
      </c>
      <c r="K763" s="40">
        <f t="shared" si="377"/>
        <v>19.532117162817954</v>
      </c>
      <c r="L763" s="40">
        <f t="shared" si="361"/>
        <v>0</v>
      </c>
      <c r="M763" s="10">
        <f t="shared" si="378"/>
        <v>0.34561324943135402</v>
      </c>
      <c r="N763" s="10">
        <f t="shared" si="357"/>
        <v>8.26</v>
      </c>
      <c r="O763" s="10">
        <f t="shared" si="358"/>
        <v>0.31900000000000001</v>
      </c>
      <c r="P763" s="10">
        <f t="shared" si="379"/>
        <v>5.8855950743575702</v>
      </c>
      <c r="Q763" s="45">
        <f t="shared" si="380"/>
        <v>2.6580352888680467</v>
      </c>
      <c r="R763" s="4">
        <f t="shared" si="381"/>
        <v>-43975.541713644605</v>
      </c>
      <c r="S763">
        <f t="shared" si="362"/>
        <v>-4.3975541713644602E-5</v>
      </c>
      <c r="T763" s="44">
        <f t="shared" si="363"/>
        <v>2.7984332734896E-4</v>
      </c>
      <c r="U763" s="45">
        <f t="shared" si="382"/>
        <v>-7.8916308382220912E-2</v>
      </c>
      <c r="V763" s="45">
        <f t="shared" si="383"/>
        <v>3.9934260818815619E-2</v>
      </c>
      <c r="W763" s="45">
        <f t="shared" si="384"/>
        <v>4.0447037914894089E-2</v>
      </c>
      <c r="X763" s="45">
        <f t="shared" si="385"/>
        <v>-5.1277709607847055E-4</v>
      </c>
      <c r="Y763" s="45">
        <f t="shared" si="359"/>
        <v>2.090897360421442E-4</v>
      </c>
      <c r="Z763" s="10">
        <f t="shared" si="386"/>
        <v>0.74716713106192012</v>
      </c>
      <c r="AA763">
        <f t="shared" si="364"/>
        <v>342559.31128458225</v>
      </c>
      <c r="AB763" s="10">
        <f t="shared" si="365"/>
        <v>0.34255931128458222</v>
      </c>
      <c r="AC763" s="10">
        <f t="shared" si="366"/>
        <v>0.24155931128458222</v>
      </c>
      <c r="AD763" s="3">
        <f t="shared" si="367"/>
        <v>35.03398278239046</v>
      </c>
      <c r="AI763" s="100">
        <f t="shared" si="368"/>
        <v>4.0447037914894089E-2</v>
      </c>
    </row>
    <row r="764" spans="2:35">
      <c r="B764" s="39">
        <f t="shared" si="369"/>
        <v>736</v>
      </c>
      <c r="C764" s="45">
        <f t="shared" si="370"/>
        <v>21.621103117504621</v>
      </c>
      <c r="D764" s="10">
        <f t="shared" si="371"/>
        <v>-6.1711031175043907</v>
      </c>
      <c r="E764" s="40">
        <f t="shared" si="372"/>
        <v>60.682206235008785</v>
      </c>
      <c r="F764" s="40">
        <f t="shared" si="373"/>
        <v>48.34</v>
      </c>
      <c r="G764" s="3">
        <f t="shared" si="374"/>
        <v>41.715587529982429</v>
      </c>
      <c r="H764" s="3">
        <f t="shared" si="375"/>
        <v>148.0155219248214</v>
      </c>
      <c r="I764">
        <f t="shared" si="360"/>
        <v>1.4801552192482141E-4</v>
      </c>
      <c r="J764" s="4">
        <f t="shared" si="376"/>
        <v>2896.6541047193759</v>
      </c>
      <c r="K764" s="40">
        <f t="shared" si="377"/>
        <v>19.569934740970048</v>
      </c>
      <c r="L764" s="40">
        <f t="shared" si="361"/>
        <v>0</v>
      </c>
      <c r="M764" s="10">
        <f t="shared" si="378"/>
        <v>0.34255931128458222</v>
      </c>
      <c r="N764" s="10">
        <f t="shared" si="357"/>
        <v>8.26</v>
      </c>
      <c r="O764" s="10">
        <f t="shared" si="358"/>
        <v>0.31900000000000001</v>
      </c>
      <c r="P764" s="10">
        <f t="shared" si="379"/>
        <v>5.8689547369030066</v>
      </c>
      <c r="Q764" s="45">
        <f t="shared" si="380"/>
        <v>2.6630406944501077</v>
      </c>
      <c r="R764" s="4">
        <f t="shared" si="381"/>
        <v>-44085.524439417175</v>
      </c>
      <c r="S764">
        <f t="shared" si="362"/>
        <v>-4.4085524439417175E-5</v>
      </c>
      <c r="T764" s="44">
        <f t="shared" si="363"/>
        <v>2.7995331007473259E-4</v>
      </c>
      <c r="U764" s="45">
        <f t="shared" si="382"/>
        <v>-7.9113677882756098E-2</v>
      </c>
      <c r="V764" s="45">
        <f t="shared" si="383"/>
        <v>3.9431270313547449E-2</v>
      </c>
      <c r="W764" s="45">
        <f t="shared" si="384"/>
        <v>3.9942066281920943E-2</v>
      </c>
      <c r="X764" s="45">
        <f t="shared" si="385"/>
        <v>-5.1079596837349389E-4</v>
      </c>
      <c r="Y764" s="45">
        <f t="shared" si="359"/>
        <v>2.0653299505075327E-4</v>
      </c>
      <c r="Z764" s="10">
        <f t="shared" si="386"/>
        <v>0.73774085755806917</v>
      </c>
      <c r="AA764">
        <f t="shared" si="364"/>
        <v>339511.79481750465</v>
      </c>
      <c r="AB764" s="10">
        <f t="shared" si="365"/>
        <v>0.33951179481750465</v>
      </c>
      <c r="AC764" s="10">
        <f t="shared" si="366"/>
        <v>0.23851179481750465</v>
      </c>
      <c r="AD764" s="3">
        <f t="shared" si="367"/>
        <v>34.591993447063764</v>
      </c>
      <c r="AI764" s="100">
        <f t="shared" si="368"/>
        <v>3.9942066281920943E-2</v>
      </c>
    </row>
    <row r="765" spans="2:35">
      <c r="B765" s="39">
        <f t="shared" si="369"/>
        <v>737</v>
      </c>
      <c r="C765" s="45">
        <f t="shared" si="370"/>
        <v>21.650479616305578</v>
      </c>
      <c r="D765" s="10">
        <f t="shared" si="371"/>
        <v>-6.2004796163053477</v>
      </c>
      <c r="E765" s="40">
        <f t="shared" si="372"/>
        <v>60.740959232610699</v>
      </c>
      <c r="F765" s="40">
        <f t="shared" si="373"/>
        <v>48.34</v>
      </c>
      <c r="G765" s="3">
        <f t="shared" si="374"/>
        <v>41.598081534778601</v>
      </c>
      <c r="H765" s="3">
        <f t="shared" si="375"/>
        <v>148.0155219248214</v>
      </c>
      <c r="I765">
        <f t="shared" si="360"/>
        <v>1.4801552192482141E-4</v>
      </c>
      <c r="J765" s="4">
        <f t="shared" si="376"/>
        <v>2902.2571155424648</v>
      </c>
      <c r="K765" s="40">
        <f t="shared" si="377"/>
        <v>19.60778895213808</v>
      </c>
      <c r="L765" s="40">
        <f t="shared" si="361"/>
        <v>0</v>
      </c>
      <c r="M765" s="10">
        <f t="shared" si="378"/>
        <v>0.33951179481750465</v>
      </c>
      <c r="N765" s="10">
        <f t="shared" si="357"/>
        <v>8.26</v>
      </c>
      <c r="O765" s="10">
        <f t="shared" si="358"/>
        <v>0.31900000000000001</v>
      </c>
      <c r="P765" s="10">
        <f t="shared" si="379"/>
        <v>5.8522483752216967</v>
      </c>
      <c r="Q765" s="45">
        <f t="shared" si="380"/>
        <v>2.6680603889192178</v>
      </c>
      <c r="R765" s="4">
        <f t="shared" si="381"/>
        <v>-44194.417220163377</v>
      </c>
      <c r="S765">
        <f t="shared" si="362"/>
        <v>-4.4194417220163377E-5</v>
      </c>
      <c r="T765" s="44">
        <f t="shared" si="363"/>
        <v>2.8006220285547881E-4</v>
      </c>
      <c r="U765" s="45">
        <f t="shared" si="382"/>
        <v>-7.9309091422444175E-2</v>
      </c>
      <c r="V765" s="45">
        <f t="shared" si="383"/>
        <v>3.8929369285441891E-2</v>
      </c>
      <c r="W765" s="45">
        <f t="shared" si="384"/>
        <v>3.9438156479910232E-2</v>
      </c>
      <c r="X765" s="45">
        <f t="shared" si="385"/>
        <v>-5.0878719446834086E-4</v>
      </c>
      <c r="Y765" s="45">
        <f t="shared" si="359"/>
        <v>2.0397903878472648E-4</v>
      </c>
      <c r="Z765" s="10">
        <f t="shared" si="386"/>
        <v>0.72833476529493091</v>
      </c>
      <c r="AA765">
        <f t="shared" si="364"/>
        <v>336470.8029503522</v>
      </c>
      <c r="AB765" s="10">
        <f t="shared" si="365"/>
        <v>0.3364708029503522</v>
      </c>
      <c r="AC765" s="10">
        <f t="shared" si="366"/>
        <v>0.23547080295035219</v>
      </c>
      <c r="AD765" s="3">
        <f t="shared" si="367"/>
        <v>34.150950391639185</v>
      </c>
      <c r="AI765" s="100">
        <f t="shared" si="368"/>
        <v>3.9438156479910232E-2</v>
      </c>
    </row>
    <row r="766" spans="2:35">
      <c r="B766" s="39">
        <f t="shared" si="369"/>
        <v>738</v>
      </c>
      <c r="C766" s="45">
        <f t="shared" si="370"/>
        <v>21.679856115106535</v>
      </c>
      <c r="D766" s="10">
        <f t="shared" si="371"/>
        <v>-6.2298561151063048</v>
      </c>
      <c r="E766" s="40">
        <f t="shared" si="372"/>
        <v>60.799712230212613</v>
      </c>
      <c r="F766" s="40">
        <f t="shared" si="373"/>
        <v>48.34</v>
      </c>
      <c r="G766" s="3">
        <f t="shared" si="374"/>
        <v>41.480575539574772</v>
      </c>
      <c r="H766" s="3">
        <f t="shared" si="375"/>
        <v>148.0155219248214</v>
      </c>
      <c r="I766">
        <f t="shared" si="360"/>
        <v>1.4801552192482141E-4</v>
      </c>
      <c r="J766" s="4">
        <f t="shared" si="376"/>
        <v>2907.8655486205275</v>
      </c>
      <c r="K766" s="40">
        <f t="shared" si="377"/>
        <v>19.645679796322053</v>
      </c>
      <c r="L766" s="40">
        <f t="shared" si="361"/>
        <v>0</v>
      </c>
      <c r="M766" s="10">
        <f t="shared" si="378"/>
        <v>0.3364708029503522</v>
      </c>
      <c r="N766" s="10">
        <f t="shared" si="357"/>
        <v>8.26</v>
      </c>
      <c r="O766" s="10">
        <f t="shared" si="358"/>
        <v>0.31900000000000001</v>
      </c>
      <c r="P766" s="10">
        <f t="shared" si="379"/>
        <v>5.8354756741560116</v>
      </c>
      <c r="Q766" s="45">
        <f t="shared" si="380"/>
        <v>2.6730945113183666</v>
      </c>
      <c r="R766" s="4">
        <f t="shared" si="381"/>
        <v>-44302.218144440805</v>
      </c>
      <c r="S766">
        <f t="shared" si="362"/>
        <v>-4.4302218144440808E-5</v>
      </c>
      <c r="T766" s="44">
        <f t="shared" si="363"/>
        <v>2.8017000377975623E-4</v>
      </c>
      <c r="U766" s="45">
        <f t="shared" si="382"/>
        <v>-7.950254557110624E-2</v>
      </c>
      <c r="V766" s="45">
        <f t="shared" si="383"/>
        <v>3.8428574699489799E-2</v>
      </c>
      <c r="W766" s="45">
        <f t="shared" si="384"/>
        <v>3.8935325526821905E-2</v>
      </c>
      <c r="X766" s="45">
        <f t="shared" si="385"/>
        <v>-5.0675082733210586E-4</v>
      </c>
      <c r="Y766" s="45">
        <f t="shared" si="359"/>
        <v>2.0142799309406673E-4</v>
      </c>
      <c r="Z766" s="10">
        <f t="shared" si="386"/>
        <v>0.7189491750601924</v>
      </c>
      <c r="AA766">
        <f t="shared" si="364"/>
        <v>333436.43939386052</v>
      </c>
      <c r="AB766" s="10">
        <f t="shared" si="365"/>
        <v>0.33343643939386053</v>
      </c>
      <c r="AC766" s="10">
        <f t="shared" si="366"/>
        <v>0.23243643939386052</v>
      </c>
      <c r="AD766" s="3">
        <f t="shared" si="367"/>
        <v>33.710868657557725</v>
      </c>
      <c r="AI766" s="100">
        <f t="shared" si="368"/>
        <v>3.8935325526821905E-2</v>
      </c>
    </row>
    <row r="767" spans="2:35">
      <c r="B767" s="39">
        <f t="shared" si="369"/>
        <v>739</v>
      </c>
      <c r="C767" s="45">
        <f t="shared" si="370"/>
        <v>21.709232613907492</v>
      </c>
      <c r="D767" s="10">
        <f t="shared" si="371"/>
        <v>-6.2592326139072618</v>
      </c>
      <c r="E767" s="40">
        <f t="shared" si="372"/>
        <v>60.858465227814527</v>
      </c>
      <c r="F767" s="40">
        <f t="shared" si="373"/>
        <v>48.34</v>
      </c>
      <c r="G767" s="3">
        <f t="shared" si="374"/>
        <v>41.363069544370944</v>
      </c>
      <c r="H767" s="3">
        <f t="shared" si="375"/>
        <v>148.0155219248214</v>
      </c>
      <c r="I767">
        <f t="shared" si="360"/>
        <v>1.4801552192482141E-4</v>
      </c>
      <c r="J767" s="4">
        <f t="shared" si="376"/>
        <v>2913.4794039535641</v>
      </c>
      <c r="K767" s="40">
        <f t="shared" si="377"/>
        <v>19.683607273521964</v>
      </c>
      <c r="L767" s="40">
        <f t="shared" si="361"/>
        <v>0</v>
      </c>
      <c r="M767" s="10">
        <f t="shared" si="378"/>
        <v>0.33343643939386053</v>
      </c>
      <c r="N767" s="10">
        <f t="shared" si="357"/>
        <v>8.26</v>
      </c>
      <c r="O767" s="10">
        <f t="shared" si="358"/>
        <v>0.31900000000000001</v>
      </c>
      <c r="P767" s="10">
        <f t="shared" si="379"/>
        <v>5.8186363181377043</v>
      </c>
      <c r="Q767" s="45">
        <f t="shared" si="380"/>
        <v>2.6781432026602512</v>
      </c>
      <c r="R767" s="4">
        <f t="shared" si="381"/>
        <v>-44408.925300807059</v>
      </c>
      <c r="S767">
        <f t="shared" si="362"/>
        <v>-4.4408925300807057E-5</v>
      </c>
      <c r="T767" s="44">
        <f t="shared" si="363"/>
        <v>2.8027671093612246E-4</v>
      </c>
      <c r="U767" s="45">
        <f t="shared" si="382"/>
        <v>-7.9694036898563289E-2</v>
      </c>
      <c r="V767" s="45">
        <f t="shared" si="383"/>
        <v>3.7928903648439295E-2</v>
      </c>
      <c r="W767" s="45">
        <f t="shared" si="384"/>
        <v>3.8433590571326642E-2</v>
      </c>
      <c r="X767" s="45">
        <f t="shared" si="385"/>
        <v>-5.0468692288734712E-4</v>
      </c>
      <c r="Y767" s="45">
        <f t="shared" si="359"/>
        <v>1.9887998459612301E-4</v>
      </c>
      <c r="Z767" s="10">
        <f t="shared" si="386"/>
        <v>0.70958441010623075</v>
      </c>
      <c r="AA767">
        <f t="shared" si="364"/>
        <v>330408.80865560001</v>
      </c>
      <c r="AB767" s="10">
        <f t="shared" si="365"/>
        <v>0.33040880865560002</v>
      </c>
      <c r="AC767" s="10">
        <f t="shared" si="366"/>
        <v>0.22940880865560001</v>
      </c>
      <c r="AD767" s="3">
        <f t="shared" si="367"/>
        <v>33.271763401827414</v>
      </c>
      <c r="AI767" s="100">
        <f t="shared" si="368"/>
        <v>3.8433590571326642E-2</v>
      </c>
    </row>
    <row r="768" spans="2:35">
      <c r="B768" s="39">
        <f t="shared" si="369"/>
        <v>740</v>
      </c>
      <c r="C768" s="45">
        <f t="shared" si="370"/>
        <v>21.738609112708449</v>
      </c>
      <c r="D768" s="10">
        <f t="shared" si="371"/>
        <v>-6.2886091127082189</v>
      </c>
      <c r="E768" s="40">
        <f t="shared" si="372"/>
        <v>60.917218225416441</v>
      </c>
      <c r="F768" s="40">
        <f t="shared" si="373"/>
        <v>48.34</v>
      </c>
      <c r="G768" s="3">
        <f t="shared" si="374"/>
        <v>41.245563549167116</v>
      </c>
      <c r="H768" s="3">
        <f t="shared" si="375"/>
        <v>148.0155219248214</v>
      </c>
      <c r="I768">
        <f t="shared" si="360"/>
        <v>1.4801552192482141E-4</v>
      </c>
      <c r="J768" s="4">
        <f t="shared" si="376"/>
        <v>2919.0986815415749</v>
      </c>
      <c r="K768" s="40">
        <f t="shared" si="377"/>
        <v>19.721571383737814</v>
      </c>
      <c r="L768" s="40">
        <f t="shared" si="361"/>
        <v>0</v>
      </c>
      <c r="M768" s="10">
        <f t="shared" si="378"/>
        <v>0.33040880865560002</v>
      </c>
      <c r="N768" s="10">
        <f t="shared" si="357"/>
        <v>8.26</v>
      </c>
      <c r="O768" s="10">
        <f t="shared" si="358"/>
        <v>0.31900000000000001</v>
      </c>
      <c r="P768" s="10">
        <f t="shared" si="379"/>
        <v>5.8017299912713014</v>
      </c>
      <c r="Q768" s="45">
        <f t="shared" si="380"/>
        <v>2.683206605963258</v>
      </c>
      <c r="R768" s="4">
        <f t="shared" si="381"/>
        <v>-44514.536777819761</v>
      </c>
      <c r="S768">
        <f t="shared" si="362"/>
        <v>-4.4514536777819765E-5</v>
      </c>
      <c r="T768" s="44">
        <f t="shared" si="363"/>
        <v>2.8038232241313517E-4</v>
      </c>
      <c r="U768" s="45">
        <f t="shared" si="382"/>
        <v>-7.9883561974636461E-2</v>
      </c>
      <c r="V768" s="45">
        <f t="shared" si="383"/>
        <v>3.7430373353950601E-2</v>
      </c>
      <c r="W768" s="45">
        <f t="shared" si="384"/>
        <v>3.793296889385251E-2</v>
      </c>
      <c r="X768" s="45">
        <f t="shared" si="385"/>
        <v>-5.0259553990190942E-4</v>
      </c>
      <c r="Y768" s="45">
        <f t="shared" si="359"/>
        <v>1.9633514067930719E-4</v>
      </c>
      <c r="Z768" s="10">
        <f t="shared" si="386"/>
        <v>0.70024079617263846</v>
      </c>
      <c r="AA768">
        <f t="shared" si="364"/>
        <v>327388.01604725851</v>
      </c>
      <c r="AB768" s="10">
        <f t="shared" si="365"/>
        <v>0.32738801604725853</v>
      </c>
      <c r="AC768" s="10">
        <f t="shared" si="366"/>
        <v>0.22638801604725853</v>
      </c>
      <c r="AD768" s="3">
        <f t="shared" si="367"/>
        <v>32.833649898079557</v>
      </c>
      <c r="AI768" s="100">
        <f t="shared" si="368"/>
        <v>3.793296889385251E-2</v>
      </c>
    </row>
    <row r="769" spans="2:35">
      <c r="B769" s="39">
        <f t="shared" si="369"/>
        <v>741</v>
      </c>
      <c r="C769" s="45">
        <f t="shared" si="370"/>
        <v>21.767985611509406</v>
      </c>
      <c r="D769" s="10">
        <f t="shared" si="371"/>
        <v>-6.3179856115091759</v>
      </c>
      <c r="E769" s="40">
        <f t="shared" si="372"/>
        <v>60.975971223018355</v>
      </c>
      <c r="F769" s="40">
        <f t="shared" si="373"/>
        <v>48.34</v>
      </c>
      <c r="G769" s="3">
        <f t="shared" si="374"/>
        <v>41.128057553963288</v>
      </c>
      <c r="H769" s="3">
        <f t="shared" si="375"/>
        <v>148.0155219248214</v>
      </c>
      <c r="I769">
        <f t="shared" si="360"/>
        <v>1.4801552192482141E-4</v>
      </c>
      <c r="J769" s="4">
        <f t="shared" si="376"/>
        <v>2924.7233813845596</v>
      </c>
      <c r="K769" s="40">
        <f t="shared" si="377"/>
        <v>19.759572126969605</v>
      </c>
      <c r="L769" s="40">
        <f t="shared" si="361"/>
        <v>0</v>
      </c>
      <c r="M769" s="10">
        <f t="shared" si="378"/>
        <v>0.32738801604725853</v>
      </c>
      <c r="N769" s="10">
        <f t="shared" si="357"/>
        <v>8.26</v>
      </c>
      <c r="O769" s="10">
        <f t="shared" si="358"/>
        <v>0.31900000000000001</v>
      </c>
      <c r="P769" s="10">
        <f t="shared" si="379"/>
        <v>5.7847563774273052</v>
      </c>
      <c r="Q769" s="45">
        <f t="shared" si="380"/>
        <v>2.6882848662882024</v>
      </c>
      <c r="R769" s="4">
        <f t="shared" si="381"/>
        <v>-44619.050664036477</v>
      </c>
      <c r="S769">
        <f t="shared" si="362"/>
        <v>-4.4619050664036477E-5</v>
      </c>
      <c r="T769" s="44">
        <f t="shared" si="363"/>
        <v>2.8048683629935191E-4</v>
      </c>
      <c r="U769" s="45">
        <f t="shared" si="382"/>
        <v>-8.0071117369146655E-2</v>
      </c>
      <c r="V769" s="45">
        <f t="shared" si="383"/>
        <v>3.6933001167530254E-2</v>
      </c>
      <c r="W769" s="45">
        <f t="shared" si="384"/>
        <v>3.7433477907789191E-2</v>
      </c>
      <c r="X769" s="45">
        <f t="shared" si="385"/>
        <v>-5.0047674025893718E-4</v>
      </c>
      <c r="Y769" s="45">
        <f t="shared" si="359"/>
        <v>1.9379358950569273E-4</v>
      </c>
      <c r="Z769" s="10">
        <f t="shared" si="386"/>
        <v>0.69091866150490178</v>
      </c>
      <c r="AA769">
        <f t="shared" si="364"/>
        <v>324374.16769067978</v>
      </c>
      <c r="AB769" s="10">
        <f t="shared" si="365"/>
        <v>0.32437416769067978</v>
      </c>
      <c r="AC769" s="10">
        <f t="shared" si="366"/>
        <v>0.22337416769067978</v>
      </c>
      <c r="AD769" s="3">
        <f t="shared" si="367"/>
        <v>32.396543537444494</v>
      </c>
      <c r="AI769" s="100">
        <f t="shared" si="368"/>
        <v>3.7433477907789191E-2</v>
      </c>
    </row>
    <row r="770" spans="2:35">
      <c r="B770" s="39">
        <f t="shared" si="369"/>
        <v>742</v>
      </c>
      <c r="C770" s="45">
        <f t="shared" si="370"/>
        <v>21.797362110310363</v>
      </c>
      <c r="D770" s="10">
        <f t="shared" si="371"/>
        <v>-6.347362110310133</v>
      </c>
      <c r="E770" s="40">
        <f t="shared" si="372"/>
        <v>61.034724220620269</v>
      </c>
      <c r="F770" s="40">
        <f t="shared" si="373"/>
        <v>48.34</v>
      </c>
      <c r="G770" s="3">
        <f t="shared" si="374"/>
        <v>41.01055155875946</v>
      </c>
      <c r="H770" s="3">
        <f t="shared" si="375"/>
        <v>148.0155219248214</v>
      </c>
      <c r="I770">
        <f t="shared" si="360"/>
        <v>1.4801552192482141E-4</v>
      </c>
      <c r="J770" s="4">
        <f t="shared" si="376"/>
        <v>2930.3535034825177</v>
      </c>
      <c r="K770" s="40">
        <f t="shared" si="377"/>
        <v>19.797609503217334</v>
      </c>
      <c r="L770" s="40">
        <f t="shared" si="361"/>
        <v>0</v>
      </c>
      <c r="M770" s="10">
        <f t="shared" si="378"/>
        <v>0.32437416769067978</v>
      </c>
      <c r="N770" s="10">
        <f t="shared" si="357"/>
        <v>8.26</v>
      </c>
      <c r="O770" s="10">
        <f t="shared" si="358"/>
        <v>0.31900000000000001</v>
      </c>
      <c r="P770" s="10">
        <f t="shared" si="379"/>
        <v>5.7677151603331929</v>
      </c>
      <c r="Q770" s="45">
        <f t="shared" si="380"/>
        <v>2.693378130775844</v>
      </c>
      <c r="R770" s="4">
        <f t="shared" si="381"/>
        <v>-44722.465048014819</v>
      </c>
      <c r="S770">
        <f t="shared" si="362"/>
        <v>-4.4722465048014817E-5</v>
      </c>
      <c r="T770" s="44">
        <f t="shared" si="363"/>
        <v>2.8059025068333021E-4</v>
      </c>
      <c r="U770" s="45">
        <f t="shared" si="382"/>
        <v>-8.0256699651914981E-2</v>
      </c>
      <c r="V770" s="45">
        <f t="shared" si="383"/>
        <v>3.64368045717295E-2</v>
      </c>
      <c r="W770" s="45">
        <f t="shared" si="384"/>
        <v>3.6935135160486417E-2</v>
      </c>
      <c r="X770" s="45">
        <f t="shared" si="385"/>
        <v>-4.9833058875691644E-4</v>
      </c>
      <c r="Y770" s="45">
        <f t="shared" si="359"/>
        <v>1.9125546001487161E-4</v>
      </c>
      <c r="Z770" s="10">
        <f t="shared" si="386"/>
        <v>0.68161833687771123</v>
      </c>
      <c r="AA770">
        <f t="shared" si="364"/>
        <v>321367.37052540004</v>
      </c>
      <c r="AB770" s="10">
        <f t="shared" si="365"/>
        <v>0.32136737052540004</v>
      </c>
      <c r="AC770" s="10">
        <f t="shared" si="366"/>
        <v>0.22036737052540004</v>
      </c>
      <c r="AD770" s="3">
        <f t="shared" si="367"/>
        <v>31.960459829644677</v>
      </c>
      <c r="AI770" s="100">
        <f t="shared" si="368"/>
        <v>3.6935135160486417E-2</v>
      </c>
    </row>
    <row r="771" spans="2:35">
      <c r="B771" s="39">
        <f t="shared" si="369"/>
        <v>743</v>
      </c>
      <c r="C771" s="45">
        <f t="shared" si="370"/>
        <v>21.82673860911132</v>
      </c>
      <c r="D771" s="10">
        <f t="shared" si="371"/>
        <v>-6.37673860911109</v>
      </c>
      <c r="E771" s="40">
        <f t="shared" si="372"/>
        <v>61.093477218222183</v>
      </c>
      <c r="F771" s="40">
        <f t="shared" si="373"/>
        <v>48.34</v>
      </c>
      <c r="G771" s="3">
        <f t="shared" si="374"/>
        <v>40.893045563555631</v>
      </c>
      <c r="H771" s="3">
        <f t="shared" si="375"/>
        <v>148.0155219248214</v>
      </c>
      <c r="I771">
        <f t="shared" si="360"/>
        <v>1.4801552192482141E-4</v>
      </c>
      <c r="J771" s="4">
        <f t="shared" si="376"/>
        <v>2935.98904783545</v>
      </c>
      <c r="K771" s="40">
        <f t="shared" si="377"/>
        <v>19.835683512481001</v>
      </c>
      <c r="L771" s="40">
        <f t="shared" si="361"/>
        <v>0</v>
      </c>
      <c r="M771" s="10">
        <f t="shared" si="378"/>
        <v>0.32136737052540004</v>
      </c>
      <c r="N771" s="10">
        <f t="shared" si="357"/>
        <v>8.26</v>
      </c>
      <c r="O771" s="10">
        <f t="shared" si="358"/>
        <v>0.31900000000000001</v>
      </c>
      <c r="P771" s="10">
        <f t="shared" si="379"/>
        <v>5.7506060236778058</v>
      </c>
      <c r="Q771" s="45">
        <f t="shared" si="380"/>
        <v>2.6984865486851914</v>
      </c>
      <c r="R771" s="4">
        <f t="shared" si="381"/>
        <v>-44824.778018312398</v>
      </c>
      <c r="S771">
        <f t="shared" si="362"/>
        <v>-4.4824778018312396E-5</v>
      </c>
      <c r="T771" s="44">
        <f t="shared" si="363"/>
        <v>2.8069256365362782E-4</v>
      </c>
      <c r="U771" s="45">
        <f t="shared" si="382"/>
        <v>-8.0440305392762507E-2</v>
      </c>
      <c r="V771" s="45">
        <f t="shared" si="383"/>
        <v>3.5941801181058608E-2</v>
      </c>
      <c r="W771" s="45">
        <f t="shared" si="384"/>
        <v>3.6437958334500149E-2</v>
      </c>
      <c r="X771" s="45">
        <f t="shared" si="385"/>
        <v>-4.9615715344154127E-4</v>
      </c>
      <c r="Y771" s="45">
        <f t="shared" si="359"/>
        <v>1.8872088192637998E-4</v>
      </c>
      <c r="Z771" s="10">
        <f t="shared" si="386"/>
        <v>0.67234015561331328</v>
      </c>
      <c r="AA771">
        <f t="shared" si="364"/>
        <v>318367.73231458088</v>
      </c>
      <c r="AB771" s="10">
        <f t="shared" si="365"/>
        <v>0.31836773231458088</v>
      </c>
      <c r="AC771" s="10">
        <f t="shared" si="366"/>
        <v>0.21736773231458087</v>
      </c>
      <c r="AD771" s="3">
        <f t="shared" si="367"/>
        <v>31.525414403855095</v>
      </c>
      <c r="AI771" s="100">
        <f t="shared" si="368"/>
        <v>3.6437958334500149E-2</v>
      </c>
    </row>
    <row r="772" spans="2:35">
      <c r="B772" s="39">
        <f t="shared" si="369"/>
        <v>744</v>
      </c>
      <c r="C772" s="45">
        <f t="shared" si="370"/>
        <v>21.856115107912277</v>
      </c>
      <c r="D772" s="10">
        <f t="shared" si="371"/>
        <v>-6.4061151079120471</v>
      </c>
      <c r="E772" s="40">
        <f t="shared" si="372"/>
        <v>61.152230215824098</v>
      </c>
      <c r="F772" s="40">
        <f t="shared" si="373"/>
        <v>48.34</v>
      </c>
      <c r="G772" s="3">
        <f t="shared" si="374"/>
        <v>40.775539568351803</v>
      </c>
      <c r="H772" s="3">
        <f t="shared" si="375"/>
        <v>148.0155219248214</v>
      </c>
      <c r="I772">
        <f t="shared" si="360"/>
        <v>1.4801552192482141E-4</v>
      </c>
      <c r="J772" s="4">
        <f t="shared" si="376"/>
        <v>2941.6300144433562</v>
      </c>
      <c r="K772" s="40">
        <f t="shared" si="377"/>
        <v>19.87379415476061</v>
      </c>
      <c r="L772" s="40">
        <f t="shared" si="361"/>
        <v>0</v>
      </c>
      <c r="M772" s="10">
        <f t="shared" si="378"/>
        <v>0.31836773231458088</v>
      </c>
      <c r="N772" s="10">
        <f t="shared" si="357"/>
        <v>8.26</v>
      </c>
      <c r="O772" s="10">
        <f t="shared" si="358"/>
        <v>0.31900000000000001</v>
      </c>
      <c r="P772" s="10">
        <f t="shared" si="379"/>
        <v>5.7334286512119164</v>
      </c>
      <c r="Q772" s="45">
        <f t="shared" si="380"/>
        <v>2.7036102714326171</v>
      </c>
      <c r="R772" s="4">
        <f t="shared" si="381"/>
        <v>-44925.987663486791</v>
      </c>
      <c r="S772">
        <f t="shared" si="362"/>
        <v>-4.492598766348679E-5</v>
      </c>
      <c r="T772" s="44">
        <f t="shared" si="363"/>
        <v>2.8079377329880221E-4</v>
      </c>
      <c r="U772" s="45">
        <f t="shared" si="382"/>
        <v>-8.0621931161510216E-2</v>
      </c>
      <c r="V772" s="45">
        <f t="shared" si="383"/>
        <v>3.5448008743049923E-2</v>
      </c>
      <c r="W772" s="45">
        <f t="shared" si="384"/>
        <v>3.594196524857364E-2</v>
      </c>
      <c r="X772" s="45">
        <f t="shared" si="385"/>
        <v>-4.9395650552371689E-4</v>
      </c>
      <c r="Y772" s="45">
        <f t="shared" si="359"/>
        <v>1.8618998574278922E-4</v>
      </c>
      <c r="Z772" s="10">
        <f t="shared" si="386"/>
        <v>0.66308445360238855</v>
      </c>
      <c r="AA772">
        <f t="shared" si="364"/>
        <v>315375.36165175919</v>
      </c>
      <c r="AB772" s="10">
        <f t="shared" si="365"/>
        <v>0.31537536165175917</v>
      </c>
      <c r="AC772" s="10">
        <f t="shared" si="366"/>
        <v>0.21437536165175916</v>
      </c>
      <c r="AD772" s="3">
        <f t="shared" si="367"/>
        <v>31.091423009682256</v>
      </c>
      <c r="AI772" s="100">
        <f t="shared" si="368"/>
        <v>3.594196524857364E-2</v>
      </c>
    </row>
    <row r="773" spans="2:35">
      <c r="B773" s="39">
        <f t="shared" si="369"/>
        <v>745</v>
      </c>
      <c r="C773" s="45">
        <f t="shared" si="370"/>
        <v>21.885491606713234</v>
      </c>
      <c r="D773" s="10">
        <f t="shared" si="371"/>
        <v>-6.4354916067130041</v>
      </c>
      <c r="E773" s="40">
        <f t="shared" si="372"/>
        <v>61.210983213426012</v>
      </c>
      <c r="F773" s="40">
        <f t="shared" si="373"/>
        <v>48.34</v>
      </c>
      <c r="G773" s="3">
        <f t="shared" si="374"/>
        <v>40.658033573147975</v>
      </c>
      <c r="H773" s="3">
        <f t="shared" si="375"/>
        <v>148.0155219248214</v>
      </c>
      <c r="I773">
        <f t="shared" si="360"/>
        <v>1.4801552192482141E-4</v>
      </c>
      <c r="J773" s="4">
        <f t="shared" si="376"/>
        <v>2947.2764033062367</v>
      </c>
      <c r="K773" s="40">
        <f t="shared" si="377"/>
        <v>19.911941430056157</v>
      </c>
      <c r="L773" s="40">
        <f t="shared" si="361"/>
        <v>0</v>
      </c>
      <c r="M773" s="10">
        <f t="shared" si="378"/>
        <v>0.31537536165175917</v>
      </c>
      <c r="N773" s="10">
        <f t="shared" si="357"/>
        <v>8.26</v>
      </c>
      <c r="O773" s="10">
        <f t="shared" si="358"/>
        <v>0.31900000000000001</v>
      </c>
      <c r="P773" s="10">
        <f t="shared" si="379"/>
        <v>5.7161827268588352</v>
      </c>
      <c r="Q773" s="45">
        <f t="shared" si="380"/>
        <v>2.7087494526317983</v>
      </c>
      <c r="R773" s="4">
        <f t="shared" si="381"/>
        <v>-45026.092072095613</v>
      </c>
      <c r="S773">
        <f t="shared" si="362"/>
        <v>-4.5026092072095613E-5</v>
      </c>
      <c r="T773" s="44">
        <f t="shared" si="363"/>
        <v>2.8089387770741103E-4</v>
      </c>
      <c r="U773" s="45">
        <f t="shared" si="382"/>
        <v>-8.0801573527979176E-2</v>
      </c>
      <c r="V773" s="45">
        <f t="shared" si="383"/>
        <v>3.4955445139311467E-2</v>
      </c>
      <c r="W773" s="45">
        <f t="shared" si="384"/>
        <v>3.5447173858753477E-2</v>
      </c>
      <c r="X773" s="45">
        <f t="shared" si="385"/>
        <v>-4.9172871944200974E-4</v>
      </c>
      <c r="Y773" s="45">
        <f t="shared" si="359"/>
        <v>1.8366290275273538E-4</v>
      </c>
      <c r="Z773" s="10">
        <f t="shared" si="386"/>
        <v>0.65385156932485777</v>
      </c>
      <c r="AA773">
        <f t="shared" si="364"/>
        <v>312390.36796757404</v>
      </c>
      <c r="AB773" s="10">
        <f t="shared" si="365"/>
        <v>0.31239036796757402</v>
      </c>
      <c r="AC773" s="10">
        <f t="shared" si="366"/>
        <v>0.21139036796757402</v>
      </c>
      <c r="AD773" s="3">
        <f t="shared" si="367"/>
        <v>30.658501518139815</v>
      </c>
      <c r="AI773" s="100">
        <f t="shared" si="368"/>
        <v>3.5447173858753477E-2</v>
      </c>
    </row>
    <row r="774" spans="2:35">
      <c r="B774" s="39">
        <f t="shared" si="369"/>
        <v>746</v>
      </c>
      <c r="C774" s="45">
        <f t="shared" si="370"/>
        <v>21.914868105514191</v>
      </c>
      <c r="D774" s="10">
        <f t="shared" si="371"/>
        <v>-6.4648681055139612</v>
      </c>
      <c r="E774" s="40">
        <f t="shared" si="372"/>
        <v>61.269736211027926</v>
      </c>
      <c r="F774" s="40">
        <f t="shared" si="373"/>
        <v>48.34</v>
      </c>
      <c r="G774" s="3">
        <f t="shared" si="374"/>
        <v>40.540527577944147</v>
      </c>
      <c r="H774" s="3">
        <f t="shared" si="375"/>
        <v>148.0155219248214</v>
      </c>
      <c r="I774">
        <f t="shared" si="360"/>
        <v>1.4801552192482141E-4</v>
      </c>
      <c r="J774" s="4">
        <f t="shared" si="376"/>
        <v>2952.9282144240906</v>
      </c>
      <c r="K774" s="40">
        <f t="shared" si="377"/>
        <v>19.950125338367641</v>
      </c>
      <c r="L774" s="40">
        <f t="shared" si="361"/>
        <v>0</v>
      </c>
      <c r="M774" s="10">
        <f t="shared" si="378"/>
        <v>0.31239036796757402</v>
      </c>
      <c r="N774" s="10">
        <f t="shared" si="357"/>
        <v>8.26</v>
      </c>
      <c r="O774" s="10">
        <f t="shared" si="358"/>
        <v>0.31900000000000001</v>
      </c>
      <c r="P774" s="10">
        <f t="shared" si="379"/>
        <v>5.6988679348306475</v>
      </c>
      <c r="Q774" s="45">
        <f t="shared" si="380"/>
        <v>2.7139042481345004</v>
      </c>
      <c r="R774" s="4">
        <f t="shared" si="381"/>
        <v>-45125.089332696451</v>
      </c>
      <c r="S774">
        <f t="shared" si="362"/>
        <v>-4.5125089332696452E-5</v>
      </c>
      <c r="T774" s="44">
        <f t="shared" si="363"/>
        <v>2.8099287496801187E-4</v>
      </c>
      <c r="U774" s="45">
        <f t="shared" si="382"/>
        <v>-8.0979229061990413E-2</v>
      </c>
      <c r="V774" s="45">
        <f t="shared" si="383"/>
        <v>3.4464128386492432E-2</v>
      </c>
      <c r="W774" s="45">
        <f t="shared" si="384"/>
        <v>3.4953602259501913E-2</v>
      </c>
      <c r="X774" s="45">
        <f t="shared" si="385"/>
        <v>-4.8947387300948136E-4</v>
      </c>
      <c r="Y774" s="45">
        <f t="shared" si="359"/>
        <v>1.8113976503345597E-4</v>
      </c>
      <c r="Z774" s="10">
        <f t="shared" si="386"/>
        <v>0.64464184386909051</v>
      </c>
      <c r="AA774">
        <f t="shared" si="364"/>
        <v>309412.86153597641</v>
      </c>
      <c r="AB774" s="10">
        <f t="shared" si="365"/>
        <v>0.30941286153597641</v>
      </c>
      <c r="AC774" s="10">
        <f t="shared" si="366"/>
        <v>0.20841286153597641</v>
      </c>
      <c r="AD774" s="3">
        <f t="shared" si="367"/>
        <v>30.226665922549152</v>
      </c>
      <c r="AI774" s="100">
        <f t="shared" si="368"/>
        <v>3.4953602259501913E-2</v>
      </c>
    </row>
    <row r="775" spans="2:35">
      <c r="B775" s="39">
        <f t="shared" si="369"/>
        <v>747</v>
      </c>
      <c r="C775" s="45">
        <f t="shared" si="370"/>
        <v>21.944244604315148</v>
      </c>
      <c r="D775" s="10">
        <f t="shared" si="371"/>
        <v>-6.4942446043149182</v>
      </c>
      <c r="E775" s="40">
        <f t="shared" si="372"/>
        <v>61.32848920862984</v>
      </c>
      <c r="F775" s="40">
        <f t="shared" si="373"/>
        <v>48.34</v>
      </c>
      <c r="G775" s="3">
        <f t="shared" si="374"/>
        <v>40.423021582740319</v>
      </c>
      <c r="H775" s="3">
        <f t="shared" si="375"/>
        <v>148.0155219248214</v>
      </c>
      <c r="I775">
        <f t="shared" si="360"/>
        <v>1.4801552192482141E-4</v>
      </c>
      <c r="J775" s="4">
        <f t="shared" si="376"/>
        <v>2958.5854477969187</v>
      </c>
      <c r="K775" s="40">
        <f t="shared" si="377"/>
        <v>19.988345879695068</v>
      </c>
      <c r="L775" s="40">
        <f t="shared" si="361"/>
        <v>0</v>
      </c>
      <c r="M775" s="10">
        <f t="shared" si="378"/>
        <v>0.30941286153597641</v>
      </c>
      <c r="N775" s="10">
        <f t="shared" si="357"/>
        <v>8.26</v>
      </c>
      <c r="O775" s="10">
        <f t="shared" si="358"/>
        <v>0.31900000000000001</v>
      </c>
      <c r="P775" s="10">
        <f t="shared" si="379"/>
        <v>5.6814839597474638</v>
      </c>
      <c r="Q775" s="45">
        <f t="shared" si="380"/>
        <v>2.7190748160722236</v>
      </c>
      <c r="R775" s="4">
        <f t="shared" si="381"/>
        <v>-45222.977533846919</v>
      </c>
      <c r="S775">
        <f t="shared" si="362"/>
        <v>-4.5222977533846921E-5</v>
      </c>
      <c r="T775" s="44">
        <f t="shared" si="363"/>
        <v>2.8109076316916231E-4</v>
      </c>
      <c r="U775" s="45">
        <f t="shared" si="382"/>
        <v>-8.115489433336498E-2</v>
      </c>
      <c r="V775" s="45">
        <f t="shared" si="383"/>
        <v>3.3974076637298685E-2</v>
      </c>
      <c r="W775" s="45">
        <f t="shared" si="384"/>
        <v>3.4461268684723628E-2</v>
      </c>
      <c r="X775" s="45">
        <f t="shared" si="385"/>
        <v>-4.8719204742494332E-4</v>
      </c>
      <c r="Y775" s="45">
        <f t="shared" si="359"/>
        <v>1.7862070545352683E-4</v>
      </c>
      <c r="Z775" s="10">
        <f t="shared" si="386"/>
        <v>0.63545562095198305</v>
      </c>
      <c r="AA775">
        <f t="shared" si="364"/>
        <v>306442.95348072064</v>
      </c>
      <c r="AB775" s="10">
        <f t="shared" si="365"/>
        <v>0.30644295348072065</v>
      </c>
      <c r="AC775" s="10">
        <f t="shared" si="366"/>
        <v>0.20544295348072064</v>
      </c>
      <c r="AD775" s="3">
        <f t="shared" si="367"/>
        <v>29.795932339480874</v>
      </c>
      <c r="AI775" s="100">
        <f t="shared" si="368"/>
        <v>3.4461268684723628E-2</v>
      </c>
    </row>
    <row r="776" spans="2:35">
      <c r="B776" s="39">
        <f t="shared" si="369"/>
        <v>748</v>
      </c>
      <c r="C776" s="45">
        <f t="shared" si="370"/>
        <v>21.973621103116106</v>
      </c>
      <c r="D776" s="10">
        <f t="shared" si="371"/>
        <v>-6.5236211031158753</v>
      </c>
      <c r="E776" s="40">
        <f t="shared" si="372"/>
        <v>61.387242206231754</v>
      </c>
      <c r="F776" s="40">
        <f t="shared" si="373"/>
        <v>48.34</v>
      </c>
      <c r="G776" s="3">
        <f t="shared" si="374"/>
        <v>40.30551558753649</v>
      </c>
      <c r="H776" s="3">
        <f t="shared" si="375"/>
        <v>148.0155219248214</v>
      </c>
      <c r="I776">
        <f t="shared" si="360"/>
        <v>1.4801552192482141E-4</v>
      </c>
      <c r="J776" s="4">
        <f t="shared" si="376"/>
        <v>2964.2481034247203</v>
      </c>
      <c r="K776" s="40">
        <f t="shared" si="377"/>
        <v>20.026603054038429</v>
      </c>
      <c r="L776" s="40">
        <f t="shared" si="361"/>
        <v>0</v>
      </c>
      <c r="M776" s="10">
        <f t="shared" si="378"/>
        <v>0.30644295348072065</v>
      </c>
      <c r="N776" s="10">
        <f t="shared" si="357"/>
        <v>8.26</v>
      </c>
      <c r="O776" s="10">
        <f t="shared" si="358"/>
        <v>0.31900000000000001</v>
      </c>
      <c r="P776" s="10">
        <f t="shared" si="379"/>
        <v>5.6640304867645499</v>
      </c>
      <c r="Q776" s="45">
        <f t="shared" si="380"/>
        <v>2.7242613168987293</v>
      </c>
      <c r="R776" s="4">
        <f t="shared" si="381"/>
        <v>-45319.754764104611</v>
      </c>
      <c r="S776">
        <f t="shared" si="362"/>
        <v>-4.5319754764104614E-5</v>
      </c>
      <c r="T776" s="44">
        <f t="shared" si="363"/>
        <v>2.8118754039942E-4</v>
      </c>
      <c r="U776" s="45">
        <f t="shared" si="382"/>
        <v>-8.1328565911923931E-2</v>
      </c>
      <c r="V776" s="45">
        <f t="shared" si="383"/>
        <v>3.3485308181461816E-2</v>
      </c>
      <c r="W776" s="45">
        <f t="shared" si="384"/>
        <v>3.3970191508839134E-2</v>
      </c>
      <c r="X776" s="45">
        <f t="shared" si="385"/>
        <v>-4.8488332737731815E-4</v>
      </c>
      <c r="Y776" s="45">
        <f t="shared" si="359"/>
        <v>1.7610585767532553E-4</v>
      </c>
      <c r="Z776" s="10">
        <f t="shared" si="386"/>
        <v>0.62629324693822308</v>
      </c>
      <c r="AA776">
        <f t="shared" si="364"/>
        <v>303480.75578159274</v>
      </c>
      <c r="AB776" s="10">
        <f t="shared" si="365"/>
        <v>0.30348075578159273</v>
      </c>
      <c r="AC776" s="10">
        <f t="shared" si="366"/>
        <v>0.20248075578159272</v>
      </c>
      <c r="AD776" s="3">
        <f t="shared" si="367"/>
        <v>29.366317009658118</v>
      </c>
      <c r="AI776" s="100">
        <f t="shared" si="368"/>
        <v>3.3970191508839134E-2</v>
      </c>
    </row>
    <row r="777" spans="2:35">
      <c r="B777" s="39">
        <f t="shared" si="369"/>
        <v>749</v>
      </c>
      <c r="C777" s="45">
        <f t="shared" si="370"/>
        <v>22.002997601917063</v>
      </c>
      <c r="D777" s="10">
        <f t="shared" si="371"/>
        <v>-6.5529976019168323</v>
      </c>
      <c r="E777" s="40">
        <f t="shared" si="372"/>
        <v>61.445995203833668</v>
      </c>
      <c r="F777" s="40">
        <f t="shared" si="373"/>
        <v>48.34</v>
      </c>
      <c r="G777" s="3">
        <f t="shared" si="374"/>
        <v>40.188009592332662</v>
      </c>
      <c r="H777" s="3">
        <f t="shared" si="375"/>
        <v>148.0155219248214</v>
      </c>
      <c r="I777">
        <f t="shared" si="360"/>
        <v>1.4801552192482141E-4</v>
      </c>
      <c r="J777" s="4">
        <f t="shared" si="376"/>
        <v>2969.9161813074961</v>
      </c>
      <c r="K777" s="40">
        <f t="shared" si="377"/>
        <v>20.064896861397731</v>
      </c>
      <c r="L777" s="40">
        <f t="shared" si="361"/>
        <v>0</v>
      </c>
      <c r="M777" s="10">
        <f t="shared" si="378"/>
        <v>0.30348075578159273</v>
      </c>
      <c r="N777" s="10">
        <f t="shared" si="357"/>
        <v>8.26</v>
      </c>
      <c r="O777" s="10">
        <f t="shared" si="358"/>
        <v>0.31900000000000001</v>
      </c>
      <c r="P777" s="10">
        <f t="shared" si="379"/>
        <v>5.6465072017045186</v>
      </c>
      <c r="Q777" s="45">
        <f t="shared" si="380"/>
        <v>2.7294639134334666</v>
      </c>
      <c r="R777" s="4">
        <f t="shared" si="381"/>
        <v>-45415.419112027121</v>
      </c>
      <c r="S777">
        <f t="shared" si="362"/>
        <v>-4.5415419112027118E-5</v>
      </c>
      <c r="T777" s="44">
        <f t="shared" si="363"/>
        <v>2.8128320474734252E-4</v>
      </c>
      <c r="U777" s="45">
        <f t="shared" si="382"/>
        <v>-8.1500240367488264E-2</v>
      </c>
      <c r="V777" s="45">
        <f t="shared" si="383"/>
        <v>3.2997841446684661E-2</v>
      </c>
      <c r="W777" s="45">
        <f t="shared" si="384"/>
        <v>3.3480389247814581E-2</v>
      </c>
      <c r="X777" s="45">
        <f t="shared" si="385"/>
        <v>-4.8254780112991918E-4</v>
      </c>
      <c r="Y777" s="45">
        <f t="shared" si="359"/>
        <v>1.7359535615732189E-4</v>
      </c>
      <c r="Z777" s="10">
        <f t="shared" si="386"/>
        <v>0.61715507085910348</v>
      </c>
      <c r="AA777">
        <f t="shared" si="364"/>
        <v>300526.38128049276</v>
      </c>
      <c r="AB777" s="10">
        <f t="shared" si="365"/>
        <v>0.30052638128049275</v>
      </c>
      <c r="AC777" s="10">
        <f t="shared" si="366"/>
        <v>0.19952638128049274</v>
      </c>
      <c r="AD777" s="3">
        <f t="shared" si="367"/>
        <v>28.937836298838686</v>
      </c>
      <c r="AI777" s="100">
        <f t="shared" si="368"/>
        <v>3.3480389247814581E-2</v>
      </c>
    </row>
    <row r="778" spans="2:35">
      <c r="B778" s="39">
        <f t="shared" si="369"/>
        <v>750</v>
      </c>
      <c r="C778" s="45">
        <f t="shared" si="370"/>
        <v>22.03237410071802</v>
      </c>
      <c r="D778" s="10">
        <f t="shared" si="371"/>
        <v>-6.5823741007177894</v>
      </c>
      <c r="E778" s="40">
        <f t="shared" si="372"/>
        <v>61.504748201435582</v>
      </c>
      <c r="F778" s="40">
        <f t="shared" si="373"/>
        <v>48.34</v>
      </c>
      <c r="G778" s="3">
        <f t="shared" si="374"/>
        <v>40.070503597128834</v>
      </c>
      <c r="H778" s="3">
        <f t="shared" si="375"/>
        <v>148.0155219248214</v>
      </c>
      <c r="I778">
        <f t="shared" si="360"/>
        <v>1.4801552192482141E-4</v>
      </c>
      <c r="J778" s="4">
        <f t="shared" si="376"/>
        <v>2975.5896814452462</v>
      </c>
      <c r="K778" s="40">
        <f t="shared" si="377"/>
        <v>20.103227301772979</v>
      </c>
      <c r="L778" s="40">
        <f t="shared" si="361"/>
        <v>0</v>
      </c>
      <c r="M778" s="10">
        <f t="shared" si="378"/>
        <v>0.30052638128049275</v>
      </c>
      <c r="N778" s="10">
        <f t="shared" si="357"/>
        <v>8.26</v>
      </c>
      <c r="O778" s="10">
        <f t="shared" si="358"/>
        <v>0.31900000000000001</v>
      </c>
      <c r="P778" s="10">
        <f t="shared" si="379"/>
        <v>5.6289137911955045</v>
      </c>
      <c r="Q778" s="45">
        <f t="shared" si="380"/>
        <v>2.7346827709059167</v>
      </c>
      <c r="R778" s="4">
        <f t="shared" si="381"/>
        <v>-45509.968666172055</v>
      </c>
      <c r="S778">
        <f t="shared" si="362"/>
        <v>-4.5509968666172055E-5</v>
      </c>
      <c r="T778" s="44">
        <f t="shared" si="363"/>
        <v>2.8137775430148745E-4</v>
      </c>
      <c r="U778" s="45">
        <f t="shared" si="382"/>
        <v>-8.166991426987906E-2</v>
      </c>
      <c r="V778" s="45">
        <f t="shared" si="383"/>
        <v>3.2511694999622059E-2</v>
      </c>
      <c r="W778" s="45">
        <f t="shared" si="384"/>
        <v>3.2991880560167545E-2</v>
      </c>
      <c r="X778" s="45">
        <f t="shared" si="385"/>
        <v>-4.8018556054548606E-4</v>
      </c>
      <c r="Y778" s="45">
        <f t="shared" si="359"/>
        <v>1.7108933615650644E-4</v>
      </c>
      <c r="Z778" s="10">
        <f t="shared" si="386"/>
        <v>0.60804144443199148</v>
      </c>
      <c r="AA778">
        <f t="shared" si="364"/>
        <v>297579.94368772919</v>
      </c>
      <c r="AB778" s="10">
        <f t="shared" si="365"/>
        <v>0.29757994368772916</v>
      </c>
      <c r="AC778" s="10">
        <f t="shared" si="366"/>
        <v>0.19657994368772916</v>
      </c>
      <c r="AD778" s="3">
        <f t="shared" si="367"/>
        <v>28.510506698727941</v>
      </c>
      <c r="AI778" s="100">
        <f t="shared" si="368"/>
        <v>3.2991880560167545E-2</v>
      </c>
    </row>
    <row r="779" spans="2:35">
      <c r="B779" s="39">
        <f t="shared" si="369"/>
        <v>751</v>
      </c>
      <c r="C779" s="45">
        <f t="shared" si="370"/>
        <v>22.061750599518977</v>
      </c>
      <c r="D779" s="10">
        <f t="shared" si="371"/>
        <v>-6.6117505995187464</v>
      </c>
      <c r="E779" s="40">
        <f t="shared" si="372"/>
        <v>61.563501199037496</v>
      </c>
      <c r="F779" s="40">
        <f t="shared" si="373"/>
        <v>48.34</v>
      </c>
      <c r="G779" s="3">
        <f t="shared" si="374"/>
        <v>39.952997601925006</v>
      </c>
      <c r="H779" s="3">
        <f t="shared" si="375"/>
        <v>148.0155219248214</v>
      </c>
      <c r="I779">
        <f t="shared" si="360"/>
        <v>1.4801552192482141E-4</v>
      </c>
      <c r="J779" s="4">
        <f t="shared" si="376"/>
        <v>2981.2686038379697</v>
      </c>
      <c r="K779" s="40">
        <f t="shared" si="377"/>
        <v>20.141594375164157</v>
      </c>
      <c r="L779" s="40">
        <f t="shared" si="361"/>
        <v>0</v>
      </c>
      <c r="M779" s="10">
        <f t="shared" si="378"/>
        <v>0.29757994368772916</v>
      </c>
      <c r="N779" s="10">
        <f t="shared" si="357"/>
        <v>8.26</v>
      </c>
      <c r="O779" s="10">
        <f t="shared" si="358"/>
        <v>0.31900000000000001</v>
      </c>
      <c r="P779" s="10">
        <f t="shared" si="379"/>
        <v>5.6112499428178104</v>
      </c>
      <c r="Q779" s="45">
        <f t="shared" si="380"/>
        <v>2.7399180570008728</v>
      </c>
      <c r="R779" s="4">
        <f t="shared" si="381"/>
        <v>-45603.401515096986</v>
      </c>
      <c r="S779">
        <f t="shared" si="362"/>
        <v>-4.5603401515096985E-5</v>
      </c>
      <c r="T779" s="44">
        <f t="shared" si="363"/>
        <v>2.814711871504124E-4</v>
      </c>
      <c r="U779" s="45">
        <f t="shared" si="382"/>
        <v>-8.1837584188917289E-2</v>
      </c>
      <c r="V779" s="45">
        <f t="shared" si="383"/>
        <v>3.2026887546751599E-2</v>
      </c>
      <c r="W779" s="45">
        <f t="shared" si="384"/>
        <v>3.2504684248007766E-2</v>
      </c>
      <c r="X779" s="45">
        <f t="shared" si="385"/>
        <v>-4.777967012561668E-4</v>
      </c>
      <c r="Y779" s="45">
        <f t="shared" si="359"/>
        <v>1.6858793373020415E-4</v>
      </c>
      <c r="Z779" s="10">
        <f t="shared" si="386"/>
        <v>0.59895272207778139</v>
      </c>
      <c r="AA779">
        <f t="shared" si="364"/>
        <v>294641.55758766155</v>
      </c>
      <c r="AB779" s="10">
        <f t="shared" si="365"/>
        <v>0.29464155758766153</v>
      </c>
      <c r="AC779" s="10">
        <f t="shared" si="366"/>
        <v>0.19364155758766152</v>
      </c>
      <c r="AD779" s="3">
        <f t="shared" si="367"/>
        <v>28.084344827797175</v>
      </c>
      <c r="AI779" s="100">
        <f t="shared" si="368"/>
        <v>3.2504684248007766E-2</v>
      </c>
    </row>
    <row r="780" spans="2:35">
      <c r="B780" s="39">
        <f t="shared" si="369"/>
        <v>752</v>
      </c>
      <c r="C780" s="45">
        <f t="shared" si="370"/>
        <v>22.091127098319934</v>
      </c>
      <c r="D780" s="10">
        <f t="shared" si="371"/>
        <v>-6.6411270983197035</v>
      </c>
      <c r="E780" s="40">
        <f t="shared" si="372"/>
        <v>61.62225419663941</v>
      </c>
      <c r="F780" s="40">
        <f t="shared" si="373"/>
        <v>48.34</v>
      </c>
      <c r="G780" s="3">
        <f t="shared" si="374"/>
        <v>39.835491606721178</v>
      </c>
      <c r="H780" s="3">
        <f t="shared" si="375"/>
        <v>148.0155219248214</v>
      </c>
      <c r="I780">
        <f t="shared" si="360"/>
        <v>1.4801552192482141E-4</v>
      </c>
      <c r="J780" s="4">
        <f t="shared" si="376"/>
        <v>2986.9529484856675</v>
      </c>
      <c r="K780" s="40">
        <f t="shared" si="377"/>
        <v>20.179998081571281</v>
      </c>
      <c r="L780" s="40">
        <f t="shared" si="361"/>
        <v>0</v>
      </c>
      <c r="M780" s="10">
        <f t="shared" si="378"/>
        <v>0.29464155758766153</v>
      </c>
      <c r="N780" s="10">
        <f t="shared" si="357"/>
        <v>8.26</v>
      </c>
      <c r="O780" s="10">
        <f t="shared" si="358"/>
        <v>0.31900000000000001</v>
      </c>
      <c r="P780" s="10">
        <f t="shared" si="379"/>
        <v>5.5935153452542083</v>
      </c>
      <c r="Q780" s="45">
        <f t="shared" si="380"/>
        <v>2.7451699419046807</v>
      </c>
      <c r="R780" s="4">
        <f t="shared" si="381"/>
        <v>-45695.715747359565</v>
      </c>
      <c r="S780">
        <f t="shared" si="362"/>
        <v>-4.5695715747359563E-5</v>
      </c>
      <c r="T780" s="44">
        <f t="shared" si="363"/>
        <v>2.8156350138267499E-4</v>
      </c>
      <c r="U780" s="45">
        <f t="shared" si="382"/>
        <v>-8.2003246694424103E-2</v>
      </c>
      <c r="V780" s="45">
        <f t="shared" si="383"/>
        <v>3.1543437935340056E-2</v>
      </c>
      <c r="W780" s="45">
        <f t="shared" si="384"/>
        <v>3.2018819257970149E-2</v>
      </c>
      <c r="X780" s="45">
        <f t="shared" si="385"/>
        <v>-4.7538132263009319E-4</v>
      </c>
      <c r="Y780" s="45">
        <f t="shared" si="359"/>
        <v>1.6609128573833094E-4</v>
      </c>
      <c r="Z780" s="10">
        <f t="shared" si="386"/>
        <v>0.58988926094009275</v>
      </c>
      <c r="AA780">
        <f t="shared" si="364"/>
        <v>291711.33844490699</v>
      </c>
      <c r="AB780" s="10">
        <f t="shared" si="365"/>
        <v>0.29171133844490699</v>
      </c>
      <c r="AC780" s="10">
        <f t="shared" si="366"/>
        <v>0.19071133844490698</v>
      </c>
      <c r="AD780" s="3">
        <f t="shared" si="367"/>
        <v>27.659367432183753</v>
      </c>
      <c r="AI780" s="100">
        <f t="shared" si="368"/>
        <v>3.2018819257970149E-2</v>
      </c>
    </row>
    <row r="781" spans="2:35">
      <c r="B781" s="39">
        <f t="shared" si="369"/>
        <v>753</v>
      </c>
      <c r="C781" s="45">
        <f t="shared" si="370"/>
        <v>22.120503597120891</v>
      </c>
      <c r="D781" s="10">
        <f t="shared" si="371"/>
        <v>-6.6705035971206605</v>
      </c>
      <c r="E781" s="40">
        <f t="shared" si="372"/>
        <v>61.681007194241324</v>
      </c>
      <c r="F781" s="40">
        <f t="shared" si="373"/>
        <v>48.34</v>
      </c>
      <c r="G781" s="3">
        <f t="shared" si="374"/>
        <v>39.717985611517349</v>
      </c>
      <c r="H781" s="3">
        <f t="shared" si="375"/>
        <v>148.0155219248214</v>
      </c>
      <c r="I781">
        <f t="shared" si="360"/>
        <v>1.4801552192482141E-4</v>
      </c>
      <c r="J781" s="4">
        <f t="shared" si="376"/>
        <v>2992.6427153883387</v>
      </c>
      <c r="K781" s="40">
        <f t="shared" si="377"/>
        <v>20.218438420994339</v>
      </c>
      <c r="L781" s="40">
        <f t="shared" si="361"/>
        <v>0</v>
      </c>
      <c r="M781" s="10">
        <f t="shared" si="378"/>
        <v>0.29171133844490699</v>
      </c>
      <c r="N781" s="10">
        <f t="shared" si="357"/>
        <v>8.26</v>
      </c>
      <c r="O781" s="10">
        <f t="shared" si="358"/>
        <v>0.31900000000000001</v>
      </c>
      <c r="P781" s="10">
        <f t="shared" si="379"/>
        <v>5.5757096884514938</v>
      </c>
      <c r="Q781" s="45">
        <f t="shared" si="380"/>
        <v>2.7504385983524515</v>
      </c>
      <c r="R781" s="4">
        <f t="shared" si="381"/>
        <v>-45786.909451517349</v>
      </c>
      <c r="S781">
        <f t="shared" si="362"/>
        <v>-4.5786909451517348E-5</v>
      </c>
      <c r="T781" s="44">
        <f t="shared" si="363"/>
        <v>2.8165469508683276E-4</v>
      </c>
      <c r="U781" s="45">
        <f t="shared" si="382"/>
        <v>-8.2166898356220458E-2</v>
      </c>
      <c r="V781" s="45">
        <f t="shared" si="383"/>
        <v>3.106136515422158E-2</v>
      </c>
      <c r="W781" s="45">
        <f t="shared" si="384"/>
        <v>3.1534304682241082E-2</v>
      </c>
      <c r="X781" s="45">
        <f t="shared" si="385"/>
        <v>-4.7293952801950173E-4</v>
      </c>
      <c r="Y781" s="45">
        <f t="shared" si="359"/>
        <v>1.6359952984462529E-4</v>
      </c>
      <c r="Z781" s="10">
        <f t="shared" si="386"/>
        <v>0.58085142090100206</v>
      </c>
      <c r="AA781">
        <f t="shared" si="364"/>
        <v>288789.40260942653</v>
      </c>
      <c r="AB781" s="10">
        <f t="shared" si="365"/>
        <v>0.28878940260942654</v>
      </c>
      <c r="AC781" s="10">
        <f t="shared" si="366"/>
        <v>0.18778940260942653</v>
      </c>
      <c r="AD781" s="3">
        <f t="shared" si="367"/>
        <v>27.235591386428794</v>
      </c>
      <c r="AI781" s="100">
        <f t="shared" si="368"/>
        <v>3.1534304682241082E-2</v>
      </c>
    </row>
    <row r="782" spans="2:35">
      <c r="B782" s="39">
        <f t="shared" si="369"/>
        <v>754</v>
      </c>
      <c r="C782" s="45">
        <f t="shared" si="370"/>
        <v>22.149880095921848</v>
      </c>
      <c r="D782" s="10">
        <f t="shared" si="371"/>
        <v>-6.6998800959216176</v>
      </c>
      <c r="E782" s="40">
        <f t="shared" si="372"/>
        <v>61.739760191843239</v>
      </c>
      <c r="F782" s="40">
        <f t="shared" si="373"/>
        <v>48.34</v>
      </c>
      <c r="G782" s="3">
        <f t="shared" si="374"/>
        <v>39.600479616313521</v>
      </c>
      <c r="H782" s="3">
        <f t="shared" si="375"/>
        <v>148.0155219248214</v>
      </c>
      <c r="I782">
        <f t="shared" si="360"/>
        <v>1.4801552192482141E-4</v>
      </c>
      <c r="J782" s="4">
        <f t="shared" si="376"/>
        <v>2998.3379045459842</v>
      </c>
      <c r="K782" s="40">
        <f t="shared" si="377"/>
        <v>20.256915393433339</v>
      </c>
      <c r="L782" s="40">
        <f t="shared" si="361"/>
        <v>0</v>
      </c>
      <c r="M782" s="10">
        <f t="shared" si="378"/>
        <v>0.28878940260942654</v>
      </c>
      <c r="N782" s="10">
        <f t="shared" si="357"/>
        <v>8.26</v>
      </c>
      <c r="O782" s="10">
        <f t="shared" si="358"/>
        <v>0.31900000000000001</v>
      </c>
      <c r="P782" s="10">
        <f t="shared" si="379"/>
        <v>5.5578326637835245</v>
      </c>
      <c r="Q782" s="45">
        <f t="shared" si="380"/>
        <v>2.7557242016762764</v>
      </c>
      <c r="R782" s="4">
        <f t="shared" si="381"/>
        <v>-45876.980716127946</v>
      </c>
      <c r="S782">
        <f t="shared" si="362"/>
        <v>-4.5876980716127949E-5</v>
      </c>
      <c r="T782" s="44">
        <f t="shared" si="363"/>
        <v>2.8174476635144336E-4</v>
      </c>
      <c r="U782" s="45">
        <f t="shared" si="382"/>
        <v>-8.2328535744127393E-2</v>
      </c>
      <c r="V782" s="45">
        <f t="shared" si="383"/>
        <v>3.0580688334736282E-2</v>
      </c>
      <c r="W782" s="45">
        <f t="shared" si="384"/>
        <v>3.1051159759399396E-2</v>
      </c>
      <c r="X782" s="45">
        <f t="shared" si="385"/>
        <v>-4.7047142466311379E-4</v>
      </c>
      <c r="Y782" s="45">
        <f t="shared" si="359"/>
        <v>1.6111280451866131E-4</v>
      </c>
      <c r="Z782" s="10">
        <f t="shared" si="386"/>
        <v>0.5718395645997274</v>
      </c>
      <c r="AA782">
        <f t="shared" si="364"/>
        <v>285875.86732256558</v>
      </c>
      <c r="AB782" s="10">
        <f t="shared" si="365"/>
        <v>0.28587586732256559</v>
      </c>
      <c r="AC782" s="10">
        <f t="shared" si="366"/>
        <v>0.18487586732256558</v>
      </c>
      <c r="AD782" s="3">
        <f t="shared" si="367"/>
        <v>26.813033694353237</v>
      </c>
      <c r="AI782" s="100">
        <f t="shared" si="368"/>
        <v>3.1051159759399396E-2</v>
      </c>
    </row>
    <row r="783" spans="2:35">
      <c r="B783" s="39">
        <f t="shared" si="369"/>
        <v>755</v>
      </c>
      <c r="C783" s="45">
        <f t="shared" si="370"/>
        <v>22.179256594722805</v>
      </c>
      <c r="D783" s="10">
        <f t="shared" si="371"/>
        <v>-6.7292565947225746</v>
      </c>
      <c r="E783" s="40">
        <f t="shared" si="372"/>
        <v>61.798513189445153</v>
      </c>
      <c r="F783" s="40">
        <f t="shared" si="373"/>
        <v>48.34</v>
      </c>
      <c r="G783" s="3">
        <f t="shared" si="374"/>
        <v>39.482973621109693</v>
      </c>
      <c r="H783" s="3">
        <f t="shared" si="375"/>
        <v>148.0155219248214</v>
      </c>
      <c r="I783">
        <f t="shared" si="360"/>
        <v>1.4801552192482141E-4</v>
      </c>
      <c r="J783" s="4">
        <f t="shared" si="376"/>
        <v>3004.0385159586031</v>
      </c>
      <c r="K783" s="40">
        <f t="shared" si="377"/>
        <v>20.295428998888273</v>
      </c>
      <c r="L783" s="40">
        <f t="shared" si="361"/>
        <v>0</v>
      </c>
      <c r="M783" s="10">
        <f t="shared" si="378"/>
        <v>0.28587586732256559</v>
      </c>
      <c r="N783" s="10">
        <f t="shared" si="357"/>
        <v>8.26</v>
      </c>
      <c r="O783" s="10">
        <f t="shared" si="358"/>
        <v>0.31900000000000001</v>
      </c>
      <c r="P783" s="10">
        <f t="shared" si="379"/>
        <v>5.5398839642286584</v>
      </c>
      <c r="Q783" s="45">
        <f t="shared" si="380"/>
        <v>2.7610269298544554</v>
      </c>
      <c r="R783" s="4">
        <f t="shared" si="381"/>
        <v>-45965.927629748949</v>
      </c>
      <c r="S783">
        <f t="shared" si="362"/>
        <v>-4.5965927629748946E-5</v>
      </c>
      <c r="T783" s="44">
        <f t="shared" si="363"/>
        <v>2.8183371326506436E-4</v>
      </c>
      <c r="U783" s="45">
        <f t="shared" si="382"/>
        <v>-8.2488155427965976E-2</v>
      </c>
      <c r="V783" s="45">
        <f t="shared" si="383"/>
        <v>3.0101426751502326E-2</v>
      </c>
      <c r="W783" s="45">
        <f t="shared" si="384"/>
        <v>3.0569403875415204E-2</v>
      </c>
      <c r="X783" s="45">
        <f t="shared" si="385"/>
        <v>-4.6797712391287785E-4</v>
      </c>
      <c r="Y783" s="45">
        <f t="shared" si="359"/>
        <v>1.5863124903694531E-4</v>
      </c>
      <c r="Z783" s="10">
        <f t="shared" si="386"/>
        <v>0.56285405744823991</v>
      </c>
      <c r="AA783">
        <f t="shared" si="364"/>
        <v>282970.85072210152</v>
      </c>
      <c r="AB783" s="10">
        <f t="shared" si="365"/>
        <v>0.28297085072210154</v>
      </c>
      <c r="AC783" s="10">
        <f t="shared" si="366"/>
        <v>0.18197085072210153</v>
      </c>
      <c r="AD783" s="3">
        <f t="shared" si="367"/>
        <v>26.391711489789927</v>
      </c>
      <c r="AI783" s="100">
        <f t="shared" si="368"/>
        <v>3.0569403875415204E-2</v>
      </c>
    </row>
    <row r="784" spans="2:35">
      <c r="B784" s="39">
        <f t="shared" si="369"/>
        <v>756</v>
      </c>
      <c r="C784" s="45">
        <f t="shared" si="370"/>
        <v>22.208633093523762</v>
      </c>
      <c r="D784" s="10">
        <f t="shared" si="371"/>
        <v>-6.7586330935235317</v>
      </c>
      <c r="E784" s="40">
        <f t="shared" si="372"/>
        <v>61.857266187047067</v>
      </c>
      <c r="F784" s="40">
        <f t="shared" si="373"/>
        <v>48.34</v>
      </c>
      <c r="G784" s="3">
        <f t="shared" si="374"/>
        <v>39.365467625905865</v>
      </c>
      <c r="H784" s="3">
        <f t="shared" si="375"/>
        <v>148.0155219248214</v>
      </c>
      <c r="I784">
        <f t="shared" si="360"/>
        <v>1.4801552192482141E-4</v>
      </c>
      <c r="J784" s="4">
        <f t="shared" si="376"/>
        <v>3009.7445496261962</v>
      </c>
      <c r="K784" s="40">
        <f t="shared" si="377"/>
        <v>20.333979237359149</v>
      </c>
      <c r="L784" s="40">
        <f t="shared" si="361"/>
        <v>0</v>
      </c>
      <c r="M784" s="10">
        <f t="shared" si="378"/>
        <v>0.28297085072210154</v>
      </c>
      <c r="N784" s="10">
        <f t="shared" si="357"/>
        <v>8.26</v>
      </c>
      <c r="O784" s="10">
        <f t="shared" si="358"/>
        <v>0.31900000000000001</v>
      </c>
      <c r="P784" s="10">
        <f t="shared" si="379"/>
        <v>5.5218632845501885</v>
      </c>
      <c r="Q784" s="45">
        <f t="shared" si="380"/>
        <v>2.7663469635617641</v>
      </c>
      <c r="R784" s="4">
        <f t="shared" si="381"/>
        <v>-46053.748280937987</v>
      </c>
      <c r="S784">
        <f t="shared" si="362"/>
        <v>-4.6053748280937986E-5</v>
      </c>
      <c r="T784" s="44">
        <f t="shared" si="363"/>
        <v>2.8192153391625341E-4</v>
      </c>
      <c r="U784" s="45">
        <f t="shared" si="382"/>
        <v>-8.264575397755726E-2</v>
      </c>
      <c r="V784" s="45">
        <f t="shared" si="383"/>
        <v>2.9623599823206694E-2</v>
      </c>
      <c r="W784" s="45">
        <f t="shared" si="384"/>
        <v>3.0089056564484531E-2</v>
      </c>
      <c r="X784" s="45">
        <f t="shared" si="385"/>
        <v>-4.6545674127783723E-4</v>
      </c>
      <c r="Y784" s="45">
        <f t="shared" si="359"/>
        <v>1.5615500348405316E-4</v>
      </c>
      <c r="Z784" s="10">
        <f t="shared" si="386"/>
        <v>0.55389526764720287</v>
      </c>
      <c r="AA784">
        <f t="shared" si="364"/>
        <v>280074.47184739629</v>
      </c>
      <c r="AB784" s="10">
        <f t="shared" si="365"/>
        <v>0.28007447184739631</v>
      </c>
      <c r="AC784" s="10">
        <f t="shared" si="366"/>
        <v>0.1790744718473963</v>
      </c>
      <c r="AD784" s="3">
        <f t="shared" si="367"/>
        <v>25.971642037330867</v>
      </c>
      <c r="AI784" s="100">
        <f t="shared" si="368"/>
        <v>3.0089056564484531E-2</v>
      </c>
    </row>
    <row r="785" spans="2:35">
      <c r="B785" s="39">
        <f t="shared" si="369"/>
        <v>757</v>
      </c>
      <c r="C785" s="45">
        <f t="shared" si="370"/>
        <v>22.238009592324719</v>
      </c>
      <c r="D785" s="10">
        <f t="shared" si="371"/>
        <v>-6.7880095923244888</v>
      </c>
      <c r="E785" s="40">
        <f t="shared" si="372"/>
        <v>61.916019184648981</v>
      </c>
      <c r="F785" s="40">
        <f t="shared" si="373"/>
        <v>48.34</v>
      </c>
      <c r="G785" s="3">
        <f t="shared" si="374"/>
        <v>39.247961630702036</v>
      </c>
      <c r="H785" s="3">
        <f t="shared" si="375"/>
        <v>148.0155219248214</v>
      </c>
      <c r="I785">
        <f t="shared" si="360"/>
        <v>1.4801552192482141E-4</v>
      </c>
      <c r="J785" s="4">
        <f t="shared" si="376"/>
        <v>3015.4560055487636</v>
      </c>
      <c r="K785" s="40">
        <f t="shared" si="377"/>
        <v>20.372566108845966</v>
      </c>
      <c r="L785" s="40">
        <f t="shared" si="361"/>
        <v>0</v>
      </c>
      <c r="M785" s="10">
        <f t="shared" si="378"/>
        <v>0.28007447184739631</v>
      </c>
      <c r="N785" s="10">
        <f t="shared" si="357"/>
        <v>8.26</v>
      </c>
      <c r="O785" s="10">
        <f t="shared" si="358"/>
        <v>0.31900000000000001</v>
      </c>
      <c r="P785" s="10">
        <f t="shared" si="379"/>
        <v>5.5037703214868205</v>
      </c>
      <c r="Q785" s="45">
        <f t="shared" si="380"/>
        <v>2.7716844862207806</v>
      </c>
      <c r="R785" s="4">
        <f t="shared" si="381"/>
        <v>-46140.440758252633</v>
      </c>
      <c r="S785">
        <f t="shared" si="362"/>
        <v>-4.6140440758252631E-5</v>
      </c>
      <c r="T785" s="44">
        <f t="shared" si="363"/>
        <v>2.8200822639356805E-4</v>
      </c>
      <c r="U785" s="45">
        <f t="shared" si="382"/>
        <v>-8.2801327962722257E-2</v>
      </c>
      <c r="V785" s="45">
        <f t="shared" si="383"/>
        <v>2.9147227113348776E-2</v>
      </c>
      <c r="W785" s="45">
        <f t="shared" si="384"/>
        <v>2.961013750988125E-2</v>
      </c>
      <c r="X785" s="45">
        <f t="shared" si="385"/>
        <v>-4.6291039653247393E-4</v>
      </c>
      <c r="Y785" s="45">
        <f t="shared" si="359"/>
        <v>1.5368420875346678E-4</v>
      </c>
      <c r="Z785" s="10">
        <f t="shared" si="386"/>
        <v>0.54496356620103181</v>
      </c>
      <c r="AA785">
        <f t="shared" si="364"/>
        <v>277186.85064426577</v>
      </c>
      <c r="AB785" s="10">
        <f t="shared" si="365"/>
        <v>0.27718685064426579</v>
      </c>
      <c r="AC785" s="10">
        <f t="shared" si="366"/>
        <v>0.17618685064426579</v>
      </c>
      <c r="AD785" s="3">
        <f t="shared" si="367"/>
        <v>25.552842733033472</v>
      </c>
      <c r="AI785" s="100">
        <f t="shared" si="368"/>
        <v>2.961013750988125E-2</v>
      </c>
    </row>
    <row r="786" spans="2:35">
      <c r="B786" s="39">
        <f t="shared" si="369"/>
        <v>758</v>
      </c>
      <c r="C786" s="45">
        <f t="shared" si="370"/>
        <v>22.267386091125676</v>
      </c>
      <c r="D786" s="10">
        <f t="shared" si="371"/>
        <v>-6.8173860911254458</v>
      </c>
      <c r="E786" s="40">
        <f t="shared" si="372"/>
        <v>61.974772182250895</v>
      </c>
      <c r="F786" s="40">
        <f t="shared" si="373"/>
        <v>48.34</v>
      </c>
      <c r="G786" s="3">
        <f t="shared" si="374"/>
        <v>39.130455635498208</v>
      </c>
      <c r="H786" s="3">
        <f t="shared" si="375"/>
        <v>148.0155219248214</v>
      </c>
      <c r="I786">
        <f t="shared" si="360"/>
        <v>1.4801552192482141E-4</v>
      </c>
      <c r="J786" s="4">
        <f t="shared" si="376"/>
        <v>3021.1728837263045</v>
      </c>
      <c r="K786" s="40">
        <f t="shared" si="377"/>
        <v>20.411189613348721</v>
      </c>
      <c r="L786" s="40">
        <f t="shared" si="361"/>
        <v>0</v>
      </c>
      <c r="M786" s="10">
        <f t="shared" si="378"/>
        <v>0.27718685064426579</v>
      </c>
      <c r="N786" s="10">
        <f t="shared" si="357"/>
        <v>8.26</v>
      </c>
      <c r="O786" s="10">
        <f t="shared" si="358"/>
        <v>0.31900000000000001</v>
      </c>
      <c r="P786" s="10">
        <f t="shared" si="379"/>
        <v>5.485604773951243</v>
      </c>
      <c r="Q786" s="45">
        <f t="shared" si="380"/>
        <v>2.7770396840542908</v>
      </c>
      <c r="R786" s="4">
        <f t="shared" si="381"/>
        <v>-46226.003150250493</v>
      </c>
      <c r="S786">
        <f t="shared" si="362"/>
        <v>-4.6226003150250495E-5</v>
      </c>
      <c r="T786" s="44">
        <f t="shared" si="363"/>
        <v>2.8209378878556591E-4</v>
      </c>
      <c r="U786" s="45">
        <f t="shared" si="382"/>
        <v>-8.2954873953282021E-2</v>
      </c>
      <c r="V786" s="45">
        <f t="shared" si="383"/>
        <v>2.8672328330981083E-2</v>
      </c>
      <c r="W786" s="45">
        <f t="shared" si="384"/>
        <v>2.9132666544762292E-2</v>
      </c>
      <c r="X786" s="45">
        <f t="shared" si="385"/>
        <v>-4.6033821378120912E-4</v>
      </c>
      <c r="Y786" s="45">
        <f t="shared" si="359"/>
        <v>1.5121900654834367E-4</v>
      </c>
      <c r="Z786" s="10">
        <f t="shared" si="386"/>
        <v>0.53605932693290548</v>
      </c>
      <c r="AA786">
        <f t="shared" si="364"/>
        <v>274308.10796983266</v>
      </c>
      <c r="AB786" s="10">
        <f t="shared" si="365"/>
        <v>0.27430810796983268</v>
      </c>
      <c r="AC786" s="10">
        <f t="shared" si="366"/>
        <v>0.17330810796983268</v>
      </c>
      <c r="AD786" s="3">
        <f t="shared" si="367"/>
        <v>25.13533110512439</v>
      </c>
      <c r="AI786" s="100">
        <f t="shared" si="368"/>
        <v>2.9132666544762292E-2</v>
      </c>
    </row>
    <row r="787" spans="2:35">
      <c r="B787" s="39">
        <f t="shared" si="369"/>
        <v>759</v>
      </c>
      <c r="C787" s="45">
        <f t="shared" si="370"/>
        <v>22.296762589926633</v>
      </c>
      <c r="D787" s="10">
        <f t="shared" si="371"/>
        <v>-6.8467625899264029</v>
      </c>
      <c r="E787" s="40">
        <f t="shared" si="372"/>
        <v>62.033525179852809</v>
      </c>
      <c r="F787" s="40">
        <f t="shared" si="373"/>
        <v>48.34</v>
      </c>
      <c r="G787" s="3">
        <f t="shared" si="374"/>
        <v>39.01294964029438</v>
      </c>
      <c r="H787" s="3">
        <f t="shared" si="375"/>
        <v>148.0155219248214</v>
      </c>
      <c r="I787">
        <f t="shared" si="360"/>
        <v>1.4801552192482141E-4</v>
      </c>
      <c r="J787" s="4">
        <f t="shared" si="376"/>
        <v>3026.8951841588196</v>
      </c>
      <c r="K787" s="40">
        <f t="shared" si="377"/>
        <v>20.449849750867418</v>
      </c>
      <c r="L787" s="40">
        <f t="shared" si="361"/>
        <v>0</v>
      </c>
      <c r="M787" s="10">
        <f t="shared" si="378"/>
        <v>0.27430810796983268</v>
      </c>
      <c r="N787" s="10">
        <f t="shared" si="357"/>
        <v>8.26</v>
      </c>
      <c r="O787" s="10">
        <f t="shared" si="358"/>
        <v>0.31900000000000001</v>
      </c>
      <c r="P787" s="10">
        <f t="shared" si="379"/>
        <v>5.4673663432389343</v>
      </c>
      <c r="Q787" s="45">
        <f t="shared" si="380"/>
        <v>2.782412746138796</v>
      </c>
      <c r="R787" s="4">
        <f t="shared" si="381"/>
        <v>-46310.433545489162</v>
      </c>
      <c r="S787">
        <f t="shared" si="362"/>
        <v>-4.6310433545489164E-5</v>
      </c>
      <c r="T787" s="44">
        <f t="shared" si="363"/>
        <v>2.8217821918080459E-4</v>
      </c>
      <c r="U787" s="45">
        <f t="shared" si="382"/>
        <v>-8.3106388519057564E-2</v>
      </c>
      <c r="V787" s="45">
        <f t="shared" si="383"/>
        <v>2.8198923331349653E-2</v>
      </c>
      <c r="W787" s="45">
        <f t="shared" si="384"/>
        <v>2.8656663652970062E-2</v>
      </c>
      <c r="X787" s="45">
        <f t="shared" si="385"/>
        <v>-4.5774032162040901E-4</v>
      </c>
      <c r="Y787" s="45">
        <f t="shared" si="359"/>
        <v>1.4875953938169585E-4</v>
      </c>
      <c r="Z787" s="10">
        <f t="shared" si="386"/>
        <v>0.52718292649787668</v>
      </c>
      <c r="AA787">
        <f t="shared" si="364"/>
        <v>271438.36559676507</v>
      </c>
      <c r="AB787" s="10">
        <f t="shared" si="365"/>
        <v>0.2714383655967651</v>
      </c>
      <c r="AC787" s="10">
        <f t="shared" si="366"/>
        <v>0.17043836559676509</v>
      </c>
      <c r="AD787" s="3">
        <f t="shared" si="367"/>
        <v>24.719124814614229</v>
      </c>
      <c r="AI787" s="100">
        <f t="shared" si="368"/>
        <v>2.8656663652970062E-2</v>
      </c>
    </row>
    <row r="788" spans="2:35">
      <c r="B788" s="39">
        <f t="shared" si="369"/>
        <v>760</v>
      </c>
      <c r="C788" s="45">
        <f t="shared" si="370"/>
        <v>22.32613908872759</v>
      </c>
      <c r="D788" s="10">
        <f t="shared" si="371"/>
        <v>-6.8761390887273599</v>
      </c>
      <c r="E788" s="40">
        <f t="shared" si="372"/>
        <v>62.092278177454723</v>
      </c>
      <c r="F788" s="40">
        <f t="shared" si="373"/>
        <v>48.34</v>
      </c>
      <c r="G788" s="3">
        <f t="shared" si="374"/>
        <v>38.895443645090552</v>
      </c>
      <c r="H788" s="3">
        <f t="shared" si="375"/>
        <v>148.0155219248214</v>
      </c>
      <c r="I788">
        <f t="shared" si="360"/>
        <v>1.4801552192482141E-4</v>
      </c>
      <c r="J788" s="4">
        <f t="shared" si="376"/>
        <v>3032.6229068463081</v>
      </c>
      <c r="K788" s="40">
        <f t="shared" si="377"/>
        <v>20.488546521402046</v>
      </c>
      <c r="L788" s="40">
        <f t="shared" si="361"/>
        <v>0</v>
      </c>
      <c r="M788" s="10">
        <f t="shared" si="378"/>
        <v>0.2714383655967651</v>
      </c>
      <c r="N788" s="10">
        <f t="shared" si="357"/>
        <v>8.26</v>
      </c>
      <c r="O788" s="10">
        <f t="shared" si="358"/>
        <v>0.31900000000000001</v>
      </c>
      <c r="P788" s="10">
        <f t="shared" si="379"/>
        <v>5.4490547332438579</v>
      </c>
      <c r="Q788" s="45">
        <f t="shared" si="380"/>
        <v>2.7878038644591419</v>
      </c>
      <c r="R788" s="4">
        <f t="shared" si="381"/>
        <v>-46393.73003252624</v>
      </c>
      <c r="S788">
        <f t="shared" si="362"/>
        <v>-4.6393730032526239E-5</v>
      </c>
      <c r="T788" s="44">
        <f t="shared" si="363"/>
        <v>2.8226151566784167E-4</v>
      </c>
      <c r="U788" s="45">
        <f t="shared" si="382"/>
        <v>-8.3255868229869953E-2</v>
      </c>
      <c r="V788" s="45">
        <f t="shared" si="383"/>
        <v>2.7727032116556961E-2</v>
      </c>
      <c r="W788" s="45">
        <f t="shared" si="384"/>
        <v>2.818214896973326E-2</v>
      </c>
      <c r="X788" s="45">
        <f t="shared" si="385"/>
        <v>-4.5511685317629891E-4</v>
      </c>
      <c r="Y788" s="45">
        <f t="shared" si="359"/>
        <v>1.4630595057663894E-4</v>
      </c>
      <c r="Z788" s="10">
        <f t="shared" si="386"/>
        <v>0.51833474439642757</v>
      </c>
      <c r="AA788">
        <f t="shared" si="364"/>
        <v>268577.74621765927</v>
      </c>
      <c r="AB788" s="10">
        <f t="shared" si="365"/>
        <v>0.26857774621765929</v>
      </c>
      <c r="AC788" s="10">
        <f t="shared" si="366"/>
        <v>0.16757774621765928</v>
      </c>
      <c r="AD788" s="3">
        <f t="shared" si="367"/>
        <v>24.304241655933179</v>
      </c>
      <c r="AI788" s="100">
        <f t="shared" si="368"/>
        <v>2.818214896973326E-2</v>
      </c>
    </row>
    <row r="789" spans="2:35">
      <c r="B789" s="39">
        <f t="shared" si="369"/>
        <v>761</v>
      </c>
      <c r="C789" s="45">
        <f t="shared" si="370"/>
        <v>22.355515587528547</v>
      </c>
      <c r="D789" s="10">
        <f t="shared" si="371"/>
        <v>-6.905515587528317</v>
      </c>
      <c r="E789" s="40">
        <f t="shared" si="372"/>
        <v>62.151031175056637</v>
      </c>
      <c r="F789" s="40">
        <f t="shared" si="373"/>
        <v>48.34</v>
      </c>
      <c r="G789" s="3">
        <f t="shared" si="374"/>
        <v>38.777937649886724</v>
      </c>
      <c r="H789" s="3">
        <f t="shared" si="375"/>
        <v>148.0155219248214</v>
      </c>
      <c r="I789">
        <f t="shared" si="360"/>
        <v>1.4801552192482141E-4</v>
      </c>
      <c r="J789" s="4">
        <f t="shared" si="376"/>
        <v>3038.3560517887709</v>
      </c>
      <c r="K789" s="40">
        <f t="shared" si="377"/>
        <v>20.527279924952619</v>
      </c>
      <c r="L789" s="40">
        <f t="shared" si="361"/>
        <v>0</v>
      </c>
      <c r="M789" s="10">
        <f t="shared" si="378"/>
        <v>0.26857774621765929</v>
      </c>
      <c r="N789" s="10">
        <f t="shared" si="357"/>
        <v>8.26</v>
      </c>
      <c r="O789" s="10">
        <f t="shared" si="358"/>
        <v>0.31900000000000001</v>
      </c>
      <c r="P789" s="10">
        <f t="shared" si="379"/>
        <v>5.4306696506863439</v>
      </c>
      <c r="Q789" s="45">
        <f t="shared" si="380"/>
        <v>2.7932132339642903</v>
      </c>
      <c r="R789" s="4">
        <f t="shared" si="381"/>
        <v>-46475.890699919328</v>
      </c>
      <c r="S789">
        <f t="shared" si="362"/>
        <v>-4.6475890699919329E-5</v>
      </c>
      <c r="T789" s="44">
        <f t="shared" si="363"/>
        <v>2.8234367633523473E-4</v>
      </c>
      <c r="U789" s="45">
        <f t="shared" si="382"/>
        <v>-8.3403309655540228E-2</v>
      </c>
      <c r="V789" s="45">
        <f t="shared" si="383"/>
        <v>2.7256674836123623E-2</v>
      </c>
      <c r="W789" s="45">
        <f t="shared" si="384"/>
        <v>2.7709142782391619E-2</v>
      </c>
      <c r="X789" s="45">
        <f t="shared" si="385"/>
        <v>-4.5246794626799605E-4</v>
      </c>
      <c r="Y789" s="45">
        <f t="shared" si="359"/>
        <v>1.4385838426603969E-4</v>
      </c>
      <c r="Z789" s="10">
        <f t="shared" si="386"/>
        <v>0.50951516298609256</v>
      </c>
      <c r="AA789">
        <f t="shared" si="364"/>
        <v>265726.37344879709</v>
      </c>
      <c r="AB789" s="10">
        <f t="shared" si="365"/>
        <v>0.26572637344879707</v>
      </c>
      <c r="AC789" s="10">
        <f t="shared" si="366"/>
        <v>0.16472637344879706</v>
      </c>
      <c r="AD789" s="3">
        <f t="shared" si="367"/>
        <v>23.890699557476008</v>
      </c>
      <c r="AI789" s="100">
        <f t="shared" si="368"/>
        <v>2.7709142782391619E-2</v>
      </c>
    </row>
    <row r="790" spans="2:35">
      <c r="B790" s="39">
        <f t="shared" si="369"/>
        <v>762</v>
      </c>
      <c r="C790" s="45">
        <f t="shared" si="370"/>
        <v>22.384892086329504</v>
      </c>
      <c r="D790" s="10">
        <f t="shared" si="371"/>
        <v>-6.934892086329274</v>
      </c>
      <c r="E790" s="40">
        <f t="shared" si="372"/>
        <v>62.209784172658551</v>
      </c>
      <c r="F790" s="40">
        <f t="shared" si="373"/>
        <v>48.34</v>
      </c>
      <c r="G790" s="3">
        <f t="shared" si="374"/>
        <v>38.660431654682895</v>
      </c>
      <c r="H790" s="3">
        <f t="shared" si="375"/>
        <v>148.0155219248214</v>
      </c>
      <c r="I790">
        <f t="shared" si="360"/>
        <v>1.4801552192482141E-4</v>
      </c>
      <c r="J790" s="4">
        <f t="shared" si="376"/>
        <v>3044.0946189862079</v>
      </c>
      <c r="K790" s="40">
        <f t="shared" si="377"/>
        <v>20.566049961519134</v>
      </c>
      <c r="L790" s="40">
        <f t="shared" si="361"/>
        <v>0</v>
      </c>
      <c r="M790" s="10">
        <f t="shared" si="378"/>
        <v>0.26572637344879707</v>
      </c>
      <c r="N790" s="10">
        <f t="shared" si="357"/>
        <v>8.26</v>
      </c>
      <c r="O790" s="10">
        <f t="shared" si="358"/>
        <v>0.31900000000000001</v>
      </c>
      <c r="P790" s="10">
        <f t="shared" si="379"/>
        <v>5.4122108053487317</v>
      </c>
      <c r="Q790" s="45">
        <f t="shared" si="380"/>
        <v>2.7986410526242596</v>
      </c>
      <c r="R790" s="4">
        <f t="shared" si="381"/>
        <v>-46556.913636226025</v>
      </c>
      <c r="S790">
        <f t="shared" si="362"/>
        <v>-4.6556913636226027E-5</v>
      </c>
      <c r="T790" s="44">
        <f t="shared" si="363"/>
        <v>2.8242469927154142E-4</v>
      </c>
      <c r="U790" s="45">
        <f t="shared" si="382"/>
        <v>-8.3548709365889401E-2</v>
      </c>
      <c r="V790" s="45">
        <f t="shared" si="383"/>
        <v>2.6787871787521605E-2</v>
      </c>
      <c r="W790" s="45">
        <f t="shared" si="384"/>
        <v>2.7237665531017176E-2</v>
      </c>
      <c r="X790" s="45">
        <f t="shared" si="385"/>
        <v>-4.4979374349557108E-4</v>
      </c>
      <c r="Y790" s="45">
        <f t="shared" si="359"/>
        <v>1.4141698539195703E-4</v>
      </c>
      <c r="Z790" s="10">
        <f t="shared" si="386"/>
        <v>0.50072456749255334</v>
      </c>
      <c r="AA790">
        <f t="shared" si="364"/>
        <v>262884.37183373317</v>
      </c>
      <c r="AB790" s="10">
        <f t="shared" si="365"/>
        <v>0.26288437183373314</v>
      </c>
      <c r="AC790" s="10">
        <f t="shared" si="366"/>
        <v>0.16188437183373314</v>
      </c>
      <c r="AD790" s="3">
        <f t="shared" si="367"/>
        <v>23.478516582122282</v>
      </c>
      <c r="AI790" s="100">
        <f t="shared" si="368"/>
        <v>2.7237665531017176E-2</v>
      </c>
    </row>
    <row r="791" spans="2:35">
      <c r="B791" s="39">
        <f t="shared" si="369"/>
        <v>763</v>
      </c>
      <c r="C791" s="45">
        <f t="shared" si="370"/>
        <v>22.414268585130461</v>
      </c>
      <c r="D791" s="10">
        <f t="shared" si="371"/>
        <v>-6.9642685851302311</v>
      </c>
      <c r="E791" s="40">
        <f t="shared" si="372"/>
        <v>62.268537170260466</v>
      </c>
      <c r="F791" s="40">
        <f t="shared" si="373"/>
        <v>48.34</v>
      </c>
      <c r="G791" s="3">
        <f t="shared" si="374"/>
        <v>38.542925659479067</v>
      </c>
      <c r="H791" s="3">
        <f t="shared" si="375"/>
        <v>148.0155219248214</v>
      </c>
      <c r="I791">
        <f t="shared" si="360"/>
        <v>1.4801552192482141E-4</v>
      </c>
      <c r="J791" s="4">
        <f t="shared" si="376"/>
        <v>3049.8386084386184</v>
      </c>
      <c r="K791" s="40">
        <f t="shared" si="377"/>
        <v>20.604856631101587</v>
      </c>
      <c r="L791" s="40">
        <f t="shared" si="361"/>
        <v>0</v>
      </c>
      <c r="M791" s="10">
        <f t="shared" si="378"/>
        <v>0.26288437183373314</v>
      </c>
      <c r="N791" s="10">
        <f t="shared" si="357"/>
        <v>8.26</v>
      </c>
      <c r="O791" s="10">
        <f t="shared" si="358"/>
        <v>0.31900000000000001</v>
      </c>
      <c r="P791" s="10">
        <f t="shared" si="379"/>
        <v>5.3936779103222099</v>
      </c>
      <c r="Q791" s="45">
        <f t="shared" si="380"/>
        <v>2.804087521488249</v>
      </c>
      <c r="R791" s="4">
        <f t="shared" si="381"/>
        <v>-46636.796930003933</v>
      </c>
      <c r="S791">
        <f t="shared" si="362"/>
        <v>-4.6636796930003934E-5</v>
      </c>
      <c r="T791" s="44">
        <f t="shared" si="363"/>
        <v>2.8250458256531933E-4</v>
      </c>
      <c r="U791" s="45">
        <f t="shared" si="382"/>
        <v>-8.3692063930738553E-2</v>
      </c>
      <c r="V791" s="45">
        <f t="shared" si="383"/>
        <v>2.6320643416686381E-2</v>
      </c>
      <c r="W791" s="45">
        <f t="shared" si="384"/>
        <v>2.6767737809007416E-2</v>
      </c>
      <c r="X791" s="45">
        <f t="shared" si="385"/>
        <v>-4.4709439232103534E-4</v>
      </c>
      <c r="Y791" s="45">
        <f t="shared" si="359"/>
        <v>1.3898189970491622E-4</v>
      </c>
      <c r="Z791" s="10">
        <f t="shared" si="386"/>
        <v>0.49196334602034819</v>
      </c>
      <c r="AA791">
        <f t="shared" si="364"/>
        <v>260051.86684675698</v>
      </c>
      <c r="AB791" s="10">
        <f t="shared" si="365"/>
        <v>0.26005186684675696</v>
      </c>
      <c r="AC791" s="10">
        <f t="shared" si="366"/>
        <v>0.15905186684675696</v>
      </c>
      <c r="AD791" s="3">
        <f t="shared" si="367"/>
        <v>23.067710927738499</v>
      </c>
      <c r="AI791" s="100">
        <f t="shared" si="368"/>
        <v>2.6767737809007416E-2</v>
      </c>
    </row>
    <row r="792" spans="2:35">
      <c r="B792" s="39">
        <f t="shared" si="369"/>
        <v>764</v>
      </c>
      <c r="C792" s="45">
        <f t="shared" si="370"/>
        <v>22.443645083931418</v>
      </c>
      <c r="D792" s="10">
        <f t="shared" si="371"/>
        <v>-6.9936450839311881</v>
      </c>
      <c r="E792" s="40">
        <f t="shared" si="372"/>
        <v>62.32729016786238</v>
      </c>
      <c r="F792" s="40">
        <f t="shared" si="373"/>
        <v>48.34</v>
      </c>
      <c r="G792" s="3">
        <f t="shared" si="374"/>
        <v>38.425419664275239</v>
      </c>
      <c r="H792" s="3">
        <f t="shared" si="375"/>
        <v>148.0155219248214</v>
      </c>
      <c r="I792">
        <f t="shared" si="360"/>
        <v>1.4801552192482141E-4</v>
      </c>
      <c r="J792" s="4">
        <f t="shared" si="376"/>
        <v>3055.5880201460027</v>
      </c>
      <c r="K792" s="40">
        <f t="shared" si="377"/>
        <v>20.643699933699974</v>
      </c>
      <c r="L792" s="40">
        <f t="shared" si="361"/>
        <v>0</v>
      </c>
      <c r="M792" s="10">
        <f t="shared" si="378"/>
        <v>0.26005186684675696</v>
      </c>
      <c r="N792" s="10">
        <f t="shared" si="357"/>
        <v>8.26</v>
      </c>
      <c r="O792" s="10">
        <f t="shared" si="358"/>
        <v>0.31900000000000001</v>
      </c>
      <c r="P792" s="10">
        <f t="shared" si="379"/>
        <v>5.3750706822656813</v>
      </c>
      <c r="Q792" s="45">
        <f t="shared" si="380"/>
        <v>2.8095528447439753</v>
      </c>
      <c r="R792" s="4">
        <f t="shared" si="381"/>
        <v>-46715.538669810652</v>
      </c>
      <c r="S792">
        <f t="shared" si="362"/>
        <v>-4.671553866981065E-5</v>
      </c>
      <c r="T792" s="44">
        <f t="shared" si="363"/>
        <v>2.8258332430512604E-4</v>
      </c>
      <c r="U792" s="45">
        <f t="shared" si="382"/>
        <v>-8.3833369919908696E-2</v>
      </c>
      <c r="V792" s="45">
        <f t="shared" si="383"/>
        <v>2.5855010318390759E-2</v>
      </c>
      <c r="W792" s="45">
        <f t="shared" si="384"/>
        <v>2.6299380363657747E-2</v>
      </c>
      <c r="X792" s="45">
        <f t="shared" si="385"/>
        <v>-4.4437004526698756E-4</v>
      </c>
      <c r="Y792" s="45">
        <f t="shared" si="359"/>
        <v>1.3655327376237042E-4</v>
      </c>
      <c r="Z792" s="10">
        <f t="shared" si="386"/>
        <v>0.48323188956091334</v>
      </c>
      <c r="AA792">
        <f t="shared" si="364"/>
        <v>257228.98489549296</v>
      </c>
      <c r="AB792" s="10">
        <f t="shared" si="365"/>
        <v>0.25722898489549295</v>
      </c>
      <c r="AC792" s="10">
        <f t="shared" si="366"/>
        <v>0.15622898489549294</v>
      </c>
      <c r="AD792" s="3">
        <f t="shared" si="367"/>
        <v>22.658300927555175</v>
      </c>
      <c r="AI792" s="100">
        <f t="shared" si="368"/>
        <v>2.6299380363657747E-2</v>
      </c>
    </row>
    <row r="793" spans="2:35">
      <c r="B793" s="39">
        <f t="shared" si="369"/>
        <v>765</v>
      </c>
      <c r="C793" s="45">
        <f t="shared" si="370"/>
        <v>22.473021582732375</v>
      </c>
      <c r="D793" s="10">
        <f t="shared" si="371"/>
        <v>-7.0230215827321452</v>
      </c>
      <c r="E793" s="40">
        <f t="shared" si="372"/>
        <v>62.386043165464294</v>
      </c>
      <c r="F793" s="40">
        <f t="shared" si="373"/>
        <v>48.34</v>
      </c>
      <c r="G793" s="3">
        <f t="shared" si="374"/>
        <v>38.307913669071411</v>
      </c>
      <c r="H793" s="3">
        <f t="shared" si="375"/>
        <v>148.0155219248214</v>
      </c>
      <c r="I793">
        <f t="shared" si="360"/>
        <v>1.4801552192482141E-4</v>
      </c>
      <c r="J793" s="4">
        <f t="shared" si="376"/>
        <v>3061.3428541083613</v>
      </c>
      <c r="K793" s="40">
        <f t="shared" si="377"/>
        <v>20.682579869314306</v>
      </c>
      <c r="L793" s="40">
        <f t="shared" si="361"/>
        <v>0</v>
      </c>
      <c r="M793" s="10">
        <f t="shared" si="378"/>
        <v>0.25722898489549295</v>
      </c>
      <c r="N793" s="10">
        <f t="shared" si="357"/>
        <v>8.26</v>
      </c>
      <c r="O793" s="10">
        <f t="shared" si="358"/>
        <v>0.31900000000000001</v>
      </c>
      <c r="P793" s="10">
        <f t="shared" si="379"/>
        <v>5.3563888416724144</v>
      </c>
      <c r="Q793" s="45">
        <f t="shared" si="380"/>
        <v>2.8150372297782376</v>
      </c>
      <c r="R793" s="4">
        <f t="shared" si="381"/>
        <v>-46793.136944203776</v>
      </c>
      <c r="S793">
        <f t="shared" si="362"/>
        <v>-4.6793136944203777E-5</v>
      </c>
      <c r="T793" s="44">
        <f t="shared" si="363"/>
        <v>2.8266092257951919E-4</v>
      </c>
      <c r="U793" s="45">
        <f t="shared" si="382"/>
        <v>-8.3972623903220883E-2</v>
      </c>
      <c r="V793" s="45">
        <f t="shared" si="383"/>
        <v>2.539099323665895E-2</v>
      </c>
      <c r="W793" s="45">
        <f t="shared" si="384"/>
        <v>2.5832614096591381E-2</v>
      </c>
      <c r="X793" s="45">
        <f t="shared" si="385"/>
        <v>-4.4162085993243103E-4</v>
      </c>
      <c r="Y793" s="45">
        <f t="shared" si="359"/>
        <v>1.3413125492733896E-4</v>
      </c>
      <c r="Z793" s="10">
        <f t="shared" si="386"/>
        <v>0.47453059200146308</v>
      </c>
      <c r="AA793">
        <f t="shared" si="364"/>
        <v>254415.85332377127</v>
      </c>
      <c r="AB793" s="10">
        <f t="shared" si="365"/>
        <v>0.25441585332377126</v>
      </c>
      <c r="AC793" s="10">
        <f t="shared" si="366"/>
        <v>0.15341585332377125</v>
      </c>
      <c r="AD793" s="3">
        <f t="shared" si="367"/>
        <v>22.250305050583211</v>
      </c>
      <c r="AI793" s="100">
        <f t="shared" si="368"/>
        <v>2.5832614096591381E-2</v>
      </c>
    </row>
    <row r="794" spans="2:35">
      <c r="B794" s="39">
        <f t="shared" si="369"/>
        <v>766</v>
      </c>
      <c r="C794" s="45">
        <f t="shared" si="370"/>
        <v>22.502398081533332</v>
      </c>
      <c r="D794" s="10">
        <f t="shared" si="371"/>
        <v>-7.0523980815331022</v>
      </c>
      <c r="E794" s="40">
        <f t="shared" si="372"/>
        <v>62.444796163066208</v>
      </c>
      <c r="F794" s="40">
        <f t="shared" si="373"/>
        <v>48.34</v>
      </c>
      <c r="G794" s="3">
        <f t="shared" si="374"/>
        <v>38.190407673867583</v>
      </c>
      <c r="H794" s="3">
        <f t="shared" si="375"/>
        <v>148.0155219248214</v>
      </c>
      <c r="I794">
        <f t="shared" si="360"/>
        <v>1.4801552192482141E-4</v>
      </c>
      <c r="J794" s="4">
        <f t="shared" si="376"/>
        <v>3067.1031103256937</v>
      </c>
      <c r="K794" s="40">
        <f t="shared" si="377"/>
        <v>20.721496437944573</v>
      </c>
      <c r="L794" s="40">
        <f t="shared" si="361"/>
        <v>0</v>
      </c>
      <c r="M794" s="10">
        <f t="shared" si="378"/>
        <v>0.25441585332377126</v>
      </c>
      <c r="N794" s="10">
        <f t="shared" si="357"/>
        <v>8.26</v>
      </c>
      <c r="O794" s="10">
        <f t="shared" si="358"/>
        <v>0.31900000000000001</v>
      </c>
      <c r="P794" s="10">
        <f t="shared" si="379"/>
        <v>5.337632113152444</v>
      </c>
      <c r="Q794" s="45">
        <f t="shared" si="380"/>
        <v>2.8205408872387379</v>
      </c>
      <c r="R794" s="4">
        <f t="shared" si="381"/>
        <v>-46869.589841740904</v>
      </c>
      <c r="S794">
        <f t="shared" si="362"/>
        <v>-4.6869589841740901E-5</v>
      </c>
      <c r="T794" s="44">
        <f t="shared" si="363"/>
        <v>2.8273737547705632E-4</v>
      </c>
      <c r="U794" s="45">
        <f t="shared" si="382"/>
        <v>-8.4109822450496141E-2</v>
      </c>
      <c r="V794" s="45">
        <f t="shared" si="383"/>
        <v>2.4928613065026427E-2</v>
      </c>
      <c r="W794" s="45">
        <f t="shared" si="384"/>
        <v>2.5367460064234092E-2</v>
      </c>
      <c r="X794" s="45">
        <f t="shared" si="385"/>
        <v>-4.3884699920766421E-4</v>
      </c>
      <c r="Y794" s="45">
        <f t="shared" si="359"/>
        <v>1.3171599136613152E-4</v>
      </c>
      <c r="Z794" s="10">
        <f t="shared" si="386"/>
        <v>0.46585985013085068</v>
      </c>
      <c r="AA794">
        <f t="shared" si="364"/>
        <v>251612.60041352254</v>
      </c>
      <c r="AB794" s="10">
        <f t="shared" si="365"/>
        <v>0.25161260041352251</v>
      </c>
      <c r="AC794" s="10">
        <f t="shared" si="366"/>
        <v>0.15061260041352251</v>
      </c>
      <c r="AD794" s="3">
        <f t="shared" si="367"/>
        <v>21.843741901888688</v>
      </c>
      <c r="AI794" s="100">
        <f t="shared" si="368"/>
        <v>2.5367460064234092E-2</v>
      </c>
    </row>
    <row r="795" spans="2:35">
      <c r="B795" s="39">
        <f t="shared" si="369"/>
        <v>767</v>
      </c>
      <c r="C795" s="45">
        <f t="shared" si="370"/>
        <v>22.531774580334289</v>
      </c>
      <c r="D795" s="10">
        <f t="shared" si="371"/>
        <v>-7.0817745803340593</v>
      </c>
      <c r="E795" s="40">
        <f t="shared" si="372"/>
        <v>62.503549160668122</v>
      </c>
      <c r="F795" s="40">
        <f t="shared" si="373"/>
        <v>48.34</v>
      </c>
      <c r="G795" s="3">
        <f t="shared" si="374"/>
        <v>38.072901678663754</v>
      </c>
      <c r="H795" s="3">
        <f t="shared" si="375"/>
        <v>148.0155219248214</v>
      </c>
      <c r="I795">
        <f t="shared" si="360"/>
        <v>1.4801552192482141E-4</v>
      </c>
      <c r="J795" s="4">
        <f t="shared" si="376"/>
        <v>3072.8687887979995</v>
      </c>
      <c r="K795" s="40">
        <f t="shared" si="377"/>
        <v>20.760449639590778</v>
      </c>
      <c r="L795" s="40">
        <f t="shared" si="361"/>
        <v>0</v>
      </c>
      <c r="M795" s="10">
        <f t="shared" si="378"/>
        <v>0.25161260041352251</v>
      </c>
      <c r="N795" s="10">
        <f t="shared" si="357"/>
        <v>8.26</v>
      </c>
      <c r="O795" s="10">
        <f t="shared" si="358"/>
        <v>0.31900000000000001</v>
      </c>
      <c r="P795" s="10">
        <f t="shared" si="379"/>
        <v>5.3188002257231446</v>
      </c>
      <c r="Q795" s="45">
        <f t="shared" si="380"/>
        <v>2.8260640310971752</v>
      </c>
      <c r="R795" s="4">
        <f t="shared" si="381"/>
        <v>-46944.895450979639</v>
      </c>
      <c r="S795">
        <f t="shared" si="362"/>
        <v>-4.6944895450979638E-5</v>
      </c>
      <c r="T795" s="44">
        <f t="shared" si="363"/>
        <v>2.8281268108629507E-4</v>
      </c>
      <c r="U795" s="45">
        <f t="shared" si="382"/>
        <v>-8.4244962131555495E-2</v>
      </c>
      <c r="V795" s="45">
        <f t="shared" si="383"/>
        <v>2.4467890846788371E-2</v>
      </c>
      <c r="W795" s="45">
        <f t="shared" si="384"/>
        <v>2.4903939478127468E-2</v>
      </c>
      <c r="X795" s="45">
        <f t="shared" si="385"/>
        <v>-4.3604863133909696E-4</v>
      </c>
      <c r="Y795" s="45">
        <f t="shared" si="359"/>
        <v>1.2930763204597098E-4</v>
      </c>
      <c r="Z795" s="10">
        <f t="shared" si="386"/>
        <v>0.45722006364529016</v>
      </c>
      <c r="AA795">
        <f t="shared" si="364"/>
        <v>248819.3553866279</v>
      </c>
      <c r="AB795" s="10">
        <f t="shared" si="365"/>
        <v>0.24881935538662789</v>
      </c>
      <c r="AC795" s="10">
        <f t="shared" si="366"/>
        <v>0.14781935538662788</v>
      </c>
      <c r="AD795" s="3">
        <f t="shared" si="367"/>
        <v>21.438630222861189</v>
      </c>
      <c r="AI795" s="100">
        <f t="shared" si="368"/>
        <v>2.4903939478127468E-2</v>
      </c>
    </row>
    <row r="796" spans="2:35">
      <c r="B796" s="39">
        <f t="shared" si="369"/>
        <v>768</v>
      </c>
      <c r="C796" s="45">
        <f t="shared" si="370"/>
        <v>22.561151079135247</v>
      </c>
      <c r="D796" s="10">
        <f t="shared" si="371"/>
        <v>-7.1111510791350163</v>
      </c>
      <c r="E796" s="40">
        <f t="shared" si="372"/>
        <v>62.562302158270036</v>
      </c>
      <c r="F796" s="40">
        <f t="shared" si="373"/>
        <v>48.34</v>
      </c>
      <c r="G796" s="3">
        <f t="shared" si="374"/>
        <v>37.955395683459926</v>
      </c>
      <c r="H796" s="3">
        <f t="shared" si="375"/>
        <v>148.0155219248214</v>
      </c>
      <c r="I796">
        <f t="shared" si="360"/>
        <v>1.4801552192482141E-4</v>
      </c>
      <c r="J796" s="4">
        <f t="shared" si="376"/>
        <v>3078.6398895252796</v>
      </c>
      <c r="K796" s="40">
        <f t="shared" si="377"/>
        <v>20.799439474252924</v>
      </c>
      <c r="L796" s="40">
        <f t="shared" si="361"/>
        <v>0</v>
      </c>
      <c r="M796" s="10">
        <f t="shared" si="378"/>
        <v>0.24881935538662789</v>
      </c>
      <c r="N796" s="10">
        <f t="shared" ref="N796:N862" si="387">IF(fueltype=1,VLOOKUP($M796,kndxbn_,4),IF(fueltype=2,VLOOKUP($M796,knsobn_,4),IF(fueltype=3,VLOOKUP($M796,knsbcobn_,4),IF(fueltype=4,VLOOKUP($M796,knsubn_,4),IF(fueltype=5,am_1,IF(fueltype=6,am_0,IF(fueltype=7,am_3,am_4)))))))</f>
        <v>8.26</v>
      </c>
      <c r="O796" s="10">
        <f t="shared" ref="O796:O862" si="388">IF(fueltype=1,VLOOKUP($M796,kndxbn_,5),IF(fueltype=2,VLOOKUP($M796,knsobn_,5),IF(fueltype=3,VLOOKUP($M796,knsbcobn_,5),IF(fueltype=4,VLOOKUP($M796,knsubn_,5),IF(fueltype=5,nm_1,IF(fueltype=6,an_0,IF(fueltype=7,nm_3,nm_4)))))))</f>
        <v>0.31900000000000001</v>
      </c>
      <c r="P796" s="10">
        <f t="shared" si="379"/>
        <v>5.2998929131147285</v>
      </c>
      <c r="Q796" s="45">
        <f t="shared" si="380"/>
        <v>2.8316068787136364</v>
      </c>
      <c r="R796" s="4">
        <f t="shared" si="381"/>
        <v>-47019.051860477579</v>
      </c>
      <c r="S796">
        <f t="shared" si="362"/>
        <v>-4.701905186047758E-5</v>
      </c>
      <c r="T796" s="44">
        <f t="shared" si="363"/>
        <v>2.8288683749579297E-4</v>
      </c>
      <c r="U796" s="45">
        <f t="shared" si="382"/>
        <v>-8.4378039516220027E-2</v>
      </c>
      <c r="V796" s="45">
        <f t="shared" si="383"/>
        <v>2.400884777516123E-2</v>
      </c>
      <c r="W796" s="45">
        <f t="shared" si="384"/>
        <v>2.4442073705234813E-2</v>
      </c>
      <c r="X796" s="45">
        <f t="shared" si="385"/>
        <v>-4.3322593007358301E-4</v>
      </c>
      <c r="Y796" s="45">
        <f t="shared" si="359"/>
        <v>1.2690632673207345E-4</v>
      </c>
      <c r="Z796" s="10">
        <f t="shared" si="386"/>
        <v>0.44861163515238056</v>
      </c>
      <c r="AA796">
        <f t="shared" si="364"/>
        <v>246036.24840621994</v>
      </c>
      <c r="AB796" s="10">
        <f t="shared" si="365"/>
        <v>0.24603624840621993</v>
      </c>
      <c r="AC796" s="10">
        <f t="shared" si="366"/>
        <v>0.14503624840621993</v>
      </c>
      <c r="AD796" s="3">
        <f t="shared" si="367"/>
        <v>21.034988891402456</v>
      </c>
      <c r="AI796" s="100">
        <f t="shared" si="368"/>
        <v>2.4442073705234813E-2</v>
      </c>
    </row>
    <row r="797" spans="2:35">
      <c r="B797" s="39">
        <f t="shared" si="369"/>
        <v>769</v>
      </c>
      <c r="C797" s="45">
        <f t="shared" si="370"/>
        <v>22.590527577936204</v>
      </c>
      <c r="D797" s="10">
        <f t="shared" si="371"/>
        <v>-7.1405275779359734</v>
      </c>
      <c r="E797" s="40">
        <f t="shared" si="372"/>
        <v>62.62105515587195</v>
      </c>
      <c r="F797" s="40">
        <f t="shared" si="373"/>
        <v>48.34</v>
      </c>
      <c r="G797" s="3">
        <f t="shared" si="374"/>
        <v>37.837889688256098</v>
      </c>
      <c r="H797" s="3">
        <f t="shared" si="375"/>
        <v>148.0155219248214</v>
      </c>
      <c r="I797">
        <f t="shared" si="360"/>
        <v>1.4801552192482141E-4</v>
      </c>
      <c r="J797" s="4">
        <f t="shared" si="376"/>
        <v>3084.416412507534</v>
      </c>
      <c r="K797" s="40">
        <f t="shared" si="377"/>
        <v>20.838465941931013</v>
      </c>
      <c r="L797" s="40">
        <f t="shared" si="361"/>
        <v>0</v>
      </c>
      <c r="M797" s="10">
        <f t="shared" si="378"/>
        <v>0.24603624840621993</v>
      </c>
      <c r="N797" s="10">
        <f t="shared" si="387"/>
        <v>8.26</v>
      </c>
      <c r="O797" s="10">
        <f t="shared" si="388"/>
        <v>0.31900000000000001</v>
      </c>
      <c r="P797" s="10">
        <f t="shared" si="379"/>
        <v>5.2809099140879816</v>
      </c>
      <c r="Q797" s="45">
        <f t="shared" si="380"/>
        <v>2.8371696509023061</v>
      </c>
      <c r="R797" s="4">
        <f t="shared" si="381"/>
        <v>-47092.057158792319</v>
      </c>
      <c r="S797">
        <f t="shared" si="362"/>
        <v>-4.7092057158792316E-5</v>
      </c>
      <c r="T797" s="44">
        <f t="shared" si="363"/>
        <v>2.8295984279410772E-4</v>
      </c>
      <c r="U797" s="45">
        <f t="shared" si="382"/>
        <v>-8.4509051174310748E-2</v>
      </c>
      <c r="V797" s="45">
        <f t="shared" si="383"/>
        <v>2.3551505193321741E-2</v>
      </c>
      <c r="W797" s="45">
        <f t="shared" si="384"/>
        <v>2.3981884268156273E-2</v>
      </c>
      <c r="X797" s="45">
        <f t="shared" si="385"/>
        <v>-4.303790748345325E-4</v>
      </c>
      <c r="Y797" s="45">
        <f t="shared" si="359"/>
        <v>1.2451222598399851E-4</v>
      </c>
      <c r="Z797" s="10">
        <f t="shared" si="386"/>
        <v>0.44003497017277576</v>
      </c>
      <c r="AA797">
        <f t="shared" si="364"/>
        <v>243263.41057722256</v>
      </c>
      <c r="AB797" s="10">
        <f t="shared" si="365"/>
        <v>0.24326341057722256</v>
      </c>
      <c r="AC797" s="10">
        <f t="shared" si="366"/>
        <v>0.14226341057722255</v>
      </c>
      <c r="AD797" s="3">
        <f t="shared" si="367"/>
        <v>20.632836922004721</v>
      </c>
      <c r="AI797" s="100">
        <f t="shared" si="368"/>
        <v>2.3981884268156273E-2</v>
      </c>
    </row>
    <row r="798" spans="2:35">
      <c r="B798" s="39">
        <f t="shared" si="369"/>
        <v>770</v>
      </c>
      <c r="C798" s="45">
        <f t="shared" si="370"/>
        <v>22.619904076737161</v>
      </c>
      <c r="D798" s="10">
        <f t="shared" si="371"/>
        <v>-7.1699040767369304</v>
      </c>
      <c r="E798" s="40">
        <f t="shared" si="372"/>
        <v>62.679808153473864</v>
      </c>
      <c r="F798" s="40">
        <f t="shared" si="373"/>
        <v>48.34</v>
      </c>
      <c r="G798" s="3">
        <f t="shared" si="374"/>
        <v>37.72038369305227</v>
      </c>
      <c r="H798" s="3">
        <f t="shared" si="375"/>
        <v>148.0155219248214</v>
      </c>
      <c r="I798">
        <f t="shared" si="360"/>
        <v>1.4801552192482141E-4</v>
      </c>
      <c r="J798" s="4">
        <f t="shared" si="376"/>
        <v>3090.1983577447618</v>
      </c>
      <c r="K798" s="40">
        <f t="shared" si="377"/>
        <v>20.877529042625039</v>
      </c>
      <c r="L798" s="40">
        <f t="shared" si="361"/>
        <v>0</v>
      </c>
      <c r="M798" s="10">
        <f t="shared" si="378"/>
        <v>0.24326341057722256</v>
      </c>
      <c r="N798" s="10">
        <f t="shared" si="387"/>
        <v>8.26</v>
      </c>
      <c r="O798" s="10">
        <f t="shared" si="388"/>
        <v>0.31900000000000001</v>
      </c>
      <c r="P798" s="10">
        <f t="shared" si="379"/>
        <v>5.2618509727634155</v>
      </c>
      <c r="Q798" s="45">
        <f t="shared" si="380"/>
        <v>2.8427525719985169</v>
      </c>
      <c r="R798" s="4">
        <f t="shared" si="381"/>
        <v>-47163.909434481458</v>
      </c>
      <c r="S798">
        <f t="shared" si="362"/>
        <v>-4.716390943448146E-5</v>
      </c>
      <c r="T798" s="44">
        <f t="shared" si="363"/>
        <v>2.8303169506979685E-4</v>
      </c>
      <c r="U798" s="45">
        <f t="shared" si="382"/>
        <v>-8.4637993675648698E-2</v>
      </c>
      <c r="V798" s="45">
        <f t="shared" si="383"/>
        <v>2.3095884594440064E-2</v>
      </c>
      <c r="W798" s="45">
        <f t="shared" si="384"/>
        <v>2.3523392845218108E-2</v>
      </c>
      <c r="X798" s="45">
        <f t="shared" si="385"/>
        <v>-4.2750825077804422E-4</v>
      </c>
      <c r="Y798" s="45">
        <f t="shared" ref="Y798:Y861" si="389">IF((X798*(Q798-Q797)+Y797)&lt;0,0,X798*(Q798-Q797)+Y797)</f>
        <v>1.2212548115192557E-4</v>
      </c>
      <c r="Z798" s="10">
        <f t="shared" si="386"/>
        <v>0.43149047714182287</v>
      </c>
      <c r="AA798">
        <f t="shared" si="364"/>
        <v>240500.97394688069</v>
      </c>
      <c r="AB798" s="10">
        <f t="shared" si="365"/>
        <v>0.24050097394688069</v>
      </c>
      <c r="AC798" s="10">
        <f t="shared" si="366"/>
        <v>0.13950097394688069</v>
      </c>
      <c r="AD798" s="3">
        <f t="shared" si="367"/>
        <v>20.23219346582751</v>
      </c>
      <c r="AI798" s="100">
        <f t="shared" si="368"/>
        <v>2.3523392845218108E-2</v>
      </c>
    </row>
    <row r="799" spans="2:35">
      <c r="B799" s="39">
        <f t="shared" si="369"/>
        <v>771</v>
      </c>
      <c r="C799" s="45">
        <f t="shared" si="370"/>
        <v>22.649280575538118</v>
      </c>
      <c r="D799" s="10">
        <f t="shared" si="371"/>
        <v>-7.1992805755378875</v>
      </c>
      <c r="E799" s="40">
        <f t="shared" si="372"/>
        <v>62.738561151075778</v>
      </c>
      <c r="F799" s="40">
        <f t="shared" si="373"/>
        <v>48.34</v>
      </c>
      <c r="G799" s="3">
        <f t="shared" si="374"/>
        <v>37.602877697848442</v>
      </c>
      <c r="H799" s="3">
        <f t="shared" si="375"/>
        <v>148.0155219248214</v>
      </c>
      <c r="I799">
        <f t="shared" si="360"/>
        <v>1.4801552192482141E-4</v>
      </c>
      <c r="J799" s="4">
        <f t="shared" si="376"/>
        <v>3095.9857252369638</v>
      </c>
      <c r="K799" s="40">
        <f t="shared" si="377"/>
        <v>20.916628776335003</v>
      </c>
      <c r="L799" s="40">
        <f t="shared" si="361"/>
        <v>0</v>
      </c>
      <c r="M799" s="10">
        <f t="shared" si="378"/>
        <v>0.24050097394688069</v>
      </c>
      <c r="N799" s="10">
        <f t="shared" si="387"/>
        <v>8.26</v>
      </c>
      <c r="O799" s="10">
        <f t="shared" si="388"/>
        <v>0.31900000000000001</v>
      </c>
      <c r="P799" s="10">
        <f t="shared" si="379"/>
        <v>5.2427158389676629</v>
      </c>
      <c r="Q799" s="45">
        <f t="shared" si="380"/>
        <v>2.8483558699271612</v>
      </c>
      <c r="R799" s="4">
        <f t="shared" si="381"/>
        <v>-47234.606776102613</v>
      </c>
      <c r="S799">
        <f t="shared" si="362"/>
        <v>-4.7234606776102611E-5</v>
      </c>
      <c r="T799" s="44">
        <f t="shared" si="363"/>
        <v>2.83102392411418E-4</v>
      </c>
      <c r="U799" s="45">
        <f t="shared" si="382"/>
        <v>-8.4764863590054945E-2</v>
      </c>
      <c r="V799" s="45">
        <f t="shared" si="383"/>
        <v>2.2642007621562314E-2</v>
      </c>
      <c r="W799" s="45">
        <f t="shared" si="384"/>
        <v>2.3066621270560275E-2</v>
      </c>
      <c r="X799" s="45">
        <f t="shared" si="385"/>
        <v>-4.2461364899796031E-4</v>
      </c>
      <c r="Y799" s="45">
        <f t="shared" si="389"/>
        <v>1.1974624437202124E-4</v>
      </c>
      <c r="Z799" s="10">
        <f t="shared" si="386"/>
        <v>0.42297856740821971</v>
      </c>
      <c r="AA799">
        <f t="shared" si="364"/>
        <v>237749.07150432622</v>
      </c>
      <c r="AB799" s="10">
        <f t="shared" si="365"/>
        <v>0.23774907150432623</v>
      </c>
      <c r="AC799" s="10">
        <f t="shared" si="366"/>
        <v>0.13674907150432622</v>
      </c>
      <c r="AD799" s="3">
        <f t="shared" si="367"/>
        <v>19.833077810634695</v>
      </c>
      <c r="AI799" s="100">
        <f t="shared" si="368"/>
        <v>2.3066621270560275E-2</v>
      </c>
    </row>
    <row r="800" spans="2:35">
      <c r="B800" s="39">
        <f t="shared" si="369"/>
        <v>772</v>
      </c>
      <c r="C800" s="45">
        <f t="shared" si="370"/>
        <v>22.678657074339075</v>
      </c>
      <c r="D800" s="10">
        <f t="shared" si="371"/>
        <v>-7.2286570743388445</v>
      </c>
      <c r="E800" s="40">
        <f t="shared" si="372"/>
        <v>62.797314148677692</v>
      </c>
      <c r="F800" s="40">
        <f t="shared" si="373"/>
        <v>48.34</v>
      </c>
      <c r="G800" s="3">
        <f t="shared" si="374"/>
        <v>37.485371702644613</v>
      </c>
      <c r="H800" s="3">
        <f t="shared" si="375"/>
        <v>148.0155219248214</v>
      </c>
      <c r="I800">
        <f t="shared" si="360"/>
        <v>1.4801552192482141E-4</v>
      </c>
      <c r="J800" s="4">
        <f t="shared" si="376"/>
        <v>3101.7785149841393</v>
      </c>
      <c r="K800" s="40">
        <f t="shared" si="377"/>
        <v>20.955765143060905</v>
      </c>
      <c r="L800" s="40">
        <f t="shared" si="361"/>
        <v>0</v>
      </c>
      <c r="M800" s="10">
        <f t="shared" si="378"/>
        <v>0.23774907150432623</v>
      </c>
      <c r="N800" s="10">
        <f t="shared" si="387"/>
        <v>8.26</v>
      </c>
      <c r="O800" s="10">
        <f t="shared" si="388"/>
        <v>0.31900000000000001</v>
      </c>
      <c r="P800" s="10">
        <f t="shared" si="379"/>
        <v>5.2235042685913076</v>
      </c>
      <c r="Q800" s="45">
        <f t="shared" si="380"/>
        <v>2.8539797762724852</v>
      </c>
      <c r="R800" s="4">
        <f t="shared" si="381"/>
        <v>-47304.147272213355</v>
      </c>
      <c r="S800">
        <f t="shared" si="362"/>
        <v>-4.7304147272213352E-5</v>
      </c>
      <c r="T800" s="44">
        <f t="shared" si="363"/>
        <v>2.8317193290752876E-4</v>
      </c>
      <c r="U800" s="45">
        <f t="shared" si="382"/>
        <v>-8.4889657487350473E-2</v>
      </c>
      <c r="V800" s="45">
        <f t="shared" si="383"/>
        <v>2.2189896067399174E-2</v>
      </c>
      <c r="W800" s="45">
        <f t="shared" si="384"/>
        <v>2.2611591534064637E-2</v>
      </c>
      <c r="X800" s="45">
        <f t="shared" si="385"/>
        <v>-4.2169546666546293E-4</v>
      </c>
      <c r="Y800" s="45">
        <f t="shared" si="389"/>
        <v>1.1737466856124695E-4</v>
      </c>
      <c r="Z800" s="10">
        <f t="shared" si="386"/>
        <v>0.41449965523093085</v>
      </c>
      <c r="AA800">
        <f t="shared" si="364"/>
        <v>235007.83717958099</v>
      </c>
      <c r="AB800" s="10">
        <f t="shared" si="365"/>
        <v>0.23500783717958099</v>
      </c>
      <c r="AC800" s="10">
        <f t="shared" si="366"/>
        <v>0.13400783717958098</v>
      </c>
      <c r="AD800" s="3">
        <f t="shared" si="367"/>
        <v>19.435509380649886</v>
      </c>
      <c r="AI800" s="100">
        <f t="shared" si="368"/>
        <v>2.2611591534064637E-2</v>
      </c>
    </row>
    <row r="801" spans="2:35">
      <c r="B801" s="39">
        <f t="shared" si="369"/>
        <v>773</v>
      </c>
      <c r="C801" s="45">
        <f t="shared" si="370"/>
        <v>22.708033573140032</v>
      </c>
      <c r="D801" s="10">
        <f t="shared" si="371"/>
        <v>-7.2580335731398016</v>
      </c>
      <c r="E801" s="40">
        <f t="shared" si="372"/>
        <v>62.856067146279607</v>
      </c>
      <c r="F801" s="40">
        <f t="shared" si="373"/>
        <v>48.34</v>
      </c>
      <c r="G801" s="3">
        <f t="shared" si="374"/>
        <v>37.367865707440785</v>
      </c>
      <c r="H801" s="3">
        <f t="shared" si="375"/>
        <v>148.0155219248214</v>
      </c>
      <c r="I801">
        <f t="shared" si="360"/>
        <v>1.4801552192482141E-4</v>
      </c>
      <c r="J801" s="4">
        <f t="shared" si="376"/>
        <v>3107.576726986289</v>
      </c>
      <c r="K801" s="40">
        <f t="shared" si="377"/>
        <v>20.994938142802745</v>
      </c>
      <c r="L801" s="40">
        <f t="shared" si="361"/>
        <v>0</v>
      </c>
      <c r="M801" s="10">
        <f t="shared" si="378"/>
        <v>0.23500783717958099</v>
      </c>
      <c r="N801" s="10">
        <f t="shared" si="387"/>
        <v>8.26</v>
      </c>
      <c r="O801" s="10">
        <f t="shared" si="388"/>
        <v>0.31900000000000001</v>
      </c>
      <c r="P801" s="10">
        <f t="shared" si="379"/>
        <v>5.2042160239615987</v>
      </c>
      <c r="Q801" s="45">
        <f t="shared" si="380"/>
        <v>2.8596245263492883</v>
      </c>
      <c r="R801" s="4">
        <f t="shared" si="381"/>
        <v>-47372.529011371298</v>
      </c>
      <c r="S801">
        <f t="shared" si="362"/>
        <v>-4.7372529011371296E-5</v>
      </c>
      <c r="T801" s="44">
        <f t="shared" si="363"/>
        <v>2.8324031464668672E-4</v>
      </c>
      <c r="U801" s="45">
        <f t="shared" si="382"/>
        <v>-8.5012371937356349E-2</v>
      </c>
      <c r="V801" s="45">
        <f t="shared" si="383"/>
        <v>2.1739571874079339E-2</v>
      </c>
      <c r="W801" s="45">
        <f t="shared" si="384"/>
        <v>2.2158325781190136E-2</v>
      </c>
      <c r="X801" s="45">
        <f t="shared" si="385"/>
        <v>-4.1875390711079707E-4</v>
      </c>
      <c r="Y801" s="45">
        <f t="shared" si="389"/>
        <v>1.1501090741192168E-4</v>
      </c>
      <c r="Z801" s="10">
        <f t="shared" si="386"/>
        <v>0.40605415777547771</v>
      </c>
      <c r="AA801">
        <f t="shared" si="364"/>
        <v>232277.40584235734</v>
      </c>
      <c r="AB801" s="10">
        <f t="shared" si="365"/>
        <v>0.23227740584235734</v>
      </c>
      <c r="AC801" s="10">
        <f t="shared" si="366"/>
        <v>0.13127740584235734</v>
      </c>
      <c r="AD801" s="3">
        <f t="shared" si="367"/>
        <v>19.0395077363825</v>
      </c>
      <c r="AI801" s="100">
        <f t="shared" si="368"/>
        <v>2.2158325781190136E-2</v>
      </c>
    </row>
    <row r="802" spans="2:35">
      <c r="B802" s="39">
        <f t="shared" si="369"/>
        <v>774</v>
      </c>
      <c r="C802" s="45">
        <f t="shared" si="370"/>
        <v>22.737410071940989</v>
      </c>
      <c r="D802" s="10">
        <f t="shared" si="371"/>
        <v>-7.2874100719407586</v>
      </c>
      <c r="E802" s="40">
        <f t="shared" si="372"/>
        <v>62.914820143881521</v>
      </c>
      <c r="F802" s="40">
        <f t="shared" si="373"/>
        <v>48.34</v>
      </c>
      <c r="G802" s="3">
        <f t="shared" si="374"/>
        <v>37.250359712236957</v>
      </c>
      <c r="H802" s="3">
        <f t="shared" si="375"/>
        <v>148.0155219248214</v>
      </c>
      <c r="I802">
        <f t="shared" si="360"/>
        <v>1.4801552192482141E-4</v>
      </c>
      <c r="J802" s="4">
        <f t="shared" si="376"/>
        <v>3113.3803612434131</v>
      </c>
      <c r="K802" s="40">
        <f t="shared" si="377"/>
        <v>21.03414777556053</v>
      </c>
      <c r="L802" s="40">
        <f t="shared" si="361"/>
        <v>0</v>
      </c>
      <c r="M802" s="10">
        <f t="shared" si="378"/>
        <v>0.23227740584235734</v>
      </c>
      <c r="N802" s="10">
        <f t="shared" si="387"/>
        <v>8.26</v>
      </c>
      <c r="O802" s="10">
        <f t="shared" si="388"/>
        <v>0.31900000000000001</v>
      </c>
      <c r="P802" s="10">
        <f t="shared" si="379"/>
        <v>5.1848508742333808</v>
      </c>
      <c r="Q802" s="45">
        <f t="shared" si="380"/>
        <v>2.8652903592755443</v>
      </c>
      <c r="R802" s="4">
        <f t="shared" si="381"/>
        <v>-47439.750082134044</v>
      </c>
      <c r="S802">
        <f t="shared" si="362"/>
        <v>-4.7439750082134043E-5</v>
      </c>
      <c r="T802" s="44">
        <f t="shared" si="363"/>
        <v>2.8330753571744946E-4</v>
      </c>
      <c r="U802" s="45">
        <f t="shared" si="382"/>
        <v>-8.513300350989364E-2</v>
      </c>
      <c r="V802" s="45">
        <f t="shared" si="383"/>
        <v>2.1291057132707434E-2</v>
      </c>
      <c r="W802" s="45">
        <f t="shared" si="384"/>
        <v>2.1706846312774464E-2</v>
      </c>
      <c r="X802" s="45">
        <f t="shared" si="385"/>
        <v>-4.1578918006703047E-4</v>
      </c>
      <c r="Y802" s="45">
        <f t="shared" si="389"/>
        <v>1.1265511538511692E-4</v>
      </c>
      <c r="Z802" s="10">
        <f t="shared" si="386"/>
        <v>0.39764249510634625</v>
      </c>
      <c r="AA802">
        <f t="shared" si="364"/>
        <v>229557.91329960356</v>
      </c>
      <c r="AB802" s="10">
        <f t="shared" si="365"/>
        <v>0.22955791329960357</v>
      </c>
      <c r="AC802" s="10">
        <f t="shared" si="366"/>
        <v>0.12855791329960356</v>
      </c>
      <c r="AD802" s="3">
        <f t="shared" si="367"/>
        <v>18.645092574271729</v>
      </c>
      <c r="AI802" s="100">
        <f t="shared" si="368"/>
        <v>2.1706846312774464E-2</v>
      </c>
    </row>
    <row r="803" spans="2:35">
      <c r="B803" s="39">
        <f t="shared" si="369"/>
        <v>775</v>
      </c>
      <c r="C803" s="45">
        <f t="shared" si="370"/>
        <v>22.766786570741946</v>
      </c>
      <c r="D803" s="10">
        <f t="shared" si="371"/>
        <v>-7.3167865707417157</v>
      </c>
      <c r="E803" s="40">
        <f t="shared" si="372"/>
        <v>62.973573141483435</v>
      </c>
      <c r="F803" s="40">
        <f t="shared" si="373"/>
        <v>48.34</v>
      </c>
      <c r="G803" s="3">
        <f t="shared" si="374"/>
        <v>37.132853717033129</v>
      </c>
      <c r="H803" s="3">
        <f t="shared" si="375"/>
        <v>148.0155219248214</v>
      </c>
      <c r="I803">
        <f t="shared" si="360"/>
        <v>1.4801552192482141E-4</v>
      </c>
      <c r="J803" s="4">
        <f t="shared" si="376"/>
        <v>3119.1894177555105</v>
      </c>
      <c r="K803" s="40">
        <f t="shared" si="377"/>
        <v>21.07339404133425</v>
      </c>
      <c r="L803" s="40">
        <f t="shared" si="361"/>
        <v>0</v>
      </c>
      <c r="M803" s="10">
        <f t="shared" si="378"/>
        <v>0.22955791329960357</v>
      </c>
      <c r="N803" s="10">
        <f t="shared" si="387"/>
        <v>8.26</v>
      </c>
      <c r="O803" s="10">
        <f t="shared" si="388"/>
        <v>0.31900000000000001</v>
      </c>
      <c r="P803" s="10">
        <f t="shared" si="379"/>
        <v>5.1654085957916243</v>
      </c>
      <c r="Q803" s="45">
        <f t="shared" si="380"/>
        <v>2.8709775180464674</v>
      </c>
      <c r="R803" s="4">
        <f t="shared" si="381"/>
        <v>-47505.808573059185</v>
      </c>
      <c r="S803">
        <f t="shared" si="362"/>
        <v>-4.7505808573059182E-5</v>
      </c>
      <c r="T803" s="44">
        <f t="shared" si="363"/>
        <v>2.8337359420837457E-4</v>
      </c>
      <c r="U803" s="45">
        <f t="shared" si="382"/>
        <v>-8.5251548774783359E-2</v>
      </c>
      <c r="V803" s="45">
        <f t="shared" si="383"/>
        <v>2.0844374082856502E-2</v>
      </c>
      <c r="W803" s="45">
        <f t="shared" si="384"/>
        <v>2.1257175584628144E-2</v>
      </c>
      <c r="X803" s="45">
        <f t="shared" si="385"/>
        <v>-4.1280150177164243E-4</v>
      </c>
      <c r="Y803" s="45">
        <f t="shared" si="389"/>
        <v>1.103074477036661E-4</v>
      </c>
      <c r="Z803" s="10">
        <f t="shared" si="386"/>
        <v>0.38926509017827948</v>
      </c>
      <c r="AA803">
        <f t="shared" si="364"/>
        <v>226849.49629268874</v>
      </c>
      <c r="AB803" s="10">
        <f t="shared" si="365"/>
        <v>0.22684949629268875</v>
      </c>
      <c r="AC803" s="10">
        <f t="shared" si="366"/>
        <v>0.12584949629268874</v>
      </c>
      <c r="AD803" s="3">
        <f t="shared" si="367"/>
        <v>18.252283726278279</v>
      </c>
      <c r="AI803" s="100">
        <f t="shared" si="368"/>
        <v>2.1257175584628144E-2</v>
      </c>
    </row>
    <row r="804" spans="2:35">
      <c r="B804" s="39">
        <f t="shared" si="369"/>
        <v>776</v>
      </c>
      <c r="C804" s="45">
        <f t="shared" si="370"/>
        <v>22.796163069542903</v>
      </c>
      <c r="D804" s="10">
        <f t="shared" si="371"/>
        <v>-7.3461630695426727</v>
      </c>
      <c r="E804" s="40">
        <f t="shared" si="372"/>
        <v>63.032326139085349</v>
      </c>
      <c r="F804" s="40">
        <f t="shared" si="373"/>
        <v>48.34</v>
      </c>
      <c r="G804" s="3">
        <f t="shared" si="374"/>
        <v>37.015347721829301</v>
      </c>
      <c r="H804" s="3">
        <f t="shared" si="375"/>
        <v>148.0155219248214</v>
      </c>
      <c r="I804">
        <f t="shared" si="360"/>
        <v>1.4801552192482141E-4</v>
      </c>
      <c r="J804" s="4">
        <f t="shared" si="376"/>
        <v>3125.0038965225813</v>
      </c>
      <c r="K804" s="40">
        <f t="shared" si="377"/>
        <v>21.112676940123908</v>
      </c>
      <c r="L804" s="40">
        <f t="shared" si="361"/>
        <v>0</v>
      </c>
      <c r="M804" s="10">
        <f t="shared" si="378"/>
        <v>0.22684949629268875</v>
      </c>
      <c r="N804" s="10">
        <f t="shared" si="387"/>
        <v>8.26</v>
      </c>
      <c r="O804" s="10">
        <f t="shared" si="388"/>
        <v>0.31900000000000001</v>
      </c>
      <c r="P804" s="10">
        <f t="shared" si="379"/>
        <v>5.14588897267266</v>
      </c>
      <c r="Q804" s="45">
        <f t="shared" si="380"/>
        <v>2.876686249610044</v>
      </c>
      <c r="R804" s="4">
        <f t="shared" si="381"/>
        <v>-47570.702572704315</v>
      </c>
      <c r="S804">
        <f t="shared" si="362"/>
        <v>-4.7570702572704313E-5</v>
      </c>
      <c r="T804" s="44">
        <f t="shared" si="363"/>
        <v>2.834384882080197E-4</v>
      </c>
      <c r="U804" s="45">
        <f t="shared" si="382"/>
        <v>-8.5368004301846517E-2</v>
      </c>
      <c r="V804" s="45">
        <f t="shared" si="383"/>
        <v>2.0399545111943633E-2</v>
      </c>
      <c r="W804" s="45">
        <f t="shared" si="384"/>
        <v>2.080933620706912E-2</v>
      </c>
      <c r="X804" s="45">
        <f t="shared" si="385"/>
        <v>-4.0979109512548698E-4</v>
      </c>
      <c r="Y804" s="45">
        <f t="shared" si="389"/>
        <v>1.0796806034445059E-4</v>
      </c>
      <c r="Z804" s="10">
        <f t="shared" si="386"/>
        <v>0.38092236882526426</v>
      </c>
      <c r="AA804">
        <f t="shared" si="364"/>
        <v>224152.29249384211</v>
      </c>
      <c r="AB804" s="10">
        <f t="shared" si="365"/>
        <v>0.22415229249384211</v>
      </c>
      <c r="AC804" s="10">
        <f t="shared" si="366"/>
        <v>0.1231522924938421</v>
      </c>
      <c r="AD804" s="3">
        <f t="shared" si="367"/>
        <v>17.861101159367962</v>
      </c>
      <c r="AI804" s="100">
        <f t="shared" si="368"/>
        <v>2.080933620706912E-2</v>
      </c>
    </row>
    <row r="805" spans="2:35">
      <c r="B805" s="39">
        <f t="shared" si="369"/>
        <v>777</v>
      </c>
      <c r="C805" s="45">
        <f t="shared" si="370"/>
        <v>22.82553956834386</v>
      </c>
      <c r="D805" s="10">
        <f t="shared" si="371"/>
        <v>-7.3755395683436298</v>
      </c>
      <c r="E805" s="40">
        <f t="shared" si="372"/>
        <v>63.091079136687263</v>
      </c>
      <c r="F805" s="40">
        <f t="shared" si="373"/>
        <v>48.34</v>
      </c>
      <c r="G805" s="3">
        <f t="shared" si="374"/>
        <v>36.897841726625472</v>
      </c>
      <c r="H805" s="3">
        <f t="shared" si="375"/>
        <v>148.0155219248214</v>
      </c>
      <c r="I805">
        <f t="shared" si="360"/>
        <v>1.4801552192482141E-4</v>
      </c>
      <c r="J805" s="4">
        <f t="shared" si="376"/>
        <v>3130.8237975446273</v>
      </c>
      <c r="K805" s="40">
        <f t="shared" si="377"/>
        <v>21.151996471929511</v>
      </c>
      <c r="L805" s="40">
        <f t="shared" si="361"/>
        <v>0</v>
      </c>
      <c r="M805" s="10">
        <f t="shared" si="378"/>
        <v>0.22415229249384211</v>
      </c>
      <c r="N805" s="10">
        <f t="shared" si="387"/>
        <v>8.26</v>
      </c>
      <c r="O805" s="10">
        <f t="shared" si="388"/>
        <v>0.31900000000000001</v>
      </c>
      <c r="P805" s="10">
        <f t="shared" si="379"/>
        <v>5.126291797002243</v>
      </c>
      <c r="Q805" s="45">
        <f t="shared" si="380"/>
        <v>2.8824168049440453</v>
      </c>
      <c r="R805" s="4">
        <f t="shared" si="381"/>
        <v>-47634.43016962707</v>
      </c>
      <c r="S805">
        <f t="shared" si="362"/>
        <v>-4.763443016962707E-5</v>
      </c>
      <c r="T805" s="44">
        <f t="shared" si="363"/>
        <v>2.8350221580494248E-4</v>
      </c>
      <c r="U805" s="45">
        <f t="shared" si="382"/>
        <v>-8.5482366660904252E-2</v>
      </c>
      <c r="V805" s="45">
        <f t="shared" si="383"/>
        <v>1.9956592754490268E-2</v>
      </c>
      <c r="W805" s="45">
        <f t="shared" si="384"/>
        <v>2.036335094433395E-2</v>
      </c>
      <c r="X805" s="45">
        <f t="shared" si="385"/>
        <v>-4.0675818984368256E-4</v>
      </c>
      <c r="Y805" s="45">
        <f t="shared" si="389"/>
        <v>1.0563711002999319E-4</v>
      </c>
      <c r="Z805" s="10">
        <f t="shared" si="386"/>
        <v>0.37261475974732594</v>
      </c>
      <c r="AA805">
        <f t="shared" si="364"/>
        <v>221466.44050188398</v>
      </c>
      <c r="AB805" s="10">
        <f t="shared" si="365"/>
        <v>0.22146644050188397</v>
      </c>
      <c r="AC805" s="10">
        <f t="shared" si="366"/>
        <v>0.12046644050188396</v>
      </c>
      <c r="AD805" s="3">
        <f t="shared" si="367"/>
        <v>17.471564974892527</v>
      </c>
      <c r="AI805" s="100">
        <f t="shared" si="368"/>
        <v>2.036335094433395E-2</v>
      </c>
    </row>
    <row r="806" spans="2:35">
      <c r="B806" s="39">
        <f t="shared" si="369"/>
        <v>778</v>
      </c>
      <c r="C806" s="45">
        <f t="shared" si="370"/>
        <v>22.854916067144817</v>
      </c>
      <c r="D806" s="10">
        <f t="shared" si="371"/>
        <v>-7.4049160671445868</v>
      </c>
      <c r="E806" s="40">
        <f t="shared" si="372"/>
        <v>63.149832134289177</v>
      </c>
      <c r="F806" s="40">
        <f t="shared" si="373"/>
        <v>48.34</v>
      </c>
      <c r="G806" s="3">
        <f t="shared" si="374"/>
        <v>36.780335731421644</v>
      </c>
      <c r="H806" s="3">
        <f t="shared" si="375"/>
        <v>148.0155219248214</v>
      </c>
      <c r="I806">
        <f t="shared" si="360"/>
        <v>1.4801552192482141E-4</v>
      </c>
      <c r="J806" s="4">
        <f t="shared" si="376"/>
        <v>3136.6491208216466</v>
      </c>
      <c r="K806" s="40">
        <f t="shared" si="377"/>
        <v>21.191352636751049</v>
      </c>
      <c r="L806" s="40">
        <f t="shared" si="361"/>
        <v>0</v>
      </c>
      <c r="M806" s="10">
        <f t="shared" si="378"/>
        <v>0.22146644050188397</v>
      </c>
      <c r="N806" s="10">
        <f t="shared" si="387"/>
        <v>8.26</v>
      </c>
      <c r="O806" s="10">
        <f t="shared" si="388"/>
        <v>0.31900000000000001</v>
      </c>
      <c r="P806" s="10">
        <f t="shared" si="379"/>
        <v>5.106616869451627</v>
      </c>
      <c r="Q806" s="45">
        <f t="shared" si="380"/>
        <v>2.8881694391345385</v>
      </c>
      <c r="R806" s="4">
        <f t="shared" si="381"/>
        <v>-47696.989452384994</v>
      </c>
      <c r="S806">
        <f t="shared" si="362"/>
        <v>-4.7696989452384994E-5</v>
      </c>
      <c r="T806" s="44">
        <f t="shared" si="363"/>
        <v>2.8356477508770039E-4</v>
      </c>
      <c r="U806" s="45">
        <f t="shared" si="382"/>
        <v>-8.5594632421777478E-2</v>
      </c>
      <c r="V806" s="45">
        <f t="shared" si="383"/>
        <v>1.9515539691148089E-2</v>
      </c>
      <c r="W806" s="45">
        <f t="shared" si="384"/>
        <v>1.991924271387192E-2</v>
      </c>
      <c r="X806" s="45">
        <f t="shared" si="385"/>
        <v>-4.0370302272383154E-4</v>
      </c>
      <c r="Y806" s="45">
        <f t="shared" si="389"/>
        <v>1.0331475421866663E-4</v>
      </c>
      <c r="Z806" s="10">
        <f t="shared" si="386"/>
        <v>0.36434269449269091</v>
      </c>
      <c r="AA806">
        <f t="shared" si="364"/>
        <v>218792.07983645855</v>
      </c>
      <c r="AB806" s="10">
        <f t="shared" si="365"/>
        <v>0.21879207983645854</v>
      </c>
      <c r="AC806" s="10">
        <f t="shared" si="366"/>
        <v>0.11779207983645854</v>
      </c>
      <c r="AD806" s="3">
        <f t="shared" si="367"/>
        <v>17.083695407753233</v>
      </c>
      <c r="AI806" s="100">
        <f t="shared" si="368"/>
        <v>1.991924271387192E-2</v>
      </c>
    </row>
    <row r="807" spans="2:35">
      <c r="B807" s="39">
        <f t="shared" si="369"/>
        <v>779</v>
      </c>
      <c r="C807" s="45">
        <f t="shared" si="370"/>
        <v>22.884292565945774</v>
      </c>
      <c r="D807" s="10">
        <f t="shared" si="371"/>
        <v>-7.4342925659455439</v>
      </c>
      <c r="E807" s="40">
        <f t="shared" si="372"/>
        <v>63.208585131891091</v>
      </c>
      <c r="F807" s="40">
        <f t="shared" si="373"/>
        <v>48.34</v>
      </c>
      <c r="G807" s="3">
        <f t="shared" si="374"/>
        <v>36.662829736217816</v>
      </c>
      <c r="H807" s="3">
        <f t="shared" si="375"/>
        <v>148.0155219248214</v>
      </c>
      <c r="I807">
        <f t="shared" ref="I807:I862" si="390">H807/1000^2</f>
        <v>1.4801552192482141E-4</v>
      </c>
      <c r="J807" s="4">
        <f t="shared" si="376"/>
        <v>3142.4798663536394</v>
      </c>
      <c r="K807" s="40">
        <f t="shared" si="377"/>
        <v>21.230745434588524</v>
      </c>
      <c r="L807" s="40">
        <f t="shared" ref="L807:L862" si="391">IF((gstar-K807)&lt;0,0,gstar-K807)</f>
        <v>0</v>
      </c>
      <c r="M807" s="10">
        <f t="shared" si="378"/>
        <v>0.21879207983645854</v>
      </c>
      <c r="N807" s="10">
        <f t="shared" si="387"/>
        <v>8.26</v>
      </c>
      <c r="O807" s="10">
        <f t="shared" si="388"/>
        <v>0.31900000000000001</v>
      </c>
      <c r="P807" s="10">
        <f t="shared" si="379"/>
        <v>5.0868639997067211</v>
      </c>
      <c r="Q807" s="45">
        <f t="shared" si="380"/>
        <v>2.8939444114559238</v>
      </c>
      <c r="R807" s="4">
        <f t="shared" si="381"/>
        <v>-47758.378509535716</v>
      </c>
      <c r="S807">
        <f t="shared" ref="S807:S862" si="392">R807/1000^3</f>
        <v>-4.7758378509535719E-5</v>
      </c>
      <c r="T807" s="44">
        <f t="shared" ref="T807:T862" si="393">(vc/1000^3-S807)</f>
        <v>2.8362616414485112E-4</v>
      </c>
      <c r="U807" s="45">
        <f t="shared" si="382"/>
        <v>-8.5704798154287318E-2</v>
      </c>
      <c r="V807" s="45">
        <f t="shared" si="383"/>
        <v>1.9076408747776007E-2</v>
      </c>
      <c r="W807" s="45">
        <f t="shared" si="384"/>
        <v>1.9477034585391462E-2</v>
      </c>
      <c r="X807" s="45">
        <f t="shared" si="385"/>
        <v>-4.0062583761545437E-4</v>
      </c>
      <c r="Y807" s="45">
        <f t="shared" si="389"/>
        <v>1.0100115109520555E-4</v>
      </c>
      <c r="Z807" s="10">
        <f t="shared" si="386"/>
        <v>0.35610660744127648</v>
      </c>
      <c r="AA807">
        <f t="shared" ref="AA807:AA862" si="394">Z807*rat*to+patm*1000000</f>
        <v>216129.35093269648</v>
      </c>
      <c r="AB807" s="10">
        <f t="shared" ref="AB807:AB862" si="395">AA807/1000000</f>
        <v>0.21612935093269647</v>
      </c>
      <c r="AC807" s="10">
        <f t="shared" ref="AC807:AC862" si="396">AB807-patm</f>
        <v>0.11512935093269647</v>
      </c>
      <c r="AD807" s="3">
        <f t="shared" ref="AD807:AD862" si="397">AC807*1000000/6895</f>
        <v>16.697512825626756</v>
      </c>
      <c r="AI807" s="100">
        <f t="shared" ref="AI807:AI862" si="398">($M807-patm)*1000000*$I807/SQRT(rat*to)*SQRT(k)*(2/(k+1))^((k+1)/2/(k-1))</f>
        <v>1.9477034585391462E-2</v>
      </c>
    </row>
    <row r="808" spans="2:35">
      <c r="B808" s="39">
        <f t="shared" ref="B808:B862" si="399">1+B807</f>
        <v>780</v>
      </c>
      <c r="C808" s="45">
        <f t="shared" ref="C808:C862" si="400">xincp+C807</f>
        <v>22.913669064746731</v>
      </c>
      <c r="D808" s="10">
        <f t="shared" ref="D808:D862" si="401">(F808-E808)/2</f>
        <v>-7.4636690647465009</v>
      </c>
      <c r="E808" s="40">
        <f t="shared" ref="E808:E862" si="402">E807+ci*2*xincp</f>
        <v>63.267338129493005</v>
      </c>
      <c r="F808" s="40">
        <f t="shared" ref="F808:F862" si="403">F807-osi*2*xincp</f>
        <v>48.34</v>
      </c>
      <c r="G808" s="3">
        <f t="shared" ref="G808:G862" si="404">G807-ei*n*2*xincp</f>
        <v>36.545323741013988</v>
      </c>
      <c r="H808" s="3">
        <f t="shared" ref="H808:H862" si="405">PI()/4*(dto+erate*(two-D808)/two)^2</f>
        <v>148.0155219248214</v>
      </c>
      <c r="I808">
        <f t="shared" si="390"/>
        <v>1.4801552192482141E-4</v>
      </c>
      <c r="J808" s="4">
        <f t="shared" ref="J808:J862" si="406">PI()/4*dc^2-PI()/4*(F808^2-E808^2)</f>
        <v>3148.3160341406065</v>
      </c>
      <c r="K808" s="40">
        <f t="shared" ref="K808:K862" si="407">J808/H808</f>
        <v>21.270174865441941</v>
      </c>
      <c r="L808" s="40">
        <f t="shared" si="391"/>
        <v>0</v>
      </c>
      <c r="M808" s="10">
        <f t="shared" ref="M808:M862" si="408">AB807</f>
        <v>0.21612935093269647</v>
      </c>
      <c r="N808" s="10">
        <f t="shared" si="387"/>
        <v>8.26</v>
      </c>
      <c r="O808" s="10">
        <f t="shared" si="388"/>
        <v>0.31900000000000001</v>
      </c>
      <c r="P808" s="10">
        <f t="shared" ref="P808:P862" si="409">(1+kv*L808)*N808*M808^O808</f>
        <v>5.067033006965393</v>
      </c>
      <c r="Q808" s="45">
        <f t="shared" ref="Q808:Q862" si="410">xincp/P808+Q807</f>
        <v>2.8997419854524966</v>
      </c>
      <c r="R808" s="4">
        <f t="shared" ref="R808:R862" si="411">PI()/4*(F808^2-E808^2)*G808</f>
        <v>-47818.595429636836</v>
      </c>
      <c r="S808">
        <f t="shared" si="392"/>
        <v>-4.7818595429636838E-5</v>
      </c>
      <c r="T808" s="44">
        <f t="shared" si="393"/>
        <v>2.8368638106495228E-4</v>
      </c>
      <c r="U808" s="45">
        <f t="shared" ref="U808:U862" si="412">rhopgrain*R808/1000^2</f>
        <v>-8.581286042825477E-2</v>
      </c>
      <c r="V808" s="45">
        <f t="shared" ref="V808:V862" si="413">(U807-U808)/(Q808-Q807)</f>
        <v>1.8639222894150702E-2</v>
      </c>
      <c r="W808" s="45">
        <f t="shared" ref="W808:W862" si="414">IF(V808&lt;AI808,IF(AB807&gt;pbd,AI808,0),AI808)</f>
        <v>1.903674977997755E-2</v>
      </c>
      <c r="X808" s="45">
        <f t="shared" ref="X808:X862" si="415">V808-W808</f>
        <v>-3.9752688582684811E-4</v>
      </c>
      <c r="Y808" s="45">
        <f t="shared" si="389"/>
        <v>9.8696459558997266E-5</v>
      </c>
      <c r="Z808" s="10">
        <f t="shared" ref="Z808:Z862" si="416">Y808/T808</f>
        <v>0.34790693578060738</v>
      </c>
      <c r="AA808">
        <f t="shared" si="394"/>
        <v>213478.39513342862</v>
      </c>
      <c r="AB808" s="10">
        <f t="shared" si="395"/>
        <v>0.21347839513342862</v>
      </c>
      <c r="AC808" s="10">
        <f t="shared" si="396"/>
        <v>0.11247839513342861</v>
      </c>
      <c r="AD808" s="3">
        <f t="shared" si="397"/>
        <v>16.313037727835912</v>
      </c>
      <c r="AI808" s="100">
        <f t="shared" si="398"/>
        <v>1.903674977997755E-2</v>
      </c>
    </row>
    <row r="809" spans="2:35">
      <c r="B809" s="39">
        <f t="shared" si="399"/>
        <v>781</v>
      </c>
      <c r="C809" s="45">
        <f t="shared" si="400"/>
        <v>22.943045563547688</v>
      </c>
      <c r="D809" s="10">
        <f t="shared" si="401"/>
        <v>-7.493045563547458</v>
      </c>
      <c r="E809" s="40">
        <f t="shared" si="402"/>
        <v>63.326091127094919</v>
      </c>
      <c r="F809" s="40">
        <f t="shared" si="403"/>
        <v>48.34</v>
      </c>
      <c r="G809" s="3">
        <f t="shared" si="404"/>
        <v>36.42781774581016</v>
      </c>
      <c r="H809" s="3">
        <f t="shared" si="405"/>
        <v>148.0155219248214</v>
      </c>
      <c r="I809">
        <f t="shared" si="390"/>
        <v>1.4801552192482141E-4</v>
      </c>
      <c r="J809" s="4">
        <f t="shared" si="406"/>
        <v>3154.1576241825478</v>
      </c>
      <c r="K809" s="40">
        <f t="shared" si="407"/>
        <v>21.309640929311296</v>
      </c>
      <c r="L809" s="40">
        <f t="shared" si="391"/>
        <v>0</v>
      </c>
      <c r="M809" s="10">
        <f t="shared" si="408"/>
        <v>0.21347839513342862</v>
      </c>
      <c r="N809" s="10">
        <f t="shared" si="387"/>
        <v>8.26</v>
      </c>
      <c r="O809" s="10">
        <f t="shared" si="388"/>
        <v>0.31900000000000001</v>
      </c>
      <c r="P809" s="10">
        <f t="shared" si="409"/>
        <v>5.0471237204427304</v>
      </c>
      <c r="Q809" s="45">
        <f t="shared" si="410"/>
        <v>2.9055624290215678</v>
      </c>
      <c r="R809" s="4">
        <f t="shared" si="411"/>
        <v>-47877.638301245956</v>
      </c>
      <c r="S809">
        <f t="shared" si="392"/>
        <v>-4.7877638301245954E-5</v>
      </c>
      <c r="T809" s="44">
        <f t="shared" si="393"/>
        <v>2.8374542393656138E-4</v>
      </c>
      <c r="U809" s="45">
        <f t="shared" si="412"/>
        <v>-8.5918815813500929E-2</v>
      </c>
      <c r="V809" s="45">
        <f t="shared" si="413"/>
        <v>1.8204005242691036E-2</v>
      </c>
      <c r="W809" s="45">
        <f t="shared" si="414"/>
        <v>1.8598411668804282E-2</v>
      </c>
      <c r="X809" s="45">
        <f t="shared" si="415"/>
        <v>-3.9440642611324531E-4</v>
      </c>
      <c r="Y809" s="45">
        <f t="shared" si="389"/>
        <v>9.6400839212526076E-5</v>
      </c>
      <c r="Z809" s="10">
        <f t="shared" si="416"/>
        <v>0.33974411948253647</v>
      </c>
      <c r="AA809">
        <f t="shared" si="394"/>
        <v>210839.35468165966</v>
      </c>
      <c r="AB809" s="10">
        <f t="shared" si="395"/>
        <v>0.21083935468165965</v>
      </c>
      <c r="AC809" s="10">
        <f t="shared" si="396"/>
        <v>0.10983935468165965</v>
      </c>
      <c r="AD809" s="3">
        <f t="shared" si="397"/>
        <v>15.930290744258107</v>
      </c>
      <c r="AI809" s="100">
        <f t="shared" si="398"/>
        <v>1.8598411668804282E-2</v>
      </c>
    </row>
    <row r="810" spans="2:35">
      <c r="B810" s="39">
        <f t="shared" si="399"/>
        <v>782</v>
      </c>
      <c r="C810" s="45">
        <f t="shared" si="400"/>
        <v>22.972422062348645</v>
      </c>
      <c r="D810" s="10">
        <f t="shared" si="401"/>
        <v>-7.522422062348415</v>
      </c>
      <c r="E810" s="40">
        <f t="shared" si="402"/>
        <v>63.384844124696833</v>
      </c>
      <c r="F810" s="40">
        <f t="shared" si="403"/>
        <v>48.34</v>
      </c>
      <c r="G810" s="3">
        <f t="shared" si="404"/>
        <v>36.310311750606331</v>
      </c>
      <c r="H810" s="3">
        <f t="shared" si="405"/>
        <v>148.0155219248214</v>
      </c>
      <c r="I810">
        <f t="shared" si="390"/>
        <v>1.4801552192482141E-4</v>
      </c>
      <c r="J810" s="4">
        <f t="shared" si="406"/>
        <v>3160.0046364794625</v>
      </c>
      <c r="K810" s="40">
        <f t="shared" si="407"/>
        <v>21.349143626196589</v>
      </c>
      <c r="L810" s="40">
        <f t="shared" si="391"/>
        <v>0</v>
      </c>
      <c r="M810" s="10">
        <f t="shared" si="408"/>
        <v>0.21083935468165965</v>
      </c>
      <c r="N810" s="10">
        <f t="shared" si="387"/>
        <v>8.26</v>
      </c>
      <c r="O810" s="10">
        <f t="shared" si="388"/>
        <v>0.31900000000000001</v>
      </c>
      <c r="P810" s="10">
        <f t="shared" si="409"/>
        <v>5.0271359799051947</v>
      </c>
      <c r="Q810" s="45">
        <f t="shared" si="410"/>
        <v>2.9114060144981462</v>
      </c>
      <c r="R810" s="4">
        <f t="shared" si="411"/>
        <v>-47935.50521292066</v>
      </c>
      <c r="S810">
        <f t="shared" si="392"/>
        <v>-4.793550521292066E-5</v>
      </c>
      <c r="T810" s="44">
        <f t="shared" si="393"/>
        <v>2.8380329084823607E-4</v>
      </c>
      <c r="U810" s="45">
        <f t="shared" si="412"/>
        <v>-8.6022660879846766E-2</v>
      </c>
      <c r="V810" s="45">
        <f t="shared" si="413"/>
        <v>1.7770779046880954E-2</v>
      </c>
      <c r="W810" s="45">
        <f t="shared" si="414"/>
        <v>1.8162043771890367E-2</v>
      </c>
      <c r="X810" s="45">
        <f t="shared" si="415"/>
        <v>-3.9126472500941242E-4</v>
      </c>
      <c r="Y810" s="45">
        <f t="shared" si="389"/>
        <v>9.4114450347963647E-5</v>
      </c>
      <c r="Z810" s="10">
        <f t="shared" si="416"/>
        <v>0.33161860127369486</v>
      </c>
      <c r="AA810">
        <f t="shared" si="394"/>
        <v>208212.37271101482</v>
      </c>
      <c r="AB810" s="10">
        <f t="shared" si="395"/>
        <v>0.20821237271101481</v>
      </c>
      <c r="AC810" s="10">
        <f t="shared" si="396"/>
        <v>0.1072123727110148</v>
      </c>
      <c r="AD810" s="3">
        <f t="shared" si="397"/>
        <v>15.549292633939784</v>
      </c>
      <c r="AI810" s="100">
        <f t="shared" si="398"/>
        <v>1.8162043771890367E-2</v>
      </c>
    </row>
    <row r="811" spans="2:35">
      <c r="B811" s="39">
        <f t="shared" si="399"/>
        <v>783</v>
      </c>
      <c r="C811" s="45">
        <f t="shared" si="400"/>
        <v>23.001798561149602</v>
      </c>
      <c r="D811" s="10">
        <f t="shared" si="401"/>
        <v>-7.5517985611493721</v>
      </c>
      <c r="E811" s="40">
        <f t="shared" si="402"/>
        <v>63.443597122298748</v>
      </c>
      <c r="F811" s="40">
        <f t="shared" si="403"/>
        <v>48.34</v>
      </c>
      <c r="G811" s="3">
        <f t="shared" si="404"/>
        <v>36.192805755402503</v>
      </c>
      <c r="H811" s="3">
        <f t="shared" si="405"/>
        <v>148.0155219248214</v>
      </c>
      <c r="I811">
        <f t="shared" si="390"/>
        <v>1.4801552192482141E-4</v>
      </c>
      <c r="J811" s="4">
        <f t="shared" si="406"/>
        <v>3165.8570710313516</v>
      </c>
      <c r="K811" s="40">
        <f t="shared" si="407"/>
        <v>21.388682956097828</v>
      </c>
      <c r="L811" s="40">
        <f t="shared" si="391"/>
        <v>0</v>
      </c>
      <c r="M811" s="10">
        <f t="shared" si="408"/>
        <v>0.20821237271101481</v>
      </c>
      <c r="N811" s="10">
        <f t="shared" si="387"/>
        <v>8.26</v>
      </c>
      <c r="O811" s="10">
        <f t="shared" si="388"/>
        <v>0.31900000000000001</v>
      </c>
      <c r="P811" s="10">
        <f t="shared" si="409"/>
        <v>5.0070696362176808</v>
      </c>
      <c r="Q811" s="45">
        <f t="shared" si="410"/>
        <v>2.9172730187412004</v>
      </c>
      <c r="R811" s="4">
        <f t="shared" si="411"/>
        <v>-47992.194253218557</v>
      </c>
      <c r="S811">
        <f t="shared" si="392"/>
        <v>-4.7992194253218556E-5</v>
      </c>
      <c r="T811" s="44">
        <f t="shared" si="393"/>
        <v>2.8385997988853394E-4</v>
      </c>
      <c r="U811" s="45">
        <f t="shared" si="412"/>
        <v>-8.6124392197113347E-2</v>
      </c>
      <c r="V811" s="45">
        <f t="shared" si="413"/>
        <v>1.7339567699651663E-2</v>
      </c>
      <c r="W811" s="45">
        <f t="shared" si="414"/>
        <v>1.7727669756519487E-2</v>
      </c>
      <c r="X811" s="45">
        <f t="shared" si="415"/>
        <v>-3.8810205686782423E-4</v>
      </c>
      <c r="Y811" s="45">
        <f t="shared" si="389"/>
        <v>9.1837453933582056E-5</v>
      </c>
      <c r="Z811" s="10">
        <f t="shared" si="416"/>
        <v>0.3235308266055848</v>
      </c>
      <c r="AA811">
        <f t="shared" si="394"/>
        <v>205597.59323607071</v>
      </c>
      <c r="AB811" s="10">
        <f t="shared" si="395"/>
        <v>0.20559759323607071</v>
      </c>
      <c r="AC811" s="10">
        <f t="shared" si="396"/>
        <v>0.10459759323607071</v>
      </c>
      <c r="AD811" s="3">
        <f t="shared" si="397"/>
        <v>15.170064283694083</v>
      </c>
      <c r="AI811" s="100">
        <f t="shared" si="398"/>
        <v>1.7727669756519487E-2</v>
      </c>
    </row>
    <row r="812" spans="2:35">
      <c r="B812" s="39">
        <f t="shared" si="399"/>
        <v>784</v>
      </c>
      <c r="C812" s="45">
        <f t="shared" si="400"/>
        <v>23.031175059950559</v>
      </c>
      <c r="D812" s="10">
        <f t="shared" si="401"/>
        <v>-7.5811750599503291</v>
      </c>
      <c r="E812" s="40">
        <f t="shared" si="402"/>
        <v>63.502350119900662</v>
      </c>
      <c r="F812" s="40">
        <f t="shared" si="403"/>
        <v>48.34</v>
      </c>
      <c r="G812" s="3">
        <f t="shared" si="404"/>
        <v>36.075299760198675</v>
      </c>
      <c r="H812" s="3">
        <f t="shared" si="405"/>
        <v>148.0155219248214</v>
      </c>
      <c r="I812">
        <f t="shared" si="390"/>
        <v>1.4801552192482141E-4</v>
      </c>
      <c r="J812" s="4">
        <f t="shared" si="406"/>
        <v>3171.714927838214</v>
      </c>
      <c r="K812" s="40">
        <f t="shared" si="407"/>
        <v>21.428258919014997</v>
      </c>
      <c r="L812" s="40">
        <f t="shared" si="391"/>
        <v>0</v>
      </c>
      <c r="M812" s="10">
        <f t="shared" si="408"/>
        <v>0.20559759323607071</v>
      </c>
      <c r="N812" s="10">
        <f t="shared" si="387"/>
        <v>8.26</v>
      </c>
      <c r="O812" s="10">
        <f t="shared" si="388"/>
        <v>0.31900000000000001</v>
      </c>
      <c r="P812" s="10">
        <f t="shared" si="409"/>
        <v>4.9869245519188805</v>
      </c>
      <c r="Q812" s="45">
        <f t="shared" si="410"/>
        <v>2.9231637232215109</v>
      </c>
      <c r="R812" s="4">
        <f t="shared" si="411"/>
        <v>-48047.703510697225</v>
      </c>
      <c r="S812">
        <f t="shared" si="392"/>
        <v>-4.8047703510697223E-5</v>
      </c>
      <c r="T812" s="44">
        <f t="shared" si="393"/>
        <v>2.8391548914601263E-4</v>
      </c>
      <c r="U812" s="45">
        <f t="shared" si="412"/>
        <v>-8.62240063351217E-2</v>
      </c>
      <c r="V812" s="45">
        <f t="shared" si="413"/>
        <v>1.6910394731446829E-2</v>
      </c>
      <c r="W812" s="45">
        <f t="shared" si="414"/>
        <v>1.7295313435641498E-2</v>
      </c>
      <c r="X812" s="45">
        <f t="shared" si="415"/>
        <v>-3.8491870419466931E-4</v>
      </c>
      <c r="Y812" s="45">
        <f t="shared" si="389"/>
        <v>8.9570011598227219E-5</v>
      </c>
      <c r="Z812" s="10">
        <f t="shared" si="416"/>
        <v>0.31548124361810698</v>
      </c>
      <c r="AA812">
        <f t="shared" si="394"/>
        <v>202995.16114056396</v>
      </c>
      <c r="AB812" s="10">
        <f t="shared" si="395"/>
        <v>0.20299516114056396</v>
      </c>
      <c r="AC812" s="10">
        <f t="shared" si="396"/>
        <v>0.10199516114056395</v>
      </c>
      <c r="AD812" s="3">
        <f t="shared" si="397"/>
        <v>14.792626706390712</v>
      </c>
      <c r="AI812" s="100">
        <f t="shared" si="398"/>
        <v>1.7295313435641498E-2</v>
      </c>
    </row>
    <row r="813" spans="2:35">
      <c r="B813" s="39">
        <f t="shared" si="399"/>
        <v>785</v>
      </c>
      <c r="C813" s="45">
        <f t="shared" si="400"/>
        <v>23.060551558751516</v>
      </c>
      <c r="D813" s="10">
        <f t="shared" si="401"/>
        <v>-7.6105515587512862</v>
      </c>
      <c r="E813" s="40">
        <f t="shared" si="402"/>
        <v>63.561103117502576</v>
      </c>
      <c r="F813" s="40">
        <f t="shared" si="403"/>
        <v>48.34</v>
      </c>
      <c r="G813" s="3">
        <f t="shared" si="404"/>
        <v>35.957793764994847</v>
      </c>
      <c r="H813" s="3">
        <f t="shared" si="405"/>
        <v>148.0155219248214</v>
      </c>
      <c r="I813">
        <f t="shared" si="390"/>
        <v>1.4801552192482141E-4</v>
      </c>
      <c r="J813" s="4">
        <f t="shared" si="406"/>
        <v>3177.5782069000506</v>
      </c>
      <c r="K813" s="40">
        <f t="shared" si="407"/>
        <v>21.467871514948108</v>
      </c>
      <c r="L813" s="40">
        <f t="shared" si="391"/>
        <v>0</v>
      </c>
      <c r="M813" s="10">
        <f t="shared" si="408"/>
        <v>0.20299516114056396</v>
      </c>
      <c r="N813" s="10">
        <f t="shared" si="387"/>
        <v>8.26</v>
      </c>
      <c r="O813" s="10">
        <f t="shared" si="388"/>
        <v>0.31900000000000001</v>
      </c>
      <c r="P813" s="10">
        <f t="shared" si="409"/>
        <v>4.9667006018107935</v>
      </c>
      <c r="Q813" s="45">
        <f t="shared" si="410"/>
        <v>2.9290784141111224</v>
      </c>
      <c r="R813" s="4">
        <f t="shared" si="411"/>
        <v>-48102.031073914317</v>
      </c>
      <c r="S813">
        <f t="shared" si="392"/>
        <v>-4.8102031073914317E-5</v>
      </c>
      <c r="T813" s="44">
        <f t="shared" si="393"/>
        <v>2.8396981670922972E-4</v>
      </c>
      <c r="U813" s="45">
        <f t="shared" si="412"/>
        <v>-8.6321499863692933E-2</v>
      </c>
      <c r="V813" s="45">
        <f t="shared" si="413"/>
        <v>1.6483283808198527E-2</v>
      </c>
      <c r="W813" s="45">
        <f t="shared" si="414"/>
        <v>1.6864998765922682E-2</v>
      </c>
      <c r="X813" s="45">
        <f t="shared" si="415"/>
        <v>-3.817149577241552E-4</v>
      </c>
      <c r="Y813" s="45">
        <f t="shared" si="389"/>
        <v>8.7312285615347718E-5</v>
      </c>
      <c r="Z813" s="10">
        <f t="shared" si="416"/>
        <v>0.30747030310179391</v>
      </c>
      <c r="AA813">
        <f t="shared" si="394"/>
        <v>200405.22216518101</v>
      </c>
      <c r="AB813" s="10">
        <f t="shared" si="395"/>
        <v>0.200405222165181</v>
      </c>
      <c r="AC813" s="10">
        <f t="shared" si="396"/>
        <v>9.9405222165180995E-2</v>
      </c>
      <c r="AD813" s="3">
        <f t="shared" si="397"/>
        <v>14.417001039185061</v>
      </c>
      <c r="AI813" s="100">
        <f t="shared" si="398"/>
        <v>1.6864998765922682E-2</v>
      </c>
    </row>
    <row r="814" spans="2:35">
      <c r="B814" s="39">
        <f t="shared" si="399"/>
        <v>786</v>
      </c>
      <c r="C814" s="45">
        <f t="shared" si="400"/>
        <v>23.089928057552473</v>
      </c>
      <c r="D814" s="10">
        <f t="shared" si="401"/>
        <v>-7.6399280575522432</v>
      </c>
      <c r="E814" s="40">
        <f t="shared" si="402"/>
        <v>63.61985611510449</v>
      </c>
      <c r="F814" s="40">
        <f t="shared" si="403"/>
        <v>48.34</v>
      </c>
      <c r="G814" s="3">
        <f t="shared" si="404"/>
        <v>35.840287769791018</v>
      </c>
      <c r="H814" s="3">
        <f t="shared" si="405"/>
        <v>148.0155219248214</v>
      </c>
      <c r="I814">
        <f t="shared" si="390"/>
        <v>1.4801552192482141E-4</v>
      </c>
      <c r="J814" s="4">
        <f t="shared" si="406"/>
        <v>3183.4469082168612</v>
      </c>
      <c r="K814" s="40">
        <f t="shared" si="407"/>
        <v>21.50752074389716</v>
      </c>
      <c r="L814" s="40">
        <f t="shared" si="391"/>
        <v>0</v>
      </c>
      <c r="M814" s="10">
        <f t="shared" si="408"/>
        <v>0.200405222165181</v>
      </c>
      <c r="N814" s="10">
        <f t="shared" si="387"/>
        <v>8.26</v>
      </c>
      <c r="O814" s="10">
        <f t="shared" si="388"/>
        <v>0.31900000000000001</v>
      </c>
      <c r="P814" s="10">
        <f t="shared" si="409"/>
        <v>4.946397673576457</v>
      </c>
      <c r="Q814" s="45">
        <f t="shared" si="410"/>
        <v>2.9350173823744075</v>
      </c>
      <c r="R814" s="4">
        <f t="shared" si="411"/>
        <v>-48155.175031427374</v>
      </c>
      <c r="S814">
        <f t="shared" si="392"/>
        <v>-4.8155175031427376E-5</v>
      </c>
      <c r="T814" s="44">
        <f t="shared" si="393"/>
        <v>2.8402296066674281E-4</v>
      </c>
      <c r="U814" s="45">
        <f t="shared" si="412"/>
        <v>-8.6416869352647988E-2</v>
      </c>
      <c r="V814" s="45">
        <f t="shared" si="413"/>
        <v>1.6058258728983654E-2</v>
      </c>
      <c r="W814" s="45">
        <f t="shared" si="414"/>
        <v>1.6436749845726829E-2</v>
      </c>
      <c r="X814" s="45">
        <f t="shared" si="415"/>
        <v>-3.7849111674317579E-4</v>
      </c>
      <c r="Y814" s="45">
        <f t="shared" si="389"/>
        <v>8.5064438885074656E-5</v>
      </c>
      <c r="Z814" s="10">
        <f t="shared" si="416"/>
        <v>0.29949845845345113</v>
      </c>
      <c r="AA814">
        <f t="shared" si="394"/>
        <v>197827.92289321695</v>
      </c>
      <c r="AB814" s="10">
        <f t="shared" si="395"/>
        <v>0.19782792289321696</v>
      </c>
      <c r="AC814" s="10">
        <f t="shared" si="396"/>
        <v>9.6827922893216956E-2</v>
      </c>
      <c r="AD814" s="3">
        <f t="shared" si="397"/>
        <v>14.043208541438281</v>
      </c>
      <c r="AI814" s="100">
        <f t="shared" si="398"/>
        <v>1.6436749845726829E-2</v>
      </c>
    </row>
    <row r="815" spans="2:35">
      <c r="B815" s="39">
        <f t="shared" si="399"/>
        <v>787</v>
      </c>
      <c r="C815" s="45">
        <f t="shared" si="400"/>
        <v>23.119304556353431</v>
      </c>
      <c r="D815" s="10">
        <f t="shared" si="401"/>
        <v>-7.6693045563532003</v>
      </c>
      <c r="E815" s="40">
        <f t="shared" si="402"/>
        <v>63.678609112706404</v>
      </c>
      <c r="F815" s="40">
        <f t="shared" si="403"/>
        <v>48.34</v>
      </c>
      <c r="G815" s="3">
        <f t="shared" si="404"/>
        <v>35.72278177458719</v>
      </c>
      <c r="H815" s="3">
        <f t="shared" si="405"/>
        <v>148.0155219248214</v>
      </c>
      <c r="I815">
        <f t="shared" si="390"/>
        <v>1.4801552192482141E-4</v>
      </c>
      <c r="J815" s="4">
        <f t="shared" si="406"/>
        <v>3189.3210317886455</v>
      </c>
      <c r="K815" s="40">
        <f t="shared" si="407"/>
        <v>21.547206605862151</v>
      </c>
      <c r="L815" s="40">
        <f t="shared" si="391"/>
        <v>0</v>
      </c>
      <c r="M815" s="10">
        <f t="shared" si="408"/>
        <v>0.19782792289321696</v>
      </c>
      <c r="N815" s="10">
        <f t="shared" si="387"/>
        <v>8.26</v>
      </c>
      <c r="O815" s="10">
        <f t="shared" si="388"/>
        <v>0.31900000000000001</v>
      </c>
      <c r="P815" s="10">
        <f t="shared" si="409"/>
        <v>4.926015668413779</v>
      </c>
      <c r="Q815" s="45">
        <f t="shared" si="410"/>
        <v>2.9409809238607498</v>
      </c>
      <c r="R815" s="4">
        <f t="shared" si="411"/>
        <v>-48207.133471794026</v>
      </c>
      <c r="S815">
        <f t="shared" si="392"/>
        <v>-4.8207133471794029E-5</v>
      </c>
      <c r="T815" s="44">
        <f t="shared" si="393"/>
        <v>2.8407491910710942E-4</v>
      </c>
      <c r="U815" s="45">
        <f t="shared" si="412"/>
        <v>-8.651011137180796E-2</v>
      </c>
      <c r="V815" s="45">
        <f t="shared" si="413"/>
        <v>1.5635343423620721E-2</v>
      </c>
      <c r="W815" s="45">
        <f t="shared" si="414"/>
        <v>1.6010590912743875E-2</v>
      </c>
      <c r="X815" s="45">
        <f t="shared" si="415"/>
        <v>-3.7524748912315387E-4</v>
      </c>
      <c r="Y815" s="45">
        <f t="shared" si="389"/>
        <v>8.2826634916042914E-5</v>
      </c>
      <c r="Z815" s="10">
        <f t="shared" si="416"/>
        <v>0.29156616563116378</v>
      </c>
      <c r="AA815">
        <f t="shared" si="394"/>
        <v>195263.41073602921</v>
      </c>
      <c r="AB815" s="10">
        <f t="shared" si="395"/>
        <v>0.19526341073602921</v>
      </c>
      <c r="AC815" s="10">
        <f t="shared" si="396"/>
        <v>9.4263410736029202E-2</v>
      </c>
      <c r="AD815" s="3">
        <f t="shared" si="397"/>
        <v>13.67127059260757</v>
      </c>
      <c r="AI815" s="100">
        <f t="shared" si="398"/>
        <v>1.6010590912743875E-2</v>
      </c>
    </row>
    <row r="816" spans="2:35">
      <c r="B816" s="39">
        <f t="shared" si="399"/>
        <v>788</v>
      </c>
      <c r="C816" s="45">
        <f t="shared" si="400"/>
        <v>23.148681055154388</v>
      </c>
      <c r="D816" s="10">
        <f t="shared" si="401"/>
        <v>-7.6986810551541573</v>
      </c>
      <c r="E816" s="40">
        <f t="shared" si="402"/>
        <v>63.737362110308318</v>
      </c>
      <c r="F816" s="40">
        <f t="shared" si="403"/>
        <v>48.34</v>
      </c>
      <c r="G816" s="3">
        <f t="shared" si="404"/>
        <v>35.605275779383362</v>
      </c>
      <c r="H816" s="3">
        <f t="shared" si="405"/>
        <v>148.0155219248214</v>
      </c>
      <c r="I816">
        <f t="shared" si="390"/>
        <v>1.4801552192482141E-4</v>
      </c>
      <c r="J816" s="4">
        <f t="shared" si="406"/>
        <v>3195.2005776154037</v>
      </c>
      <c r="K816" s="40">
        <f t="shared" si="407"/>
        <v>21.586929100843079</v>
      </c>
      <c r="L816" s="40">
        <f t="shared" si="391"/>
        <v>0</v>
      </c>
      <c r="M816" s="10">
        <f t="shared" si="408"/>
        <v>0.19526341073602921</v>
      </c>
      <c r="N816" s="10">
        <f t="shared" si="387"/>
        <v>8.26</v>
      </c>
      <c r="O816" s="10">
        <f t="shared" si="388"/>
        <v>0.31900000000000001</v>
      </c>
      <c r="P816" s="10">
        <f t="shared" si="409"/>
        <v>4.9055545017016691</v>
      </c>
      <c r="Q816" s="45">
        <f t="shared" si="410"/>
        <v>2.9469693393988439</v>
      </c>
      <c r="R816" s="4">
        <f t="shared" si="411"/>
        <v>-48257.90448357186</v>
      </c>
      <c r="S816">
        <f t="shared" si="392"/>
        <v>-4.8257904483571857E-5</v>
      </c>
      <c r="T816" s="44">
        <f t="shared" si="393"/>
        <v>2.8412569011888726E-4</v>
      </c>
      <c r="U816" s="45">
        <f t="shared" si="412"/>
        <v>-8.6601222490993876E-2</v>
      </c>
      <c r="V816" s="45">
        <f t="shared" si="413"/>
        <v>1.5214561949873362E-2</v>
      </c>
      <c r="W816" s="45">
        <f t="shared" si="414"/>
        <v>1.5586546341584663E-2</v>
      </c>
      <c r="X816" s="45">
        <f t="shared" si="415"/>
        <v>-3.719843917113011E-4</v>
      </c>
      <c r="Y816" s="45">
        <f t="shared" si="389"/>
        <v>8.0599037804790499E-5</v>
      </c>
      <c r="Z816" s="10">
        <f t="shared" si="416"/>
        <v>0.28367388310105041</v>
      </c>
      <c r="AA816">
        <f t="shared" si="394"/>
        <v>192711.83391582308</v>
      </c>
      <c r="AB816" s="10">
        <f t="shared" si="395"/>
        <v>0.19271183391582308</v>
      </c>
      <c r="AC816" s="10">
        <f t="shared" si="396"/>
        <v>9.1711833915823077E-2</v>
      </c>
      <c r="AD816" s="3">
        <f t="shared" si="397"/>
        <v>13.30120868974954</v>
      </c>
      <c r="AI816" s="100">
        <f t="shared" si="398"/>
        <v>1.5586546341584663E-2</v>
      </c>
    </row>
    <row r="817" spans="2:35">
      <c r="B817" s="39">
        <f t="shared" si="399"/>
        <v>789</v>
      </c>
      <c r="C817" s="45">
        <f t="shared" si="400"/>
        <v>23.178057553955345</v>
      </c>
      <c r="D817" s="10">
        <f t="shared" si="401"/>
        <v>-7.7280575539551144</v>
      </c>
      <c r="E817" s="40">
        <f t="shared" si="402"/>
        <v>63.796115107910232</v>
      </c>
      <c r="F817" s="40">
        <f t="shared" si="403"/>
        <v>48.34</v>
      </c>
      <c r="G817" s="3">
        <f t="shared" si="404"/>
        <v>35.487769784179534</v>
      </c>
      <c r="H817" s="3">
        <f t="shared" si="405"/>
        <v>148.0155219248214</v>
      </c>
      <c r="I817">
        <f t="shared" si="390"/>
        <v>1.4801552192482141E-4</v>
      </c>
      <c r="J817" s="4">
        <f t="shared" si="406"/>
        <v>3201.0855456971358</v>
      </c>
      <c r="K817" s="40">
        <f t="shared" si="407"/>
        <v>21.626688228839946</v>
      </c>
      <c r="L817" s="40">
        <f t="shared" si="391"/>
        <v>0</v>
      </c>
      <c r="M817" s="10">
        <f t="shared" si="408"/>
        <v>0.19271183391582308</v>
      </c>
      <c r="N817" s="10">
        <f t="shared" si="387"/>
        <v>8.26</v>
      </c>
      <c r="O817" s="10">
        <f t="shared" si="388"/>
        <v>0.31900000000000001</v>
      </c>
      <c r="P817" s="10">
        <f t="shared" si="409"/>
        <v>4.8850141036802599</v>
      </c>
      <c r="Q817" s="45">
        <f t="shared" si="410"/>
        <v>2.9529829348926269</v>
      </c>
      <c r="R817" s="4">
        <f t="shared" si="411"/>
        <v>-48307.486155318482</v>
      </c>
      <c r="S817">
        <f t="shared" si="392"/>
        <v>-4.830748615531848E-5</v>
      </c>
      <c r="T817" s="44">
        <f t="shared" si="393"/>
        <v>2.841752717906339E-4</v>
      </c>
      <c r="U817" s="45">
        <f t="shared" si="412"/>
        <v>-8.6690199280026775E-2</v>
      </c>
      <c r="V817" s="45">
        <f t="shared" si="413"/>
        <v>1.4795938490522926E-2</v>
      </c>
      <c r="W817" s="45">
        <f t="shared" si="414"/>
        <v>1.5164640640934529E-2</v>
      </c>
      <c r="X817" s="45">
        <f t="shared" si="415"/>
        <v>-3.6870215041160358E-4</v>
      </c>
      <c r="Y817" s="45">
        <f t="shared" si="389"/>
        <v>7.8381812214527183E-5</v>
      </c>
      <c r="Z817" s="10">
        <f t="shared" si="416"/>
        <v>0.27582207178207602</v>
      </c>
      <c r="AA817">
        <f t="shared" si="394"/>
        <v>190173.34144780957</v>
      </c>
      <c r="AB817" s="10">
        <f t="shared" si="395"/>
        <v>0.19017334144780956</v>
      </c>
      <c r="AC817" s="10">
        <f t="shared" si="396"/>
        <v>8.9173341447809557E-2</v>
      </c>
      <c r="AD817" s="3">
        <f t="shared" si="397"/>
        <v>12.933044444932495</v>
      </c>
      <c r="AI817" s="100">
        <f t="shared" si="398"/>
        <v>1.5164640640934529E-2</v>
      </c>
    </row>
    <row r="818" spans="2:35">
      <c r="B818" s="39">
        <f t="shared" si="399"/>
        <v>790</v>
      </c>
      <c r="C818" s="45">
        <f t="shared" si="400"/>
        <v>23.207434052756302</v>
      </c>
      <c r="D818" s="10">
        <f t="shared" si="401"/>
        <v>-7.7574340527560715</v>
      </c>
      <c r="E818" s="40">
        <f t="shared" si="402"/>
        <v>63.854868105512146</v>
      </c>
      <c r="F818" s="40">
        <f t="shared" si="403"/>
        <v>48.34</v>
      </c>
      <c r="G818" s="3">
        <f t="shared" si="404"/>
        <v>35.370263788975706</v>
      </c>
      <c r="H818" s="3">
        <f t="shared" si="405"/>
        <v>148.0155219248214</v>
      </c>
      <c r="I818">
        <f t="shared" si="390"/>
        <v>1.4801552192482141E-4</v>
      </c>
      <c r="J818" s="4">
        <f t="shared" si="406"/>
        <v>3206.9759360338421</v>
      </c>
      <c r="K818" s="40">
        <f t="shared" si="407"/>
        <v>21.666483989852754</v>
      </c>
      <c r="L818" s="40">
        <f t="shared" si="391"/>
        <v>0</v>
      </c>
      <c r="M818" s="10">
        <f t="shared" si="408"/>
        <v>0.19017334144780956</v>
      </c>
      <c r="N818" s="10">
        <f t="shared" si="387"/>
        <v>8.26</v>
      </c>
      <c r="O818" s="10">
        <f t="shared" si="388"/>
        <v>0.31900000000000001</v>
      </c>
      <c r="P818" s="10">
        <f t="shared" si="409"/>
        <v>4.8643944201624594</v>
      </c>
      <c r="Q818" s="45">
        <f t="shared" si="410"/>
        <v>2.9590220214188334</v>
      </c>
      <c r="R818" s="4">
        <f t="shared" si="411"/>
        <v>-48355.876575591494</v>
      </c>
      <c r="S818">
        <f t="shared" si="392"/>
        <v>-4.8355876575591492E-5</v>
      </c>
      <c r="T818" s="44">
        <f t="shared" si="393"/>
        <v>2.8422366221090688E-4</v>
      </c>
      <c r="U818" s="45">
        <f t="shared" si="412"/>
        <v>-8.6777038308727711E-2</v>
      </c>
      <c r="V818" s="45">
        <f t="shared" si="413"/>
        <v>1.4379497350153658E-2</v>
      </c>
      <c r="W818" s="45">
        <f t="shared" si="414"/>
        <v>1.4744898450603054E-2</v>
      </c>
      <c r="X818" s="45">
        <f t="shared" si="415"/>
        <v>-3.6540110044939664E-4</v>
      </c>
      <c r="Y818" s="45">
        <f t="shared" si="389"/>
        <v>7.6175123352142189E-5</v>
      </c>
      <c r="Z818" s="10">
        <f t="shared" si="416"/>
        <v>0.26801119498494386</v>
      </c>
      <c r="AA818">
        <f t="shared" si="394"/>
        <v>187648.08312044933</v>
      </c>
      <c r="AB818" s="10">
        <f t="shared" si="395"/>
        <v>0.18764808312044934</v>
      </c>
      <c r="AC818" s="10">
        <f t="shared" si="396"/>
        <v>8.6648083120449332E-2</v>
      </c>
      <c r="AD818" s="3">
        <f t="shared" si="397"/>
        <v>12.566799582371186</v>
      </c>
      <c r="AI818" s="100">
        <f t="shared" si="398"/>
        <v>1.4744898450603054E-2</v>
      </c>
    </row>
    <row r="819" spans="2:35">
      <c r="B819" s="39">
        <f t="shared" si="399"/>
        <v>791</v>
      </c>
      <c r="C819" s="45">
        <f t="shared" si="400"/>
        <v>23.236810551557259</v>
      </c>
      <c r="D819" s="10">
        <f t="shared" si="401"/>
        <v>-7.7868105515570285</v>
      </c>
      <c r="E819" s="40">
        <f t="shared" si="402"/>
        <v>63.91362110311406</v>
      </c>
      <c r="F819" s="40">
        <f t="shared" si="403"/>
        <v>48.34</v>
      </c>
      <c r="G819" s="3">
        <f t="shared" si="404"/>
        <v>35.252757793771877</v>
      </c>
      <c r="H819" s="3">
        <f t="shared" si="405"/>
        <v>148.0155219248214</v>
      </c>
      <c r="I819">
        <f t="shared" si="390"/>
        <v>1.4801552192482141E-4</v>
      </c>
      <c r="J819" s="4">
        <f t="shared" si="406"/>
        <v>3212.8717486255227</v>
      </c>
      <c r="K819" s="40">
        <f t="shared" si="407"/>
        <v>21.706316383881504</v>
      </c>
      <c r="L819" s="40">
        <f t="shared" si="391"/>
        <v>0</v>
      </c>
      <c r="M819" s="10">
        <f t="shared" si="408"/>
        <v>0.18764808312044934</v>
      </c>
      <c r="N819" s="10">
        <f t="shared" si="387"/>
        <v>8.26</v>
      </c>
      <c r="O819" s="10">
        <f t="shared" si="388"/>
        <v>0.31900000000000001</v>
      </c>
      <c r="P819" s="10">
        <f t="shared" si="409"/>
        <v>4.8436954132678798</v>
      </c>
      <c r="Q819" s="45">
        <f t="shared" si="410"/>
        <v>2.9650869153261774</v>
      </c>
      <c r="R819" s="4">
        <f t="shared" si="411"/>
        <v>-48403.073832948488</v>
      </c>
      <c r="S819">
        <f t="shared" si="392"/>
        <v>-4.8403073832948487E-5</v>
      </c>
      <c r="T819" s="44">
        <f t="shared" si="393"/>
        <v>2.8427085946826391E-4</v>
      </c>
      <c r="U819" s="45">
        <f t="shared" si="412"/>
        <v>-8.6861736146917695E-2</v>
      </c>
      <c r="V819" s="45">
        <f t="shared" si="413"/>
        <v>1.3965262951660793E-2</v>
      </c>
      <c r="W819" s="45">
        <f t="shared" si="414"/>
        <v>1.4327344538257415E-2</v>
      </c>
      <c r="X819" s="45">
        <f t="shared" si="415"/>
        <v>-3.6208158659662218E-4</v>
      </c>
      <c r="Y819" s="45">
        <f t="shared" si="389"/>
        <v>7.3979136943630892E-5</v>
      </c>
      <c r="Z819" s="10">
        <f t="shared" si="416"/>
        <v>0.26024171834570314</v>
      </c>
      <c r="AA819">
        <f t="shared" si="394"/>
        <v>185136.2094739879</v>
      </c>
      <c r="AB819" s="10">
        <f t="shared" si="395"/>
        <v>0.1851362094739879</v>
      </c>
      <c r="AC819" s="10">
        <f t="shared" si="396"/>
        <v>8.4136209473987894E-2</v>
      </c>
      <c r="AD819" s="3">
        <f t="shared" si="397"/>
        <v>12.20249593531369</v>
      </c>
      <c r="AI819" s="100">
        <f t="shared" si="398"/>
        <v>1.4327344538257415E-2</v>
      </c>
    </row>
    <row r="820" spans="2:35">
      <c r="B820" s="39">
        <f t="shared" si="399"/>
        <v>792</v>
      </c>
      <c r="C820" s="45">
        <f t="shared" si="400"/>
        <v>23.266187050358216</v>
      </c>
      <c r="D820" s="10">
        <f t="shared" si="401"/>
        <v>-7.8161870503579856</v>
      </c>
      <c r="E820" s="40">
        <f t="shared" si="402"/>
        <v>63.972374100715975</v>
      </c>
      <c r="F820" s="40">
        <f t="shared" si="403"/>
        <v>48.34</v>
      </c>
      <c r="G820" s="3">
        <f t="shared" si="404"/>
        <v>35.135251798568049</v>
      </c>
      <c r="H820" s="3">
        <f t="shared" si="405"/>
        <v>148.0155219248214</v>
      </c>
      <c r="I820">
        <f t="shared" si="390"/>
        <v>1.4801552192482141E-4</v>
      </c>
      <c r="J820" s="4">
        <f t="shared" si="406"/>
        <v>3218.7729834721767</v>
      </c>
      <c r="K820" s="40">
        <f t="shared" si="407"/>
        <v>21.746185410926191</v>
      </c>
      <c r="L820" s="40">
        <f t="shared" si="391"/>
        <v>0</v>
      </c>
      <c r="M820" s="10">
        <f t="shared" si="408"/>
        <v>0.1851362094739879</v>
      </c>
      <c r="N820" s="10">
        <f t="shared" si="387"/>
        <v>8.26</v>
      </c>
      <c r="O820" s="10">
        <f t="shared" si="388"/>
        <v>0.31900000000000001</v>
      </c>
      <c r="P820" s="10">
        <f t="shared" si="409"/>
        <v>4.8229170621819204</v>
      </c>
      <c r="Q820" s="45">
        <f t="shared" si="410"/>
        <v>2.9711779383361536</v>
      </c>
      <c r="R820" s="4">
        <f t="shared" si="411"/>
        <v>-48449.076015947059</v>
      </c>
      <c r="S820">
        <f t="shared" si="392"/>
        <v>-4.844907601594706E-5</v>
      </c>
      <c r="T820" s="44">
        <f t="shared" si="393"/>
        <v>2.8431686165126245E-4</v>
      </c>
      <c r="U820" s="45">
        <f t="shared" si="412"/>
        <v>-8.6944289364417782E-2</v>
      </c>
      <c r="V820" s="45">
        <f t="shared" si="413"/>
        <v>1.3553259832523411E-2</v>
      </c>
      <c r="W820" s="45">
        <f t="shared" si="414"/>
        <v>1.3912003795873139E-2</v>
      </c>
      <c r="X820" s="45">
        <f t="shared" si="415"/>
        <v>-3.5874396334972802E-4</v>
      </c>
      <c r="Y820" s="45">
        <f t="shared" si="389"/>
        <v>7.1794019208177635E-5</v>
      </c>
      <c r="Z820" s="10">
        <f t="shared" si="416"/>
        <v>0.25251410975490712</v>
      </c>
      <c r="AA820">
        <f t="shared" si="394"/>
        <v>182637.87177755247</v>
      </c>
      <c r="AB820" s="10">
        <f t="shared" si="395"/>
        <v>0.18263787177755247</v>
      </c>
      <c r="AC820" s="10">
        <f t="shared" si="396"/>
        <v>8.1637871777552468E-2</v>
      </c>
      <c r="AD820" s="3">
        <f t="shared" si="397"/>
        <v>11.84015544271972</v>
      </c>
      <c r="AI820" s="100">
        <f t="shared" si="398"/>
        <v>1.3912003795873139E-2</v>
      </c>
    </row>
    <row r="821" spans="2:35">
      <c r="B821" s="39">
        <f t="shared" si="399"/>
        <v>793</v>
      </c>
      <c r="C821" s="45">
        <f t="shared" si="400"/>
        <v>23.295563549159173</v>
      </c>
      <c r="D821" s="10">
        <f t="shared" si="401"/>
        <v>-7.8455635491589462</v>
      </c>
      <c r="E821" s="40">
        <f t="shared" si="402"/>
        <v>64.031127098317896</v>
      </c>
      <c r="F821" s="40">
        <f t="shared" si="403"/>
        <v>48.34</v>
      </c>
      <c r="G821" s="3">
        <f t="shared" si="404"/>
        <v>35.017745803364221</v>
      </c>
      <c r="H821" s="3">
        <f t="shared" si="405"/>
        <v>148.0155219248214</v>
      </c>
      <c r="I821">
        <f t="shared" si="390"/>
        <v>1.4801552192482141E-4</v>
      </c>
      <c r="J821" s="4">
        <f t="shared" si="406"/>
        <v>3224.679640573805</v>
      </c>
      <c r="K821" s="40">
        <f t="shared" si="407"/>
        <v>21.786091070986817</v>
      </c>
      <c r="L821" s="40">
        <f t="shared" si="391"/>
        <v>0</v>
      </c>
      <c r="M821" s="10">
        <f t="shared" si="408"/>
        <v>0.18263787177755247</v>
      </c>
      <c r="N821" s="10">
        <f t="shared" si="387"/>
        <v>8.26</v>
      </c>
      <c r="O821" s="10">
        <f t="shared" si="388"/>
        <v>0.31900000000000001</v>
      </c>
      <c r="P821" s="10">
        <f t="shared" si="409"/>
        <v>4.8020593639434779</v>
      </c>
      <c r="Q821" s="45">
        <f t="shared" si="410"/>
        <v>2.9772954176454545</v>
      </c>
      <c r="R821" s="4">
        <f t="shared" si="411"/>
        <v>-48493.88121314485</v>
      </c>
      <c r="S821">
        <f t="shared" si="392"/>
        <v>-4.8493881213144851E-5</v>
      </c>
      <c r="T821" s="44">
        <f t="shared" si="393"/>
        <v>2.8436166684846025E-4</v>
      </c>
      <c r="U821" s="45">
        <f t="shared" si="412"/>
        <v>-8.7024694531049079E-2</v>
      </c>
      <c r="V821" s="45">
        <f t="shared" si="413"/>
        <v>1.3143512640745992E-2</v>
      </c>
      <c r="W821" s="45">
        <f t="shared" si="414"/>
        <v>1.3498901235947046E-2</v>
      </c>
      <c r="X821" s="45">
        <f t="shared" si="415"/>
        <v>-3.5538859520105326E-4</v>
      </c>
      <c r="Y821" s="45">
        <f t="shared" si="389"/>
        <v>6.9619936830273702E-5</v>
      </c>
      <c r="Z821" s="10">
        <f t="shared" si="416"/>
        <v>0.24482883928013757</v>
      </c>
      <c r="AA821">
        <f t="shared" si="394"/>
        <v>180153.22200410411</v>
      </c>
      <c r="AB821" s="10">
        <f t="shared" si="395"/>
        <v>0.18015322200410411</v>
      </c>
      <c r="AC821" s="10">
        <f t="shared" si="396"/>
        <v>7.9153222004104101E-2</v>
      </c>
      <c r="AD821" s="3">
        <f t="shared" si="397"/>
        <v>11.479800145627861</v>
      </c>
      <c r="AI821" s="100">
        <f t="shared" si="398"/>
        <v>1.3498901235947046E-2</v>
      </c>
    </row>
    <row r="822" spans="2:35">
      <c r="B822" s="39">
        <f t="shared" si="399"/>
        <v>794</v>
      </c>
      <c r="C822" s="45">
        <f t="shared" si="400"/>
        <v>23.32494004796013</v>
      </c>
      <c r="D822" s="10">
        <f t="shared" si="401"/>
        <v>-7.8749400479599032</v>
      </c>
      <c r="E822" s="40">
        <f t="shared" si="402"/>
        <v>64.08988009591981</v>
      </c>
      <c r="F822" s="40">
        <f t="shared" si="403"/>
        <v>48.34</v>
      </c>
      <c r="G822" s="3">
        <f t="shared" si="404"/>
        <v>34.900239808160393</v>
      </c>
      <c r="H822" s="3">
        <f t="shared" si="405"/>
        <v>148.0155219248214</v>
      </c>
      <c r="I822">
        <f t="shared" si="390"/>
        <v>1.4801552192482141E-4</v>
      </c>
      <c r="J822" s="4">
        <f t="shared" si="406"/>
        <v>3230.5917199304067</v>
      </c>
      <c r="K822" s="40">
        <f t="shared" si="407"/>
        <v>21.826033364063381</v>
      </c>
      <c r="L822" s="40">
        <f t="shared" si="391"/>
        <v>0</v>
      </c>
      <c r="M822" s="10">
        <f t="shared" si="408"/>
        <v>0.18015322200410411</v>
      </c>
      <c r="N822" s="10">
        <f t="shared" si="387"/>
        <v>8.26</v>
      </c>
      <c r="O822" s="10">
        <f t="shared" si="388"/>
        <v>0.31900000000000001</v>
      </c>
      <c r="P822" s="10">
        <f t="shared" si="409"/>
        <v>4.7811223342567306</v>
      </c>
      <c r="Q822" s="45">
        <f t="shared" si="410"/>
        <v>2.9834396860299872</v>
      </c>
      <c r="R822" s="4">
        <f t="shared" si="411"/>
        <v>-48537.487513099375</v>
      </c>
      <c r="S822">
        <f t="shared" si="392"/>
        <v>-4.8537487513099375E-5</v>
      </c>
      <c r="T822" s="44">
        <f t="shared" si="393"/>
        <v>2.844052731484148E-4</v>
      </c>
      <c r="U822" s="45">
        <f t="shared" si="412"/>
        <v>-8.7102948216632475E-2</v>
      </c>
      <c r="V822" s="45">
        <f t="shared" si="413"/>
        <v>1.2736046130469757E-2</v>
      </c>
      <c r="W822" s="45">
        <f t="shared" si="414"/>
        <v>1.3088061987355558E-2</v>
      </c>
      <c r="X822" s="45">
        <f t="shared" si="415"/>
        <v>-3.5201585688580082E-4</v>
      </c>
      <c r="Y822" s="45">
        <f t="shared" si="389"/>
        <v>6.7457056929956071E-5</v>
      </c>
      <c r="Z822" s="10">
        <f t="shared" si="416"/>
        <v>0.23718637908219831</v>
      </c>
      <c r="AA822">
        <f t="shared" si="394"/>
        <v>177682.41280334303</v>
      </c>
      <c r="AB822" s="10">
        <f t="shared" si="395"/>
        <v>0.17768241280334304</v>
      </c>
      <c r="AC822" s="10">
        <f t="shared" si="396"/>
        <v>7.6682412803343036E-2</v>
      </c>
      <c r="AD822" s="3">
        <f t="shared" si="397"/>
        <v>11.121452183225966</v>
      </c>
      <c r="AI822" s="100">
        <f t="shared" si="398"/>
        <v>1.3088061987355558E-2</v>
      </c>
    </row>
    <row r="823" spans="2:35">
      <c r="B823" s="39">
        <f t="shared" si="399"/>
        <v>795</v>
      </c>
      <c r="C823" s="45">
        <f t="shared" si="400"/>
        <v>23.354316546761087</v>
      </c>
      <c r="D823" s="10">
        <f t="shared" si="401"/>
        <v>-7.9043165467608603</v>
      </c>
      <c r="E823" s="40">
        <f t="shared" si="402"/>
        <v>64.148633093521724</v>
      </c>
      <c r="F823" s="40">
        <f t="shared" si="403"/>
        <v>48.34</v>
      </c>
      <c r="G823" s="3">
        <f t="shared" si="404"/>
        <v>34.782733812956565</v>
      </c>
      <c r="H823" s="3">
        <f t="shared" si="405"/>
        <v>148.0155219248214</v>
      </c>
      <c r="I823">
        <f t="shared" si="390"/>
        <v>1.4801552192482141E-4</v>
      </c>
      <c r="J823" s="4">
        <f t="shared" si="406"/>
        <v>3236.5092215419827</v>
      </c>
      <c r="K823" s="40">
        <f t="shared" si="407"/>
        <v>21.866012290155886</v>
      </c>
      <c r="L823" s="40">
        <f t="shared" si="391"/>
        <v>0</v>
      </c>
      <c r="M823" s="10">
        <f t="shared" si="408"/>
        <v>0.17768241280334304</v>
      </c>
      <c r="N823" s="10">
        <f t="shared" si="387"/>
        <v>8.26</v>
      </c>
      <c r="O823" s="10">
        <f t="shared" si="388"/>
        <v>0.31900000000000001</v>
      </c>
      <c r="P823" s="10">
        <f t="shared" si="409"/>
        <v>4.7601060083289397</v>
      </c>
      <c r="Q823" s="45">
        <f t="shared" si="410"/>
        <v>2.9896110819504891</v>
      </c>
      <c r="R823" s="4">
        <f t="shared" si="411"/>
        <v>-48579.893004368299</v>
      </c>
      <c r="S823">
        <f t="shared" si="392"/>
        <v>-4.8579893004368298E-5</v>
      </c>
      <c r="T823" s="44">
        <f t="shared" si="393"/>
        <v>2.8444767863968368E-4</v>
      </c>
      <c r="U823" s="45">
        <f t="shared" si="412"/>
        <v>-8.717904699098912E-2</v>
      </c>
      <c r="V823" s="45">
        <f t="shared" si="413"/>
        <v>1.2330885157414512E-2</v>
      </c>
      <c r="W823" s="45">
        <f t="shared" si="414"/>
        <v>1.2679511290874589E-2</v>
      </c>
      <c r="X823" s="45">
        <f t="shared" si="415"/>
        <v>-3.4862613346007751E-4</v>
      </c>
      <c r="Y823" s="45">
        <f t="shared" si="389"/>
        <v>6.5305547032140206E-5</v>
      </c>
      <c r="Z823" s="10">
        <f t="shared" si="416"/>
        <v>0.22958720332839919</v>
      </c>
      <c r="AA823">
        <f t="shared" si="394"/>
        <v>175225.59747367341</v>
      </c>
      <c r="AB823" s="10">
        <f t="shared" si="395"/>
        <v>0.17522559747367342</v>
      </c>
      <c r="AC823" s="10">
        <f t="shared" si="396"/>
        <v>7.422559747367341E-2</v>
      </c>
      <c r="AD823" s="3">
        <f t="shared" si="397"/>
        <v>10.765133788785121</v>
      </c>
      <c r="AI823" s="100">
        <f t="shared" si="398"/>
        <v>1.2679511290874589E-2</v>
      </c>
    </row>
    <row r="824" spans="2:35">
      <c r="B824" s="39">
        <f t="shared" si="399"/>
        <v>796</v>
      </c>
      <c r="C824" s="45">
        <f t="shared" si="400"/>
        <v>23.383693045562044</v>
      </c>
      <c r="D824" s="10">
        <f t="shared" si="401"/>
        <v>-7.9336930455618173</v>
      </c>
      <c r="E824" s="40">
        <f t="shared" si="402"/>
        <v>64.207386091123638</v>
      </c>
      <c r="F824" s="40">
        <f t="shared" si="403"/>
        <v>48.34</v>
      </c>
      <c r="G824" s="3">
        <f t="shared" si="404"/>
        <v>34.665227817752736</v>
      </c>
      <c r="H824" s="3">
        <f t="shared" si="405"/>
        <v>148.0155219248214</v>
      </c>
      <c r="I824">
        <f t="shared" si="390"/>
        <v>1.4801552192482141E-4</v>
      </c>
      <c r="J824" s="4">
        <f t="shared" si="406"/>
        <v>3242.4321454085321</v>
      </c>
      <c r="K824" s="40">
        <f t="shared" si="407"/>
        <v>21.906027849264326</v>
      </c>
      <c r="L824" s="40">
        <f t="shared" si="391"/>
        <v>0</v>
      </c>
      <c r="M824" s="10">
        <f t="shared" si="408"/>
        <v>0.17522559747367342</v>
      </c>
      <c r="N824" s="10">
        <f t="shared" si="387"/>
        <v>8.26</v>
      </c>
      <c r="O824" s="10">
        <f t="shared" si="388"/>
        <v>0.31900000000000001</v>
      </c>
      <c r="P824" s="10">
        <f t="shared" si="409"/>
        <v>4.7390104417449939</v>
      </c>
      <c r="Q824" s="45">
        <f t="shared" si="410"/>
        <v>2.9958099496597024</v>
      </c>
      <c r="R824" s="4">
        <f t="shared" si="411"/>
        <v>-48621.095775509188</v>
      </c>
      <c r="S824">
        <f t="shared" si="392"/>
        <v>-4.8621095775509188E-5</v>
      </c>
      <c r="T824" s="44">
        <f t="shared" si="393"/>
        <v>2.8448888141082459E-4</v>
      </c>
      <c r="U824" s="45">
        <f t="shared" si="412"/>
        <v>-8.7252987423940012E-2</v>
      </c>
      <c r="V824" s="45">
        <f t="shared" si="413"/>
        <v>1.1928054673758438E-2</v>
      </c>
      <c r="W824" s="45">
        <f t="shared" si="414"/>
        <v>1.2273274494543872E-2</v>
      </c>
      <c r="X824" s="45">
        <f t="shared" si="415"/>
        <v>-3.4521982078543345E-4</v>
      </c>
      <c r="Y824" s="45">
        <f t="shared" si="389"/>
        <v>6.3165575032492986E-5</v>
      </c>
      <c r="Z824" s="10">
        <f t="shared" si="416"/>
        <v>0.22203178809394969</v>
      </c>
      <c r="AA824">
        <f t="shared" si="394"/>
        <v>172782.92993032368</v>
      </c>
      <c r="AB824" s="10">
        <f t="shared" si="395"/>
        <v>0.17278292993032368</v>
      </c>
      <c r="AC824" s="10">
        <f t="shared" si="396"/>
        <v>7.1782929930323675E-2</v>
      </c>
      <c r="AD824" s="3">
        <f t="shared" si="397"/>
        <v>10.410867285036066</v>
      </c>
      <c r="AI824" s="100">
        <f t="shared" si="398"/>
        <v>1.2273274494543872E-2</v>
      </c>
    </row>
    <row r="825" spans="2:35">
      <c r="B825" s="39">
        <f t="shared" si="399"/>
        <v>797</v>
      </c>
      <c r="C825" s="45">
        <f t="shared" si="400"/>
        <v>23.413069544363001</v>
      </c>
      <c r="D825" s="10">
        <f t="shared" si="401"/>
        <v>-7.9630695443627744</v>
      </c>
      <c r="E825" s="40">
        <f t="shared" si="402"/>
        <v>64.266139088725552</v>
      </c>
      <c r="F825" s="40">
        <f t="shared" si="403"/>
        <v>48.34</v>
      </c>
      <c r="G825" s="3">
        <f t="shared" si="404"/>
        <v>34.547721822548908</v>
      </c>
      <c r="H825" s="3">
        <f t="shared" si="405"/>
        <v>148.0155219248214</v>
      </c>
      <c r="I825">
        <f t="shared" si="390"/>
        <v>1.4801552192482141E-4</v>
      </c>
      <c r="J825" s="4">
        <f t="shared" si="406"/>
        <v>3248.3604915300562</v>
      </c>
      <c r="K825" s="40">
        <f t="shared" si="407"/>
        <v>21.946080041388711</v>
      </c>
      <c r="L825" s="40">
        <f t="shared" si="391"/>
        <v>0</v>
      </c>
      <c r="M825" s="10">
        <f t="shared" si="408"/>
        <v>0.17278292993032368</v>
      </c>
      <c r="N825" s="10">
        <f t="shared" si="387"/>
        <v>8.26</v>
      </c>
      <c r="O825" s="10">
        <f t="shared" si="388"/>
        <v>0.31900000000000001</v>
      </c>
      <c r="P825" s="10">
        <f t="shared" si="409"/>
        <v>4.7178357113553098</v>
      </c>
      <c r="Q825" s="45">
        <f t="shared" si="410"/>
        <v>3.0020366393111142</v>
      </c>
      <c r="R825" s="4">
        <f t="shared" si="411"/>
        <v>-48661.093915079691</v>
      </c>
      <c r="S825">
        <f t="shared" si="392"/>
        <v>-4.8661093915079693E-5</v>
      </c>
      <c r="T825" s="44">
        <f t="shared" si="393"/>
        <v>2.8452887955039512E-4</v>
      </c>
      <c r="U825" s="45">
        <f t="shared" si="412"/>
        <v>-8.732476608530626E-2</v>
      </c>
      <c r="V825" s="45">
        <f t="shared" si="413"/>
        <v>1.1527579722874597E-2</v>
      </c>
      <c r="W825" s="45">
        <f t="shared" si="414"/>
        <v>1.1869377048395625E-2</v>
      </c>
      <c r="X825" s="45">
        <f t="shared" si="415"/>
        <v>-3.4179732552102812E-4</v>
      </c>
      <c r="Y825" s="45">
        <f t="shared" si="389"/>
        <v>6.1037309162790968E-5</v>
      </c>
      <c r="Z825" s="10">
        <f t="shared" si="416"/>
        <v>0.21452061126181807</v>
      </c>
      <c r="AA825">
        <f t="shared" si="394"/>
        <v>170354.56467297132</v>
      </c>
      <c r="AB825" s="10">
        <f t="shared" si="395"/>
        <v>0.17035456467297133</v>
      </c>
      <c r="AC825" s="10">
        <f t="shared" si="396"/>
        <v>6.9354564672971325E-2</v>
      </c>
      <c r="AD825" s="3">
        <f t="shared" si="397"/>
        <v>10.058675079473723</v>
      </c>
      <c r="AI825" s="100">
        <f t="shared" si="398"/>
        <v>1.1869377048395625E-2</v>
      </c>
    </row>
    <row r="826" spans="2:35">
      <c r="B826" s="39">
        <f t="shared" si="399"/>
        <v>798</v>
      </c>
      <c r="C826" s="45">
        <f t="shared" si="400"/>
        <v>23.442446043163958</v>
      </c>
      <c r="D826" s="10">
        <f t="shared" si="401"/>
        <v>-7.9924460431637314</v>
      </c>
      <c r="E826" s="40">
        <f t="shared" si="402"/>
        <v>64.324892086327466</v>
      </c>
      <c r="F826" s="40">
        <f t="shared" si="403"/>
        <v>48.34</v>
      </c>
      <c r="G826" s="3">
        <f t="shared" si="404"/>
        <v>34.43021582734508</v>
      </c>
      <c r="H826" s="3">
        <f t="shared" si="405"/>
        <v>148.0155219248214</v>
      </c>
      <c r="I826">
        <f t="shared" si="390"/>
        <v>1.4801552192482141E-4</v>
      </c>
      <c r="J826" s="4">
        <f t="shared" si="406"/>
        <v>3254.2942599065536</v>
      </c>
      <c r="K826" s="40">
        <f t="shared" si="407"/>
        <v>21.986168866529031</v>
      </c>
      <c r="L826" s="40">
        <f t="shared" si="391"/>
        <v>0</v>
      </c>
      <c r="M826" s="10">
        <f t="shared" si="408"/>
        <v>0.17035456467297133</v>
      </c>
      <c r="N826" s="10">
        <f t="shared" si="387"/>
        <v>8.26</v>
      </c>
      <c r="O826" s="10">
        <f t="shared" si="388"/>
        <v>0.31900000000000001</v>
      </c>
      <c r="P826" s="10">
        <f t="shared" si="409"/>
        <v>4.6965819162068083</v>
      </c>
      <c r="Q826" s="45">
        <f t="shared" si="410"/>
        <v>3.0082915070692144</v>
      </c>
      <c r="R826" s="4">
        <f t="shared" si="411"/>
        <v>-48699.885511637345</v>
      </c>
      <c r="S826">
        <f t="shared" si="392"/>
        <v>-4.8699885511637346E-5</v>
      </c>
      <c r="T826" s="44">
        <f t="shared" si="393"/>
        <v>2.8456767114695274E-4</v>
      </c>
      <c r="U826" s="45">
        <f t="shared" si="412"/>
        <v>-8.7394379544908793E-2</v>
      </c>
      <c r="V826" s="45">
        <f t="shared" si="413"/>
        <v>1.1129485433545923E-2</v>
      </c>
      <c r="W826" s="45">
        <f t="shared" si="414"/>
        <v>1.1467844499101293E-2</v>
      </c>
      <c r="X826" s="45">
        <f t="shared" si="415"/>
        <v>-3.3835906555537004E-4</v>
      </c>
      <c r="Y826" s="45">
        <f t="shared" si="389"/>
        <v>5.8920917952987757E-5</v>
      </c>
      <c r="Z826" s="10">
        <f t="shared" si="416"/>
        <v>0.20705415241129266</v>
      </c>
      <c r="AA826">
        <f t="shared" si="394"/>
        <v>167940.65674971428</v>
      </c>
      <c r="AB826" s="10">
        <f t="shared" si="395"/>
        <v>0.16794065674971428</v>
      </c>
      <c r="AC826" s="10">
        <f t="shared" si="396"/>
        <v>6.6940656749714278E-2</v>
      </c>
      <c r="AD826" s="3">
        <f t="shared" si="397"/>
        <v>9.7085796591318765</v>
      </c>
      <c r="AI826" s="100">
        <f t="shared" si="398"/>
        <v>1.1467844499101293E-2</v>
      </c>
    </row>
    <row r="827" spans="2:35">
      <c r="B827" s="39">
        <f t="shared" si="399"/>
        <v>799</v>
      </c>
      <c r="C827" s="45">
        <f t="shared" si="400"/>
        <v>23.471822541964915</v>
      </c>
      <c r="D827" s="10">
        <f t="shared" si="401"/>
        <v>-8.0218225419646885</v>
      </c>
      <c r="E827" s="40">
        <f t="shared" si="402"/>
        <v>64.38364508392938</v>
      </c>
      <c r="F827" s="40">
        <f t="shared" si="403"/>
        <v>48.34</v>
      </c>
      <c r="G827" s="3">
        <f t="shared" si="404"/>
        <v>34.312709832141252</v>
      </c>
      <c r="H827" s="3">
        <f t="shared" si="405"/>
        <v>148.0155219248214</v>
      </c>
      <c r="I827">
        <f t="shared" si="390"/>
        <v>1.4801552192482141E-4</v>
      </c>
      <c r="J827" s="4">
        <f t="shared" si="406"/>
        <v>3260.233450538025</v>
      </c>
      <c r="K827" s="40">
        <f t="shared" si="407"/>
        <v>22.026294324685292</v>
      </c>
      <c r="L827" s="40">
        <f t="shared" si="391"/>
        <v>0</v>
      </c>
      <c r="M827" s="10">
        <f t="shared" si="408"/>
        <v>0.16794065674971428</v>
      </c>
      <c r="N827" s="10">
        <f t="shared" si="387"/>
        <v>8.26</v>
      </c>
      <c r="O827" s="10">
        <f t="shared" si="388"/>
        <v>0.31900000000000001</v>
      </c>
      <c r="P827" s="10">
        <f t="shared" si="409"/>
        <v>4.6752491784912076</v>
      </c>
      <c r="Q827" s="45">
        <f t="shared" si="410"/>
        <v>3.0145749152212562</v>
      </c>
      <c r="R827" s="4">
        <f t="shared" si="411"/>
        <v>-48737.468653739772</v>
      </c>
      <c r="S827">
        <f t="shared" si="392"/>
        <v>-4.8737468653739769E-5</v>
      </c>
      <c r="T827" s="44">
        <f t="shared" si="393"/>
        <v>2.846052542890552E-4</v>
      </c>
      <c r="U827" s="45">
        <f t="shared" si="412"/>
        <v>-8.7461824372568706E-2</v>
      </c>
      <c r="V827" s="45">
        <f t="shared" si="413"/>
        <v>1.0733797013965558E-2</v>
      </c>
      <c r="W827" s="45">
        <f t="shared" si="414"/>
        <v>1.1068702484014165E-2</v>
      </c>
      <c r="X827" s="45">
        <f t="shared" si="415"/>
        <v>-3.349054700486076E-4</v>
      </c>
      <c r="Y827" s="45">
        <f t="shared" si="389"/>
        <v>5.6816570192320957E-5</v>
      </c>
      <c r="Z827" s="10">
        <f t="shared" si="416"/>
        <v>0.19963289270343559</v>
      </c>
      <c r="AA827">
        <f t="shared" si="394"/>
        <v>165541.36172003852</v>
      </c>
      <c r="AB827" s="10">
        <f t="shared" si="395"/>
        <v>0.16554136172003853</v>
      </c>
      <c r="AC827" s="10">
        <f t="shared" si="396"/>
        <v>6.454136172003852E-2</v>
      </c>
      <c r="AD827" s="3">
        <f t="shared" si="397"/>
        <v>9.3606035852122584</v>
      </c>
      <c r="AI827" s="100">
        <f t="shared" si="398"/>
        <v>1.1068702484014165E-2</v>
      </c>
    </row>
    <row r="828" spans="2:35">
      <c r="B828" s="39">
        <f t="shared" si="399"/>
        <v>800</v>
      </c>
      <c r="C828" s="45">
        <f t="shared" si="400"/>
        <v>23.501199040765872</v>
      </c>
      <c r="D828" s="10">
        <f t="shared" si="401"/>
        <v>-8.0511990407656455</v>
      </c>
      <c r="E828" s="40">
        <f t="shared" si="402"/>
        <v>64.442398081531294</v>
      </c>
      <c r="F828" s="40">
        <f t="shared" si="403"/>
        <v>48.34</v>
      </c>
      <c r="G828" s="3">
        <f t="shared" si="404"/>
        <v>34.195203836937424</v>
      </c>
      <c r="H828" s="3">
        <f t="shared" si="405"/>
        <v>148.0155219248214</v>
      </c>
      <c r="I828">
        <f t="shared" si="390"/>
        <v>1.4801552192482141E-4</v>
      </c>
      <c r="J828" s="4">
        <f t="shared" si="406"/>
        <v>3266.1780634244697</v>
      </c>
      <c r="K828" s="40">
        <f t="shared" si="407"/>
        <v>22.066456415857488</v>
      </c>
      <c r="L828" s="40">
        <f t="shared" si="391"/>
        <v>0</v>
      </c>
      <c r="M828" s="10">
        <f t="shared" si="408"/>
        <v>0.16554136172003853</v>
      </c>
      <c r="N828" s="10">
        <f t="shared" si="387"/>
        <v>8.26</v>
      </c>
      <c r="O828" s="10">
        <f t="shared" si="388"/>
        <v>0.31900000000000001</v>
      </c>
      <c r="P828" s="10">
        <f t="shared" si="409"/>
        <v>4.6538376445348382</v>
      </c>
      <c r="Q828" s="45">
        <f t="shared" si="410"/>
        <v>3.0208872322904723</v>
      </c>
      <c r="R828" s="4">
        <f t="shared" si="411"/>
        <v>-48773.841429944572</v>
      </c>
      <c r="S828">
        <f t="shared" si="392"/>
        <v>-4.8773841429944575E-5</v>
      </c>
      <c r="T828" s="44">
        <f t="shared" si="393"/>
        <v>2.8464162706525999E-4</v>
      </c>
      <c r="U828" s="45">
        <f t="shared" si="412"/>
        <v>-8.7527097138107024E-2</v>
      </c>
      <c r="V828" s="45">
        <f t="shared" si="413"/>
        <v>1.0340539745165947E-2</v>
      </c>
      <c r="W828" s="45">
        <f t="shared" si="414"/>
        <v>1.0671976725046042E-2</v>
      </c>
      <c r="X828" s="45">
        <f t="shared" si="415"/>
        <v>-3.3143697988009466E-4</v>
      </c>
      <c r="Y828" s="45">
        <f t="shared" si="389"/>
        <v>5.4724434886854406E-5</v>
      </c>
      <c r="Z828" s="10">
        <f t="shared" si="416"/>
        <v>0.19225731475427413</v>
      </c>
      <c r="AA828">
        <f t="shared" si="394"/>
        <v>163156.83561382044</v>
      </c>
      <c r="AB828" s="10">
        <f t="shared" si="395"/>
        <v>0.16315683561382044</v>
      </c>
      <c r="AC828" s="10">
        <f t="shared" si="396"/>
        <v>6.2156835613820433E-2</v>
      </c>
      <c r="AD828" s="3">
        <f t="shared" si="397"/>
        <v>9.0147694871385688</v>
      </c>
      <c r="AI828" s="100">
        <f t="shared" si="398"/>
        <v>1.0671976725046042E-2</v>
      </c>
    </row>
    <row r="829" spans="2:35">
      <c r="B829" s="39">
        <f t="shared" si="399"/>
        <v>801</v>
      </c>
      <c r="C829" s="45">
        <f t="shared" si="400"/>
        <v>23.530575539566829</v>
      </c>
      <c r="D829" s="10">
        <f t="shared" si="401"/>
        <v>-8.0805755395666026</v>
      </c>
      <c r="E829" s="40">
        <f t="shared" si="402"/>
        <v>64.501151079133209</v>
      </c>
      <c r="F829" s="40">
        <f t="shared" si="403"/>
        <v>48.34</v>
      </c>
      <c r="G829" s="3">
        <f t="shared" si="404"/>
        <v>34.077697841733595</v>
      </c>
      <c r="H829" s="3">
        <f t="shared" si="405"/>
        <v>148.0155219248214</v>
      </c>
      <c r="I829">
        <f t="shared" si="390"/>
        <v>1.4801552192482141E-4</v>
      </c>
      <c r="J829" s="4">
        <f t="shared" si="406"/>
        <v>3272.1280985658896</v>
      </c>
      <c r="K829" s="40">
        <f t="shared" si="407"/>
        <v>22.106655140045628</v>
      </c>
      <c r="L829" s="40">
        <f t="shared" si="391"/>
        <v>0</v>
      </c>
      <c r="M829" s="10">
        <f t="shared" si="408"/>
        <v>0.16315683561382044</v>
      </c>
      <c r="N829" s="10">
        <f t="shared" si="387"/>
        <v>8.26</v>
      </c>
      <c r="O829" s="10">
        <f t="shared" si="388"/>
        <v>0.31900000000000001</v>
      </c>
      <c r="P829" s="10">
        <f t="shared" si="409"/>
        <v>4.6323474858052665</v>
      </c>
      <c r="Q829" s="45">
        <f t="shared" si="410"/>
        <v>3.0272288331507218</v>
      </c>
      <c r="R829" s="4">
        <f t="shared" si="411"/>
        <v>-48809.001928809361</v>
      </c>
      <c r="S829">
        <f t="shared" si="392"/>
        <v>-4.8809001928809359E-5</v>
      </c>
      <c r="T829" s="44">
        <f t="shared" si="393"/>
        <v>2.8467678756412479E-4</v>
      </c>
      <c r="U829" s="45">
        <f t="shared" si="412"/>
        <v>-8.7590194411344829E-2</v>
      </c>
      <c r="V829" s="45">
        <f t="shared" si="413"/>
        <v>9.9497389741622956E-3</v>
      </c>
      <c r="W829" s="45">
        <f t="shared" si="414"/>
        <v>1.0277693021888239E-2</v>
      </c>
      <c r="X829" s="45">
        <f t="shared" si="415"/>
        <v>-3.2795404772594308E-4</v>
      </c>
      <c r="Y829" s="45">
        <f t="shared" si="389"/>
        <v>5.2644681215673266E-5</v>
      </c>
      <c r="Z829" s="10">
        <f t="shared" si="416"/>
        <v>0.18492790250351832</v>
      </c>
      <c r="AA829">
        <f t="shared" si="394"/>
        <v>160787.23488888354</v>
      </c>
      <c r="AB829" s="10">
        <f t="shared" si="395"/>
        <v>0.16078723488888355</v>
      </c>
      <c r="AC829" s="10">
        <f t="shared" si="396"/>
        <v>5.9787234888883545E-2</v>
      </c>
      <c r="AD829" s="3">
        <f t="shared" si="397"/>
        <v>8.6711000564008049</v>
      </c>
      <c r="AI829" s="100">
        <f t="shared" si="398"/>
        <v>1.0277693021888239E-2</v>
      </c>
    </row>
    <row r="830" spans="2:35">
      <c r="B830" s="39">
        <f t="shared" si="399"/>
        <v>802</v>
      </c>
      <c r="C830" s="45">
        <f t="shared" si="400"/>
        <v>23.559952038367786</v>
      </c>
      <c r="D830" s="10">
        <f t="shared" si="401"/>
        <v>-8.1099520383675596</v>
      </c>
      <c r="E830" s="40">
        <f t="shared" si="402"/>
        <v>64.559904076735123</v>
      </c>
      <c r="F830" s="40">
        <f t="shared" si="403"/>
        <v>48.34</v>
      </c>
      <c r="G830" s="3">
        <f t="shared" si="404"/>
        <v>33.960191846529767</v>
      </c>
      <c r="H830" s="3">
        <f t="shared" si="405"/>
        <v>148.0155219248214</v>
      </c>
      <c r="I830">
        <f t="shared" si="390"/>
        <v>1.4801552192482141E-4</v>
      </c>
      <c r="J830" s="4">
        <f t="shared" si="406"/>
        <v>3278.0835559622824</v>
      </c>
      <c r="K830" s="40">
        <f t="shared" si="407"/>
        <v>22.146890497249704</v>
      </c>
      <c r="L830" s="40">
        <f t="shared" si="391"/>
        <v>0</v>
      </c>
      <c r="M830" s="10">
        <f t="shared" si="408"/>
        <v>0.16078723488888355</v>
      </c>
      <c r="N830" s="10">
        <f t="shared" si="387"/>
        <v>8.26</v>
      </c>
      <c r="O830" s="10">
        <f t="shared" si="388"/>
        <v>0.31900000000000001</v>
      </c>
      <c r="P830" s="10">
        <f t="shared" si="409"/>
        <v>4.6107788999581203</v>
      </c>
      <c r="Q830" s="45">
        <f t="shared" si="410"/>
        <v>3.0336000991425101</v>
      </c>
      <c r="R830" s="4">
        <f t="shared" si="411"/>
        <v>-48842.948238891717</v>
      </c>
      <c r="S830">
        <f t="shared" si="392"/>
        <v>-4.8842948238891715E-5</v>
      </c>
      <c r="T830" s="44">
        <f t="shared" si="393"/>
        <v>2.8471073387420715E-4</v>
      </c>
      <c r="U830" s="45">
        <f t="shared" si="412"/>
        <v>-8.765111276210312E-2</v>
      </c>
      <c r="V830" s="45">
        <f t="shared" si="413"/>
        <v>9.5614201065857673E-3</v>
      </c>
      <c r="W830" s="45">
        <f t="shared" si="414"/>
        <v>9.8858772449935406E-3</v>
      </c>
      <c r="X830" s="45">
        <f t="shared" si="415"/>
        <v>-3.2445713840777331E-4</v>
      </c>
      <c r="Y830" s="45">
        <f t="shared" si="389"/>
        <v>5.0577478483942877E-5</v>
      </c>
      <c r="Z830" s="10">
        <f t="shared" si="416"/>
        <v>0.17764514107251525</v>
      </c>
      <c r="AA830">
        <f t="shared" si="394"/>
        <v>158432.71638507475</v>
      </c>
      <c r="AB830" s="10">
        <f t="shared" si="395"/>
        <v>0.15843271638507475</v>
      </c>
      <c r="AC830" s="10">
        <f t="shared" si="396"/>
        <v>5.7432716385074745E-2</v>
      </c>
      <c r="AD830" s="3">
        <f t="shared" si="397"/>
        <v>8.3296180398948145</v>
      </c>
      <c r="AI830" s="100">
        <f t="shared" si="398"/>
        <v>9.8858772449935406E-3</v>
      </c>
    </row>
    <row r="831" spans="2:35">
      <c r="B831" s="39">
        <f t="shared" si="399"/>
        <v>803</v>
      </c>
      <c r="C831" s="45">
        <f t="shared" si="400"/>
        <v>23.589328537168743</v>
      </c>
      <c r="D831" s="10">
        <f t="shared" si="401"/>
        <v>-8.1393285371685167</v>
      </c>
      <c r="E831" s="40">
        <f t="shared" si="402"/>
        <v>64.618657074337037</v>
      </c>
      <c r="F831" s="40">
        <f t="shared" si="403"/>
        <v>48.34</v>
      </c>
      <c r="G831" s="3">
        <f t="shared" si="404"/>
        <v>33.842685851325939</v>
      </c>
      <c r="H831" s="3">
        <f t="shared" si="405"/>
        <v>148.0155219248214</v>
      </c>
      <c r="I831">
        <f t="shared" si="390"/>
        <v>1.4801552192482141E-4</v>
      </c>
      <c r="J831" s="4">
        <f t="shared" si="406"/>
        <v>3284.0444356136491</v>
      </c>
      <c r="K831" s="40">
        <f t="shared" si="407"/>
        <v>22.18716248746972</v>
      </c>
      <c r="L831" s="40">
        <f t="shared" si="391"/>
        <v>0</v>
      </c>
      <c r="M831" s="10">
        <f t="shared" si="408"/>
        <v>0.15843271638507475</v>
      </c>
      <c r="N831" s="10">
        <f t="shared" si="387"/>
        <v>8.26</v>
      </c>
      <c r="O831" s="10">
        <f t="shared" si="388"/>
        <v>0.31900000000000001</v>
      </c>
      <c r="P831" s="10">
        <f t="shared" si="409"/>
        <v>4.5891321119072099</v>
      </c>
      <c r="Q831" s="45">
        <f t="shared" si="410"/>
        <v>3.0400014181903394</v>
      </c>
      <c r="R831" s="4">
        <f t="shared" si="411"/>
        <v>-48875.67844874924</v>
      </c>
      <c r="S831">
        <f t="shared" si="392"/>
        <v>-4.8875678448749243E-5</v>
      </c>
      <c r="T831" s="44">
        <f t="shared" si="393"/>
        <v>2.8474346408406464E-4</v>
      </c>
      <c r="U831" s="45">
        <f t="shared" si="412"/>
        <v>-8.7709848760202949E-2</v>
      </c>
      <c r="V831" s="45">
        <f t="shared" si="413"/>
        <v>9.1756085989411953E-3</v>
      </c>
      <c r="W831" s="45">
        <f t="shared" si="414"/>
        <v>9.4965553279826656E-3</v>
      </c>
      <c r="X831" s="45">
        <f t="shared" si="415"/>
        <v>-3.2094672904147033E-4</v>
      </c>
      <c r="Y831" s="45">
        <f t="shared" si="389"/>
        <v>4.8522996073991179E-5</v>
      </c>
      <c r="Z831" s="10">
        <f t="shared" si="416"/>
        <v>0.17040951661550963</v>
      </c>
      <c r="AA831">
        <f t="shared" si="394"/>
        <v>156093.43727617708</v>
      </c>
      <c r="AB831" s="10">
        <f t="shared" si="395"/>
        <v>0.15609343727617708</v>
      </c>
      <c r="AC831" s="10">
        <f t="shared" si="396"/>
        <v>5.5093437276177076E-2</v>
      </c>
      <c r="AD831" s="3">
        <f t="shared" si="397"/>
        <v>7.9903462329480899</v>
      </c>
      <c r="AI831" s="100">
        <f t="shared" si="398"/>
        <v>9.4965553279826656E-3</v>
      </c>
    </row>
    <row r="832" spans="2:35">
      <c r="B832" s="39">
        <f t="shared" si="399"/>
        <v>804</v>
      </c>
      <c r="C832" s="45">
        <f t="shared" si="400"/>
        <v>23.6187050359697</v>
      </c>
      <c r="D832" s="10">
        <f t="shared" si="401"/>
        <v>-8.1687050359694737</v>
      </c>
      <c r="E832" s="40">
        <f t="shared" si="402"/>
        <v>64.677410071938951</v>
      </c>
      <c r="F832" s="40">
        <f t="shared" si="403"/>
        <v>48.34</v>
      </c>
      <c r="G832" s="3">
        <f t="shared" si="404"/>
        <v>33.725179856122111</v>
      </c>
      <c r="H832" s="3">
        <f t="shared" si="405"/>
        <v>148.0155219248214</v>
      </c>
      <c r="I832">
        <f t="shared" si="390"/>
        <v>1.4801552192482141E-4</v>
      </c>
      <c r="J832" s="4">
        <f t="shared" si="406"/>
        <v>3290.0107375199905</v>
      </c>
      <c r="K832" s="40">
        <f t="shared" si="407"/>
        <v>22.227471110705679</v>
      </c>
      <c r="L832" s="40">
        <f t="shared" si="391"/>
        <v>0</v>
      </c>
      <c r="M832" s="10">
        <f t="shared" si="408"/>
        <v>0.15609343727617708</v>
      </c>
      <c r="N832" s="10">
        <f t="shared" si="387"/>
        <v>8.26</v>
      </c>
      <c r="O832" s="10">
        <f t="shared" si="388"/>
        <v>0.31900000000000001</v>
      </c>
      <c r="P832" s="10">
        <f t="shared" si="409"/>
        <v>4.5674073749309709</v>
      </c>
      <c r="Q832" s="45">
        <f t="shared" si="410"/>
        <v>3.0464331849213289</v>
      </c>
      <c r="R832" s="4">
        <f t="shared" si="411"/>
        <v>-48907.190646939554</v>
      </c>
      <c r="S832">
        <f t="shared" si="392"/>
        <v>-4.8907190646939551E-5</v>
      </c>
      <c r="T832" s="44">
        <f t="shared" si="393"/>
        <v>2.8477497628225497E-4</v>
      </c>
      <c r="U832" s="45">
        <f t="shared" si="412"/>
        <v>-8.7766398975465371E-2</v>
      </c>
      <c r="V832" s="45">
        <f t="shared" si="413"/>
        <v>8.7923299503310723E-3</v>
      </c>
      <c r="W832" s="45">
        <f t="shared" si="414"/>
        <v>9.1097532596930014E-3</v>
      </c>
      <c r="X832" s="45">
        <f t="shared" si="415"/>
        <v>-3.1742330936192914E-4</v>
      </c>
      <c r="Y832" s="45">
        <f t="shared" si="389"/>
        <v>4.6481403393196557E-5</v>
      </c>
      <c r="Z832" s="10">
        <f t="shared" si="416"/>
        <v>0.16322151615992578</v>
      </c>
      <c r="AA832">
        <f t="shared" si="394"/>
        <v>153769.55501827272</v>
      </c>
      <c r="AB832" s="10">
        <f t="shared" si="395"/>
        <v>0.15376955501827272</v>
      </c>
      <c r="AC832" s="10">
        <f t="shared" si="396"/>
        <v>5.2769555018272712E-2</v>
      </c>
      <c r="AD832" s="3">
        <f t="shared" si="397"/>
        <v>7.653307471830705</v>
      </c>
      <c r="AI832" s="100">
        <f t="shared" si="398"/>
        <v>9.1097532596930014E-3</v>
      </c>
    </row>
    <row r="833" spans="2:35">
      <c r="B833" s="39">
        <f t="shared" si="399"/>
        <v>805</v>
      </c>
      <c r="C833" s="45">
        <f t="shared" si="400"/>
        <v>23.648081534770657</v>
      </c>
      <c r="D833" s="10">
        <f t="shared" si="401"/>
        <v>-8.1980815347704308</v>
      </c>
      <c r="E833" s="40">
        <f t="shared" si="402"/>
        <v>64.736163069540865</v>
      </c>
      <c r="F833" s="40">
        <f t="shared" si="403"/>
        <v>48.34</v>
      </c>
      <c r="G833" s="3">
        <f t="shared" si="404"/>
        <v>33.607673860918283</v>
      </c>
      <c r="H833" s="3">
        <f t="shared" si="405"/>
        <v>148.0155219248214</v>
      </c>
      <c r="I833">
        <f t="shared" si="390"/>
        <v>1.4801552192482141E-4</v>
      </c>
      <c r="J833" s="4">
        <f t="shared" si="406"/>
        <v>3295.9824616813048</v>
      </c>
      <c r="K833" s="40">
        <f t="shared" si="407"/>
        <v>22.267816366957568</v>
      </c>
      <c r="L833" s="40">
        <f t="shared" si="391"/>
        <v>0</v>
      </c>
      <c r="M833" s="10">
        <f t="shared" si="408"/>
        <v>0.15376955501827272</v>
      </c>
      <c r="N833" s="10">
        <f t="shared" si="387"/>
        <v>8.26</v>
      </c>
      <c r="O833" s="10">
        <f t="shared" si="388"/>
        <v>0.31900000000000001</v>
      </c>
      <c r="P833" s="10">
        <f t="shared" si="409"/>
        <v>4.5456049718036686</v>
      </c>
      <c r="Q833" s="45">
        <f t="shared" si="410"/>
        <v>3.0528958007850435</v>
      </c>
      <c r="R833" s="4">
        <f t="shared" si="411"/>
        <v>-48937.482922020223</v>
      </c>
      <c r="S833">
        <f t="shared" si="392"/>
        <v>-4.8937482922020219E-5</v>
      </c>
      <c r="T833" s="44">
        <f t="shared" si="393"/>
        <v>2.8480526855733561E-4</v>
      </c>
      <c r="U833" s="45">
        <f t="shared" si="412"/>
        <v>-8.7820759977711382E-2</v>
      </c>
      <c r="V833" s="45">
        <f t="shared" si="413"/>
        <v>8.4116096937201269E-3</v>
      </c>
      <c r="W833" s="45">
        <f t="shared" si="414"/>
        <v>8.7254970756403642E-3</v>
      </c>
      <c r="X833" s="45">
        <f t="shared" si="415"/>
        <v>-3.138873819202373E-4</v>
      </c>
      <c r="Y833" s="45">
        <f t="shared" si="389"/>
        <v>4.4452869819378966E-5</v>
      </c>
      <c r="Z833" s="10">
        <f t="shared" si="416"/>
        <v>0.15608162743811718</v>
      </c>
      <c r="AA833">
        <f t="shared" si="394"/>
        <v>151461.22729534761</v>
      </c>
      <c r="AB833" s="10">
        <f t="shared" si="395"/>
        <v>0.15146122729534761</v>
      </c>
      <c r="AC833" s="10">
        <f t="shared" si="396"/>
        <v>5.0461227295347605E-2</v>
      </c>
      <c r="AD833" s="3">
        <f t="shared" si="397"/>
        <v>7.3185246258662229</v>
      </c>
      <c r="AI833" s="100">
        <f t="shared" si="398"/>
        <v>8.7254970756403642E-3</v>
      </c>
    </row>
    <row r="834" spans="2:35">
      <c r="B834" s="39">
        <f t="shared" si="399"/>
        <v>806</v>
      </c>
      <c r="C834" s="45">
        <f t="shared" si="400"/>
        <v>23.677458033571614</v>
      </c>
      <c r="D834" s="10">
        <f t="shared" si="401"/>
        <v>-8.2274580335713878</v>
      </c>
      <c r="E834" s="40">
        <f t="shared" si="402"/>
        <v>64.794916067142779</v>
      </c>
      <c r="F834" s="40">
        <f t="shared" si="403"/>
        <v>48.34</v>
      </c>
      <c r="G834" s="3">
        <f t="shared" si="404"/>
        <v>33.490167865714454</v>
      </c>
      <c r="H834" s="3">
        <f t="shared" si="405"/>
        <v>148.0155219248214</v>
      </c>
      <c r="I834">
        <f t="shared" si="390"/>
        <v>1.4801552192482141E-4</v>
      </c>
      <c r="J834" s="4">
        <f t="shared" si="406"/>
        <v>3301.9596080975934</v>
      </c>
      <c r="K834" s="40">
        <f t="shared" si="407"/>
        <v>22.308198256225403</v>
      </c>
      <c r="L834" s="40">
        <f t="shared" si="391"/>
        <v>0</v>
      </c>
      <c r="M834" s="10">
        <f t="shared" si="408"/>
        <v>0.15146122729534761</v>
      </c>
      <c r="N834" s="10">
        <f t="shared" si="387"/>
        <v>8.26</v>
      </c>
      <c r="O834" s="10">
        <f t="shared" si="388"/>
        <v>0.31900000000000001</v>
      </c>
      <c r="P834" s="10">
        <f t="shared" si="409"/>
        <v>4.5237252159595949</v>
      </c>
      <c r="Q834" s="45">
        <f t="shared" si="410"/>
        <v>3.0593896741744611</v>
      </c>
      <c r="R834" s="4">
        <f t="shared" si="411"/>
        <v>-48966.553362548868</v>
      </c>
      <c r="S834">
        <f t="shared" si="392"/>
        <v>-4.8966553362548869E-5</v>
      </c>
      <c r="T834" s="44">
        <f t="shared" si="393"/>
        <v>2.8483433899786426E-4</v>
      </c>
      <c r="U834" s="45">
        <f t="shared" si="412"/>
        <v>-8.7872928336762066E-2</v>
      </c>
      <c r="V834" s="45">
        <f t="shared" si="413"/>
        <v>8.0334733867305184E-3</v>
      </c>
      <c r="W834" s="45">
        <f t="shared" si="414"/>
        <v>8.3438128490246899E-3</v>
      </c>
      <c r="X834" s="45">
        <f t="shared" si="415"/>
        <v>-3.1033946229417145E-4</v>
      </c>
      <c r="Y834" s="45">
        <f t="shared" si="389"/>
        <v>4.2437564643500698E-5</v>
      </c>
      <c r="Z834" s="10">
        <f t="shared" si="416"/>
        <v>0.14899033870989448</v>
      </c>
      <c r="AA834">
        <f t="shared" si="394"/>
        <v>149168.61196191475</v>
      </c>
      <c r="AB834" s="10">
        <f t="shared" si="395"/>
        <v>0.14916861196191475</v>
      </c>
      <c r="AC834" s="10">
        <f t="shared" si="396"/>
        <v>4.8168611961914742E-2</v>
      </c>
      <c r="AD834" s="3">
        <f t="shared" si="397"/>
        <v>6.9860205891101872</v>
      </c>
      <c r="AI834" s="100">
        <f t="shared" si="398"/>
        <v>8.3438128490246899E-3</v>
      </c>
    </row>
    <row r="835" spans="2:35">
      <c r="B835" s="39">
        <f t="shared" si="399"/>
        <v>807</v>
      </c>
      <c r="C835" s="45">
        <f t="shared" si="400"/>
        <v>23.706834532372572</v>
      </c>
      <c r="D835" s="10">
        <f t="shared" si="401"/>
        <v>-8.2568345323723449</v>
      </c>
      <c r="E835" s="40">
        <f t="shared" si="402"/>
        <v>64.853669064744693</v>
      </c>
      <c r="F835" s="40">
        <f t="shared" si="403"/>
        <v>48.34</v>
      </c>
      <c r="G835" s="3">
        <f t="shared" si="404"/>
        <v>33.372661870510626</v>
      </c>
      <c r="H835" s="3">
        <f t="shared" si="405"/>
        <v>148.0155219248214</v>
      </c>
      <c r="I835">
        <f t="shared" si="390"/>
        <v>1.4801552192482141E-4</v>
      </c>
      <c r="J835" s="4">
        <f t="shared" si="406"/>
        <v>3307.9421767688564</v>
      </c>
      <c r="K835" s="40">
        <f t="shared" si="407"/>
        <v>22.348616778509175</v>
      </c>
      <c r="L835" s="40">
        <f t="shared" si="391"/>
        <v>0</v>
      </c>
      <c r="M835" s="10">
        <f t="shared" si="408"/>
        <v>0.14916861196191475</v>
      </c>
      <c r="N835" s="10">
        <f t="shared" si="387"/>
        <v>8.26</v>
      </c>
      <c r="O835" s="10">
        <f t="shared" si="388"/>
        <v>0.31900000000000001</v>
      </c>
      <c r="P835" s="10">
        <f t="shared" si="409"/>
        <v>4.5017684526893387</v>
      </c>
      <c r="Q835" s="45">
        <f t="shared" si="410"/>
        <v>3.0659152205479998</v>
      </c>
      <c r="R835" s="4">
        <f t="shared" si="411"/>
        <v>-48994.400057083098</v>
      </c>
      <c r="S835">
        <f t="shared" si="392"/>
        <v>-4.8994400057083095E-5</v>
      </c>
      <c r="T835" s="44">
        <f t="shared" si="393"/>
        <v>2.8486218569239851E-4</v>
      </c>
      <c r="U835" s="45">
        <f t="shared" si="412"/>
        <v>-8.792290062243846E-2</v>
      </c>
      <c r="V835" s="45">
        <f t="shared" si="413"/>
        <v>7.6579466018406378E-3</v>
      </c>
      <c r="W835" s="45">
        <f t="shared" si="414"/>
        <v>7.9647266812427238E-3</v>
      </c>
      <c r="X835" s="45">
        <f t="shared" si="415"/>
        <v>-3.0678007940208602E-4</v>
      </c>
      <c r="Y835" s="45">
        <f t="shared" si="389"/>
        <v>4.0435657008884487E-5</v>
      </c>
      <c r="Z835" s="10">
        <f t="shared" si="416"/>
        <v>0.14194813857304298</v>
      </c>
      <c r="AA835">
        <f t="shared" si="394"/>
        <v>146891.8669817544</v>
      </c>
      <c r="AB835" s="10">
        <f t="shared" si="395"/>
        <v>0.14689186698175441</v>
      </c>
      <c r="AC835" s="10">
        <f t="shared" si="396"/>
        <v>4.5891866981754403E-2</v>
      </c>
      <c r="AD835" s="3">
        <f t="shared" si="397"/>
        <v>6.6558182714654688</v>
      </c>
      <c r="AI835" s="100">
        <f t="shared" si="398"/>
        <v>7.9647266812427238E-3</v>
      </c>
    </row>
    <row r="836" spans="2:35">
      <c r="B836" s="39">
        <f t="shared" si="399"/>
        <v>808</v>
      </c>
      <c r="C836" s="45">
        <f t="shared" si="400"/>
        <v>23.736211031173529</v>
      </c>
      <c r="D836" s="10">
        <f t="shared" si="401"/>
        <v>-8.2862110311733019</v>
      </c>
      <c r="E836" s="40">
        <f t="shared" si="402"/>
        <v>64.912422062346607</v>
      </c>
      <c r="F836" s="40">
        <f t="shared" si="403"/>
        <v>48.34</v>
      </c>
      <c r="G836" s="3">
        <f t="shared" si="404"/>
        <v>33.255155875306798</v>
      </c>
      <c r="H836" s="3">
        <f t="shared" si="405"/>
        <v>148.0155219248214</v>
      </c>
      <c r="I836">
        <f t="shared" si="390"/>
        <v>1.4801552192482141E-4</v>
      </c>
      <c r="J836" s="4">
        <f t="shared" si="406"/>
        <v>3313.9301676950931</v>
      </c>
      <c r="K836" s="40">
        <f t="shared" si="407"/>
        <v>22.389071933808889</v>
      </c>
      <c r="L836" s="40">
        <f t="shared" si="391"/>
        <v>0</v>
      </c>
      <c r="M836" s="10">
        <f t="shared" si="408"/>
        <v>0.14689186698175441</v>
      </c>
      <c r="N836" s="10">
        <f t="shared" si="387"/>
        <v>8.26</v>
      </c>
      <c r="O836" s="10">
        <f t="shared" si="388"/>
        <v>0.31900000000000001</v>
      </c>
      <c r="P836" s="10">
        <f t="shared" si="409"/>
        <v>4.4797350603603796</v>
      </c>
      <c r="Q836" s="45">
        <f t="shared" si="410"/>
        <v>3.0724728625525239</v>
      </c>
      <c r="R836" s="4">
        <f t="shared" si="411"/>
        <v>-49021.021094180476</v>
      </c>
      <c r="S836">
        <f t="shared" si="392"/>
        <v>-4.9021021094180477E-5</v>
      </c>
      <c r="T836" s="44">
        <f t="shared" si="393"/>
        <v>2.8488880672949588E-4</v>
      </c>
      <c r="U836" s="45">
        <f t="shared" si="412"/>
        <v>-8.7970673404561578E-2</v>
      </c>
      <c r="V836" s="45">
        <f t="shared" si="413"/>
        <v>7.2850549161053912E-3</v>
      </c>
      <c r="W836" s="45">
        <f t="shared" si="414"/>
        <v>7.5882646917586555E-3</v>
      </c>
      <c r="X836" s="45">
        <f t="shared" si="415"/>
        <v>-3.032097756532643E-4</v>
      </c>
      <c r="Y836" s="45">
        <f t="shared" si="389"/>
        <v>3.8447315847878301E-5</v>
      </c>
      <c r="Z836" s="10">
        <f t="shared" si="416"/>
        <v>0.13495551576508347</v>
      </c>
      <c r="AA836">
        <f t="shared" si="394"/>
        <v>144631.15036382334</v>
      </c>
      <c r="AB836" s="10">
        <f t="shared" si="395"/>
        <v>0.14463115036382335</v>
      </c>
      <c r="AC836" s="10">
        <f t="shared" si="396"/>
        <v>4.363115036382334E-2</v>
      </c>
      <c r="AD836" s="3">
        <f t="shared" si="397"/>
        <v>6.3279405893869969</v>
      </c>
      <c r="AI836" s="100">
        <f t="shared" si="398"/>
        <v>7.5882646917586555E-3</v>
      </c>
    </row>
    <row r="837" spans="2:35">
      <c r="B837" s="39">
        <f t="shared" si="399"/>
        <v>809</v>
      </c>
      <c r="C837" s="45">
        <f t="shared" si="400"/>
        <v>23.765587529974486</v>
      </c>
      <c r="D837" s="10">
        <f t="shared" si="401"/>
        <v>-8.315587529974259</v>
      </c>
      <c r="E837" s="40">
        <f t="shared" si="402"/>
        <v>64.971175059948521</v>
      </c>
      <c r="F837" s="40">
        <f t="shared" si="403"/>
        <v>48.34</v>
      </c>
      <c r="G837" s="3">
        <f t="shared" si="404"/>
        <v>33.13764988010297</v>
      </c>
      <c r="H837" s="3">
        <f t="shared" si="405"/>
        <v>148.0155219248214</v>
      </c>
      <c r="I837">
        <f t="shared" si="390"/>
        <v>1.4801552192482141E-4</v>
      </c>
      <c r="J837" s="4">
        <f t="shared" si="406"/>
        <v>3319.9235808763033</v>
      </c>
      <c r="K837" s="40">
        <f t="shared" si="407"/>
        <v>22.429563722124538</v>
      </c>
      <c r="L837" s="40">
        <f t="shared" si="391"/>
        <v>0</v>
      </c>
      <c r="M837" s="10">
        <f t="shared" si="408"/>
        <v>0.14463115036382335</v>
      </c>
      <c r="N837" s="10">
        <f t="shared" si="387"/>
        <v>8.26</v>
      </c>
      <c r="O837" s="10">
        <f t="shared" si="388"/>
        <v>0.31900000000000001</v>
      </c>
      <c r="P837" s="10">
        <f t="shared" si="409"/>
        <v>4.4576254516728406</v>
      </c>
      <c r="Q837" s="45">
        <f t="shared" si="410"/>
        <v>3.0790630301472315</v>
      </c>
      <c r="R837" s="4">
        <f t="shared" si="411"/>
        <v>-49046.414562398633</v>
      </c>
      <c r="S837">
        <f t="shared" si="392"/>
        <v>-4.9046414562398635E-5</v>
      </c>
      <c r="T837" s="44">
        <f t="shared" si="393"/>
        <v>2.8491420019771403E-4</v>
      </c>
      <c r="U837" s="45">
        <f t="shared" si="412"/>
        <v>-8.8016243252952472E-2</v>
      </c>
      <c r="V837" s="45">
        <f t="shared" si="413"/>
        <v>6.9148239003042847E-3</v>
      </c>
      <c r="W837" s="45">
        <f t="shared" si="414"/>
        <v>7.2144530075066559E-3</v>
      </c>
      <c r="X837" s="45">
        <f t="shared" si="415"/>
        <v>-2.9962910720237115E-4</v>
      </c>
      <c r="Y837" s="45">
        <f t="shared" si="389"/>
        <v>3.6472709815162084E-5</v>
      </c>
      <c r="Z837" s="10">
        <f t="shared" si="416"/>
        <v>0.12801295895343975</v>
      </c>
      <c r="AA837">
        <f t="shared" si="394"/>
        <v>142386.62009441596</v>
      </c>
      <c r="AB837" s="10">
        <f t="shared" si="395"/>
        <v>0.14238662009441597</v>
      </c>
      <c r="AC837" s="10">
        <f t="shared" si="396"/>
        <v>4.138662009441596E-2</v>
      </c>
      <c r="AD837" s="3">
        <f t="shared" si="397"/>
        <v>6.0024104560429237</v>
      </c>
      <c r="AI837" s="100">
        <f t="shared" si="398"/>
        <v>7.2144530075066559E-3</v>
      </c>
    </row>
    <row r="838" spans="2:35">
      <c r="B838" s="39">
        <f t="shared" si="399"/>
        <v>810</v>
      </c>
      <c r="C838" s="45">
        <f t="shared" si="400"/>
        <v>23.794964028775443</v>
      </c>
      <c r="D838" s="10">
        <f t="shared" si="401"/>
        <v>-8.344964028775216</v>
      </c>
      <c r="E838" s="40">
        <f t="shared" si="402"/>
        <v>65.029928057550435</v>
      </c>
      <c r="F838" s="40">
        <f t="shared" si="403"/>
        <v>48.34</v>
      </c>
      <c r="G838" s="3">
        <f t="shared" si="404"/>
        <v>33.020143884899142</v>
      </c>
      <c r="H838" s="3">
        <f t="shared" si="405"/>
        <v>148.0155219248214</v>
      </c>
      <c r="I838">
        <f t="shared" si="390"/>
        <v>1.4801552192482141E-4</v>
      </c>
      <c r="J838" s="4">
        <f t="shared" si="406"/>
        <v>3325.9224163124882</v>
      </c>
      <c r="K838" s="40">
        <f t="shared" si="407"/>
        <v>22.470092143456132</v>
      </c>
      <c r="L838" s="40">
        <f t="shared" si="391"/>
        <v>0</v>
      </c>
      <c r="M838" s="10">
        <f t="shared" si="408"/>
        <v>0.14238662009441597</v>
      </c>
      <c r="N838" s="10">
        <f t="shared" si="387"/>
        <v>8.26</v>
      </c>
      <c r="O838" s="10">
        <f t="shared" si="388"/>
        <v>0.31900000000000001</v>
      </c>
      <c r="P838" s="10">
        <f t="shared" si="409"/>
        <v>4.4354400749424103</v>
      </c>
      <c r="Q838" s="45">
        <f t="shared" si="410"/>
        <v>3.0856861607283248</v>
      </c>
      <c r="R838" s="4">
        <f t="shared" si="411"/>
        <v>-49070.578550295162</v>
      </c>
      <c r="S838">
        <f t="shared" si="392"/>
        <v>-4.9070578550295165E-5</v>
      </c>
      <c r="T838" s="44">
        <f t="shared" si="393"/>
        <v>2.8493836418561058E-4</v>
      </c>
      <c r="U838" s="45">
        <f t="shared" si="412"/>
        <v>-8.8059606737432169E-2</v>
      </c>
      <c r="V838" s="45">
        <f t="shared" si="413"/>
        <v>6.5472791074789307E-3</v>
      </c>
      <c r="W838" s="45">
        <f t="shared" si="414"/>
        <v>6.8433177516736537E-3</v>
      </c>
      <c r="X838" s="45">
        <f t="shared" si="415"/>
        <v>-2.9603864419472294E-4</v>
      </c>
      <c r="Y838" s="45">
        <f t="shared" si="389"/>
        <v>3.4512007217610608E-5</v>
      </c>
      <c r="Z838" s="10">
        <f t="shared" si="416"/>
        <v>0.1211209565137016</v>
      </c>
      <c r="AA838">
        <f t="shared" si="394"/>
        <v>140158.4340654767</v>
      </c>
      <c r="AB838" s="10">
        <f t="shared" si="395"/>
        <v>0.14015843406547671</v>
      </c>
      <c r="AC838" s="10">
        <f t="shared" si="396"/>
        <v>3.9158434065476699E-2</v>
      </c>
      <c r="AD838" s="3">
        <f t="shared" si="397"/>
        <v>5.6792507709175784</v>
      </c>
      <c r="AI838" s="100">
        <f t="shared" si="398"/>
        <v>6.8433177516736537E-3</v>
      </c>
    </row>
    <row r="839" spans="2:35">
      <c r="B839" s="39">
        <f t="shared" si="399"/>
        <v>811</v>
      </c>
      <c r="C839" s="45">
        <f t="shared" si="400"/>
        <v>23.8243405275764</v>
      </c>
      <c r="D839" s="10">
        <f t="shared" si="401"/>
        <v>-8.3743405275761731</v>
      </c>
      <c r="E839" s="40">
        <f t="shared" si="402"/>
        <v>65.08868105515235</v>
      </c>
      <c r="F839" s="40">
        <f t="shared" si="403"/>
        <v>48.34</v>
      </c>
      <c r="G839" s="3">
        <f t="shared" si="404"/>
        <v>32.902637889695313</v>
      </c>
      <c r="H839" s="3">
        <f t="shared" si="405"/>
        <v>148.0155219248214</v>
      </c>
      <c r="I839">
        <f t="shared" si="390"/>
        <v>1.4801552192482141E-4</v>
      </c>
      <c r="J839" s="4">
        <f t="shared" si="406"/>
        <v>3331.9266740036464</v>
      </c>
      <c r="K839" s="40">
        <f t="shared" si="407"/>
        <v>22.51065719780366</v>
      </c>
      <c r="L839" s="40">
        <f t="shared" si="391"/>
        <v>0</v>
      </c>
      <c r="M839" s="10">
        <f t="shared" si="408"/>
        <v>0.14015843406547671</v>
      </c>
      <c r="N839" s="10">
        <f t="shared" si="387"/>
        <v>8.26</v>
      </c>
      <c r="O839" s="10">
        <f t="shared" si="388"/>
        <v>0.31900000000000001</v>
      </c>
      <c r="P839" s="10">
        <f t="shared" si="409"/>
        <v>4.4131794154099113</v>
      </c>
      <c r="Q839" s="45">
        <f t="shared" si="410"/>
        <v>3.0923426992543548</v>
      </c>
      <c r="R839" s="4">
        <f t="shared" si="411"/>
        <v>-49093.511146427649</v>
      </c>
      <c r="S839">
        <f t="shared" si="392"/>
        <v>-4.9093511146427646E-5</v>
      </c>
      <c r="T839" s="44">
        <f t="shared" si="393"/>
        <v>2.8496129678174309E-4</v>
      </c>
      <c r="U839" s="45">
        <f t="shared" si="412"/>
        <v>-8.8100760427821737E-2</v>
      </c>
      <c r="V839" s="45">
        <f t="shared" si="413"/>
        <v>6.1824460609126016E-3</v>
      </c>
      <c r="W839" s="45">
        <f t="shared" si="414"/>
        <v>6.4748850318457158E-3</v>
      </c>
      <c r="X839" s="45">
        <f t="shared" si="415"/>
        <v>-2.9243897093311419E-4</v>
      </c>
      <c r="Y839" s="45">
        <f t="shared" si="389"/>
        <v>3.256537594108177E-5</v>
      </c>
      <c r="Z839" s="10">
        <f t="shared" si="416"/>
        <v>0.11427999629726618</v>
      </c>
      <c r="AA839">
        <f t="shared" si="394"/>
        <v>137946.74999947834</v>
      </c>
      <c r="AB839" s="10">
        <f t="shared" si="395"/>
        <v>0.13794674999947834</v>
      </c>
      <c r="AC839" s="10">
        <f t="shared" si="396"/>
        <v>3.6946749999478334E-2</v>
      </c>
      <c r="AD839" s="3">
        <f t="shared" si="397"/>
        <v>5.3584844089163646</v>
      </c>
      <c r="AI839" s="100">
        <f t="shared" si="398"/>
        <v>6.4748850318457158E-3</v>
      </c>
    </row>
    <row r="840" spans="2:35">
      <c r="B840" s="39">
        <f t="shared" si="399"/>
        <v>812</v>
      </c>
      <c r="C840" s="45">
        <f t="shared" si="400"/>
        <v>23.853717026377357</v>
      </c>
      <c r="D840" s="10">
        <f t="shared" si="401"/>
        <v>-8.4037170263771301</v>
      </c>
      <c r="E840" s="40">
        <f t="shared" si="402"/>
        <v>65.147434052754264</v>
      </c>
      <c r="F840" s="40">
        <f t="shared" si="403"/>
        <v>48.34</v>
      </c>
      <c r="G840" s="3">
        <f t="shared" si="404"/>
        <v>32.785131894491485</v>
      </c>
      <c r="H840" s="3">
        <f t="shared" si="405"/>
        <v>148.0155219248214</v>
      </c>
      <c r="I840">
        <f t="shared" si="390"/>
        <v>1.4801552192482141E-4</v>
      </c>
      <c r="J840" s="4">
        <f t="shared" si="406"/>
        <v>3337.9363539497785</v>
      </c>
      <c r="K840" s="40">
        <f t="shared" si="407"/>
        <v>22.55125888516713</v>
      </c>
      <c r="L840" s="40">
        <f t="shared" si="391"/>
        <v>0</v>
      </c>
      <c r="M840" s="10">
        <f t="shared" si="408"/>
        <v>0.13794674999947834</v>
      </c>
      <c r="N840" s="10">
        <f t="shared" si="387"/>
        <v>8.26</v>
      </c>
      <c r="O840" s="10">
        <f t="shared" si="388"/>
        <v>0.31900000000000001</v>
      </c>
      <c r="P840" s="10">
        <f t="shared" si="409"/>
        <v>4.3908439965821282</v>
      </c>
      <c r="Q840" s="45">
        <f t="shared" si="410"/>
        <v>3.0990330983721153</v>
      </c>
      <c r="R840" s="4">
        <f t="shared" si="411"/>
        <v>-49115.210439353701</v>
      </c>
      <c r="S840">
        <f t="shared" si="392"/>
        <v>-4.91152104393537E-5</v>
      </c>
      <c r="T840" s="44">
        <f t="shared" si="393"/>
        <v>2.8498299607466912E-4</v>
      </c>
      <c r="U840" s="45">
        <f t="shared" si="412"/>
        <v>-8.8139700893942186E-2</v>
      </c>
      <c r="V840" s="45">
        <f t="shared" si="413"/>
        <v>5.8203502414492384E-3</v>
      </c>
      <c r="W840" s="45">
        <f t="shared" si="414"/>
        <v>6.1091809275866079E-3</v>
      </c>
      <c r="X840" s="45">
        <f t="shared" si="415"/>
        <v>-2.8883068613736948E-4</v>
      </c>
      <c r="Y840" s="45">
        <f t="shared" si="389"/>
        <v>3.0632983373366156E-5</v>
      </c>
      <c r="Z840" s="10">
        <f t="shared" si="416"/>
        <v>0.10749056538566228</v>
      </c>
      <c r="AA840">
        <f t="shared" si="394"/>
        <v>135751.72536999502</v>
      </c>
      <c r="AB840" s="10">
        <f t="shared" si="395"/>
        <v>0.13575172536999502</v>
      </c>
      <c r="AC840" s="10">
        <f t="shared" si="396"/>
        <v>3.4751725369995018E-2</v>
      </c>
      <c r="AD840" s="3">
        <f t="shared" si="397"/>
        <v>5.0401342088462675</v>
      </c>
      <c r="AI840" s="100">
        <f t="shared" si="398"/>
        <v>6.1091809275866079E-3</v>
      </c>
    </row>
    <row r="841" spans="2:35">
      <c r="B841" s="39">
        <f t="shared" si="399"/>
        <v>813</v>
      </c>
      <c r="C841" s="45">
        <f t="shared" si="400"/>
        <v>23.883093525178314</v>
      </c>
      <c r="D841" s="10">
        <f t="shared" si="401"/>
        <v>-8.4330935251780872</v>
      </c>
      <c r="E841" s="40">
        <f t="shared" si="402"/>
        <v>65.206187050356178</v>
      </c>
      <c r="F841" s="40">
        <f t="shared" si="403"/>
        <v>48.34</v>
      </c>
      <c r="G841" s="3">
        <f t="shared" si="404"/>
        <v>32.667625899287657</v>
      </c>
      <c r="H841" s="3">
        <f t="shared" si="405"/>
        <v>148.0155219248214</v>
      </c>
      <c r="I841">
        <f t="shared" si="390"/>
        <v>1.4801552192482141E-4</v>
      </c>
      <c r="J841" s="4">
        <f t="shared" si="406"/>
        <v>3343.951456150885</v>
      </c>
      <c r="K841" s="40">
        <f t="shared" si="407"/>
        <v>22.591897205546537</v>
      </c>
      <c r="L841" s="40">
        <f t="shared" si="391"/>
        <v>0</v>
      </c>
      <c r="M841" s="10">
        <f t="shared" si="408"/>
        <v>0.13575172536999502</v>
      </c>
      <c r="N841" s="10">
        <f t="shared" si="387"/>
        <v>8.26</v>
      </c>
      <c r="O841" s="10">
        <f t="shared" si="388"/>
        <v>0.31900000000000001</v>
      </c>
      <c r="P841" s="10">
        <f t="shared" si="409"/>
        <v>4.3684343815955131</v>
      </c>
      <c r="Q841" s="45">
        <f t="shared" si="410"/>
        <v>3.1057578185429668</v>
      </c>
      <c r="R841" s="4">
        <f t="shared" si="411"/>
        <v>-49135.674517630927</v>
      </c>
      <c r="S841">
        <f t="shared" si="392"/>
        <v>-4.9135674517630928E-5</v>
      </c>
      <c r="T841" s="44">
        <f t="shared" si="393"/>
        <v>2.8500346015294633E-4</v>
      </c>
      <c r="U841" s="45">
        <f t="shared" si="412"/>
        <v>-8.817642470561457E-2</v>
      </c>
      <c r="V841" s="45">
        <f t="shared" si="413"/>
        <v>5.4610170742218443E-3</v>
      </c>
      <c r="W841" s="45">
        <f t="shared" si="414"/>
        <v>5.7462314773044669E-3</v>
      </c>
      <c r="X841" s="45">
        <f t="shared" si="415"/>
        <v>-2.8521440308262262E-4</v>
      </c>
      <c r="Y841" s="45">
        <f t="shared" si="389"/>
        <v>2.8714996323939054E-5</v>
      </c>
      <c r="Z841" s="10">
        <f t="shared" si="416"/>
        <v>0.1007531498337923</v>
      </c>
      <c r="AA841">
        <f t="shared" si="394"/>
        <v>133573.51731869244</v>
      </c>
      <c r="AB841" s="10">
        <f t="shared" si="395"/>
        <v>0.13357351731869244</v>
      </c>
      <c r="AC841" s="10">
        <f t="shared" si="396"/>
        <v>3.257351731869243E-2</v>
      </c>
      <c r="AD841" s="3">
        <f t="shared" si="397"/>
        <v>4.7242229613767117</v>
      </c>
      <c r="AI841" s="100">
        <f t="shared" si="398"/>
        <v>5.7462314773044669E-3</v>
      </c>
    </row>
    <row r="842" spans="2:35">
      <c r="B842" s="39">
        <f t="shared" si="399"/>
        <v>814</v>
      </c>
      <c r="C842" s="45">
        <f t="shared" si="400"/>
        <v>23.912470023979271</v>
      </c>
      <c r="D842" s="10">
        <f t="shared" si="401"/>
        <v>-8.4624700239790442</v>
      </c>
      <c r="E842" s="40">
        <f t="shared" si="402"/>
        <v>65.264940047958092</v>
      </c>
      <c r="F842" s="40">
        <f t="shared" si="403"/>
        <v>48.34</v>
      </c>
      <c r="G842" s="3">
        <f t="shared" si="404"/>
        <v>32.550119904083829</v>
      </c>
      <c r="H842" s="3">
        <f t="shared" si="405"/>
        <v>148.0155219248214</v>
      </c>
      <c r="I842">
        <f t="shared" si="390"/>
        <v>1.4801552192482141E-4</v>
      </c>
      <c r="J842" s="4">
        <f t="shared" si="406"/>
        <v>3349.9719806069652</v>
      </c>
      <c r="K842" s="40">
        <f t="shared" si="407"/>
        <v>22.632572158941887</v>
      </c>
      <c r="L842" s="40">
        <f t="shared" si="391"/>
        <v>0</v>
      </c>
      <c r="M842" s="10">
        <f t="shared" si="408"/>
        <v>0.13357351731869244</v>
      </c>
      <c r="N842" s="10">
        <f t="shared" si="387"/>
        <v>8.26</v>
      </c>
      <c r="O842" s="10">
        <f t="shared" si="388"/>
        <v>0.31900000000000001</v>
      </c>
      <c r="P842" s="10">
        <f t="shared" si="409"/>
        <v>4.3459511746102111</v>
      </c>
      <c r="Q842" s="45">
        <f t="shared" si="410"/>
        <v>3.1125173281694396</v>
      </c>
      <c r="R842" s="4">
        <f t="shared" si="411"/>
        <v>-49154.901469816912</v>
      </c>
      <c r="S842">
        <f t="shared" si="392"/>
        <v>-4.9154901469816909E-5</v>
      </c>
      <c r="T842" s="44">
        <f t="shared" si="393"/>
        <v>2.8502268710513235E-4</v>
      </c>
      <c r="U842" s="45">
        <f t="shared" si="412"/>
        <v>-8.821092843265993E-2</v>
      </c>
      <c r="V842" s="45">
        <f t="shared" si="413"/>
        <v>5.1044719146830101E-3</v>
      </c>
      <c r="W842" s="45">
        <f t="shared" si="414"/>
        <v>5.3860626645260423E-3</v>
      </c>
      <c r="X842" s="45">
        <f t="shared" si="415"/>
        <v>-2.8159074984303225E-4</v>
      </c>
      <c r="Y842" s="45">
        <f t="shared" si="389"/>
        <v>2.6811580939649394E-5</v>
      </c>
      <c r="Z842" s="10">
        <f t="shared" si="416"/>
        <v>9.4068234399038483E-2</v>
      </c>
      <c r="AA842">
        <f t="shared" si="394"/>
        <v>131412.28256774755</v>
      </c>
      <c r="AB842" s="10">
        <f t="shared" si="395"/>
        <v>0.13141228256774753</v>
      </c>
      <c r="AC842" s="10">
        <f t="shared" si="396"/>
        <v>3.0412282567747528E-2</v>
      </c>
      <c r="AD842" s="3">
        <f t="shared" si="397"/>
        <v>4.410773396337567</v>
      </c>
      <c r="AI842" s="100">
        <f t="shared" si="398"/>
        <v>5.3860626645260423E-3</v>
      </c>
    </row>
    <row r="843" spans="2:35">
      <c r="B843" s="39">
        <f t="shared" si="399"/>
        <v>815</v>
      </c>
      <c r="C843" s="45">
        <f t="shared" si="400"/>
        <v>23.941846522780228</v>
      </c>
      <c r="D843" s="10">
        <f t="shared" si="401"/>
        <v>-8.4918465227800013</v>
      </c>
      <c r="E843" s="40">
        <f t="shared" si="402"/>
        <v>65.323693045560006</v>
      </c>
      <c r="F843" s="40">
        <f t="shared" si="403"/>
        <v>48.34</v>
      </c>
      <c r="G843" s="3">
        <f t="shared" si="404"/>
        <v>32.432613908880001</v>
      </c>
      <c r="H843" s="3">
        <f t="shared" si="405"/>
        <v>148.0155219248214</v>
      </c>
      <c r="I843">
        <f t="shared" si="390"/>
        <v>1.4801552192482141E-4</v>
      </c>
      <c r="J843" s="4">
        <f t="shared" si="406"/>
        <v>3355.9979273180188</v>
      </c>
      <c r="K843" s="40">
        <f t="shared" si="407"/>
        <v>22.673283745353171</v>
      </c>
      <c r="L843" s="40">
        <f t="shared" si="391"/>
        <v>0</v>
      </c>
      <c r="M843" s="10">
        <f t="shared" si="408"/>
        <v>0.13141228256774753</v>
      </c>
      <c r="N843" s="10">
        <f t="shared" si="387"/>
        <v>8.26</v>
      </c>
      <c r="O843" s="10">
        <f t="shared" si="388"/>
        <v>0.31900000000000001</v>
      </c>
      <c r="P843" s="10">
        <f t="shared" si="409"/>
        <v>4.3233950222243758</v>
      </c>
      <c r="Q843" s="45">
        <f t="shared" si="410"/>
        <v>3.1193121037219735</v>
      </c>
      <c r="R843" s="4">
        <f t="shared" si="411"/>
        <v>-49172.88938446925</v>
      </c>
      <c r="S843">
        <f t="shared" si="392"/>
        <v>-4.9172889384469252E-5</v>
      </c>
      <c r="T843" s="44">
        <f t="shared" si="393"/>
        <v>2.8504067501978467E-4</v>
      </c>
      <c r="U843" s="45">
        <f t="shared" si="412"/>
        <v>-8.824320864489929E-2</v>
      </c>
      <c r="V843" s="45">
        <f t="shared" si="413"/>
        <v>4.750740033984277E-3</v>
      </c>
      <c r="W843" s="45">
        <f t="shared" si="414"/>
        <v>5.0287004034152158E-3</v>
      </c>
      <c r="X843" s="45">
        <f t="shared" si="415"/>
        <v>-2.779603694309388E-4</v>
      </c>
      <c r="Y843" s="45">
        <f t="shared" si="389"/>
        <v>2.492290261686675E-5</v>
      </c>
      <c r="Z843" s="10">
        <f t="shared" si="416"/>
        <v>8.7436302258043885E-2</v>
      </c>
      <c r="AA843">
        <f t="shared" si="394"/>
        <v>129268.1773282841</v>
      </c>
      <c r="AB843" s="10">
        <f t="shared" si="395"/>
        <v>0.12926817732828411</v>
      </c>
      <c r="AC843" s="10">
        <f t="shared" si="396"/>
        <v>2.82681773282841E-2</v>
      </c>
      <c r="AD843" s="3">
        <f t="shared" si="397"/>
        <v>4.099808169439318</v>
      </c>
      <c r="AI843" s="100">
        <f t="shared" si="398"/>
        <v>5.0287004034152158E-3</v>
      </c>
    </row>
    <row r="844" spans="2:35">
      <c r="B844" s="39">
        <f t="shared" si="399"/>
        <v>816</v>
      </c>
      <c r="C844" s="45">
        <f t="shared" si="400"/>
        <v>23.971223021581185</v>
      </c>
      <c r="D844" s="10">
        <f t="shared" si="401"/>
        <v>-8.5212230215809583</v>
      </c>
      <c r="E844" s="40">
        <f t="shared" si="402"/>
        <v>65.38244604316192</v>
      </c>
      <c r="F844" s="40">
        <f t="shared" si="403"/>
        <v>48.34</v>
      </c>
      <c r="G844" s="3">
        <f t="shared" si="404"/>
        <v>32.315107913676172</v>
      </c>
      <c r="H844" s="3">
        <f t="shared" si="405"/>
        <v>148.0155219248214</v>
      </c>
      <c r="I844">
        <f t="shared" si="390"/>
        <v>1.4801552192482141E-4</v>
      </c>
      <c r="J844" s="4">
        <f t="shared" si="406"/>
        <v>3362.0292962840472</v>
      </c>
      <c r="K844" s="40">
        <f t="shared" si="407"/>
        <v>22.7140319647804</v>
      </c>
      <c r="L844" s="40">
        <f t="shared" si="391"/>
        <v>0</v>
      </c>
      <c r="M844" s="10">
        <f t="shared" si="408"/>
        <v>0.12926817732828411</v>
      </c>
      <c r="N844" s="10">
        <f t="shared" si="387"/>
        <v>8.26</v>
      </c>
      <c r="O844" s="10">
        <f t="shared" si="388"/>
        <v>0.31900000000000001</v>
      </c>
      <c r="P844" s="10">
        <f t="shared" si="409"/>
        <v>4.3007666149144788</v>
      </c>
      <c r="Q844" s="45">
        <f t="shared" si="410"/>
        <v>3.1261426298656345</v>
      </c>
      <c r="R844" s="4">
        <f t="shared" si="411"/>
        <v>-49189.636350145571</v>
      </c>
      <c r="S844">
        <f t="shared" si="392"/>
        <v>-4.9189636350145571E-5</v>
      </c>
      <c r="T844" s="44">
        <f t="shared" si="393"/>
        <v>2.8505742198546097E-4</v>
      </c>
      <c r="U844" s="45">
        <f t="shared" si="412"/>
        <v>-8.8273261912153733E-2</v>
      </c>
      <c r="V844" s="45">
        <f t="shared" si="413"/>
        <v>4.3998466036666356E-3</v>
      </c>
      <c r="W844" s="45">
        <f t="shared" si="414"/>
        <v>4.6741705236327336E-3</v>
      </c>
      <c r="X844" s="45">
        <f t="shared" si="415"/>
        <v>-2.7432391996609802E-4</v>
      </c>
      <c r="Y844" s="45">
        <f t="shared" si="389"/>
        <v>2.3049125909706756E-5</v>
      </c>
      <c r="Z844" s="10">
        <f t="shared" si="416"/>
        <v>8.0857834709816293E-2</v>
      </c>
      <c r="AA844">
        <f t="shared" si="394"/>
        <v>127141.35720438583</v>
      </c>
      <c r="AB844" s="10">
        <f t="shared" si="395"/>
        <v>0.12714135720438582</v>
      </c>
      <c r="AC844" s="10">
        <f t="shared" si="396"/>
        <v>2.6141357204385818E-2</v>
      </c>
      <c r="AD844" s="3">
        <f t="shared" si="397"/>
        <v>3.7913498483518229</v>
      </c>
      <c r="AI844" s="100">
        <f t="shared" si="398"/>
        <v>4.6741705236327336E-3</v>
      </c>
    </row>
    <row r="845" spans="2:35">
      <c r="B845" s="39">
        <f t="shared" si="399"/>
        <v>817</v>
      </c>
      <c r="C845" s="45">
        <f t="shared" si="400"/>
        <v>24.000599520382142</v>
      </c>
      <c r="D845" s="10">
        <f t="shared" si="401"/>
        <v>-8.5505995203819154</v>
      </c>
      <c r="E845" s="40">
        <f t="shared" si="402"/>
        <v>65.441199040763834</v>
      </c>
      <c r="F845" s="40">
        <f t="shared" si="403"/>
        <v>48.34</v>
      </c>
      <c r="G845" s="3">
        <f t="shared" si="404"/>
        <v>32.197601918472344</v>
      </c>
      <c r="H845" s="3">
        <f t="shared" si="405"/>
        <v>148.0155219248214</v>
      </c>
      <c r="I845">
        <f t="shared" si="390"/>
        <v>1.4801552192482141E-4</v>
      </c>
      <c r="J845" s="4">
        <f t="shared" si="406"/>
        <v>3368.066087505048</v>
      </c>
      <c r="K845" s="40">
        <f t="shared" si="407"/>
        <v>22.754816817223556</v>
      </c>
      <c r="L845" s="40">
        <f t="shared" si="391"/>
        <v>0</v>
      </c>
      <c r="M845" s="10">
        <f t="shared" si="408"/>
        <v>0.12714135720438582</v>
      </c>
      <c r="N845" s="10">
        <f t="shared" si="387"/>
        <v>8.26</v>
      </c>
      <c r="O845" s="10">
        <f t="shared" si="388"/>
        <v>0.31900000000000001</v>
      </c>
      <c r="P845" s="10">
        <f t="shared" si="409"/>
        <v>4.2780666884967253</v>
      </c>
      <c r="Q845" s="45">
        <f t="shared" si="410"/>
        <v>3.1330093995866273</v>
      </c>
      <c r="R845" s="4">
        <f t="shared" si="411"/>
        <v>-49205.140455403423</v>
      </c>
      <c r="S845">
        <f t="shared" si="392"/>
        <v>-4.9205140455403426E-5</v>
      </c>
      <c r="T845" s="44">
        <f t="shared" si="393"/>
        <v>2.8507292609071885E-4</v>
      </c>
      <c r="U845" s="45">
        <f t="shared" si="412"/>
        <v>-8.8301084804244215E-2</v>
      </c>
      <c r="V845" s="45">
        <f t="shared" si="413"/>
        <v>4.0518166795986757E-3</v>
      </c>
      <c r="W845" s="45">
        <f t="shared" si="414"/>
        <v>4.3224987544646688E-3</v>
      </c>
      <c r="X845" s="45">
        <f t="shared" si="415"/>
        <v>-2.7068207486599313E-4</v>
      </c>
      <c r="Y845" s="45">
        <f t="shared" si="389"/>
        <v>2.1190414434001459E-5</v>
      </c>
      <c r="Z845" s="10">
        <f t="shared" si="416"/>
        <v>7.4333310863964774E-2</v>
      </c>
      <c r="AA845">
        <f t="shared" si="394"/>
        <v>125031.97709230336</v>
      </c>
      <c r="AB845" s="10">
        <f t="shared" si="395"/>
        <v>0.12503197709230338</v>
      </c>
      <c r="AC845" s="10">
        <f t="shared" si="396"/>
        <v>2.4031977092303369E-2</v>
      </c>
      <c r="AD845" s="3">
        <f t="shared" si="397"/>
        <v>3.4854208980860579</v>
      </c>
      <c r="AI845" s="100">
        <f t="shared" si="398"/>
        <v>4.3224987544646688E-3</v>
      </c>
    </row>
    <row r="846" spans="2:35">
      <c r="B846" s="39">
        <f t="shared" si="399"/>
        <v>818</v>
      </c>
      <c r="C846" s="45">
        <f t="shared" si="400"/>
        <v>24.029976019183099</v>
      </c>
      <c r="D846" s="10">
        <f t="shared" si="401"/>
        <v>-8.5799760191828724</v>
      </c>
      <c r="E846" s="40">
        <f t="shared" si="402"/>
        <v>65.499952038365748</v>
      </c>
      <c r="F846" s="40">
        <f t="shared" si="403"/>
        <v>48.34</v>
      </c>
      <c r="G846" s="3">
        <f t="shared" si="404"/>
        <v>32.080095923268516</v>
      </c>
      <c r="H846" s="3">
        <f t="shared" si="405"/>
        <v>148.0155219248214</v>
      </c>
      <c r="I846">
        <f t="shared" si="390"/>
        <v>1.4801552192482141E-4</v>
      </c>
      <c r="J846" s="4">
        <f t="shared" si="406"/>
        <v>3374.1083009810245</v>
      </c>
      <c r="K846" s="40">
        <f t="shared" si="407"/>
        <v>22.795638302682665</v>
      </c>
      <c r="L846" s="40">
        <f t="shared" si="391"/>
        <v>0</v>
      </c>
      <c r="M846" s="10">
        <f t="shared" si="408"/>
        <v>0.12503197709230338</v>
      </c>
      <c r="N846" s="10">
        <f t="shared" si="387"/>
        <v>8.26</v>
      </c>
      <c r="O846" s="10">
        <f t="shared" si="388"/>
        <v>0.31900000000000001</v>
      </c>
      <c r="P846" s="10">
        <f t="shared" si="409"/>
        <v>4.2552960256047303</v>
      </c>
      <c r="Q846" s="45">
        <f t="shared" si="410"/>
        <v>3.1399129143184332</v>
      </c>
      <c r="R846" s="4">
        <f t="shared" si="411"/>
        <v>-49219.399788800467</v>
      </c>
      <c r="S846">
        <f t="shared" si="392"/>
        <v>-4.9219399788800465E-5</v>
      </c>
      <c r="T846" s="44">
        <f t="shared" si="393"/>
        <v>2.850871854241159E-4</v>
      </c>
      <c r="U846" s="45">
        <f t="shared" si="412"/>
        <v>-8.8326673890991872E-2</v>
      </c>
      <c r="V846" s="45">
        <f t="shared" si="413"/>
        <v>3.7066751852882739E-3</v>
      </c>
      <c r="W846" s="45">
        <f t="shared" si="414"/>
        <v>3.973710708156223E-3</v>
      </c>
      <c r="X846" s="45">
        <f t="shared" si="415"/>
        <v>-2.6703552286794913E-4</v>
      </c>
      <c r="Y846" s="45">
        <f t="shared" si="389"/>
        <v>1.9346930767967068E-5</v>
      </c>
      <c r="Z846" s="10">
        <f t="shared" si="416"/>
        <v>6.7863207317386792E-2</v>
      </c>
      <c r="AA846">
        <f t="shared" si="394"/>
        <v>122940.19107592707</v>
      </c>
      <c r="AB846" s="10">
        <f t="shared" si="395"/>
        <v>0.12294019107592707</v>
      </c>
      <c r="AC846" s="10">
        <f t="shared" si="396"/>
        <v>2.1940191075927068E-2</v>
      </c>
      <c r="AD846" s="3">
        <f t="shared" si="397"/>
        <v>3.1820436658342377</v>
      </c>
      <c r="AI846" s="100">
        <f t="shared" si="398"/>
        <v>3.973710708156223E-3</v>
      </c>
    </row>
    <row r="847" spans="2:35">
      <c r="B847" s="39">
        <f t="shared" si="399"/>
        <v>819</v>
      </c>
      <c r="C847" s="45">
        <f t="shared" si="400"/>
        <v>24.059352517984056</v>
      </c>
      <c r="D847" s="10">
        <f t="shared" si="401"/>
        <v>-8.6093525179838295</v>
      </c>
      <c r="E847" s="40">
        <f t="shared" si="402"/>
        <v>65.558705035967662</v>
      </c>
      <c r="F847" s="40">
        <f t="shared" si="403"/>
        <v>48.34</v>
      </c>
      <c r="G847" s="3">
        <f t="shared" si="404"/>
        <v>31.962589928064684</v>
      </c>
      <c r="H847" s="3">
        <f t="shared" si="405"/>
        <v>148.0155219248214</v>
      </c>
      <c r="I847">
        <f t="shared" si="390"/>
        <v>1.4801552192482141E-4</v>
      </c>
      <c r="J847" s="4">
        <f t="shared" si="406"/>
        <v>3380.1559367119739</v>
      </c>
      <c r="K847" s="40">
        <f t="shared" si="407"/>
        <v>22.836496421157708</v>
      </c>
      <c r="L847" s="40">
        <f t="shared" si="391"/>
        <v>0</v>
      </c>
      <c r="M847" s="10">
        <f t="shared" si="408"/>
        <v>0.12294019107592707</v>
      </c>
      <c r="N847" s="10">
        <f t="shared" si="387"/>
        <v>8.26</v>
      </c>
      <c r="O847" s="10">
        <f t="shared" si="388"/>
        <v>0.31900000000000001</v>
      </c>
      <c r="P847" s="10">
        <f t="shared" si="409"/>
        <v>4.2324554571940132</v>
      </c>
      <c r="Q847" s="45">
        <f t="shared" si="410"/>
        <v>3.1468536840673567</v>
      </c>
      <c r="R847" s="4">
        <f t="shared" si="411"/>
        <v>-49232.412438894244</v>
      </c>
      <c r="S847">
        <f t="shared" si="392"/>
        <v>-4.9232412438894241E-5</v>
      </c>
      <c r="T847" s="44">
        <f t="shared" si="393"/>
        <v>2.8510019807420964E-4</v>
      </c>
      <c r="U847" s="45">
        <f t="shared" si="412"/>
        <v>-8.8350025742217661E-2</v>
      </c>
      <c r="V847" s="45">
        <f t="shared" si="413"/>
        <v>3.3644468942960006E-3</v>
      </c>
      <c r="W847" s="45">
        <f t="shared" si="414"/>
        <v>3.6278318626280265E-3</v>
      </c>
      <c r="X847" s="45">
        <f t="shared" si="415"/>
        <v>-2.6338496833202586E-4</v>
      </c>
      <c r="Y847" s="45">
        <f t="shared" si="389"/>
        <v>1.7518836347446987E-5</v>
      </c>
      <c r="Z847" s="10">
        <f t="shared" si="416"/>
        <v>6.1447997811937514E-2</v>
      </c>
      <c r="AA847">
        <f t="shared" si="394"/>
        <v>120866.15231611149</v>
      </c>
      <c r="AB847" s="10">
        <f t="shared" si="395"/>
        <v>0.12086615231611149</v>
      </c>
      <c r="AC847" s="10">
        <f t="shared" si="396"/>
        <v>1.9866152316111482E-2</v>
      </c>
      <c r="AD847" s="3">
        <f t="shared" si="397"/>
        <v>2.8812403649182716</v>
      </c>
      <c r="AI847" s="100">
        <f t="shared" si="398"/>
        <v>3.6278318626280265E-3</v>
      </c>
    </row>
    <row r="848" spans="2:35">
      <c r="B848" s="39">
        <f t="shared" si="399"/>
        <v>820</v>
      </c>
      <c r="C848" s="45">
        <f t="shared" si="400"/>
        <v>24.088729016785013</v>
      </c>
      <c r="D848" s="10">
        <f t="shared" si="401"/>
        <v>-8.6387290167847866</v>
      </c>
      <c r="E848" s="40">
        <f t="shared" si="402"/>
        <v>65.617458033569577</v>
      </c>
      <c r="F848" s="40">
        <f t="shared" si="403"/>
        <v>48.34</v>
      </c>
      <c r="G848" s="3">
        <f t="shared" si="404"/>
        <v>31.845083932860852</v>
      </c>
      <c r="H848" s="3">
        <f t="shared" si="405"/>
        <v>148.0155219248214</v>
      </c>
      <c r="I848">
        <f t="shared" si="390"/>
        <v>1.4801552192482141E-4</v>
      </c>
      <c r="J848" s="4">
        <f t="shared" si="406"/>
        <v>3386.2089946978977</v>
      </c>
      <c r="K848" s="40">
        <f t="shared" si="407"/>
        <v>22.877391172648689</v>
      </c>
      <c r="L848" s="40">
        <f t="shared" si="391"/>
        <v>0</v>
      </c>
      <c r="M848" s="10">
        <f t="shared" si="408"/>
        <v>0.12086615231611149</v>
      </c>
      <c r="N848" s="10">
        <f t="shared" si="387"/>
        <v>8.26</v>
      </c>
      <c r="O848" s="10">
        <f t="shared" si="388"/>
        <v>0.31900000000000001</v>
      </c>
      <c r="P848" s="10">
        <f t="shared" si="409"/>
        <v>4.2095458640460457</v>
      </c>
      <c r="Q848" s="45">
        <f t="shared" si="410"/>
        <v>3.1538322275372983</v>
      </c>
      <c r="R848" s="4">
        <f t="shared" si="411"/>
        <v>-49244.176494242391</v>
      </c>
      <c r="S848">
        <f t="shared" si="392"/>
        <v>-4.9244176494242389E-5</v>
      </c>
      <c r="T848" s="44">
        <f t="shared" si="393"/>
        <v>2.8511196212955778E-4</v>
      </c>
      <c r="U848" s="45">
        <f t="shared" si="412"/>
        <v>-8.8371136927742677E-2</v>
      </c>
      <c r="V848" s="45">
        <f t="shared" si="413"/>
        <v>3.0251564120718677E-3</v>
      </c>
      <c r="W848" s="45">
        <f t="shared" si="414"/>
        <v>3.2848875431758509E-3</v>
      </c>
      <c r="X848" s="45">
        <f t="shared" si="415"/>
        <v>-2.5973113110398316E-4</v>
      </c>
      <c r="Y848" s="45">
        <f t="shared" si="389"/>
        <v>1.5706291358540726E-5</v>
      </c>
      <c r="Z848" s="10">
        <f t="shared" si="416"/>
        <v>5.5088152882914215E-2</v>
      </c>
      <c r="AA848">
        <f t="shared" si="394"/>
        <v>118810.01293703019</v>
      </c>
      <c r="AB848" s="10">
        <f t="shared" si="395"/>
        <v>0.11881001293703018</v>
      </c>
      <c r="AC848" s="10">
        <f t="shared" si="396"/>
        <v>1.7810012937030176E-2</v>
      </c>
      <c r="AD848" s="3">
        <f t="shared" si="397"/>
        <v>2.5830330583074947</v>
      </c>
      <c r="AI848" s="100">
        <f t="shared" si="398"/>
        <v>3.2848875431758509E-3</v>
      </c>
    </row>
    <row r="849" spans="2:35">
      <c r="B849" s="39">
        <f t="shared" si="399"/>
        <v>821</v>
      </c>
      <c r="C849" s="45">
        <f t="shared" si="400"/>
        <v>24.11810551558597</v>
      </c>
      <c r="D849" s="10">
        <f t="shared" si="401"/>
        <v>-8.6681055155857436</v>
      </c>
      <c r="E849" s="40">
        <f t="shared" si="402"/>
        <v>65.676211031171491</v>
      </c>
      <c r="F849" s="40">
        <f t="shared" si="403"/>
        <v>48.34</v>
      </c>
      <c r="G849" s="3">
        <f t="shared" si="404"/>
        <v>31.727577937657021</v>
      </c>
      <c r="H849" s="3">
        <f t="shared" si="405"/>
        <v>148.0155219248214</v>
      </c>
      <c r="I849">
        <f t="shared" si="390"/>
        <v>1.4801552192482141E-4</v>
      </c>
      <c r="J849" s="4">
        <f t="shared" si="406"/>
        <v>3392.2674749387947</v>
      </c>
      <c r="K849" s="40">
        <f t="shared" si="407"/>
        <v>22.918322557155609</v>
      </c>
      <c r="L849" s="40">
        <f t="shared" si="391"/>
        <v>0</v>
      </c>
      <c r="M849" s="10">
        <f t="shared" si="408"/>
        <v>0.11881001293703018</v>
      </c>
      <c r="N849" s="10">
        <f t="shared" si="387"/>
        <v>8.26</v>
      </c>
      <c r="O849" s="10">
        <f t="shared" si="388"/>
        <v>0.31900000000000001</v>
      </c>
      <c r="P849" s="10">
        <f t="shared" si="409"/>
        <v>4.1865681783047402</v>
      </c>
      <c r="Q849" s="45">
        <f t="shared" si="410"/>
        <v>3.1608490722535003</v>
      </c>
      <c r="R849" s="4">
        <f t="shared" si="411"/>
        <v>-49254.690043402486</v>
      </c>
      <c r="S849">
        <f t="shared" si="392"/>
        <v>-4.9254690043402484E-5</v>
      </c>
      <c r="T849" s="44">
        <f t="shared" si="393"/>
        <v>2.8512247567871789E-4</v>
      </c>
      <c r="U849" s="45">
        <f t="shared" si="412"/>
        <v>-8.8390004017387919E-2</v>
      </c>
      <c r="V849" s="45">
        <f t="shared" si="413"/>
        <v>2.6888281568604477E-3</v>
      </c>
      <c r="W849" s="45">
        <f t="shared" si="414"/>
        <v>2.9449029036792613E-3</v>
      </c>
      <c r="X849" s="45">
        <f t="shared" si="415"/>
        <v>-2.5607474681881362E-4</v>
      </c>
      <c r="Y849" s="45">
        <f t="shared" si="389"/>
        <v>1.3909454624372367E-5</v>
      </c>
      <c r="Z849" s="10">
        <f t="shared" si="416"/>
        <v>4.8784139486940478E-2</v>
      </c>
      <c r="AA849">
        <f t="shared" si="394"/>
        <v>116771.92390587072</v>
      </c>
      <c r="AB849" s="10">
        <f t="shared" si="395"/>
        <v>0.11677192390587071</v>
      </c>
      <c r="AC849" s="10">
        <f t="shared" si="396"/>
        <v>1.5771923905870705E-2</v>
      </c>
      <c r="AD849" s="3">
        <f t="shared" si="397"/>
        <v>2.2874436411705155</v>
      </c>
      <c r="AI849" s="100">
        <f t="shared" si="398"/>
        <v>2.9449029036792613E-3</v>
      </c>
    </row>
    <row r="850" spans="2:35">
      <c r="B850" s="39">
        <f t="shared" si="399"/>
        <v>822</v>
      </c>
      <c r="C850" s="45">
        <f t="shared" si="400"/>
        <v>24.147482014386927</v>
      </c>
      <c r="D850" s="10">
        <f t="shared" si="401"/>
        <v>-8.6974820143867007</v>
      </c>
      <c r="E850" s="40">
        <f t="shared" si="402"/>
        <v>65.734964028773405</v>
      </c>
      <c r="F850" s="40">
        <f t="shared" si="403"/>
        <v>48.34</v>
      </c>
      <c r="G850" s="3">
        <f t="shared" si="404"/>
        <v>31.610071942453189</v>
      </c>
      <c r="H850" s="3">
        <f t="shared" si="405"/>
        <v>148.0155219248214</v>
      </c>
      <c r="I850">
        <f t="shared" si="390"/>
        <v>1.4801552192482141E-4</v>
      </c>
      <c r="J850" s="4">
        <f t="shared" si="406"/>
        <v>3398.3313774346661</v>
      </c>
      <c r="K850" s="40">
        <f t="shared" si="407"/>
        <v>22.959290574678469</v>
      </c>
      <c r="L850" s="40">
        <f t="shared" si="391"/>
        <v>0</v>
      </c>
      <c r="M850" s="10">
        <f t="shared" si="408"/>
        <v>0.11677192390587071</v>
      </c>
      <c r="N850" s="10">
        <f t="shared" si="387"/>
        <v>8.26</v>
      </c>
      <c r="O850" s="10">
        <f t="shared" si="388"/>
        <v>0.31900000000000001</v>
      </c>
      <c r="P850" s="10">
        <f t="shared" si="409"/>
        <v>4.1635233850031703</v>
      </c>
      <c r="Q850" s="45">
        <f t="shared" si="410"/>
        <v>3.1679047546850607</v>
      </c>
      <c r="R850" s="4">
        <f t="shared" si="411"/>
        <v>-49263.951174932132</v>
      </c>
      <c r="S850">
        <f t="shared" si="392"/>
        <v>-4.9263951174932132E-5</v>
      </c>
      <c r="T850" s="44">
        <f t="shared" si="393"/>
        <v>2.8513173681024757E-4</v>
      </c>
      <c r="U850" s="45">
        <f t="shared" si="412"/>
        <v>-8.8406623580974453E-2</v>
      </c>
      <c r="V850" s="45">
        <f t="shared" si="413"/>
        <v>2.3554863399455088E-3</v>
      </c>
      <c r="W850" s="45">
        <f t="shared" si="414"/>
        <v>2.607902906709062E-3</v>
      </c>
      <c r="X850" s="45">
        <f t="shared" si="415"/>
        <v>-2.5241656676355329E-4</v>
      </c>
      <c r="Y850" s="45">
        <f t="shared" si="389"/>
        <v>1.212848348882397E-5</v>
      </c>
      <c r="Z850" s="10">
        <f t="shared" si="416"/>
        <v>4.2536420619130724E-2</v>
      </c>
      <c r="AA850">
        <f t="shared" si="394"/>
        <v>114752.03490906373</v>
      </c>
      <c r="AB850" s="10">
        <f t="shared" si="395"/>
        <v>0.11475203490906373</v>
      </c>
      <c r="AC850" s="10">
        <f t="shared" si="396"/>
        <v>1.3752034909063723E-2</v>
      </c>
      <c r="AD850" s="3">
        <f t="shared" si="397"/>
        <v>1.9944938229243978</v>
      </c>
      <c r="AI850" s="100">
        <f t="shared" si="398"/>
        <v>2.607902906709062E-3</v>
      </c>
    </row>
    <row r="851" spans="2:35">
      <c r="B851" s="39">
        <f t="shared" si="399"/>
        <v>823</v>
      </c>
      <c r="C851" s="45">
        <f t="shared" si="400"/>
        <v>24.176858513187884</v>
      </c>
      <c r="D851" s="10">
        <f t="shared" si="401"/>
        <v>-8.7268585131876577</v>
      </c>
      <c r="E851" s="40">
        <f t="shared" si="402"/>
        <v>65.793717026375319</v>
      </c>
      <c r="F851" s="40">
        <f t="shared" si="403"/>
        <v>48.34</v>
      </c>
      <c r="G851" s="3">
        <f t="shared" si="404"/>
        <v>31.492565947249357</v>
      </c>
      <c r="H851" s="3">
        <f t="shared" si="405"/>
        <v>148.0155219248214</v>
      </c>
      <c r="I851">
        <f t="shared" si="390"/>
        <v>1.4801552192482141E-4</v>
      </c>
      <c r="J851" s="4">
        <f t="shared" si="406"/>
        <v>3404.4007021855114</v>
      </c>
      <c r="K851" s="40">
        <f t="shared" si="407"/>
        <v>23.000295225217268</v>
      </c>
      <c r="L851" s="40">
        <f t="shared" si="391"/>
        <v>0</v>
      </c>
      <c r="M851" s="10">
        <f t="shared" si="408"/>
        <v>0.11475203490906373</v>
      </c>
      <c r="N851" s="10">
        <f t="shared" si="387"/>
        <v>8.26</v>
      </c>
      <c r="O851" s="10">
        <f t="shared" si="388"/>
        <v>0.31900000000000001</v>
      </c>
      <c r="P851" s="10">
        <f t="shared" si="409"/>
        <v>4.1404125236133833</v>
      </c>
      <c r="Q851" s="45">
        <f t="shared" si="410"/>
        <v>3.1749998203659366</v>
      </c>
      <c r="R851" s="4">
        <f t="shared" si="411"/>
        <v>-49271.957977388956</v>
      </c>
      <c r="S851">
        <f t="shared" si="392"/>
        <v>-4.9271957977388954E-5</v>
      </c>
      <c r="T851" s="44">
        <f t="shared" si="393"/>
        <v>2.8513974361270435E-4</v>
      </c>
      <c r="U851" s="45">
        <f t="shared" si="412"/>
        <v>-8.8420992188323347E-2</v>
      </c>
      <c r="V851" s="45">
        <f t="shared" si="413"/>
        <v>2.0251549450237415E-3</v>
      </c>
      <c r="W851" s="45">
        <f t="shared" si="414"/>
        <v>2.2739123030616642E-3</v>
      </c>
      <c r="X851" s="45">
        <f t="shared" si="415"/>
        <v>-2.4875735803792272E-4</v>
      </c>
      <c r="Y851" s="45">
        <f t="shared" si="389"/>
        <v>1.036353369494374E-5</v>
      </c>
      <c r="Z851" s="10">
        <f t="shared" si="416"/>
        <v>3.6345454911470274E-2</v>
      </c>
      <c r="AA851">
        <f t="shared" si="394"/>
        <v>112750.49422243924</v>
      </c>
      <c r="AB851" s="10">
        <f t="shared" si="395"/>
        <v>0.11275049422243924</v>
      </c>
      <c r="AC851" s="10">
        <f t="shared" si="396"/>
        <v>1.1750494222439234E-2</v>
      </c>
      <c r="AD851" s="3">
        <f t="shared" si="397"/>
        <v>1.7042051084030796</v>
      </c>
      <c r="AI851" s="100">
        <f t="shared" si="398"/>
        <v>2.2739123030616642E-3</v>
      </c>
    </row>
    <row r="852" spans="2:35">
      <c r="B852" s="39">
        <f t="shared" si="399"/>
        <v>824</v>
      </c>
      <c r="C852" s="45">
        <f t="shared" si="400"/>
        <v>24.206235011988841</v>
      </c>
      <c r="D852" s="10">
        <f t="shared" si="401"/>
        <v>-8.7562350119886148</v>
      </c>
      <c r="E852" s="40">
        <f t="shared" si="402"/>
        <v>65.852470023977233</v>
      </c>
      <c r="F852" s="40">
        <f t="shared" si="403"/>
        <v>48.34</v>
      </c>
      <c r="G852" s="3">
        <f t="shared" si="404"/>
        <v>31.375059952045525</v>
      </c>
      <c r="H852" s="3">
        <f t="shared" si="405"/>
        <v>148.0155219248214</v>
      </c>
      <c r="I852">
        <f t="shared" si="390"/>
        <v>1.4801552192482141E-4</v>
      </c>
      <c r="J852" s="4">
        <f t="shared" si="406"/>
        <v>3410.4754491913304</v>
      </c>
      <c r="K852" s="40">
        <f t="shared" si="407"/>
        <v>23.041336508772005</v>
      </c>
      <c r="L852" s="40">
        <f t="shared" si="391"/>
        <v>0</v>
      </c>
      <c r="M852" s="10">
        <f t="shared" si="408"/>
        <v>0.11275049422243924</v>
      </c>
      <c r="N852" s="10">
        <f t="shared" si="387"/>
        <v>8.26</v>
      </c>
      <c r="O852" s="10">
        <f t="shared" si="388"/>
        <v>0.31900000000000001</v>
      </c>
      <c r="P852" s="10">
        <f t="shared" si="409"/>
        <v>4.1172366895876626</v>
      </c>
      <c r="Q852" s="45">
        <f t="shared" si="410"/>
        <v>3.1821348240141965</v>
      </c>
      <c r="R852" s="4">
        <f t="shared" si="411"/>
        <v>-49278.708539330517</v>
      </c>
      <c r="S852">
        <f t="shared" si="392"/>
        <v>-4.9278708539330518E-5</v>
      </c>
      <c r="T852" s="44">
        <f t="shared" si="393"/>
        <v>2.8514649417464593E-4</v>
      </c>
      <c r="U852" s="45">
        <f t="shared" si="412"/>
        <v>-8.8433106409255571E-2</v>
      </c>
      <c r="V852" s="45">
        <f t="shared" si="413"/>
        <v>1.6978577067972588E-3</v>
      </c>
      <c r="W852" s="45">
        <f t="shared" si="414"/>
        <v>1.9429556102892938E-3</v>
      </c>
      <c r="X852" s="45">
        <f t="shared" si="415"/>
        <v>-2.4509790349203499E-4</v>
      </c>
      <c r="Y852" s="45">
        <f t="shared" si="389"/>
        <v>8.6147592593472401E-6</v>
      </c>
      <c r="Z852" s="10">
        <f t="shared" si="416"/>
        <v>3.0211696217000972E-2</v>
      </c>
      <c r="AA852">
        <f t="shared" si="394"/>
        <v>110767.44857679369</v>
      </c>
      <c r="AB852" s="10">
        <f t="shared" si="395"/>
        <v>0.11076744857679369</v>
      </c>
      <c r="AC852" s="10">
        <f t="shared" si="396"/>
        <v>9.7674485767936803E-3</v>
      </c>
      <c r="AD852" s="3">
        <f t="shared" si="397"/>
        <v>1.4165987783602147</v>
      </c>
      <c r="AI852" s="100">
        <f t="shared" si="398"/>
        <v>1.9429556102892938E-3</v>
      </c>
    </row>
    <row r="853" spans="2:35">
      <c r="B853" s="39">
        <f t="shared" si="399"/>
        <v>825</v>
      </c>
      <c r="C853" s="45">
        <f t="shared" si="400"/>
        <v>24.235611510789798</v>
      </c>
      <c r="D853" s="10">
        <f t="shared" si="401"/>
        <v>-8.7856115107895718</v>
      </c>
      <c r="E853" s="40">
        <f t="shared" si="402"/>
        <v>65.911223021579147</v>
      </c>
      <c r="F853" s="40">
        <f t="shared" si="403"/>
        <v>48.34</v>
      </c>
      <c r="G853" s="3">
        <f t="shared" si="404"/>
        <v>31.257553956841694</v>
      </c>
      <c r="H853" s="3">
        <f t="shared" si="405"/>
        <v>148.0155219248214</v>
      </c>
      <c r="I853">
        <f t="shared" si="390"/>
        <v>1.4801552192482141E-4</v>
      </c>
      <c r="J853" s="4">
        <f t="shared" si="406"/>
        <v>3416.5556184521238</v>
      </c>
      <c r="K853" s="40">
        <f t="shared" si="407"/>
        <v>23.082414425342684</v>
      </c>
      <c r="L853" s="40">
        <f t="shared" si="391"/>
        <v>0</v>
      </c>
      <c r="M853" s="10">
        <f t="shared" si="408"/>
        <v>0.11076744857679369</v>
      </c>
      <c r="N853" s="10">
        <f t="shared" si="387"/>
        <v>8.26</v>
      </c>
      <c r="O853" s="10">
        <f t="shared" si="388"/>
        <v>0.31900000000000001</v>
      </c>
      <c r="P853" s="10">
        <f t="shared" si="409"/>
        <v>4.0939970359046267</v>
      </c>
      <c r="Q853" s="45">
        <f t="shared" si="410"/>
        <v>3.1893103296492331</v>
      </c>
      <c r="R853" s="4">
        <f t="shared" si="411"/>
        <v>-49284.200949314458</v>
      </c>
      <c r="S853">
        <f t="shared" si="392"/>
        <v>-4.9284200949314457E-5</v>
      </c>
      <c r="T853" s="44">
        <f t="shared" si="393"/>
        <v>2.8515198658462989E-4</v>
      </c>
      <c r="U853" s="45">
        <f t="shared" si="412"/>
        <v>-8.8442962813592249E-2</v>
      </c>
      <c r="V853" s="45">
        <f t="shared" si="413"/>
        <v>1.3736180888146462E-3</v>
      </c>
      <c r="W853" s="45">
        <f t="shared" si="414"/>
        <v>1.6150570904713791E-3</v>
      </c>
      <c r="X853" s="45">
        <f t="shared" si="415"/>
        <v>-2.4143900165673289E-4</v>
      </c>
      <c r="Y853" s="45">
        <f t="shared" si="389"/>
        <v>6.8823123424417271E-6</v>
      </c>
      <c r="Z853" s="10">
        <f t="shared" si="416"/>
        <v>2.4135593179180376E-2</v>
      </c>
      <c r="AA853">
        <f t="shared" si="394"/>
        <v>108803.04301866367</v>
      </c>
      <c r="AB853" s="10">
        <f t="shared" si="395"/>
        <v>0.10880304301866367</v>
      </c>
      <c r="AC853" s="10">
        <f t="shared" si="396"/>
        <v>7.8030430186636635E-3</v>
      </c>
      <c r="AD853" s="3">
        <f t="shared" si="397"/>
        <v>1.1316958692768184</v>
      </c>
      <c r="AI853" s="100">
        <f t="shared" si="398"/>
        <v>1.6150570904713791E-3</v>
      </c>
    </row>
    <row r="854" spans="2:35">
      <c r="B854" s="39">
        <f t="shared" si="399"/>
        <v>826</v>
      </c>
      <c r="C854" s="45">
        <f t="shared" si="400"/>
        <v>24.264988009590756</v>
      </c>
      <c r="D854" s="10">
        <f t="shared" si="401"/>
        <v>-8.8149880095905289</v>
      </c>
      <c r="E854" s="40">
        <f t="shared" si="402"/>
        <v>65.969976019181061</v>
      </c>
      <c r="F854" s="40">
        <f t="shared" si="403"/>
        <v>48.34</v>
      </c>
      <c r="G854" s="3">
        <f t="shared" si="404"/>
        <v>31.140047961637862</v>
      </c>
      <c r="H854" s="3">
        <f t="shared" si="405"/>
        <v>148.0155219248214</v>
      </c>
      <c r="I854">
        <f t="shared" si="390"/>
        <v>1.4801552192482141E-4</v>
      </c>
      <c r="J854" s="4">
        <f t="shared" si="406"/>
        <v>3422.6412099678901</v>
      </c>
      <c r="K854" s="40">
        <f t="shared" si="407"/>
        <v>23.123528974929297</v>
      </c>
      <c r="L854" s="40">
        <f t="shared" si="391"/>
        <v>0</v>
      </c>
      <c r="M854" s="10">
        <f t="shared" si="408"/>
        <v>0.10880304301866367</v>
      </c>
      <c r="N854" s="10">
        <f t="shared" si="387"/>
        <v>8.26</v>
      </c>
      <c r="O854" s="10">
        <f t="shared" si="388"/>
        <v>0.31900000000000001</v>
      </c>
      <c r="P854" s="10">
        <f t="shared" si="409"/>
        <v>4.0706947746146005</v>
      </c>
      <c r="Q854" s="45">
        <f t="shared" si="410"/>
        <v>3.1965269107066372</v>
      </c>
      <c r="R854" s="4">
        <f t="shared" si="411"/>
        <v>-49288.433295898314</v>
      </c>
      <c r="S854">
        <f t="shared" si="392"/>
        <v>-4.9288433295898313E-5</v>
      </c>
      <c r="T854" s="44">
        <f t="shared" si="393"/>
        <v>2.8515621893121371E-4</v>
      </c>
      <c r="U854" s="45">
        <f t="shared" si="412"/>
        <v>-8.8450557971154309E-2</v>
      </c>
      <c r="V854" s="45">
        <f t="shared" si="413"/>
        <v>1.0524592603677967E-3</v>
      </c>
      <c r="W854" s="45">
        <f t="shared" si="414"/>
        <v>1.2902407271933513E-3</v>
      </c>
      <c r="X854" s="45">
        <f t="shared" si="415"/>
        <v>-2.3778146682555462E-4</v>
      </c>
      <c r="Y854" s="45">
        <f t="shared" si="389"/>
        <v>5.1663431131466722E-6</v>
      </c>
      <c r="Z854" s="10">
        <f t="shared" si="416"/>
        <v>1.8117588781722885E-2</v>
      </c>
      <c r="AA854">
        <f t="shared" si="394"/>
        <v>106857.42076478945</v>
      </c>
      <c r="AB854" s="10">
        <f t="shared" si="395"/>
        <v>0.10685742076478945</v>
      </c>
      <c r="AC854" s="10">
        <f t="shared" si="396"/>
        <v>5.8574207647894422E-3</v>
      </c>
      <c r="AD854" s="3">
        <f t="shared" si="397"/>
        <v>0.84951715225372615</v>
      </c>
      <c r="AI854" s="100">
        <f t="shared" si="398"/>
        <v>1.2902407271933513E-3</v>
      </c>
    </row>
    <row r="855" spans="2:35">
      <c r="B855" s="39">
        <f t="shared" si="399"/>
        <v>827</v>
      </c>
      <c r="C855" s="45">
        <f t="shared" si="400"/>
        <v>24.294364508391713</v>
      </c>
      <c r="D855" s="10">
        <f t="shared" si="401"/>
        <v>-8.8443645083914859</v>
      </c>
      <c r="E855" s="40">
        <f t="shared" si="402"/>
        <v>66.028729016782975</v>
      </c>
      <c r="F855" s="40">
        <f t="shared" si="403"/>
        <v>48.34</v>
      </c>
      <c r="G855" s="3">
        <f t="shared" si="404"/>
        <v>31.02254196643403</v>
      </c>
      <c r="H855" s="3">
        <f t="shared" si="405"/>
        <v>148.0155219248214</v>
      </c>
      <c r="I855">
        <f t="shared" si="390"/>
        <v>1.4801552192482141E-4</v>
      </c>
      <c r="J855" s="4">
        <f t="shared" si="406"/>
        <v>3428.732223738632</v>
      </c>
      <c r="K855" s="40">
        <f t="shared" si="407"/>
        <v>23.164680157531858</v>
      </c>
      <c r="L855" s="40">
        <f t="shared" si="391"/>
        <v>0</v>
      </c>
      <c r="M855" s="10">
        <f t="shared" si="408"/>
        <v>0.10685742076478945</v>
      </c>
      <c r="N855" s="10">
        <f t="shared" si="387"/>
        <v>8.26</v>
      </c>
      <c r="O855" s="10">
        <f t="shared" si="388"/>
        <v>0.31900000000000001</v>
      </c>
      <c r="P855" s="10">
        <f t="shared" si="409"/>
        <v>4.0473311783622332</v>
      </c>
      <c r="Q855" s="45">
        <f t="shared" si="410"/>
        <v>3.2037851501504488</v>
      </c>
      <c r="R855" s="4">
        <f t="shared" si="411"/>
        <v>-49291.403667639766</v>
      </c>
      <c r="S855">
        <f t="shared" si="392"/>
        <v>-4.9291403667639767E-5</v>
      </c>
      <c r="T855" s="44">
        <f t="shared" si="393"/>
        <v>2.851591893029552E-4</v>
      </c>
      <c r="U855" s="45">
        <f t="shared" si="412"/>
        <v>-8.8455888451762929E-2</v>
      </c>
      <c r="V855" s="45">
        <f t="shared" si="413"/>
        <v>7.3440407276242827E-4</v>
      </c>
      <c r="W855" s="45">
        <f t="shared" si="414"/>
        <v>9.6853020148204285E-4</v>
      </c>
      <c r="X855" s="45">
        <f t="shared" si="415"/>
        <v>-2.3412612871961459E-4</v>
      </c>
      <c r="Y855" s="45">
        <f t="shared" si="389"/>
        <v>3.4669996108470415E-6</v>
      </c>
      <c r="Z855" s="10">
        <f t="shared" si="416"/>
        <v>1.2158119888479819E-2</v>
      </c>
      <c r="AA855">
        <f t="shared" si="394"/>
        <v>104930.72305335816</v>
      </c>
      <c r="AB855" s="10">
        <f t="shared" si="395"/>
        <v>0.10493072305335815</v>
      </c>
      <c r="AC855" s="10">
        <f t="shared" si="396"/>
        <v>3.9307230533581483E-3</v>
      </c>
      <c r="AD855" s="3">
        <f t="shared" si="397"/>
        <v>0.57008311143700485</v>
      </c>
      <c r="AI855" s="100">
        <f t="shared" si="398"/>
        <v>9.6853020148204285E-4</v>
      </c>
    </row>
    <row r="856" spans="2:35">
      <c r="B856" s="39">
        <f t="shared" si="399"/>
        <v>828</v>
      </c>
      <c r="C856" s="45">
        <f t="shared" si="400"/>
        <v>24.32374100719267</v>
      </c>
      <c r="D856" s="10">
        <f t="shared" si="401"/>
        <v>-8.873741007192443</v>
      </c>
      <c r="E856" s="40">
        <f t="shared" si="402"/>
        <v>66.087482014384889</v>
      </c>
      <c r="F856" s="40">
        <f t="shared" si="403"/>
        <v>48.34</v>
      </c>
      <c r="G856" s="3">
        <f t="shared" si="404"/>
        <v>30.905035971230198</v>
      </c>
      <c r="H856" s="3">
        <f t="shared" si="405"/>
        <v>148.0155219248214</v>
      </c>
      <c r="I856">
        <f t="shared" si="390"/>
        <v>1.4801552192482141E-4</v>
      </c>
      <c r="J856" s="4">
        <f t="shared" si="406"/>
        <v>3434.8286597643464</v>
      </c>
      <c r="K856" s="40">
        <f t="shared" si="407"/>
        <v>23.205867973150351</v>
      </c>
      <c r="L856" s="40">
        <f t="shared" si="391"/>
        <v>0</v>
      </c>
      <c r="M856" s="10">
        <f t="shared" si="408"/>
        <v>0.10493072305335815</v>
      </c>
      <c r="N856" s="10">
        <f t="shared" si="387"/>
        <v>8.26</v>
      </c>
      <c r="O856" s="10">
        <f t="shared" si="388"/>
        <v>0.31900000000000001</v>
      </c>
      <c r="P856" s="10">
        <f t="shared" si="409"/>
        <v>4.0239075819183023</v>
      </c>
      <c r="Q856" s="45">
        <f t="shared" si="410"/>
        <v>3.2110856405824268</v>
      </c>
      <c r="R856" s="4">
        <f t="shared" si="411"/>
        <v>-49293.110153096342</v>
      </c>
      <c r="S856">
        <f t="shared" si="392"/>
        <v>-4.9293110153096345E-5</v>
      </c>
      <c r="T856" s="44">
        <f t="shared" si="393"/>
        <v>2.8516089578841178E-4</v>
      </c>
      <c r="U856" s="45">
        <f t="shared" si="412"/>
        <v>-8.8458950825239038E-2</v>
      </c>
      <c r="V856" s="45">
        <f t="shared" si="413"/>
        <v>4.1947503453950119E-4</v>
      </c>
      <c r="W856" s="45">
        <f t="shared" si="414"/>
        <v>6.4994886720860844E-4</v>
      </c>
      <c r="X856" s="45">
        <f t="shared" si="415"/>
        <v>-2.3047383266910725E-4</v>
      </c>
      <c r="Y856" s="45">
        <f t="shared" si="389"/>
        <v>1.784427600624925E-6</v>
      </c>
      <c r="Z856" s="10">
        <f t="shared" si="416"/>
        <v>6.2576167594485428E-3</v>
      </c>
      <c r="AA856">
        <f t="shared" si="394"/>
        <v>103023.08898752932</v>
      </c>
      <c r="AB856" s="10">
        <f t="shared" si="395"/>
        <v>0.10302308898752932</v>
      </c>
      <c r="AC856" s="10">
        <f t="shared" si="396"/>
        <v>2.0230889875293145E-3</v>
      </c>
      <c r="AD856" s="3">
        <f t="shared" si="397"/>
        <v>0.29341392132404853</v>
      </c>
      <c r="AI856" s="100">
        <f t="shared" si="398"/>
        <v>6.4994886720860844E-4</v>
      </c>
    </row>
    <row r="857" spans="2:35">
      <c r="B857" s="39">
        <f t="shared" si="399"/>
        <v>829</v>
      </c>
      <c r="C857" s="45">
        <f t="shared" si="400"/>
        <v>24.353117505993627</v>
      </c>
      <c r="D857" s="10">
        <f t="shared" si="401"/>
        <v>-8.9031175059934</v>
      </c>
      <c r="E857" s="40">
        <f t="shared" si="402"/>
        <v>66.146235011986803</v>
      </c>
      <c r="F857" s="40">
        <f t="shared" si="403"/>
        <v>48.34</v>
      </c>
      <c r="G857" s="3">
        <f t="shared" si="404"/>
        <v>30.787529976026367</v>
      </c>
      <c r="H857" s="3">
        <f t="shared" si="405"/>
        <v>148.0155219248214</v>
      </c>
      <c r="I857">
        <f t="shared" si="390"/>
        <v>1.4801552192482141E-4</v>
      </c>
      <c r="J857" s="4">
        <f t="shared" si="406"/>
        <v>3440.9305180450356</v>
      </c>
      <c r="K857" s="40">
        <f t="shared" si="407"/>
        <v>23.247092421784789</v>
      </c>
      <c r="L857" s="40">
        <f t="shared" si="391"/>
        <v>0</v>
      </c>
      <c r="M857" s="10">
        <f t="shared" si="408"/>
        <v>0.10302308898752932</v>
      </c>
      <c r="N857" s="10">
        <f t="shared" si="387"/>
        <v>8.26</v>
      </c>
      <c r="O857" s="10">
        <f t="shared" si="388"/>
        <v>0.31900000000000001</v>
      </c>
      <c r="P857" s="10">
        <f t="shared" si="409"/>
        <v>4.0004253836618915</v>
      </c>
      <c r="Q857" s="45">
        <f t="shared" si="410"/>
        <v>3.2184289843480509</v>
      </c>
      <c r="R857" s="4">
        <f t="shared" si="411"/>
        <v>-49293.550840825679</v>
      </c>
      <c r="S857">
        <f t="shared" si="392"/>
        <v>-4.9293550840825681E-5</v>
      </c>
      <c r="T857" s="44">
        <f t="shared" si="393"/>
        <v>2.8516133647614109E-4</v>
      </c>
      <c r="U857" s="45">
        <f t="shared" si="412"/>
        <v>-8.8459741661403718E-2</v>
      </c>
      <c r="V857" s="45">
        <f t="shared" si="413"/>
        <v>1.0769428613457638E-4</v>
      </c>
      <c r="W857" s="45">
        <f t="shared" si="414"/>
        <v>3.3451972521531919E-4</v>
      </c>
      <c r="X857" s="45">
        <f t="shared" si="415"/>
        <v>-2.2682543908074282E-4</v>
      </c>
      <c r="Y857" s="45">
        <f t="shared" si="389"/>
        <v>1.187704266664107E-7</v>
      </c>
      <c r="Z857" s="10">
        <f t="shared" si="416"/>
        <v>4.1650256003884312E-4</v>
      </c>
      <c r="AA857">
        <f t="shared" si="394"/>
        <v>101134.65537678063</v>
      </c>
      <c r="AB857" s="10">
        <f t="shared" si="395"/>
        <v>0.10113465537678064</v>
      </c>
      <c r="AC857" s="10">
        <f t="shared" si="396"/>
        <v>1.3465537678063189E-4</v>
      </c>
      <c r="AD857" s="3">
        <f t="shared" si="397"/>
        <v>1.9529423753536168E-2</v>
      </c>
      <c r="AI857" s="100">
        <f t="shared" si="398"/>
        <v>3.3451972521531919E-4</v>
      </c>
    </row>
    <row r="858" spans="2:35">
      <c r="B858" s="39">
        <f t="shared" si="399"/>
        <v>830</v>
      </c>
      <c r="C858" s="45">
        <f t="shared" si="400"/>
        <v>24.382494004794584</v>
      </c>
      <c r="D858" s="10">
        <f t="shared" si="401"/>
        <v>-8.9324940047943571</v>
      </c>
      <c r="E858" s="40">
        <f t="shared" si="402"/>
        <v>66.204988009588718</v>
      </c>
      <c r="F858" s="40">
        <f t="shared" si="403"/>
        <v>48.34</v>
      </c>
      <c r="G858" s="3">
        <f t="shared" si="404"/>
        <v>30.670023980822535</v>
      </c>
      <c r="H858" s="3">
        <f t="shared" si="405"/>
        <v>148.0155219248214</v>
      </c>
      <c r="I858">
        <f t="shared" si="390"/>
        <v>1.4801552192482141E-4</v>
      </c>
      <c r="J858" s="4">
        <f t="shared" si="406"/>
        <v>3447.0377985806981</v>
      </c>
      <c r="K858" s="40">
        <f t="shared" si="407"/>
        <v>23.288353503435161</v>
      </c>
      <c r="L858" s="40">
        <f t="shared" si="391"/>
        <v>0</v>
      </c>
      <c r="M858" s="10">
        <f t="shared" si="408"/>
        <v>0.10113465537678064</v>
      </c>
      <c r="N858" s="10">
        <f t="shared" si="387"/>
        <v>8.26</v>
      </c>
      <c r="O858" s="10">
        <f t="shared" si="388"/>
        <v>0.31900000000000001</v>
      </c>
      <c r="P858" s="10">
        <f t="shared" si="409"/>
        <v>3.9768860470738714</v>
      </c>
      <c r="Q858" s="45">
        <f t="shared" si="410"/>
        <v>3.2258157936388456</v>
      </c>
      <c r="R858" s="4">
        <f t="shared" si="411"/>
        <v>-49292.723819385355</v>
      </c>
      <c r="S858">
        <f t="shared" si="392"/>
        <v>-4.9292723819385358E-5</v>
      </c>
      <c r="T858" s="44">
        <f t="shared" si="393"/>
        <v>2.8516050945470077E-4</v>
      </c>
      <c r="U858" s="45">
        <f t="shared" si="412"/>
        <v>-8.845825753007798E-2</v>
      </c>
      <c r="V858" s="45">
        <f t="shared" si="413"/>
        <v>-2.0091642647218259E-4</v>
      </c>
      <c r="W858" s="45">
        <f t="shared" si="414"/>
        <v>2.226539708193116E-5</v>
      </c>
      <c r="X858" s="45">
        <f t="shared" si="415"/>
        <v>-2.2318182355411374E-4</v>
      </c>
      <c r="Y858" s="45">
        <f t="shared" si="389"/>
        <v>0</v>
      </c>
      <c r="Z858" s="10">
        <f t="shared" si="416"/>
        <v>0</v>
      </c>
      <c r="AA858">
        <f t="shared" si="394"/>
        <v>101000</v>
      </c>
      <c r="AB858" s="10">
        <f t="shared" si="395"/>
        <v>0.10100000000000001</v>
      </c>
      <c r="AC858" s="10">
        <f t="shared" si="396"/>
        <v>0</v>
      </c>
      <c r="AD858" s="3">
        <f t="shared" si="397"/>
        <v>0</v>
      </c>
      <c r="AI858" s="100">
        <f t="shared" si="398"/>
        <v>2.226539708193116E-5</v>
      </c>
    </row>
    <row r="859" spans="2:35">
      <c r="B859" s="39">
        <f t="shared" si="399"/>
        <v>831</v>
      </c>
      <c r="C859" s="45">
        <f t="shared" si="400"/>
        <v>24.411870503595541</v>
      </c>
      <c r="D859" s="10">
        <f t="shared" si="401"/>
        <v>-8.9618705035953141</v>
      </c>
      <c r="E859" s="40">
        <f t="shared" si="402"/>
        <v>66.263741007190632</v>
      </c>
      <c r="F859" s="40">
        <f t="shared" si="403"/>
        <v>48.34</v>
      </c>
      <c r="G859" s="3">
        <f t="shared" si="404"/>
        <v>30.552517985618703</v>
      </c>
      <c r="H859" s="3">
        <f t="shared" si="405"/>
        <v>148.0155219248214</v>
      </c>
      <c r="I859">
        <f t="shared" si="390"/>
        <v>1.4801552192482141E-4</v>
      </c>
      <c r="J859" s="4">
        <f t="shared" si="406"/>
        <v>3453.1505013713345</v>
      </c>
      <c r="K859" s="40">
        <f t="shared" si="407"/>
        <v>23.329651218101471</v>
      </c>
      <c r="L859" s="40">
        <f t="shared" si="391"/>
        <v>0</v>
      </c>
      <c r="M859" s="10">
        <f t="shared" si="408"/>
        <v>0.10100000000000001</v>
      </c>
      <c r="N859" s="10">
        <f t="shared" si="387"/>
        <v>8.26</v>
      </c>
      <c r="O859" s="10">
        <f t="shared" si="388"/>
        <v>0.31900000000000001</v>
      </c>
      <c r="P859" s="10">
        <f t="shared" si="409"/>
        <v>3.9751961722975562</v>
      </c>
      <c r="Q859" s="45">
        <f t="shared" si="410"/>
        <v>3.23320574309736</v>
      </c>
      <c r="R859" s="4">
        <f t="shared" si="411"/>
        <v>-49290.627177332979</v>
      </c>
      <c r="S859">
        <f t="shared" si="392"/>
        <v>-4.9290627177332981E-5</v>
      </c>
      <c r="T859" s="44">
        <f t="shared" si="393"/>
        <v>2.8515841281264841E-4</v>
      </c>
      <c r="U859" s="45">
        <f t="shared" si="412"/>
        <v>-8.8454495001082892E-2</v>
      </c>
      <c r="V859" s="45">
        <f t="shared" si="413"/>
        <v>-5.0914137048031045E-4</v>
      </c>
      <c r="W859" s="45">
        <f t="shared" si="414"/>
        <v>0</v>
      </c>
      <c r="X859" s="45">
        <f t="shared" si="415"/>
        <v>-5.0914137048031045E-4</v>
      </c>
      <c r="Y859" s="45">
        <f t="shared" si="389"/>
        <v>0</v>
      </c>
      <c r="Z859" s="10">
        <f t="shared" si="416"/>
        <v>0</v>
      </c>
      <c r="AA859">
        <f t="shared" si="394"/>
        <v>101000</v>
      </c>
      <c r="AB859" s="10">
        <f t="shared" si="395"/>
        <v>0.10100000000000001</v>
      </c>
      <c r="AC859" s="10">
        <f t="shared" si="396"/>
        <v>0</v>
      </c>
      <c r="AD859" s="3">
        <f t="shared" si="397"/>
        <v>0</v>
      </c>
      <c r="AI859" s="100">
        <f t="shared" si="398"/>
        <v>0</v>
      </c>
    </row>
    <row r="860" spans="2:35">
      <c r="B860" s="39">
        <f t="shared" si="399"/>
        <v>832</v>
      </c>
      <c r="C860" s="45">
        <f t="shared" si="400"/>
        <v>24.441247002396498</v>
      </c>
      <c r="D860" s="10">
        <f t="shared" si="401"/>
        <v>-8.9912470023962712</v>
      </c>
      <c r="E860" s="40">
        <f t="shared" si="402"/>
        <v>66.322494004792546</v>
      </c>
      <c r="F860" s="40">
        <f t="shared" si="403"/>
        <v>48.34</v>
      </c>
      <c r="G860" s="3">
        <f t="shared" si="404"/>
        <v>30.435011990414871</v>
      </c>
      <c r="H860" s="3">
        <f t="shared" si="405"/>
        <v>148.0155219248214</v>
      </c>
      <c r="I860">
        <f t="shared" si="390"/>
        <v>1.4801552192482141E-4</v>
      </c>
      <c r="J860" s="4">
        <f t="shared" si="406"/>
        <v>3459.2686264169452</v>
      </c>
      <c r="K860" s="40">
        <f t="shared" si="407"/>
        <v>23.370985565783723</v>
      </c>
      <c r="L860" s="40">
        <f t="shared" si="391"/>
        <v>0</v>
      </c>
      <c r="M860" s="10">
        <f t="shared" si="408"/>
        <v>0.10100000000000001</v>
      </c>
      <c r="N860" s="10">
        <f t="shared" si="387"/>
        <v>8.26</v>
      </c>
      <c r="O860" s="10">
        <f t="shared" si="388"/>
        <v>0.31900000000000001</v>
      </c>
      <c r="P860" s="10">
        <f t="shared" si="409"/>
        <v>3.9751961722975562</v>
      </c>
      <c r="Q860" s="45">
        <f t="shared" si="410"/>
        <v>3.2405956925558743</v>
      </c>
      <c r="R860" s="4">
        <f t="shared" si="411"/>
        <v>-49287.259003226158</v>
      </c>
      <c r="S860">
        <f t="shared" si="392"/>
        <v>-4.9287259003226158E-5</v>
      </c>
      <c r="T860" s="44">
        <f t="shared" si="393"/>
        <v>2.8515504463854155E-4</v>
      </c>
      <c r="U860" s="45">
        <f t="shared" si="412"/>
        <v>-8.8448450644239493E-2</v>
      </c>
      <c r="V860" s="45">
        <f t="shared" si="413"/>
        <v>-8.1791585684456221E-4</v>
      </c>
      <c r="W860" s="45">
        <f t="shared" si="414"/>
        <v>0</v>
      </c>
      <c r="X860" s="45">
        <f t="shared" si="415"/>
        <v>-8.1791585684456221E-4</v>
      </c>
      <c r="Y860" s="45">
        <f t="shared" si="389"/>
        <v>0</v>
      </c>
      <c r="Z860" s="10">
        <f t="shared" si="416"/>
        <v>0</v>
      </c>
      <c r="AA860">
        <f t="shared" si="394"/>
        <v>101000</v>
      </c>
      <c r="AB860" s="10">
        <f t="shared" si="395"/>
        <v>0.10100000000000001</v>
      </c>
      <c r="AC860" s="10">
        <f t="shared" si="396"/>
        <v>0</v>
      </c>
      <c r="AD860" s="3">
        <f t="shared" si="397"/>
        <v>0</v>
      </c>
      <c r="AI860" s="100">
        <f t="shared" si="398"/>
        <v>0</v>
      </c>
    </row>
    <row r="861" spans="2:35">
      <c r="B861" s="39">
        <f t="shared" si="399"/>
        <v>833</v>
      </c>
      <c r="C861" s="45">
        <f t="shared" si="400"/>
        <v>24.470623501197455</v>
      </c>
      <c r="D861" s="10">
        <f t="shared" si="401"/>
        <v>-9.0206235011972282</v>
      </c>
      <c r="E861" s="40">
        <f t="shared" si="402"/>
        <v>66.38124700239446</v>
      </c>
      <c r="F861" s="40">
        <f t="shared" si="403"/>
        <v>48.34</v>
      </c>
      <c r="G861" s="3">
        <f t="shared" si="404"/>
        <v>30.31750599521104</v>
      </c>
      <c r="H861" s="3">
        <f t="shared" si="405"/>
        <v>148.0155219248214</v>
      </c>
      <c r="I861">
        <f t="shared" si="390"/>
        <v>1.4801552192482141E-4</v>
      </c>
      <c r="J861" s="4">
        <f t="shared" si="406"/>
        <v>3465.3921737175287</v>
      </c>
      <c r="K861" s="40">
        <f t="shared" si="407"/>
        <v>23.412356546481909</v>
      </c>
      <c r="L861" s="40">
        <f t="shared" si="391"/>
        <v>0</v>
      </c>
      <c r="M861" s="10">
        <f t="shared" si="408"/>
        <v>0.10100000000000001</v>
      </c>
      <c r="N861" s="10">
        <f t="shared" si="387"/>
        <v>8.26</v>
      </c>
      <c r="O861" s="10">
        <f t="shared" si="388"/>
        <v>0.31900000000000001</v>
      </c>
      <c r="P861" s="10">
        <f t="shared" si="409"/>
        <v>3.9751961722975562</v>
      </c>
      <c r="Q861" s="45">
        <f t="shared" si="410"/>
        <v>3.2479856420143887</v>
      </c>
      <c r="R861" s="4">
        <f t="shared" si="411"/>
        <v>-49282.61738562247</v>
      </c>
      <c r="S861">
        <f t="shared" si="392"/>
        <v>-4.9282617385622471E-5</v>
      </c>
      <c r="T861" s="44">
        <f t="shared" si="393"/>
        <v>2.8515040302093788E-4</v>
      </c>
      <c r="U861" s="45">
        <f t="shared" si="412"/>
        <v>-8.8440121029368796E-2</v>
      </c>
      <c r="V861" s="45">
        <f t="shared" si="413"/>
        <v>-1.1271545113343646E-3</v>
      </c>
      <c r="W861" s="45">
        <f t="shared" si="414"/>
        <v>0</v>
      </c>
      <c r="X861" s="45">
        <f t="shared" si="415"/>
        <v>-1.1271545113343646E-3</v>
      </c>
      <c r="Y861" s="45">
        <f t="shared" si="389"/>
        <v>0</v>
      </c>
      <c r="Z861" s="10">
        <f t="shared" si="416"/>
        <v>0</v>
      </c>
      <c r="AA861">
        <f t="shared" si="394"/>
        <v>101000</v>
      </c>
      <c r="AB861" s="10">
        <f t="shared" si="395"/>
        <v>0.10100000000000001</v>
      </c>
      <c r="AC861" s="10">
        <f t="shared" si="396"/>
        <v>0</v>
      </c>
      <c r="AD861" s="3">
        <f t="shared" si="397"/>
        <v>0</v>
      </c>
      <c r="AI861" s="100">
        <f t="shared" si="398"/>
        <v>0</v>
      </c>
    </row>
    <row r="862" spans="2:35">
      <c r="B862" s="39">
        <f t="shared" si="399"/>
        <v>834</v>
      </c>
      <c r="C862" s="45">
        <f t="shared" si="400"/>
        <v>24.499999999998412</v>
      </c>
      <c r="D862" s="10">
        <f t="shared" si="401"/>
        <v>-9.0499999999981853</v>
      </c>
      <c r="E862" s="40">
        <f t="shared" si="402"/>
        <v>66.439999999996374</v>
      </c>
      <c r="F862" s="40">
        <f t="shared" si="403"/>
        <v>48.34</v>
      </c>
      <c r="G862" s="3">
        <f t="shared" si="404"/>
        <v>30.200000000007208</v>
      </c>
      <c r="H862" s="3">
        <f t="shared" si="405"/>
        <v>148.0155219248214</v>
      </c>
      <c r="I862">
        <f t="shared" si="390"/>
        <v>1.4801552192482141E-4</v>
      </c>
      <c r="J862" s="4">
        <f t="shared" si="406"/>
        <v>3471.5211432730875</v>
      </c>
      <c r="K862" s="40">
        <f t="shared" si="407"/>
        <v>23.453764160196041</v>
      </c>
      <c r="L862" s="40">
        <f t="shared" si="391"/>
        <v>0</v>
      </c>
      <c r="M862" s="10">
        <f t="shared" si="408"/>
        <v>0.10100000000000001</v>
      </c>
      <c r="N862" s="10">
        <f t="shared" si="387"/>
        <v>8.26</v>
      </c>
      <c r="O862" s="10">
        <f t="shared" si="388"/>
        <v>0.31900000000000001</v>
      </c>
      <c r="P862" s="10">
        <f t="shared" si="409"/>
        <v>3.9751961722975562</v>
      </c>
      <c r="Q862" s="45">
        <f t="shared" si="410"/>
        <v>3.255375591472903</v>
      </c>
      <c r="R862" s="4">
        <f t="shared" si="411"/>
        <v>-49276.700413079554</v>
      </c>
      <c r="S862">
        <f t="shared" si="392"/>
        <v>-4.9276700413079553E-5</v>
      </c>
      <c r="T862" s="44">
        <f t="shared" si="393"/>
        <v>2.8514448604839498E-4</v>
      </c>
      <c r="U862" s="45">
        <f t="shared" si="412"/>
        <v>-8.8429502726291909E-2</v>
      </c>
      <c r="V862" s="45">
        <f t="shared" si="413"/>
        <v>-1.4368573339365723E-3</v>
      </c>
      <c r="W862" s="45">
        <f t="shared" si="414"/>
        <v>0</v>
      </c>
      <c r="X862" s="45">
        <f t="shared" si="415"/>
        <v>-1.4368573339365723E-3</v>
      </c>
      <c r="Y862" s="45">
        <f>IF((X862*(Q862-Q861)+Y861)&lt;0,0,X862*(Q862-Q861)+Y861)</f>
        <v>0</v>
      </c>
      <c r="Z862" s="10">
        <f t="shared" si="416"/>
        <v>0</v>
      </c>
      <c r="AA862">
        <f t="shared" si="394"/>
        <v>101000</v>
      </c>
      <c r="AB862" s="10">
        <f t="shared" si="395"/>
        <v>0.10100000000000001</v>
      </c>
      <c r="AC862" s="10">
        <f t="shared" si="396"/>
        <v>0</v>
      </c>
      <c r="AD862" s="3">
        <f t="shared" si="397"/>
        <v>0</v>
      </c>
      <c r="AI862" s="100">
        <f t="shared" si="398"/>
        <v>0</v>
      </c>
    </row>
    <row r="863" spans="2:35">
      <c r="H863" s="3"/>
      <c r="J863" s="4"/>
      <c r="K863" s="40"/>
      <c r="L863" s="40"/>
      <c r="N863" s="10"/>
      <c r="P863" s="124">
        <f>AVERAGE(P28:P862)</f>
        <v>8.1866140604145912</v>
      </c>
      <c r="Q863" s="45">
        <f>Q862+tbinc</f>
        <v>3.2571421283557895</v>
      </c>
      <c r="R863" s="4"/>
      <c r="T863" s="44"/>
      <c r="U863" s="45"/>
      <c r="W863" s="44"/>
      <c r="AB863" s="10">
        <f>pbout*EXP(-rat*to*astarf*(Q863-tbout)/vc*1000000000/cstar)</f>
        <v>6.7676947436044438E-2</v>
      </c>
      <c r="AC863" s="10">
        <f t="shared" ref="AC863:AC909" si="417">AB863-patm</f>
        <v>-3.3323052563955569E-2</v>
      </c>
      <c r="AD863" s="3">
        <f t="shared" ref="AD863:AD909" si="418">AC863*1000000/6895</f>
        <v>-4.8329300310305392</v>
      </c>
      <c r="AI863" s="100">
        <f t="shared" ref="AI863:AI909" si="419">($M863-patm)*1000000*$I863/SQRT(rat*to)*SQRT(k)*(2/(k+1))^((k+1)/2/(k-1))</f>
        <v>0</v>
      </c>
    </row>
    <row r="864" spans="2:35">
      <c r="B864" s="20"/>
      <c r="C864" s="59" t="s">
        <v>147</v>
      </c>
      <c r="D864" s="20">
        <f>two-twebout</f>
        <v>24.499999999998188</v>
      </c>
      <c r="H864" s="3"/>
      <c r="J864" s="4"/>
      <c r="K864" s="40"/>
      <c r="L864" s="40"/>
      <c r="N864" s="10"/>
      <c r="P864" s="10"/>
      <c r="Q864" s="45">
        <f>Q863+tbinc</f>
        <v>3.2589086652386761</v>
      </c>
      <c r="R864" s="4"/>
      <c r="T864" s="44"/>
      <c r="U864" s="45"/>
      <c r="W864" s="44"/>
      <c r="AB864" s="10">
        <f t="shared" ref="AB864:AB909" si="420">pbout*EXP(-rat*to*astarf*(Q864-tbout)/vc*1000000000/cstar)</f>
        <v>4.5348210042189314E-2</v>
      </c>
      <c r="AC864" s="10">
        <f t="shared" si="417"/>
        <v>-5.5651789957810692E-2</v>
      </c>
      <c r="AD864" s="3">
        <f t="shared" si="418"/>
        <v>-8.0713255921407825</v>
      </c>
      <c r="AI864" s="100">
        <f t="shared" si="419"/>
        <v>0</v>
      </c>
    </row>
    <row r="865" spans="4:35">
      <c r="D865">
        <f>two</f>
        <v>15.450000000000001</v>
      </c>
      <c r="Q865" s="45">
        <f t="shared" ref="Q865:Q910" si="421">Q864+tbinc</f>
        <v>3.2606752021215626</v>
      </c>
      <c r="AB865" s="10">
        <f t="shared" si="420"/>
        <v>3.0386420072712358E-2</v>
      </c>
      <c r="AC865" s="10">
        <f t="shared" si="417"/>
        <v>-7.0613579927287645E-2</v>
      </c>
      <c r="AD865" s="3">
        <f t="shared" si="418"/>
        <v>-10.241273375966301</v>
      </c>
      <c r="AI865" s="100">
        <f t="shared" si="419"/>
        <v>0</v>
      </c>
    </row>
    <row r="866" spans="4:35">
      <c r="Q866" s="45">
        <f t="shared" si="421"/>
        <v>3.2624417390044491</v>
      </c>
      <c r="AB866" s="10">
        <f t="shared" si="420"/>
        <v>2.0360991624064552E-2</v>
      </c>
      <c r="AC866" s="10">
        <f t="shared" si="417"/>
        <v>-8.0639008375935461E-2</v>
      </c>
      <c r="AD866" s="3">
        <f t="shared" si="418"/>
        <v>-11.695287654232844</v>
      </c>
      <c r="AI866" s="100">
        <f t="shared" si="419"/>
        <v>0</v>
      </c>
    </row>
    <row r="867" spans="4:35">
      <c r="Q867" s="45">
        <f t="shared" si="421"/>
        <v>3.2642082758873356</v>
      </c>
      <c r="AB867" s="10">
        <f t="shared" si="420"/>
        <v>1.3643264949381752E-2</v>
      </c>
      <c r="AC867" s="10">
        <f t="shared" si="417"/>
        <v>-8.7356735050618251E-2</v>
      </c>
      <c r="AD867" s="3">
        <f t="shared" si="418"/>
        <v>-12.669577237218022</v>
      </c>
      <c r="AI867" s="100">
        <f t="shared" si="419"/>
        <v>0</v>
      </c>
    </row>
    <row r="868" spans="4:35">
      <c r="Q868" s="45">
        <f t="shared" si="421"/>
        <v>3.2659748127702222</v>
      </c>
      <c r="AB868" s="10">
        <f t="shared" si="420"/>
        <v>9.1419259884686771E-3</v>
      </c>
      <c r="AC868" s="10">
        <f t="shared" si="417"/>
        <v>-9.1858074011531329E-2</v>
      </c>
      <c r="AD868" s="3">
        <f t="shared" si="418"/>
        <v>-13.322418275784093</v>
      </c>
      <c r="AI868" s="100">
        <f t="shared" si="419"/>
        <v>0</v>
      </c>
    </row>
    <row r="869" spans="4:35">
      <c r="Q869" s="45">
        <f t="shared" si="421"/>
        <v>3.2677413496531087</v>
      </c>
      <c r="AB869" s="10">
        <f t="shared" si="420"/>
        <v>6.1257192533247838E-3</v>
      </c>
      <c r="AC869" s="10">
        <f t="shared" si="417"/>
        <v>-9.4874280746675227E-2</v>
      </c>
      <c r="AD869" s="3">
        <f t="shared" si="418"/>
        <v>-13.759866678270519</v>
      </c>
      <c r="AI869" s="100">
        <f t="shared" si="419"/>
        <v>0</v>
      </c>
    </row>
    <row r="870" spans="4:35">
      <c r="Q870" s="45">
        <f t="shared" si="421"/>
        <v>3.2695078865359952</v>
      </c>
      <c r="AB870" s="10">
        <f t="shared" si="420"/>
        <v>4.1046532664873936E-3</v>
      </c>
      <c r="AC870" s="10">
        <f t="shared" si="417"/>
        <v>-9.6895346733512619E-2</v>
      </c>
      <c r="AD870" s="3">
        <f t="shared" si="418"/>
        <v>-14.052987198478988</v>
      </c>
      <c r="AI870" s="100">
        <f t="shared" si="419"/>
        <v>0</v>
      </c>
    </row>
    <row r="871" spans="4:35">
      <c r="Q871" s="45">
        <f t="shared" si="421"/>
        <v>3.2712744234188817</v>
      </c>
      <c r="AB871" s="10">
        <f t="shared" si="420"/>
        <v>2.750400033259953E-3</v>
      </c>
      <c r="AC871" s="10">
        <f t="shared" si="417"/>
        <v>-9.8249599966740056E-2</v>
      </c>
      <c r="AD871" s="3">
        <f t="shared" si="418"/>
        <v>-14.249398109752002</v>
      </c>
      <c r="AI871" s="100">
        <f t="shared" si="419"/>
        <v>0</v>
      </c>
    </row>
    <row r="872" spans="4:35">
      <c r="Q872" s="45">
        <f t="shared" si="421"/>
        <v>3.2730409603017683</v>
      </c>
      <c r="AB872" s="10">
        <f t="shared" si="420"/>
        <v>1.8429572126636502E-3</v>
      </c>
      <c r="AC872" s="10">
        <f t="shared" si="417"/>
        <v>-9.915704278733635E-2</v>
      </c>
      <c r="AD872" s="3">
        <f t="shared" si="418"/>
        <v>-14.381006930723183</v>
      </c>
      <c r="AI872" s="100">
        <f t="shared" si="419"/>
        <v>0</v>
      </c>
    </row>
    <row r="873" spans="4:35">
      <c r="Q873" s="45">
        <f t="shared" si="421"/>
        <v>3.2748074971846548</v>
      </c>
      <c r="AB873" s="10">
        <f t="shared" si="420"/>
        <v>1.2349081030526426E-3</v>
      </c>
      <c r="AC873" s="10">
        <f t="shared" si="417"/>
        <v>-9.9765091896947364E-2</v>
      </c>
      <c r="AD873" s="3">
        <f t="shared" si="418"/>
        <v>-14.469193893683446</v>
      </c>
      <c r="AI873" s="100">
        <f t="shared" si="419"/>
        <v>0</v>
      </c>
    </row>
    <row r="874" spans="4:35">
      <c r="Q874" s="45">
        <f t="shared" si="421"/>
        <v>3.2765740340675413</v>
      </c>
      <c r="AB874" s="10">
        <f t="shared" si="420"/>
        <v>8.2747337404593085E-4</v>
      </c>
      <c r="AC874" s="10">
        <f t="shared" si="417"/>
        <v>-0.10017252662595408</v>
      </c>
      <c r="AD874" s="3">
        <f t="shared" si="418"/>
        <v>-14.528285224938953</v>
      </c>
      <c r="AI874" s="100">
        <f t="shared" si="419"/>
        <v>0</v>
      </c>
    </row>
    <row r="875" spans="4:35">
      <c r="Q875" s="45">
        <f t="shared" si="421"/>
        <v>3.2783405709504279</v>
      </c>
      <c r="AB875" s="10">
        <f t="shared" si="420"/>
        <v>5.5446407960428449E-4</v>
      </c>
      <c r="AC875" s="10">
        <f t="shared" si="417"/>
        <v>-0.10044553592039572</v>
      </c>
      <c r="AD875" s="3">
        <f t="shared" si="418"/>
        <v>-14.567880481565732</v>
      </c>
      <c r="AI875" s="100">
        <f t="shared" si="419"/>
        <v>0</v>
      </c>
    </row>
    <row r="876" spans="4:35">
      <c r="Q876" s="45">
        <f t="shared" si="421"/>
        <v>3.2801071078333144</v>
      </c>
      <c r="AB876" s="10">
        <f t="shared" si="420"/>
        <v>3.7152907297578161E-4</v>
      </c>
      <c r="AC876" s="10">
        <f t="shared" si="417"/>
        <v>-0.10062847092702422</v>
      </c>
      <c r="AD876" s="3">
        <f t="shared" si="418"/>
        <v>-14.594412027124614</v>
      </c>
      <c r="AI876" s="100">
        <f t="shared" si="419"/>
        <v>0</v>
      </c>
    </row>
    <row r="877" spans="4:35">
      <c r="Q877" s="45">
        <f t="shared" si="421"/>
        <v>3.2818736447162009</v>
      </c>
      <c r="AB877" s="10">
        <f t="shared" si="420"/>
        <v>2.4895003507667627E-4</v>
      </c>
      <c r="AC877" s="10">
        <f t="shared" si="417"/>
        <v>-0.10075104996492333</v>
      </c>
      <c r="AD877" s="3">
        <f t="shared" si="418"/>
        <v>-14.612189987661106</v>
      </c>
      <c r="AI877" s="100">
        <f t="shared" si="419"/>
        <v>0</v>
      </c>
    </row>
    <row r="878" spans="4:35">
      <c r="Q878" s="45">
        <f t="shared" si="421"/>
        <v>3.2836401815990874</v>
      </c>
      <c r="AB878" s="10">
        <f t="shared" si="420"/>
        <v>1.6681364790183795E-4</v>
      </c>
      <c r="AC878" s="10">
        <f t="shared" si="417"/>
        <v>-0.10083318635209818</v>
      </c>
      <c r="AD878" s="3">
        <f t="shared" si="418"/>
        <v>-14.624102444104158</v>
      </c>
      <c r="AI878" s="100">
        <f t="shared" si="419"/>
        <v>0</v>
      </c>
    </row>
    <row r="879" spans="4:35">
      <c r="Q879" s="45">
        <f t="shared" si="421"/>
        <v>3.285406718481974</v>
      </c>
      <c r="AB879" s="10">
        <f t="shared" si="420"/>
        <v>1.117766186204704E-4</v>
      </c>
      <c r="AC879" s="10">
        <f t="shared" si="417"/>
        <v>-0.10088822338137954</v>
      </c>
      <c r="AD879" s="3">
        <f t="shared" si="418"/>
        <v>-14.632084609337133</v>
      </c>
      <c r="AI879" s="100">
        <f t="shared" si="419"/>
        <v>0</v>
      </c>
    </row>
    <row r="880" spans="4:35">
      <c r="Q880" s="45">
        <f t="shared" si="421"/>
        <v>3.2871732553648605</v>
      </c>
      <c r="AB880" s="10">
        <f t="shared" si="420"/>
        <v>7.4898023197587636E-5</v>
      </c>
      <c r="AC880" s="10">
        <f t="shared" si="417"/>
        <v>-0.10092510197680242</v>
      </c>
      <c r="AD880" s="3">
        <f t="shared" si="418"/>
        <v>-14.637433209108401</v>
      </c>
      <c r="AI880" s="100">
        <f t="shared" si="419"/>
        <v>0</v>
      </c>
    </row>
    <row r="881" spans="17:35">
      <c r="Q881" s="45">
        <f t="shared" si="421"/>
        <v>3.288939792247747</v>
      </c>
      <c r="AB881" s="10">
        <f t="shared" si="420"/>
        <v>5.0186827514918599E-5</v>
      </c>
      <c r="AC881" s="10">
        <f t="shared" si="417"/>
        <v>-0.10094981317248508</v>
      </c>
      <c r="AD881" s="3">
        <f t="shared" si="418"/>
        <v>-14.641017138866582</v>
      </c>
      <c r="AI881" s="100">
        <f t="shared" si="419"/>
        <v>0</v>
      </c>
    </row>
    <row r="882" spans="17:35">
      <c r="Q882" s="45">
        <f t="shared" si="421"/>
        <v>3.2907063291306335</v>
      </c>
      <c r="AB882" s="10">
        <f t="shared" si="420"/>
        <v>3.3628626610979904E-5</v>
      </c>
      <c r="AC882" s="10">
        <f t="shared" si="417"/>
        <v>-0.10096637137338903</v>
      </c>
      <c r="AD882" s="3">
        <f t="shared" si="418"/>
        <v>-14.643418618330534</v>
      </c>
      <c r="AI882" s="100">
        <f t="shared" si="419"/>
        <v>0</v>
      </c>
    </row>
    <row r="883" spans="17:35">
      <c r="Q883" s="45">
        <f t="shared" si="421"/>
        <v>3.2924728660135201</v>
      </c>
      <c r="AB883" s="10">
        <f t="shared" si="420"/>
        <v>2.2533493024729264E-5</v>
      </c>
      <c r="AC883" s="10">
        <f t="shared" si="417"/>
        <v>-0.10097746650697528</v>
      </c>
      <c r="AD883" s="3">
        <f t="shared" si="418"/>
        <v>-14.645027774760736</v>
      </c>
      <c r="AI883" s="100">
        <f t="shared" si="419"/>
        <v>0</v>
      </c>
    </row>
    <row r="884" spans="17:35">
      <c r="Q884" s="45">
        <f t="shared" si="421"/>
        <v>3.2942394028964066</v>
      </c>
      <c r="AB884" s="10">
        <f t="shared" si="420"/>
        <v>1.509899032658491E-5</v>
      </c>
      <c r="AC884" s="10">
        <f t="shared" si="417"/>
        <v>-0.10098490100967342</v>
      </c>
      <c r="AD884" s="3">
        <f t="shared" si="418"/>
        <v>-14.646106020257204</v>
      </c>
      <c r="AI884" s="100">
        <f t="shared" si="419"/>
        <v>0</v>
      </c>
    </row>
    <row r="885" spans="17:35">
      <c r="Q885" s="45">
        <f t="shared" si="421"/>
        <v>3.2960059397792931</v>
      </c>
      <c r="AB885" s="10">
        <f t="shared" si="420"/>
        <v>1.0117362125441865E-5</v>
      </c>
      <c r="AC885" s="10">
        <f t="shared" si="417"/>
        <v>-0.10098988263787456</v>
      </c>
      <c r="AD885" s="3">
        <f t="shared" si="418"/>
        <v>-14.646828518908565</v>
      </c>
      <c r="AI885" s="100">
        <f t="shared" si="419"/>
        <v>0</v>
      </c>
    </row>
    <row r="886" spans="17:35">
      <c r="Q886" s="45">
        <f t="shared" si="421"/>
        <v>3.2977724766621797</v>
      </c>
      <c r="AB886" s="10">
        <f t="shared" si="420"/>
        <v>6.7793285619302668E-6</v>
      </c>
      <c r="AC886" s="10">
        <f t="shared" si="417"/>
        <v>-0.10099322067143808</v>
      </c>
      <c r="AD886" s="3">
        <f t="shared" si="418"/>
        <v>-14.647312642703129</v>
      </c>
      <c r="AI886" s="100">
        <f t="shared" si="419"/>
        <v>0</v>
      </c>
    </row>
    <row r="887" spans="17:35">
      <c r="Q887" s="45">
        <f t="shared" si="421"/>
        <v>3.2995390135450662</v>
      </c>
      <c r="AB887" s="10">
        <f t="shared" si="420"/>
        <v>4.542616462746824E-6</v>
      </c>
      <c r="AC887" s="10">
        <f t="shared" si="417"/>
        <v>-0.10099545738353725</v>
      </c>
      <c r="AD887" s="3">
        <f t="shared" si="418"/>
        <v>-14.647637038946666</v>
      </c>
      <c r="AI887" s="100">
        <f t="shared" si="419"/>
        <v>0</v>
      </c>
    </row>
    <row r="888" spans="17:35">
      <c r="Q888" s="45">
        <f t="shared" si="421"/>
        <v>3.3013055504279527</v>
      </c>
      <c r="AB888" s="10">
        <f t="shared" si="420"/>
        <v>3.0438655007071908E-6</v>
      </c>
      <c r="AC888" s="10">
        <f t="shared" si="417"/>
        <v>-0.1009969561344993</v>
      </c>
      <c r="AD888" s="3">
        <f t="shared" si="418"/>
        <v>-14.647854406743916</v>
      </c>
      <c r="AI888" s="100">
        <f t="shared" si="419"/>
        <v>0</v>
      </c>
    </row>
    <row r="889" spans="17:35">
      <c r="Q889" s="45">
        <f t="shared" si="421"/>
        <v>3.3030720873108392</v>
      </c>
      <c r="AB889" s="10">
        <f t="shared" si="420"/>
        <v>2.0395992623143559E-6</v>
      </c>
      <c r="AC889" s="10">
        <f t="shared" si="417"/>
        <v>-0.10099796040073769</v>
      </c>
      <c r="AD889" s="3">
        <f t="shared" si="418"/>
        <v>-14.648000058120042</v>
      </c>
      <c r="AI889" s="100">
        <f t="shared" si="419"/>
        <v>0</v>
      </c>
    </row>
    <row r="890" spans="17:35">
      <c r="Q890" s="45">
        <f t="shared" si="421"/>
        <v>3.3048386241937258</v>
      </c>
      <c r="AB890" s="10">
        <f t="shared" si="420"/>
        <v>1.3666718026360755E-6</v>
      </c>
      <c r="AC890" s="10">
        <f t="shared" si="417"/>
        <v>-0.10099863332819738</v>
      </c>
      <c r="AD890" s="3">
        <f t="shared" si="418"/>
        <v>-14.648097654560896</v>
      </c>
      <c r="AI890" s="100">
        <f t="shared" si="419"/>
        <v>0</v>
      </c>
    </row>
    <row r="891" spans="17:35">
      <c r="Q891" s="45">
        <f t="shared" si="421"/>
        <v>3.3066051610766123</v>
      </c>
      <c r="AB891" s="10">
        <f t="shared" si="420"/>
        <v>9.1576411632995643E-7</v>
      </c>
      <c r="AC891" s="10">
        <f t="shared" si="417"/>
        <v>-0.10099908423588368</v>
      </c>
      <c r="AD891" s="3">
        <f t="shared" si="418"/>
        <v>-14.648163050889584</v>
      </c>
      <c r="AI891" s="100">
        <f t="shared" si="419"/>
        <v>0</v>
      </c>
    </row>
    <row r="892" spans="17:35">
      <c r="Q892" s="45">
        <f t="shared" si="421"/>
        <v>3.3083716979594988</v>
      </c>
      <c r="AB892" s="10">
        <f t="shared" si="420"/>
        <v>6.1362495014533012E-7</v>
      </c>
      <c r="AC892" s="10">
        <f t="shared" si="417"/>
        <v>-0.10099938637504986</v>
      </c>
      <c r="AD892" s="3">
        <f t="shared" si="418"/>
        <v>-14.648206870928188</v>
      </c>
      <c r="AI892" s="100">
        <f t="shared" si="419"/>
        <v>0</v>
      </c>
    </row>
    <row r="893" spans="17:35">
      <c r="Q893" s="45">
        <f t="shared" si="421"/>
        <v>3.3101382348423853</v>
      </c>
      <c r="AB893" s="10">
        <f t="shared" si="420"/>
        <v>4.1117092570723642E-7</v>
      </c>
      <c r="AC893" s="10">
        <f t="shared" si="417"/>
        <v>-0.1009995888290743</v>
      </c>
      <c r="AD893" s="3">
        <f t="shared" si="418"/>
        <v>-14.648236233368282</v>
      </c>
      <c r="AI893" s="100">
        <f t="shared" si="419"/>
        <v>0</v>
      </c>
    </row>
    <row r="894" spans="17:35">
      <c r="Q894" s="45">
        <f t="shared" si="421"/>
        <v>3.3119047717252719</v>
      </c>
      <c r="AB894" s="10">
        <f t="shared" si="420"/>
        <v>2.7551280323087494E-7</v>
      </c>
      <c r="AC894" s="10">
        <f t="shared" si="417"/>
        <v>-0.10099972448719678</v>
      </c>
      <c r="AD894" s="3">
        <f t="shared" si="418"/>
        <v>-14.648255908222884</v>
      </c>
      <c r="AI894" s="100">
        <f t="shared" si="419"/>
        <v>0</v>
      </c>
    </row>
    <row r="895" spans="17:35">
      <c r="Q895" s="45">
        <f t="shared" si="421"/>
        <v>3.3136713086081584</v>
      </c>
      <c r="AB895" s="10">
        <f t="shared" si="420"/>
        <v>1.8461252972488288E-7</v>
      </c>
      <c r="AC895" s="10">
        <f t="shared" si="417"/>
        <v>-0.10099981538747028</v>
      </c>
      <c r="AD895" s="3">
        <f t="shared" si="418"/>
        <v>-14.64826909172883</v>
      </c>
      <c r="AI895" s="100">
        <f t="shared" si="419"/>
        <v>0</v>
      </c>
    </row>
    <row r="896" spans="17:35">
      <c r="Q896" s="45">
        <f t="shared" si="421"/>
        <v>3.3154378454910449</v>
      </c>
      <c r="AB896" s="10">
        <f t="shared" si="420"/>
        <v>1.2370309376461471E-7</v>
      </c>
      <c r="AC896" s="10">
        <f t="shared" si="417"/>
        <v>-0.10099987629690624</v>
      </c>
      <c r="AD896" s="3">
        <f t="shared" si="418"/>
        <v>-14.648277925584662</v>
      </c>
      <c r="AI896" s="100">
        <f t="shared" si="419"/>
        <v>0</v>
      </c>
    </row>
    <row r="897" spans="15:35">
      <c r="Q897" s="45">
        <f t="shared" si="421"/>
        <v>3.3172043823739314</v>
      </c>
      <c r="AB897" s="10">
        <f t="shared" si="420"/>
        <v>8.2889581924593106E-8</v>
      </c>
      <c r="AC897" s="10">
        <f t="shared" si="417"/>
        <v>-0.10099991711041809</v>
      </c>
      <c r="AD897" s="3">
        <f t="shared" si="418"/>
        <v>-14.648283844875719</v>
      </c>
      <c r="AI897" s="100">
        <f t="shared" si="419"/>
        <v>0</v>
      </c>
    </row>
    <row r="898" spans="15:35">
      <c r="Q898" s="45">
        <f t="shared" si="421"/>
        <v>3.318970919256818</v>
      </c>
      <c r="AB898" s="10">
        <f t="shared" si="420"/>
        <v>5.5541721573330446E-8</v>
      </c>
      <c r="AC898" s="10">
        <f t="shared" si="417"/>
        <v>-0.10099994445827844</v>
      </c>
      <c r="AD898" s="3">
        <f t="shared" si="418"/>
        <v>-14.648287811207895</v>
      </c>
      <c r="AI898" s="100">
        <f t="shared" si="419"/>
        <v>0</v>
      </c>
    </row>
    <row r="899" spans="15:35">
      <c r="Q899" s="45">
        <f t="shared" si="421"/>
        <v>3.3207374561397045</v>
      </c>
      <c r="AB899" s="10">
        <f t="shared" si="420"/>
        <v>3.7216773974511941E-8</v>
      </c>
      <c r="AC899" s="10">
        <f t="shared" si="417"/>
        <v>-0.10099996278322604</v>
      </c>
      <c r="AD899" s="3">
        <f t="shared" si="418"/>
        <v>-14.648290468923284</v>
      </c>
      <c r="AI899" s="100">
        <f t="shared" si="419"/>
        <v>0</v>
      </c>
    </row>
    <row r="900" spans="15:35">
      <c r="Q900" s="45">
        <f t="shared" si="421"/>
        <v>3.322503993022591</v>
      </c>
      <c r="AB900" s="10">
        <f t="shared" si="420"/>
        <v>2.493779857437812E-8</v>
      </c>
      <c r="AC900" s="10">
        <f t="shared" si="417"/>
        <v>-0.10099997506220143</v>
      </c>
      <c r="AD900" s="3">
        <f t="shared" si="418"/>
        <v>-14.648292249775405</v>
      </c>
      <c r="AI900" s="100">
        <f t="shared" si="419"/>
        <v>0</v>
      </c>
    </row>
    <row r="901" spans="15:35">
      <c r="Q901" s="45">
        <f t="shared" si="421"/>
        <v>3.3242705299054776</v>
      </c>
      <c r="AB901" s="10">
        <f t="shared" si="420"/>
        <v>1.6710040428602461E-8</v>
      </c>
      <c r="AC901" s="10">
        <f t="shared" si="417"/>
        <v>-0.10099998328995957</v>
      </c>
      <c r="AD901" s="3">
        <f t="shared" si="418"/>
        <v>-14.648293443068829</v>
      </c>
      <c r="AI901" s="100">
        <f t="shared" si="419"/>
        <v>0</v>
      </c>
    </row>
    <row r="902" spans="15:35">
      <c r="Q902" s="45">
        <f t="shared" si="421"/>
        <v>3.3260370667883641</v>
      </c>
      <c r="AB902" s="10">
        <f t="shared" si="420"/>
        <v>1.1196876512284217E-8</v>
      </c>
      <c r="AC902" s="10">
        <f t="shared" si="417"/>
        <v>-0.1009999888031235</v>
      </c>
      <c r="AD902" s="3">
        <f t="shared" si="418"/>
        <v>-14.648294242657506</v>
      </c>
      <c r="AI902" s="100">
        <f t="shared" si="419"/>
        <v>0</v>
      </c>
    </row>
    <row r="903" spans="15:35">
      <c r="Q903" s="45">
        <f t="shared" si="421"/>
        <v>3.3278036036712506</v>
      </c>
      <c r="AB903" s="10">
        <f t="shared" si="420"/>
        <v>7.5026774571261444E-9</v>
      </c>
      <c r="AC903" s="10">
        <f t="shared" si="417"/>
        <v>-0.10099999249732255</v>
      </c>
      <c r="AD903" s="3">
        <f t="shared" si="418"/>
        <v>-14.648294778436918</v>
      </c>
      <c r="AI903" s="100">
        <f t="shared" si="419"/>
        <v>0</v>
      </c>
    </row>
    <row r="904" spans="15:35">
      <c r="Q904" s="45">
        <f t="shared" si="421"/>
        <v>3.3295701405541371</v>
      </c>
      <c r="AB904" s="10">
        <f t="shared" si="420"/>
        <v>5.027309979163588E-9</v>
      </c>
      <c r="AC904" s="10">
        <f t="shared" si="417"/>
        <v>-0.10099999497269002</v>
      </c>
      <c r="AD904" s="3">
        <f t="shared" si="418"/>
        <v>-14.648295137445979</v>
      </c>
      <c r="AI904" s="100">
        <f t="shared" si="419"/>
        <v>0</v>
      </c>
    </row>
    <row r="905" spans="15:35">
      <c r="Q905" s="45">
        <f t="shared" si="421"/>
        <v>3.3313366774370237</v>
      </c>
      <c r="AB905" s="10">
        <f t="shared" si="420"/>
        <v>3.3686434970748151E-9</v>
      </c>
      <c r="AC905" s="10">
        <f t="shared" si="417"/>
        <v>-0.1009999966313565</v>
      </c>
      <c r="AD905" s="3">
        <f t="shared" si="418"/>
        <v>-14.648295378006745</v>
      </c>
      <c r="AI905" s="100">
        <f t="shared" si="419"/>
        <v>0</v>
      </c>
    </row>
    <row r="906" spans="15:35">
      <c r="Q906" s="45">
        <f t="shared" si="421"/>
        <v>3.3331032143199102</v>
      </c>
      <c r="AB906" s="10">
        <f t="shared" si="420"/>
        <v>2.2572228602208383E-9</v>
      </c>
      <c r="AC906" s="10">
        <f t="shared" si="417"/>
        <v>-0.10099999774277714</v>
      </c>
      <c r="AD906" s="3">
        <f t="shared" si="418"/>
        <v>-14.648295539199005</v>
      </c>
      <c r="AI906" s="100">
        <f t="shared" si="419"/>
        <v>0</v>
      </c>
    </row>
    <row r="907" spans="15:35">
      <c r="Q907" s="45">
        <f t="shared" si="421"/>
        <v>3.3348697512027967</v>
      </c>
      <c r="Z907" s="2" t="s">
        <v>151</v>
      </c>
      <c r="AA907">
        <v>0.02</v>
      </c>
      <c r="AB907" s="10">
        <f t="shared" si="420"/>
        <v>1.5124945827980575E-9</v>
      </c>
      <c r="AC907" s="10">
        <f t="shared" si="417"/>
        <v>-0.10099999848750542</v>
      </c>
      <c r="AD907" s="3">
        <f t="shared" si="418"/>
        <v>-14.648295647208908</v>
      </c>
      <c r="AI907" s="100">
        <f t="shared" si="419"/>
        <v>0</v>
      </c>
    </row>
    <row r="908" spans="15:35">
      <c r="Q908" s="45">
        <f t="shared" si="421"/>
        <v>3.3366362880856832</v>
      </c>
      <c r="Z908" s="2" t="s">
        <v>152</v>
      </c>
      <c r="AA908">
        <f>pmaxperc/100*pmax+patm</f>
        <v>0.10244694335501503</v>
      </c>
      <c r="AB908" s="10">
        <f t="shared" si="420"/>
        <v>1.0134754096764902E-9</v>
      </c>
      <c r="AC908" s="10">
        <f t="shared" si="417"/>
        <v>-0.10099999898652459</v>
      </c>
      <c r="AD908" s="3">
        <f t="shared" si="418"/>
        <v>-14.648295719582972</v>
      </c>
      <c r="AI908" s="100">
        <f t="shared" si="419"/>
        <v>0</v>
      </c>
    </row>
    <row r="909" spans="15:35">
      <c r="O909" t="s">
        <v>155</v>
      </c>
      <c r="P909">
        <f>tbinc</f>
        <v>1.7665368828865783E-3</v>
      </c>
      <c r="Q909" s="45">
        <f t="shared" si="421"/>
        <v>3.3384028249685698</v>
      </c>
      <c r="Z909" s="7" t="s">
        <v>154</v>
      </c>
      <c r="AA909" s="10">
        <f>AA908-pfinal+0.101</f>
        <v>0.20344694267591679</v>
      </c>
      <c r="AB909" s="10">
        <f t="shared" si="420"/>
        <v>6.7909823790494587E-10</v>
      </c>
      <c r="AC909" s="10">
        <f t="shared" si="417"/>
        <v>-0.10099999932090177</v>
      </c>
      <c r="AD909" s="3">
        <f t="shared" si="418"/>
        <v>-14.648295768078574</v>
      </c>
      <c r="AI909" s="100">
        <f t="shared" si="419"/>
        <v>0</v>
      </c>
    </row>
    <row r="910" spans="15:35">
      <c r="Q910" s="45">
        <f t="shared" si="421"/>
        <v>3.3401693618514563</v>
      </c>
      <c r="AC910" s="60">
        <v>0</v>
      </c>
      <c r="AD910" s="60">
        <v>0</v>
      </c>
    </row>
  </sheetData>
  <sheetProtection password="C7BC" sheet="1"/>
  <customSheetViews>
    <customSheetView guid="{136183A0-5E83-4B15-A2A6-F3C23DCC406A}" showGridLines="0" printArea="1">
      <selection activeCell="G53" sqref="G53"/>
      <pageMargins left="0.57999999999999996" right="0.36" top="1" bottom="1" header="0.5" footer="0.5"/>
      <pageSetup orientation="landscape" r:id="rId1"/>
      <headerFooter alignWithMargins="0"/>
    </customSheetView>
  </customSheetViews>
  <phoneticPr fontId="0" type="noConversion"/>
  <pageMargins left="0.57999999999999996" right="0.36" top="1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Macro2">
                <anchor moveWithCells="1" sizeWithCells="1">
                  <from>
                    <xdr:col>4</xdr:col>
                    <xdr:colOff>200025</xdr:colOff>
                    <xdr:row>21</xdr:row>
                    <xdr:rowOff>19050</xdr:rowOff>
                  </from>
                  <to>
                    <xdr:col>5</xdr:col>
                    <xdr:colOff>590550</xdr:colOff>
                    <xdr:row>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6" name="Button 2">
              <controlPr defaultSize="0" print="0" autoFill="0" autoPict="0" macro="[0]!Macro3">
                <anchor moveWithCells="1" sizeWithCells="1">
                  <from>
                    <xdr:col>7</xdr:col>
                    <xdr:colOff>295275</xdr:colOff>
                    <xdr:row>21</xdr:row>
                    <xdr:rowOff>38100</xdr:rowOff>
                  </from>
                  <to>
                    <xdr:col>8</xdr:col>
                    <xdr:colOff>600075</xdr:colOff>
                    <xdr:row>23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FF00"/>
    <pageSetUpPr autoPageBreaks="0"/>
  </sheetPr>
  <dimension ref="B1:Q911"/>
  <sheetViews>
    <sheetView showGridLines="0" workbookViewId="0">
      <selection activeCell="T15" sqref="T15"/>
    </sheetView>
  </sheetViews>
  <sheetFormatPr defaultRowHeight="12.75"/>
  <cols>
    <col min="1" max="1" width="4.7109375" customWidth="1"/>
    <col min="3" max="3" width="10.140625" bestFit="1" customWidth="1"/>
    <col min="4" max="4" width="9.7109375" customWidth="1"/>
    <col min="5" max="5" width="9.85546875" customWidth="1"/>
    <col min="6" max="6" width="11.42578125" bestFit="1" customWidth="1"/>
  </cols>
  <sheetData>
    <row r="1" spans="2:5">
      <c r="B1" s="82" t="s">
        <v>183</v>
      </c>
    </row>
    <row r="3" spans="2:5">
      <c r="B3" s="2" t="s">
        <v>110</v>
      </c>
      <c r="C3">
        <f>k</f>
        <v>1.133</v>
      </c>
      <c r="D3" s="58"/>
      <c r="E3" t="s">
        <v>314</v>
      </c>
    </row>
    <row r="4" spans="2:5">
      <c r="B4" s="7" t="s">
        <v>177</v>
      </c>
      <c r="C4" s="91">
        <v>0.85</v>
      </c>
      <c r="D4" s="1" t="str">
        <f>IF(etanoz&gt;1,"Invalid","")</f>
        <v/>
      </c>
      <c r="E4" t="s">
        <v>178</v>
      </c>
    </row>
    <row r="5" spans="2:5">
      <c r="B5" s="2" t="s">
        <v>55</v>
      </c>
      <c r="C5" s="91">
        <v>8</v>
      </c>
      <c r="D5" s="58"/>
      <c r="E5" t="s">
        <v>283</v>
      </c>
    </row>
    <row r="6" spans="2:5">
      <c r="B6" s="2" t="s">
        <v>126</v>
      </c>
      <c r="C6" s="8">
        <f>patm</f>
        <v>0.10100000000000001</v>
      </c>
      <c r="D6" s="58" t="s">
        <v>127</v>
      </c>
      <c r="E6" t="s">
        <v>128</v>
      </c>
    </row>
    <row r="7" spans="2:5" ht="14.25">
      <c r="B7" s="2" t="s">
        <v>287</v>
      </c>
      <c r="C7" s="3">
        <f>at</f>
        <v>148.0155219248214</v>
      </c>
      <c r="D7" s="58" t="s">
        <v>15</v>
      </c>
      <c r="E7" t="s">
        <v>37</v>
      </c>
    </row>
    <row r="8" spans="2:5" ht="14.25">
      <c r="B8" s="2" t="s">
        <v>165</v>
      </c>
      <c r="C8" s="3">
        <f>exprat*at</f>
        <v>1184.1241753985712</v>
      </c>
      <c r="D8" s="58" t="s">
        <v>15</v>
      </c>
      <c r="E8" t="s">
        <v>166</v>
      </c>
    </row>
    <row r="9" spans="2:5">
      <c r="B9" s="2" t="s">
        <v>286</v>
      </c>
      <c r="C9" s="89">
        <v>2.9545467240956045</v>
      </c>
      <c r="D9" s="336">
        <f>exprat-1/me*((1+(k-1)/2*me^2)/(1+(k-1)/2))^((k+1)/2/(k-1))</f>
        <v>6.7815725600159915E-2</v>
      </c>
      <c r="E9" t="s">
        <v>284</v>
      </c>
    </row>
    <row r="10" spans="2:5">
      <c r="B10" s="2" t="s">
        <v>288</v>
      </c>
      <c r="C10" s="89">
        <v>2.954546724095604</v>
      </c>
      <c r="D10" s="336">
        <f>expratfinal-1/mef*((1+(k-1)/2*mef^2)/(1+(k-1)/2))^((k+1)/2/(k-1))</f>
        <v>6.7815725600169685E-2</v>
      </c>
      <c r="E10" t="s">
        <v>285</v>
      </c>
    </row>
    <row r="11" spans="2:5">
      <c r="B11" s="2" t="s">
        <v>203</v>
      </c>
      <c r="C11" s="40">
        <f>SQRT(4*aexit/PI())</f>
        <v>38.828774459083519</v>
      </c>
      <c r="D11" s="58" t="s">
        <v>36</v>
      </c>
      <c r="E11" t="s">
        <v>204</v>
      </c>
    </row>
    <row r="12" spans="2:5">
      <c r="B12" s="2" t="s">
        <v>167</v>
      </c>
      <c r="C12" s="10" t="e">
        <f>MAX(H28:H909)</f>
        <v>#DIV/0!</v>
      </c>
      <c r="D12" s="58"/>
      <c r="E12" t="s">
        <v>170</v>
      </c>
    </row>
    <row r="13" spans="2:5">
      <c r="B13" s="2" t="s">
        <v>167</v>
      </c>
      <c r="C13" s="10" t="e">
        <f>AVERAGE(H28:H909)</f>
        <v>#DIV/0!</v>
      </c>
      <c r="D13" s="58"/>
      <c r="E13" t="s">
        <v>188</v>
      </c>
    </row>
    <row r="14" spans="2:5">
      <c r="B14" s="2" t="s">
        <v>291</v>
      </c>
      <c r="C14" s="10">
        <f>2*ravg*tbout/do</f>
        <v>1.1026273723244737</v>
      </c>
      <c r="E14" t="s">
        <v>290</v>
      </c>
    </row>
    <row r="15" spans="2:5">
      <c r="B15" s="2" t="s">
        <v>171</v>
      </c>
      <c r="C15" s="10" t="e">
        <f>MAX(I28:I910)</f>
        <v>#NUM!</v>
      </c>
      <c r="D15" s="58"/>
      <c r="E15" t="s">
        <v>172</v>
      </c>
    </row>
    <row r="16" spans="2:5">
      <c r="B16" s="77" t="s">
        <v>194</v>
      </c>
      <c r="C16" s="68" t="e">
        <f>MAX(J28:J910)</f>
        <v>#NUM!</v>
      </c>
      <c r="D16" s="78" t="s">
        <v>168</v>
      </c>
      <c r="E16" t="s">
        <v>175</v>
      </c>
    </row>
    <row r="17" spans="2:17" ht="13.5">
      <c r="B17" s="79" t="s">
        <v>195</v>
      </c>
      <c r="C17" s="68" t="e">
        <f>itsum</f>
        <v>#NUM!</v>
      </c>
      <c r="D17" s="80" t="s">
        <v>174</v>
      </c>
      <c r="E17" t="s">
        <v>176</v>
      </c>
    </row>
    <row r="18" spans="2:17" ht="13.5">
      <c r="B18" s="79" t="s">
        <v>196</v>
      </c>
      <c r="C18" s="69" t="e">
        <f>itsum/9.806/mgrain</f>
        <v>#NUM!</v>
      </c>
      <c r="D18" s="80" t="s">
        <v>169</v>
      </c>
      <c r="E18" t="s">
        <v>180</v>
      </c>
      <c r="H18" s="39"/>
    </row>
    <row r="19" spans="2:17" ht="13.5">
      <c r="B19" s="77" t="s">
        <v>181</v>
      </c>
      <c r="C19" s="97" t="e">
        <f>VLOOKUP(itsum,motorclass,2)</f>
        <v>#NUM!</v>
      </c>
      <c r="D19" s="80"/>
      <c r="E19" t="s">
        <v>182</v>
      </c>
      <c r="H19" s="39"/>
    </row>
    <row r="20" spans="2:17">
      <c r="H20" s="39"/>
    </row>
    <row r="21" spans="2:17">
      <c r="J21" s="142" t="s">
        <v>185</v>
      </c>
      <c r="K21" s="143" t="e">
        <f>fmax</f>
        <v>#NUM!</v>
      </c>
      <c r="L21" s="144" t="s">
        <v>168</v>
      </c>
      <c r="O21" s="142" t="s">
        <v>185</v>
      </c>
      <c r="P21" s="143" t="e">
        <f>fmax/4.4482</f>
        <v>#NUM!</v>
      </c>
      <c r="Q21" s="144" t="s">
        <v>187</v>
      </c>
    </row>
    <row r="22" spans="2:17">
      <c r="G22" s="119">
        <f>D9</f>
        <v>6.7815725600159915E-2</v>
      </c>
      <c r="J22" s="145" t="s">
        <v>186</v>
      </c>
      <c r="K22" s="146" t="e">
        <f>itot/tthr</f>
        <v>#NUM!</v>
      </c>
      <c r="L22" s="147" t="s">
        <v>168</v>
      </c>
      <c r="O22" s="145" t="s">
        <v>186</v>
      </c>
      <c r="P22" s="146" t="e">
        <f>itot/tthr/4.4482</f>
        <v>#NUM!</v>
      </c>
      <c r="Q22" s="147" t="s">
        <v>187</v>
      </c>
    </row>
    <row r="23" spans="2:17">
      <c r="J23" s="148" t="s">
        <v>158</v>
      </c>
      <c r="K23" s="149">
        <f>tthr</f>
        <v>3.3384028249685698</v>
      </c>
      <c r="L23" s="150" t="s">
        <v>169</v>
      </c>
      <c r="O23" s="148" t="s">
        <v>158</v>
      </c>
      <c r="P23" s="149">
        <f>tthr</f>
        <v>3.3384028249685698</v>
      </c>
      <c r="Q23" s="150" t="s">
        <v>169</v>
      </c>
    </row>
    <row r="25" spans="2:17" ht="13.5">
      <c r="C25" s="13" t="str">
        <f>Pressure!AB25</f>
        <v>Po</v>
      </c>
      <c r="D25" s="13" t="s">
        <v>96</v>
      </c>
      <c r="E25" s="13" t="s">
        <v>98</v>
      </c>
      <c r="F25" s="13" t="s">
        <v>282</v>
      </c>
      <c r="G25" s="13" t="s">
        <v>163</v>
      </c>
      <c r="H25" s="13" t="s">
        <v>167</v>
      </c>
      <c r="I25" s="13" t="s">
        <v>179</v>
      </c>
      <c r="J25" s="13" t="s">
        <v>68</v>
      </c>
      <c r="K25" s="13" t="s">
        <v>68</v>
      </c>
      <c r="L25" s="13" t="s">
        <v>90</v>
      </c>
      <c r="M25" s="72" t="s">
        <v>173</v>
      </c>
      <c r="N25" s="13" t="s">
        <v>289</v>
      </c>
    </row>
    <row r="26" spans="2:17" ht="15" thickBot="1">
      <c r="C26" s="15" t="s">
        <v>164</v>
      </c>
      <c r="D26" s="15" t="s">
        <v>97</v>
      </c>
      <c r="E26" s="15" t="s">
        <v>15</v>
      </c>
      <c r="F26" s="15"/>
      <c r="G26" s="15" t="s">
        <v>164</v>
      </c>
      <c r="H26" s="15"/>
      <c r="I26" s="15"/>
      <c r="J26" s="15" t="s">
        <v>168</v>
      </c>
      <c r="K26" s="15" t="s">
        <v>184</v>
      </c>
      <c r="L26" s="15" t="s">
        <v>169</v>
      </c>
      <c r="M26" s="15" t="s">
        <v>174</v>
      </c>
      <c r="N26" s="15"/>
    </row>
    <row r="27" spans="2:17">
      <c r="C27" s="43"/>
      <c r="D27" s="43"/>
      <c r="G27" s="43"/>
      <c r="H27" s="43"/>
      <c r="I27" s="43"/>
      <c r="J27" s="41"/>
      <c r="K27" s="43"/>
      <c r="L27" s="43"/>
      <c r="M27" s="43"/>
    </row>
    <row r="28" spans="2:17">
      <c r="C28" s="4">
        <f>Pressure!AB28*1000000</f>
        <v>101000</v>
      </c>
      <c r="D28" s="84">
        <f>Pressure!I28</f>
        <v>1.4801552192482141E-4</v>
      </c>
      <c r="E28" s="40">
        <f>Pressure!H28</f>
        <v>148.0155219248214</v>
      </c>
      <c r="F28" s="10">
        <f>aexit/E28</f>
        <v>8</v>
      </c>
      <c r="G28" s="4">
        <f t="shared" ref="G28:G91" si="0">IF(C28/(1+(k-1)/2*N28^2)^(k/(k-1))&lt;patm*1000000,patm*1000000,C28/(1+(k-1)/2*N28^2)^(k/(k-1)))</f>
        <v>101000</v>
      </c>
      <c r="H28" s="45">
        <v>1</v>
      </c>
      <c r="I28" s="10">
        <f>etanoz</f>
        <v>0.85</v>
      </c>
      <c r="J28" s="4">
        <v>0</v>
      </c>
      <c r="K28">
        <f>J28/4.4482</f>
        <v>0</v>
      </c>
      <c r="L28" s="45">
        <f>Pressure!Q28</f>
        <v>0</v>
      </c>
      <c r="M28" s="10">
        <v>0</v>
      </c>
      <c r="N28" s="10">
        <f>me</f>
        <v>2.9545467240956045</v>
      </c>
    </row>
    <row r="29" spans="2:17">
      <c r="C29" s="4">
        <f>Pressure!AB29*1000000</f>
        <v>7335716.7750751246</v>
      </c>
      <c r="D29" s="84">
        <f>Pressure!I29</f>
        <v>1.4801552192482141E-4</v>
      </c>
      <c r="E29" s="40">
        <f>Pressure!H29</f>
        <v>148.0155219248214</v>
      </c>
      <c r="F29" s="10">
        <f t="shared" ref="F29:F92" si="1">aexit/E29</f>
        <v>8</v>
      </c>
      <c r="G29" s="4">
        <f t="shared" si="0"/>
        <v>148576.10848721786</v>
      </c>
      <c r="H29" s="45">
        <f t="shared" ref="H29:H92" si="2">1/(((k+1)/2)^(1/(k-1))*(patm*1000000/C29)^(1/k)*SQRT((k+1)/(k-1)*(1-(patm*1000000/C29)^((k-1)/k))))</f>
        <v>10.749158165753377</v>
      </c>
      <c r="I29" s="10">
        <f t="shared" ref="I29:I92" si="3">etanoz*SQRT(2*k^2/(k-1)*(2/(k+1))^((k+1)/(k-1))*(1-(G29/C29)^((k-1)/k)))+(G29-patm*1000000)/C29*(aexit/E29)</f>
        <v>1.402493780562724</v>
      </c>
      <c r="J29" s="4">
        <f t="shared" ref="J29:J92" si="4">I29*D29*C29</f>
        <v>1522.8276728208002</v>
      </c>
      <c r="K29" s="4">
        <f t="shared" ref="K29:K92" si="5">J29/4.4482</f>
        <v>342.34694321766113</v>
      </c>
      <c r="L29" s="45">
        <f>Pressure!Q29</f>
        <v>7.3899494585141431E-3</v>
      </c>
      <c r="M29" s="10">
        <f t="shared" ref="M29:M39" si="6">(J29+J28)/2*(L29-L28)</f>
        <v>5.626809768086213</v>
      </c>
      <c r="N29" s="10">
        <f>N28-1/834*(me-mef)</f>
        <v>2.9545467240956045</v>
      </c>
    </row>
    <row r="30" spans="2:17">
      <c r="C30" s="4">
        <f>Pressure!AB30*1000000</f>
        <v>101000</v>
      </c>
      <c r="D30" s="84">
        <f>Pressure!I30</f>
        <v>1.4801552192482141E-4</v>
      </c>
      <c r="E30" s="40">
        <f>Pressure!H30</f>
        <v>148.0155219248214</v>
      </c>
      <c r="F30" s="10">
        <f t="shared" si="1"/>
        <v>8</v>
      </c>
      <c r="G30" s="4">
        <f t="shared" si="0"/>
        <v>101000</v>
      </c>
      <c r="H30" s="45" t="e">
        <f t="shared" si="2"/>
        <v>#DIV/0!</v>
      </c>
      <c r="I30" s="10">
        <f t="shared" si="3"/>
        <v>0</v>
      </c>
      <c r="J30" s="4">
        <f t="shared" si="4"/>
        <v>0</v>
      </c>
      <c r="K30" s="4">
        <f t="shared" si="5"/>
        <v>0</v>
      </c>
      <c r="L30" s="45">
        <f>Pressure!Q30</f>
        <v>9.2733548584941847E-3</v>
      </c>
      <c r="M30" s="10">
        <f t="shared" si="6"/>
        <v>1.4340509311148675</v>
      </c>
      <c r="N30" s="10">
        <f t="shared" ref="N30:N93" si="7">N29-1/834*(me-mef)</f>
        <v>2.9545467240956045</v>
      </c>
    </row>
    <row r="31" spans="2:17">
      <c r="C31" s="4">
        <f>Pressure!AB31*1000000</f>
        <v>7170719.0015275944</v>
      </c>
      <c r="D31" s="84">
        <f>Pressure!I31</f>
        <v>1.4801552192482141E-4</v>
      </c>
      <c r="E31" s="40">
        <f>Pressure!H31</f>
        <v>148.0155219248214</v>
      </c>
      <c r="F31" s="10">
        <f t="shared" si="1"/>
        <v>8</v>
      </c>
      <c r="G31" s="4">
        <f t="shared" si="0"/>
        <v>145234.27729956323</v>
      </c>
      <c r="H31" s="45">
        <f t="shared" si="2"/>
        <v>10.557093815866345</v>
      </c>
      <c r="I31" s="10">
        <f t="shared" si="3"/>
        <v>1.3999593278931506</v>
      </c>
      <c r="J31" s="4">
        <f t="shared" si="4"/>
        <v>1485.8856333544215</v>
      </c>
      <c r="K31" s="4">
        <f t="shared" si="5"/>
        <v>334.04200201304383</v>
      </c>
      <c r="L31" s="45">
        <f>Pressure!Q31</f>
        <v>1.6663304317008326E-2</v>
      </c>
      <c r="M31" s="10">
        <f t="shared" si="6"/>
        <v>5.4903098658107243</v>
      </c>
      <c r="N31" s="10">
        <f t="shared" si="7"/>
        <v>2.9545467240956045</v>
      </c>
    </row>
    <row r="32" spans="2:17">
      <c r="C32" s="4">
        <f>Pressure!AB32*1000000</f>
        <v>101000</v>
      </c>
      <c r="D32" s="84">
        <f>Pressure!I32</f>
        <v>1.4801552192482141E-4</v>
      </c>
      <c r="E32" s="40">
        <f>Pressure!H32</f>
        <v>148.0155219248214</v>
      </c>
      <c r="F32" s="10">
        <f t="shared" si="1"/>
        <v>8</v>
      </c>
      <c r="G32" s="4">
        <f t="shared" si="0"/>
        <v>101000</v>
      </c>
      <c r="H32" s="45" t="e">
        <f t="shared" si="2"/>
        <v>#DIV/0!</v>
      </c>
      <c r="I32" s="10">
        <f t="shared" si="3"/>
        <v>0</v>
      </c>
      <c r="J32" s="4">
        <f t="shared" si="4"/>
        <v>0</v>
      </c>
      <c r="K32" s="4">
        <f t="shared" si="5"/>
        <v>0</v>
      </c>
      <c r="L32" s="45">
        <f>Pressure!Q32</f>
        <v>1.8560427292921143E-2</v>
      </c>
      <c r="M32" s="10">
        <f t="shared" si="6"/>
        <v>1.4094538873077205</v>
      </c>
      <c r="N32" s="10">
        <f t="shared" si="7"/>
        <v>2.9545467240956045</v>
      </c>
    </row>
    <row r="33" spans="3:14">
      <c r="C33" s="4">
        <f>Pressure!AB33*1000000</f>
        <v>7013176.1755126733</v>
      </c>
      <c r="D33" s="84">
        <f>Pressure!I33</f>
        <v>1.4801552192482141E-4</v>
      </c>
      <c r="E33" s="40">
        <f>Pressure!H33</f>
        <v>148.0155219248214</v>
      </c>
      <c r="F33" s="10">
        <f t="shared" si="1"/>
        <v>8</v>
      </c>
      <c r="G33" s="4">
        <f t="shared" si="0"/>
        <v>142043.43709579378</v>
      </c>
      <c r="H33" s="45">
        <f t="shared" si="2"/>
        <v>10.372989498487742</v>
      </c>
      <c r="I33" s="10">
        <f t="shared" si="3"/>
        <v>1.39742809247077</v>
      </c>
      <c r="J33" s="4">
        <f t="shared" si="4"/>
        <v>1450.6127131740077</v>
      </c>
      <c r="K33" s="4">
        <f t="shared" si="5"/>
        <v>326.1122955743914</v>
      </c>
      <c r="L33" s="45">
        <f>Pressure!Q33</f>
        <v>2.5950376751435286E-2</v>
      </c>
      <c r="M33" s="10">
        <f t="shared" si="6"/>
        <v>5.3599773171169955</v>
      </c>
      <c r="N33" s="10">
        <f t="shared" si="7"/>
        <v>2.9545467240956045</v>
      </c>
    </row>
    <row r="34" spans="3:14">
      <c r="C34" s="4">
        <f>Pressure!AB34*1000000</f>
        <v>101000</v>
      </c>
      <c r="D34" s="84">
        <f>Pressure!I34</f>
        <v>1.4801552192482141E-4</v>
      </c>
      <c r="E34" s="40">
        <f>Pressure!H34</f>
        <v>148.0155219248214</v>
      </c>
      <c r="F34" s="10">
        <f t="shared" si="1"/>
        <v>8</v>
      </c>
      <c r="G34" s="4">
        <f t="shared" si="0"/>
        <v>101000</v>
      </c>
      <c r="H34" s="45" t="e">
        <f t="shared" si="2"/>
        <v>#DIV/0!</v>
      </c>
      <c r="I34" s="10">
        <f t="shared" si="3"/>
        <v>0</v>
      </c>
      <c r="J34" s="4">
        <f t="shared" si="4"/>
        <v>0</v>
      </c>
      <c r="K34" s="4">
        <f t="shared" si="5"/>
        <v>0</v>
      </c>
      <c r="L34" s="45">
        <f>Pressure!Q34</f>
        <v>2.7860991744952109E-2</v>
      </c>
      <c r="M34" s="10">
        <f t="shared" si="6"/>
        <v>1.3857811997881884</v>
      </c>
      <c r="N34" s="10">
        <f t="shared" si="7"/>
        <v>2.9545467240956045</v>
      </c>
    </row>
    <row r="35" spans="3:14">
      <c r="C35" s="4">
        <f>Pressure!AB35*1000000</f>
        <v>6862588.3702378133</v>
      </c>
      <c r="D35" s="84">
        <f>Pressure!I35</f>
        <v>1.4801552192482141E-4</v>
      </c>
      <c r="E35" s="40">
        <f>Pressure!H35</f>
        <v>148.0155219248214</v>
      </c>
      <c r="F35" s="10">
        <f t="shared" si="1"/>
        <v>8</v>
      </c>
      <c r="G35" s="4">
        <f t="shared" si="0"/>
        <v>138993.46246081468</v>
      </c>
      <c r="H35" s="45">
        <f t="shared" si="2"/>
        <v>10.196339168186361</v>
      </c>
      <c r="I35" s="10">
        <f t="shared" si="3"/>
        <v>1.3948999679218979</v>
      </c>
      <c r="J35" s="4">
        <f t="shared" si="4"/>
        <v>1416.8969815855651</v>
      </c>
      <c r="K35" s="4">
        <f t="shared" si="5"/>
        <v>318.53266075841128</v>
      </c>
      <c r="L35" s="45">
        <f>Pressure!Q35</f>
        <v>3.5250941203466252E-2</v>
      </c>
      <c r="M35" s="10">
        <f t="shared" si="6"/>
        <v>5.2353985409192854</v>
      </c>
      <c r="N35" s="10">
        <f t="shared" si="7"/>
        <v>2.9545467240956045</v>
      </c>
    </row>
    <row r="36" spans="3:14">
      <c r="C36" s="4">
        <f>Pressure!AB36*1000000</f>
        <v>101000</v>
      </c>
      <c r="D36" s="84">
        <f>Pressure!I36</f>
        <v>1.4801552192482141E-4</v>
      </c>
      <c r="E36" s="40">
        <f>Pressure!H36</f>
        <v>148.0155219248214</v>
      </c>
      <c r="F36" s="10">
        <f t="shared" si="1"/>
        <v>8</v>
      </c>
      <c r="G36" s="4">
        <f t="shared" si="0"/>
        <v>101000</v>
      </c>
      <c r="H36" s="45" t="e">
        <f t="shared" si="2"/>
        <v>#DIV/0!</v>
      </c>
      <c r="I36" s="10">
        <f t="shared" si="3"/>
        <v>0</v>
      </c>
      <c r="J36" s="4">
        <f t="shared" si="4"/>
        <v>0</v>
      </c>
      <c r="K36" s="4">
        <f t="shared" si="5"/>
        <v>0</v>
      </c>
      <c r="L36" s="45">
        <f>Pressure!Q36</f>
        <v>3.7174831615923755E-2</v>
      </c>
      <c r="M36" s="10">
        <f t="shared" si="6"/>
        <v>1.3629772591562221</v>
      </c>
      <c r="N36" s="10">
        <f t="shared" si="7"/>
        <v>2.9545467240956045</v>
      </c>
    </row>
    <row r="37" spans="3:14">
      <c r="C37" s="4">
        <f>Pressure!AB37*1000000</f>
        <v>6718499.4066362269</v>
      </c>
      <c r="D37" s="84">
        <f>Pressure!I37</f>
        <v>1.4801552192482141E-4</v>
      </c>
      <c r="E37" s="40">
        <f>Pressure!H37</f>
        <v>148.0155219248214</v>
      </c>
      <c r="F37" s="10">
        <f t="shared" si="1"/>
        <v>8</v>
      </c>
      <c r="G37" s="4">
        <f t="shared" si="0"/>
        <v>136075.1140370288</v>
      </c>
      <c r="H37" s="45">
        <f t="shared" si="2"/>
        <v>10.026679354266893</v>
      </c>
      <c r="I37" s="10">
        <f t="shared" si="3"/>
        <v>1.3923748489477088</v>
      </c>
      <c r="J37" s="4">
        <f t="shared" si="4"/>
        <v>1384.636302755823</v>
      </c>
      <c r="K37" s="4">
        <f t="shared" si="5"/>
        <v>311.2801364047981</v>
      </c>
      <c r="L37" s="45">
        <f>Pressure!Q37</f>
        <v>4.4564781074437898E-2</v>
      </c>
      <c r="M37" s="10">
        <f t="shared" si="6"/>
        <v>5.1161961478947093</v>
      </c>
      <c r="N37" s="10">
        <f t="shared" si="7"/>
        <v>2.9545467240956045</v>
      </c>
    </row>
    <row r="38" spans="3:14">
      <c r="C38" s="4">
        <f>Pressure!AB38*1000000</f>
        <v>101000</v>
      </c>
      <c r="D38" s="84">
        <f>Pressure!I38</f>
        <v>1.4801552192482141E-4</v>
      </c>
      <c r="E38" s="40">
        <f>Pressure!H38</f>
        <v>148.0155219248214</v>
      </c>
      <c r="F38" s="10">
        <f t="shared" si="1"/>
        <v>8</v>
      </c>
      <c r="G38" s="4">
        <f t="shared" si="0"/>
        <v>101000</v>
      </c>
      <c r="H38" s="45" t="e">
        <f t="shared" si="2"/>
        <v>#DIV/0!</v>
      </c>
      <c r="I38" s="10">
        <f t="shared" si="3"/>
        <v>0</v>
      </c>
      <c r="J38" s="4">
        <f t="shared" si="4"/>
        <v>0</v>
      </c>
      <c r="K38" s="4">
        <f t="shared" si="5"/>
        <v>0</v>
      </c>
      <c r="L38" s="45">
        <f>Pressure!Q38</f>
        <v>4.6501738736726216E-2</v>
      </c>
      <c r="M38" s="10">
        <f t="shared" si="6"/>
        <v>1.3409909480527289</v>
      </c>
      <c r="N38" s="10">
        <f t="shared" si="7"/>
        <v>2.9545467240956045</v>
      </c>
    </row>
    <row r="39" spans="3:14">
      <c r="C39" s="4">
        <f>Pressure!AB39*1000000</f>
        <v>6580492.1699684253</v>
      </c>
      <c r="D39" s="84">
        <f>Pressure!I39</f>
        <v>1.4801552192482141E-4</v>
      </c>
      <c r="E39" s="40">
        <f>Pressure!H39</f>
        <v>148.0155219248214</v>
      </c>
      <c r="F39" s="10">
        <f t="shared" si="1"/>
        <v>8</v>
      </c>
      <c r="G39" s="4">
        <f t="shared" si="0"/>
        <v>133279.94366774114</v>
      </c>
      <c r="H39" s="45">
        <f t="shared" si="2"/>
        <v>9.8635847413751758</v>
      </c>
      <c r="I39" s="10">
        <f t="shared" si="3"/>
        <v>1.3898526312948185</v>
      </c>
      <c r="J39" s="4">
        <f t="shared" si="4"/>
        <v>1353.7372871266261</v>
      </c>
      <c r="K39" s="4">
        <f t="shared" si="5"/>
        <v>304.33372760366581</v>
      </c>
      <c r="L39" s="45">
        <f>Pressure!Q39</f>
        <v>5.3891688195240359E-2</v>
      </c>
      <c r="M39" s="10">
        <f t="shared" si="6"/>
        <v>5.002025065985908</v>
      </c>
      <c r="N39" s="10">
        <f t="shared" si="7"/>
        <v>2.9545467240956045</v>
      </c>
    </row>
    <row r="40" spans="3:14">
      <c r="C40" s="4">
        <f>Pressure!AB40*1000000</f>
        <v>101000</v>
      </c>
      <c r="D40" s="84">
        <f>Pressure!I40</f>
        <v>1.4801552192482141E-4</v>
      </c>
      <c r="E40" s="40">
        <f>Pressure!H40</f>
        <v>148.0155219248214</v>
      </c>
      <c r="F40" s="10">
        <f t="shared" si="1"/>
        <v>8</v>
      </c>
      <c r="G40" s="4">
        <f t="shared" si="0"/>
        <v>101000</v>
      </c>
      <c r="H40" s="45" t="e">
        <f t="shared" si="2"/>
        <v>#DIV/0!</v>
      </c>
      <c r="I40" s="10">
        <f t="shared" si="3"/>
        <v>0</v>
      </c>
      <c r="J40" s="4">
        <f t="shared" si="4"/>
        <v>0</v>
      </c>
      <c r="K40" s="4">
        <f t="shared" si="5"/>
        <v>0</v>
      </c>
      <c r="L40" s="45">
        <f>Pressure!Q40</f>
        <v>5.5841512879938889E-2</v>
      </c>
      <c r="M40" s="10">
        <f t="shared" ref="M40:M103" si="8">(J40+J39)/2*(L40-L39)</f>
        <v>1.3197751895181584</v>
      </c>
      <c r="N40" s="10">
        <f t="shared" si="7"/>
        <v>2.9545467240956045</v>
      </c>
    </row>
    <row r="41" spans="3:14">
      <c r="C41" s="4">
        <f>Pressure!AB41*1000000</f>
        <v>6448184.5154953944</v>
      </c>
      <c r="D41" s="84">
        <f>Pressure!I41</f>
        <v>1.4801552192482141E-4</v>
      </c>
      <c r="E41" s="40">
        <f>Pressure!H41</f>
        <v>148.0155219248214</v>
      </c>
      <c r="F41" s="10">
        <f t="shared" si="1"/>
        <v>8</v>
      </c>
      <c r="G41" s="4">
        <f t="shared" si="0"/>
        <v>130600.21147150011</v>
      </c>
      <c r="H41" s="45">
        <f t="shared" si="2"/>
        <v>9.7066642921286928</v>
      </c>
      <c r="I41" s="10">
        <f t="shared" si="3"/>
        <v>1.3873332117269155</v>
      </c>
      <c r="J41" s="4">
        <f t="shared" si="4"/>
        <v>1324.1143747190313</v>
      </c>
      <c r="K41" s="4">
        <f t="shared" si="5"/>
        <v>297.67419961310895</v>
      </c>
      <c r="L41" s="45">
        <f>Pressure!Q41</f>
        <v>6.3231462338453032E-2</v>
      </c>
      <c r="M41" s="10">
        <f t="shared" si="8"/>
        <v>4.8925691532328495</v>
      </c>
      <c r="N41" s="10">
        <f t="shared" si="7"/>
        <v>2.9545467240956045</v>
      </c>
    </row>
    <row r="42" spans="3:14">
      <c r="C42" s="4">
        <f>Pressure!AB42*1000000</f>
        <v>101000</v>
      </c>
      <c r="D42" s="84">
        <f>Pressure!I42</f>
        <v>1.4801552192482141E-4</v>
      </c>
      <c r="E42" s="40">
        <f>Pressure!H42</f>
        <v>148.0155219248214</v>
      </c>
      <c r="F42" s="10">
        <f t="shared" si="1"/>
        <v>8</v>
      </c>
      <c r="G42" s="4">
        <f t="shared" si="0"/>
        <v>101000</v>
      </c>
      <c r="H42" s="45" t="e">
        <f t="shared" si="2"/>
        <v>#DIV/0!</v>
      </c>
      <c r="I42" s="10">
        <f t="shared" si="3"/>
        <v>0</v>
      </c>
      <c r="J42" s="4">
        <f t="shared" si="4"/>
        <v>0</v>
      </c>
      <c r="K42" s="4">
        <f t="shared" si="5"/>
        <v>0</v>
      </c>
      <c r="L42" s="45">
        <f>Pressure!Q42</f>
        <v>6.5193961310017964E-2</v>
      </c>
      <c r="M42" s="10">
        <f t="shared" si="8"/>
        <v>1.2992865493102215</v>
      </c>
      <c r="N42" s="10">
        <f t="shared" si="7"/>
        <v>2.9545467240956045</v>
      </c>
    </row>
    <row r="43" spans="3:14">
      <c r="C43" s="4">
        <f>Pressure!AB43*1000000</f>
        <v>6321225.6785139367</v>
      </c>
      <c r="D43" s="84">
        <f>Pressure!I43</f>
        <v>1.4801552192482141E-4</v>
      </c>
      <c r="E43" s="40">
        <f>Pressure!H43</f>
        <v>148.0155219248214</v>
      </c>
      <c r="F43" s="10">
        <f t="shared" si="1"/>
        <v>8</v>
      </c>
      <c r="G43" s="4">
        <f t="shared" si="0"/>
        <v>128028.8131316869</v>
      </c>
      <c r="H43" s="45">
        <f t="shared" si="2"/>
        <v>9.5555578354538486</v>
      </c>
      <c r="I43" s="10">
        <f t="shared" si="3"/>
        <v>1.384816487996551</v>
      </c>
      <c r="J43" s="4">
        <f t="shared" si="4"/>
        <v>1295.6890313611498</v>
      </c>
      <c r="K43" s="4">
        <f t="shared" si="5"/>
        <v>291.28389716315581</v>
      </c>
      <c r="L43" s="45">
        <f>Pressure!Q43</f>
        <v>7.2583910768532101E-2</v>
      </c>
      <c r="M43" s="10">
        <f t="shared" si="8"/>
        <v>4.7875382278550171</v>
      </c>
      <c r="N43" s="10">
        <f t="shared" si="7"/>
        <v>2.9545467240956045</v>
      </c>
    </row>
    <row r="44" spans="3:14">
      <c r="C44" s="4">
        <f>Pressure!AB44*1000000</f>
        <v>101000</v>
      </c>
      <c r="D44" s="84">
        <f>Pressure!I44</f>
        <v>1.4801552192482141E-4</v>
      </c>
      <c r="E44" s="40">
        <f>Pressure!H44</f>
        <v>148.0155219248214</v>
      </c>
      <c r="F44" s="10">
        <f t="shared" si="1"/>
        <v>8</v>
      </c>
      <c r="G44" s="4">
        <f t="shared" si="0"/>
        <v>101000</v>
      </c>
      <c r="H44" s="45" t="e">
        <f t="shared" si="2"/>
        <v>#DIV/0!</v>
      </c>
      <c r="I44" s="10">
        <f t="shared" si="3"/>
        <v>0</v>
      </c>
      <c r="J44" s="4">
        <f t="shared" si="4"/>
        <v>0</v>
      </c>
      <c r="K44" s="4">
        <f t="shared" si="5"/>
        <v>0</v>
      </c>
      <c r="L44" s="45">
        <f>Pressure!Q44</f>
        <v>7.4558898367839369E-2</v>
      </c>
      <c r="M44" s="10">
        <f t="shared" si="8"/>
        <v>1.2794848847483584</v>
      </c>
      <c r="N44" s="10">
        <f t="shared" si="7"/>
        <v>2.9545467240956045</v>
      </c>
    </row>
    <row r="45" spans="3:14">
      <c r="C45" s="4">
        <f>Pressure!AB45*1000000</f>
        <v>6199293.1177619221</v>
      </c>
      <c r="D45" s="84">
        <f>Pressure!I45</f>
        <v>1.4801552192482141E-4</v>
      </c>
      <c r="E45" s="40">
        <f>Pressure!H45</f>
        <v>148.0155219248214</v>
      </c>
      <c r="F45" s="10">
        <f t="shared" si="1"/>
        <v>8</v>
      </c>
      <c r="G45" s="4">
        <f t="shared" si="0"/>
        <v>125559.2159634906</v>
      </c>
      <c r="H45" s="45">
        <f t="shared" si="2"/>
        <v>9.4099330564707628</v>
      </c>
      <c r="I45" s="10">
        <f t="shared" si="3"/>
        <v>1.3823023588178101</v>
      </c>
      <c r="J45" s="4">
        <f t="shared" si="4"/>
        <v>1268.3890419449899</v>
      </c>
      <c r="K45" s="4">
        <f t="shared" si="5"/>
        <v>285.14658557281371</v>
      </c>
      <c r="L45" s="45">
        <f>Pressure!Q45</f>
        <v>8.1948847826353505E-2</v>
      </c>
      <c r="M45" s="10">
        <f t="shared" si="8"/>
        <v>4.686665456853321</v>
      </c>
      <c r="N45" s="10">
        <f t="shared" si="7"/>
        <v>2.9545467240956045</v>
      </c>
    </row>
    <row r="46" spans="3:14">
      <c r="C46" s="4">
        <f>Pressure!AB46*1000000</f>
        <v>101000</v>
      </c>
      <c r="D46" s="84">
        <f>Pressure!I46</f>
        <v>1.4801552192482141E-4</v>
      </c>
      <c r="E46" s="40">
        <f>Pressure!H46</f>
        <v>148.0155219248214</v>
      </c>
      <c r="F46" s="10">
        <f t="shared" si="1"/>
        <v>8</v>
      </c>
      <c r="G46" s="4">
        <f t="shared" si="0"/>
        <v>101000</v>
      </c>
      <c r="H46" s="45" t="e">
        <f t="shared" si="2"/>
        <v>#DIV/0!</v>
      </c>
      <c r="I46" s="10">
        <f t="shared" si="3"/>
        <v>0</v>
      </c>
      <c r="J46" s="4">
        <f t="shared" si="4"/>
        <v>0</v>
      </c>
      <c r="K46" s="4">
        <f t="shared" si="5"/>
        <v>0</v>
      </c>
      <c r="L46" s="45">
        <f>Pressure!Q46</f>
        <v>8.3936145086324854E-2</v>
      </c>
      <c r="M46" s="10">
        <f t="shared" si="8"/>
        <v>1.2603330338174814</v>
      </c>
      <c r="N46" s="10">
        <f t="shared" si="7"/>
        <v>2.9545467240956045</v>
      </c>
    </row>
    <row r="47" spans="3:14">
      <c r="C47" s="4">
        <f>Pressure!AB47*1000000</f>
        <v>6082089.7323357565</v>
      </c>
      <c r="D47" s="84">
        <f>Pressure!I47</f>
        <v>1.4801552192482141E-4</v>
      </c>
      <c r="E47" s="40">
        <f>Pressure!H47</f>
        <v>148.0155219248214</v>
      </c>
      <c r="F47" s="10">
        <f t="shared" si="1"/>
        <v>8</v>
      </c>
      <c r="G47" s="4">
        <f t="shared" si="0"/>
        <v>123185.40254592325</v>
      </c>
      <c r="H47" s="45">
        <f t="shared" si="2"/>
        <v>9.2694828336263946</v>
      </c>
      <c r="I47" s="10">
        <f t="shared" si="3"/>
        <v>1.3797907238392471</v>
      </c>
      <c r="J47" s="4">
        <f t="shared" si="4"/>
        <v>1242.1478873105041</v>
      </c>
      <c r="K47" s="4">
        <f t="shared" si="5"/>
        <v>279.2473106673495</v>
      </c>
      <c r="L47" s="45">
        <f>Pressure!Q47</f>
        <v>9.1326094544839004E-2</v>
      </c>
      <c r="M47" s="10">
        <f t="shared" si="8"/>
        <v>4.5897050536123771</v>
      </c>
      <c r="N47" s="10">
        <f t="shared" si="7"/>
        <v>2.9545467240956045</v>
      </c>
    </row>
    <row r="48" spans="3:14">
      <c r="C48" s="4">
        <f>Pressure!AB48*1000000</f>
        <v>101000</v>
      </c>
      <c r="D48" s="84">
        <f>Pressure!I48</f>
        <v>1.4801552192482141E-4</v>
      </c>
      <c r="E48" s="40">
        <f>Pressure!H48</f>
        <v>148.0155219248214</v>
      </c>
      <c r="F48" s="10">
        <f t="shared" si="1"/>
        <v>8</v>
      </c>
      <c r="G48" s="4">
        <f t="shared" si="0"/>
        <v>101000</v>
      </c>
      <c r="H48" s="45" t="e">
        <f t="shared" si="2"/>
        <v>#DIV/0!</v>
      </c>
      <c r="I48" s="10">
        <f t="shared" si="3"/>
        <v>0</v>
      </c>
      <c r="J48" s="4">
        <f t="shared" si="4"/>
        <v>0</v>
      </c>
      <c r="K48" s="4">
        <f t="shared" si="5"/>
        <v>0</v>
      </c>
      <c r="L48" s="45">
        <f>Pressure!Q48</f>
        <v>9.3325528834252769E-2</v>
      </c>
      <c r="M48" s="10">
        <f t="shared" si="8"/>
        <v>1.2417965392057437</v>
      </c>
      <c r="N48" s="10">
        <f t="shared" si="7"/>
        <v>2.9545467240956045</v>
      </c>
    </row>
    <row r="49" spans="3:14">
      <c r="C49" s="4">
        <f>Pressure!AB49*1000000</f>
        <v>5969341.4015829274</v>
      </c>
      <c r="D49" s="84">
        <f>Pressure!I49</f>
        <v>1.4801552192482141E-4</v>
      </c>
      <c r="E49" s="40">
        <f>Pressure!H49</f>
        <v>148.0155219248214</v>
      </c>
      <c r="F49" s="10">
        <f t="shared" si="1"/>
        <v>8</v>
      </c>
      <c r="G49" s="4">
        <f t="shared" si="0"/>
        <v>120901.82089530623</v>
      </c>
      <c r="H49" s="45">
        <f t="shared" si="2"/>
        <v>9.1339228770958201</v>
      </c>
      <c r="I49" s="10">
        <f t="shared" si="3"/>
        <v>1.3772814836177245</v>
      </c>
      <c r="J49" s="4">
        <f t="shared" si="4"/>
        <v>1216.9041934418747</v>
      </c>
      <c r="K49" s="4">
        <f t="shared" si="5"/>
        <v>273.5722749520873</v>
      </c>
      <c r="L49" s="45">
        <f>Pressure!Q49</f>
        <v>0.10071547829276692</v>
      </c>
      <c r="M49" s="10">
        <f t="shared" si="8"/>
        <v>4.4964302426946903</v>
      </c>
      <c r="N49" s="10">
        <f t="shared" si="7"/>
        <v>2.9545467240956045</v>
      </c>
    </row>
    <row r="50" spans="3:14">
      <c r="C50" s="4">
        <f>Pressure!AB50*1000000</f>
        <v>101000</v>
      </c>
      <c r="D50" s="84">
        <f>Pressure!I50</f>
        <v>1.4801552192482141E-4</v>
      </c>
      <c r="E50" s="40">
        <f>Pressure!H50</f>
        <v>148.0155219248214</v>
      </c>
      <c r="F50" s="10">
        <f t="shared" si="1"/>
        <v>8</v>
      </c>
      <c r="G50" s="4">
        <f t="shared" si="0"/>
        <v>101000</v>
      </c>
      <c r="H50" s="45" t="e">
        <f t="shared" si="2"/>
        <v>#DIV/0!</v>
      </c>
      <c r="I50" s="10">
        <f t="shared" si="3"/>
        <v>0</v>
      </c>
      <c r="J50" s="4">
        <f t="shared" si="4"/>
        <v>0</v>
      </c>
      <c r="K50" s="4">
        <f t="shared" si="5"/>
        <v>0</v>
      </c>
      <c r="L50" s="45">
        <f>Pressure!Q50</f>
        <v>0.10272688298567398</v>
      </c>
      <c r="M50" s="10">
        <f t="shared" si="8"/>
        <v>1.2238434027536333</v>
      </c>
      <c r="N50" s="10">
        <f t="shared" si="7"/>
        <v>2.9545467240956045</v>
      </c>
    </row>
    <row r="51" spans="3:14">
      <c r="C51" s="4">
        <f>Pressure!AB51*1000000</f>
        <v>5860794.8050340526</v>
      </c>
      <c r="D51" s="84">
        <f>Pressure!I51</f>
        <v>1.4801552192482141E-4</v>
      </c>
      <c r="E51" s="40">
        <f>Pressure!H51</f>
        <v>148.0155219248214</v>
      </c>
      <c r="F51" s="10">
        <f t="shared" si="1"/>
        <v>8</v>
      </c>
      <c r="G51" s="4">
        <f t="shared" si="0"/>
        <v>118703.34031061943</v>
      </c>
      <c r="H51" s="45">
        <f t="shared" si="2"/>
        <v>9.0029896292400018</v>
      </c>
      <c r="I51" s="10">
        <f t="shared" si="3"/>
        <v>1.3747745395922553</v>
      </c>
      <c r="J51" s="4">
        <f t="shared" si="4"/>
        <v>1192.6012433630092</v>
      </c>
      <c r="K51" s="4">
        <f t="shared" si="5"/>
        <v>268.10872788161709</v>
      </c>
      <c r="L51" s="45">
        <f>Pressure!Q51</f>
        <v>0.11011683244418813</v>
      </c>
      <c r="M51" s="10">
        <f t="shared" si="8"/>
        <v>4.4066314563068856</v>
      </c>
      <c r="N51" s="10">
        <f t="shared" si="7"/>
        <v>2.9545467240956045</v>
      </c>
    </row>
    <row r="52" spans="3:14">
      <c r="C52" s="4">
        <f>Pressure!AB52*1000000</f>
        <v>101000</v>
      </c>
      <c r="D52" s="84">
        <f>Pressure!I52</f>
        <v>1.4801552192482141E-4</v>
      </c>
      <c r="E52" s="40">
        <f>Pressure!H52</f>
        <v>148.0155219248214</v>
      </c>
      <c r="F52" s="10">
        <f t="shared" si="1"/>
        <v>8</v>
      </c>
      <c r="G52" s="4">
        <f t="shared" si="0"/>
        <v>101000</v>
      </c>
      <c r="H52" s="45" t="e">
        <f t="shared" si="2"/>
        <v>#DIV/0!</v>
      </c>
      <c r="I52" s="10">
        <f t="shared" si="3"/>
        <v>0</v>
      </c>
      <c r="J52" s="4">
        <f t="shared" si="4"/>
        <v>0</v>
      </c>
      <c r="K52" s="4">
        <f t="shared" si="5"/>
        <v>0</v>
      </c>
      <c r="L52" s="45">
        <f>Pressure!Q52</f>
        <v>0.11214004661263885</v>
      </c>
      <c r="M52" s="10">
        <f t="shared" si="8"/>
        <v>1.2064438664419932</v>
      </c>
      <c r="N52" s="10">
        <f t="shared" si="7"/>
        <v>2.9545467240956045</v>
      </c>
    </row>
    <row r="53" spans="3:14">
      <c r="C53" s="4">
        <f>Pressure!AB53*1000000</f>
        <v>5756215.4859170308</v>
      </c>
      <c r="D53" s="84">
        <f>Pressure!I53</f>
        <v>1.4801552192482141E-4</v>
      </c>
      <c r="E53" s="40">
        <f>Pressure!H53</f>
        <v>148.0155219248214</v>
      </c>
      <c r="F53" s="10">
        <f t="shared" si="1"/>
        <v>8</v>
      </c>
      <c r="G53" s="4">
        <f t="shared" si="0"/>
        <v>116585.21215231266</v>
      </c>
      <c r="H53" s="45">
        <f t="shared" si="2"/>
        <v>8.876438393741541</v>
      </c>
      <c r="I53" s="10">
        <f t="shared" si="3"/>
        <v>1.3722697940588304</v>
      </c>
      <c r="J53" s="4">
        <f t="shared" si="4"/>
        <v>1169.1865435696502</v>
      </c>
      <c r="K53" s="4">
        <f t="shared" si="5"/>
        <v>262.84486838938227</v>
      </c>
      <c r="L53" s="45">
        <f>Pressure!Q53</f>
        <v>0.119529996071153</v>
      </c>
      <c r="M53" s="10">
        <f t="shared" si="8"/>
        <v>4.3201147322772835</v>
      </c>
      <c r="N53" s="10">
        <f t="shared" si="7"/>
        <v>2.9545467240956045</v>
      </c>
    </row>
    <row r="54" spans="3:14">
      <c r="C54" s="4">
        <f>Pressure!AB54*1000000</f>
        <v>101000</v>
      </c>
      <c r="D54" s="84">
        <f>Pressure!I54</f>
        <v>1.4801552192482141E-4</v>
      </c>
      <c r="E54" s="40">
        <f>Pressure!H54</f>
        <v>148.0155219248214</v>
      </c>
      <c r="F54" s="10">
        <f t="shared" si="1"/>
        <v>8</v>
      </c>
      <c r="G54" s="4">
        <f t="shared" si="0"/>
        <v>101000</v>
      </c>
      <c r="H54" s="45" t="e">
        <f t="shared" si="2"/>
        <v>#DIV/0!</v>
      </c>
      <c r="I54" s="10">
        <f t="shared" si="3"/>
        <v>0</v>
      </c>
      <c r="J54" s="4">
        <f t="shared" si="4"/>
        <v>0</v>
      </c>
      <c r="K54" s="4">
        <f t="shared" si="5"/>
        <v>0</v>
      </c>
      <c r="L54" s="45">
        <f>Pressure!Q54</f>
        <v>0.12156486419918164</v>
      </c>
      <c r="M54" s="10">
        <f t="shared" si="8"/>
        <v>1.1895702166149242</v>
      </c>
      <c r="N54" s="10">
        <f t="shared" si="7"/>
        <v>2.9545467240956045</v>
      </c>
    </row>
    <row r="55" spans="3:14">
      <c r="C55" s="4">
        <f>Pressure!AB55*1000000</f>
        <v>5655386.1270521218</v>
      </c>
      <c r="D55" s="84">
        <f>Pressure!I55</f>
        <v>1.4801552192482141E-4</v>
      </c>
      <c r="E55" s="40">
        <f>Pressure!H55</f>
        <v>148.0155219248214</v>
      </c>
      <c r="F55" s="10">
        <f t="shared" si="1"/>
        <v>8</v>
      </c>
      <c r="G55" s="4">
        <f t="shared" si="0"/>
        <v>114543.03492263684</v>
      </c>
      <c r="H55" s="45">
        <f t="shared" si="2"/>
        <v>8.7540416647410098</v>
      </c>
      <c r="I55" s="10">
        <f t="shared" si="3"/>
        <v>1.3697671501454587</v>
      </c>
      <c r="J55" s="4">
        <f t="shared" si="4"/>
        <v>1146.6114380123374</v>
      </c>
      <c r="K55" s="4">
        <f t="shared" si="5"/>
        <v>257.76975810717533</v>
      </c>
      <c r="L55" s="45">
        <f>Pressure!Q55</f>
        <v>0.12895481365769579</v>
      </c>
      <c r="M55" s="10">
        <f t="shared" si="8"/>
        <v>4.2367002877327016</v>
      </c>
      <c r="N55" s="10">
        <f t="shared" si="7"/>
        <v>2.9545467240956045</v>
      </c>
    </row>
    <row r="56" spans="3:14">
      <c r="C56" s="4">
        <f>Pressure!AB56*1000000</f>
        <v>101000</v>
      </c>
      <c r="D56" s="84">
        <f>Pressure!I56</f>
        <v>1.4801552192482141E-4</v>
      </c>
      <c r="E56" s="40">
        <f>Pressure!H56</f>
        <v>148.0155219248214</v>
      </c>
      <c r="F56" s="10">
        <f t="shared" si="1"/>
        <v>8</v>
      </c>
      <c r="G56" s="4">
        <f t="shared" si="0"/>
        <v>101000</v>
      </c>
      <c r="H56" s="45" t="e">
        <f t="shared" si="2"/>
        <v>#DIV/0!</v>
      </c>
      <c r="I56" s="10">
        <f t="shared" si="3"/>
        <v>0</v>
      </c>
      <c r="J56" s="4">
        <f t="shared" si="4"/>
        <v>0</v>
      </c>
      <c r="K56" s="4">
        <f t="shared" si="5"/>
        <v>0</v>
      </c>
      <c r="L56" s="45">
        <f>Pressure!Q56</f>
        <v>0.13100118537472791</v>
      </c>
      <c r="M56" s="10">
        <f t="shared" si="8"/>
        <v>1.1731966085869872</v>
      </c>
      <c r="N56" s="10">
        <f t="shared" si="7"/>
        <v>2.9545467240956045</v>
      </c>
    </row>
    <row r="57" spans="3:14">
      <c r="C57" s="4">
        <f>Pressure!AB57*1000000</f>
        <v>5558105.0124518881</v>
      </c>
      <c r="D57" s="84">
        <f>Pressure!I57</f>
        <v>1.4801552192482141E-4</v>
      </c>
      <c r="E57" s="40">
        <f>Pressure!H57</f>
        <v>148.0155219248214</v>
      </c>
      <c r="F57" s="10">
        <f t="shared" si="1"/>
        <v>8</v>
      </c>
      <c r="G57" s="4">
        <f t="shared" si="0"/>
        <v>112572.72310720367</v>
      </c>
      <c r="H57" s="45">
        <f t="shared" si="2"/>
        <v>8.6355876313925393</v>
      </c>
      <c r="I57" s="10">
        <f t="shared" si="3"/>
        <v>1.3672665117876857</v>
      </c>
      <c r="J57" s="4">
        <f t="shared" si="4"/>
        <v>1124.8307636576019</v>
      </c>
      <c r="K57" s="4">
        <f t="shared" si="5"/>
        <v>252.87324393183803</v>
      </c>
      <c r="L57" s="45">
        <f>Pressure!Q57</f>
        <v>0.13839113483324206</v>
      </c>
      <c r="M57" s="10">
        <f t="shared" si="8"/>
        <v>4.1562212464057762</v>
      </c>
      <c r="N57" s="10">
        <f t="shared" si="7"/>
        <v>2.9545467240956045</v>
      </c>
    </row>
    <row r="58" spans="3:14">
      <c r="C58" s="4">
        <f>Pressure!AB58*1000000</f>
        <v>101000</v>
      </c>
      <c r="D58" s="84">
        <f>Pressure!I58</f>
        <v>1.4801552192482141E-4</v>
      </c>
      <c r="E58" s="40">
        <f>Pressure!H58</f>
        <v>148.0155219248214</v>
      </c>
      <c r="F58" s="10">
        <f t="shared" si="1"/>
        <v>8</v>
      </c>
      <c r="G58" s="4">
        <f t="shared" si="0"/>
        <v>101000</v>
      </c>
      <c r="H58" s="45" t="e">
        <f t="shared" si="2"/>
        <v>#DIV/0!</v>
      </c>
      <c r="I58" s="10">
        <f t="shared" si="3"/>
        <v>0</v>
      </c>
      <c r="J58" s="4">
        <f t="shared" si="4"/>
        <v>0</v>
      </c>
      <c r="K58" s="4">
        <f t="shared" si="5"/>
        <v>0</v>
      </c>
      <c r="L58" s="45">
        <f>Pressure!Q58</f>
        <v>0.14044886466527809</v>
      </c>
      <c r="M58" s="10">
        <f t="shared" si="8"/>
        <v>1.1572989091850592</v>
      </c>
      <c r="N58" s="10">
        <f t="shared" si="7"/>
        <v>2.9545467240956045</v>
      </c>
    </row>
    <row r="59" spans="3:14">
      <c r="C59" s="4">
        <f>Pressure!AB59*1000000</f>
        <v>5464184.6517034331</v>
      </c>
      <c r="D59" s="84">
        <f>Pressure!I59</f>
        <v>1.4801552192482141E-4</v>
      </c>
      <c r="E59" s="40">
        <f>Pressure!H59</f>
        <v>148.0155219248214</v>
      </c>
      <c r="F59" s="10">
        <f t="shared" si="1"/>
        <v>8</v>
      </c>
      <c r="G59" s="4">
        <f t="shared" si="0"/>
        <v>110670.47931350456</v>
      </c>
      <c r="H59" s="45">
        <f t="shared" si="2"/>
        <v>8.5208788366490751</v>
      </c>
      <c r="I59" s="10">
        <f t="shared" si="3"/>
        <v>1.3647677837046395</v>
      </c>
      <c r="J59" s="4">
        <f t="shared" si="4"/>
        <v>1103.8025424951725</v>
      </c>
      <c r="K59" s="4">
        <f t="shared" si="5"/>
        <v>248.14588878539016</v>
      </c>
      <c r="L59" s="45">
        <f>Pressure!Q59</f>
        <v>0.14783881412379224</v>
      </c>
      <c r="M59" s="10">
        <f t="shared" si="8"/>
        <v>4.0785225006093713</v>
      </c>
      <c r="N59" s="10">
        <f t="shared" si="7"/>
        <v>2.9545467240956045</v>
      </c>
    </row>
    <row r="60" spans="3:14">
      <c r="C60" s="4">
        <f>Pressure!AB60*1000000</f>
        <v>101000</v>
      </c>
      <c r="D60" s="84">
        <f>Pressure!I60</f>
        <v>1.4801552192482141E-4</v>
      </c>
      <c r="E60" s="40">
        <f>Pressure!H60</f>
        <v>148.0155219248214</v>
      </c>
      <c r="F60" s="10">
        <f t="shared" si="1"/>
        <v>8</v>
      </c>
      <c r="G60" s="4">
        <f t="shared" si="0"/>
        <v>101000</v>
      </c>
      <c r="H60" s="45" t="e">
        <f t="shared" si="2"/>
        <v>#DIV/0!</v>
      </c>
      <c r="I60" s="10">
        <f t="shared" si="3"/>
        <v>0</v>
      </c>
      <c r="J60" s="4">
        <f t="shared" si="4"/>
        <v>0</v>
      </c>
      <c r="K60" s="4">
        <f t="shared" si="5"/>
        <v>0</v>
      </c>
      <c r="L60" s="45">
        <f>Pressure!Q60</f>
        <v>0.14990776126088667</v>
      </c>
      <c r="M60" s="10">
        <f t="shared" si="8"/>
        <v>1.1418545551064725</v>
      </c>
      <c r="N60" s="10">
        <f t="shared" si="7"/>
        <v>2.9545467240956045</v>
      </c>
    </row>
    <row r="61" spans="3:14">
      <c r="C61" s="4">
        <f>Pressure!AB61*1000000</f>
        <v>5373450.5473838085</v>
      </c>
      <c r="D61" s="84">
        <f>Pressure!I61</f>
        <v>1.4801552192482141E-4</v>
      </c>
      <c r="E61" s="40">
        <f>Pressure!H61</f>
        <v>148.0155219248214</v>
      </c>
      <c r="F61" s="10">
        <f t="shared" si="1"/>
        <v>8</v>
      </c>
      <c r="G61" s="4">
        <f t="shared" si="0"/>
        <v>108832.76930639418</v>
      </c>
      <c r="H61" s="45">
        <f t="shared" si="2"/>
        <v>8.4097309719661446</v>
      </c>
      <c r="I61" s="10">
        <f t="shared" si="3"/>
        <v>1.3622708713755245</v>
      </c>
      <c r="J61" s="4">
        <f t="shared" si="4"/>
        <v>1083.4877055694699</v>
      </c>
      <c r="K61" s="4">
        <f t="shared" si="5"/>
        <v>243.57890957454023</v>
      </c>
      <c r="L61" s="45">
        <f>Pressure!Q61</f>
        <v>0.15729771071940082</v>
      </c>
      <c r="M61" s="10">
        <f t="shared" si="8"/>
        <v>4.0034596915399216</v>
      </c>
      <c r="N61" s="10">
        <f t="shared" si="7"/>
        <v>2.9545467240956045</v>
      </c>
    </row>
    <row r="62" spans="3:14">
      <c r="C62" s="4">
        <f>Pressure!AB62*1000000</f>
        <v>101000</v>
      </c>
      <c r="D62" s="84">
        <f>Pressure!I62</f>
        <v>1.4801552192482141E-4</v>
      </c>
      <c r="E62" s="40">
        <f>Pressure!H62</f>
        <v>148.0155219248214</v>
      </c>
      <c r="F62" s="10">
        <f t="shared" si="1"/>
        <v>8</v>
      </c>
      <c r="G62" s="4">
        <f t="shared" si="0"/>
        <v>101000</v>
      </c>
      <c r="H62" s="45" t="e">
        <f t="shared" si="2"/>
        <v>#DIV/0!</v>
      </c>
      <c r="I62" s="10">
        <f t="shared" si="3"/>
        <v>0</v>
      </c>
      <c r="J62" s="4">
        <f t="shared" si="4"/>
        <v>0</v>
      </c>
      <c r="K62" s="4">
        <f t="shared" si="5"/>
        <v>0</v>
      </c>
      <c r="L62" s="45">
        <f>Pressure!Q62</f>
        <v>0.15937773879810432</v>
      </c>
      <c r="M62" s="10">
        <f t="shared" si="8"/>
        <v>1.1268424252572637</v>
      </c>
      <c r="N62" s="10">
        <f t="shared" si="7"/>
        <v>2.9545467240956045</v>
      </c>
    </row>
    <row r="63" spans="3:14">
      <c r="C63" s="4">
        <f>Pressure!AB63*1000000</f>
        <v>5285740.0884477859</v>
      </c>
      <c r="D63" s="84">
        <f>Pressure!I63</f>
        <v>1.4801552192482141E-4</v>
      </c>
      <c r="E63" s="40">
        <f>Pressure!H63</f>
        <v>148.0155219248214</v>
      </c>
      <c r="F63" s="10">
        <f t="shared" si="1"/>
        <v>8</v>
      </c>
      <c r="G63" s="4">
        <f t="shared" si="0"/>
        <v>107056.2995949925</v>
      </c>
      <c r="H63" s="45">
        <f t="shared" si="2"/>
        <v>8.3019717920580884</v>
      </c>
      <c r="I63" s="10">
        <f t="shared" si="3"/>
        <v>1.3597756810163961</v>
      </c>
      <c r="J63" s="4">
        <f t="shared" si="4"/>
        <v>1063.8498452155825</v>
      </c>
      <c r="K63" s="4">
        <f t="shared" si="5"/>
        <v>239.1641214908463</v>
      </c>
      <c r="L63" s="45">
        <f>Pressure!Q63</f>
        <v>0.16676768825661847</v>
      </c>
      <c r="M63" s="10">
        <f t="shared" si="8"/>
        <v>3.9308982937956283</v>
      </c>
      <c r="N63" s="10">
        <f t="shared" si="7"/>
        <v>2.9545467240956045</v>
      </c>
    </row>
    <row r="64" spans="3:14">
      <c r="C64" s="4">
        <f>Pressure!AB64*1000000</f>
        <v>101000</v>
      </c>
      <c r="D64" s="84">
        <f>Pressure!I64</f>
        <v>1.4801552192482141E-4</v>
      </c>
      <c r="E64" s="40">
        <f>Pressure!H64</f>
        <v>148.0155219248214</v>
      </c>
      <c r="F64" s="10">
        <f t="shared" si="1"/>
        <v>8</v>
      </c>
      <c r="G64" s="4">
        <f t="shared" si="0"/>
        <v>101000</v>
      </c>
      <c r="H64" s="45" t="e">
        <f t="shared" si="2"/>
        <v>#DIV/0!</v>
      </c>
      <c r="I64" s="10">
        <f t="shared" si="3"/>
        <v>0</v>
      </c>
      <c r="J64" s="4">
        <f t="shared" si="4"/>
        <v>0</v>
      </c>
      <c r="K64" s="4">
        <f t="shared" si="5"/>
        <v>0</v>
      </c>
      <c r="L64" s="45">
        <f>Pressure!Q64</f>
        <v>0.16885866515618048</v>
      </c>
      <c r="M64" s="10">
        <f t="shared" si="8"/>
        <v>1.1122427254741976</v>
      </c>
      <c r="N64" s="10">
        <f t="shared" si="7"/>
        <v>2.9545467240956045</v>
      </c>
    </row>
    <row r="65" spans="3:14">
      <c r="C65" s="4">
        <f>Pressure!AB65*1000000</f>
        <v>5200901.5548289595</v>
      </c>
      <c r="D65" s="84">
        <f>Pressure!I65</f>
        <v>1.4801552192482141E-4</v>
      </c>
      <c r="E65" s="40">
        <f>Pressure!H65</f>
        <v>148.0155219248214</v>
      </c>
      <c r="F65" s="10">
        <f t="shared" si="1"/>
        <v>8</v>
      </c>
      <c r="G65" s="4">
        <f t="shared" si="0"/>
        <v>105337.99727207898</v>
      </c>
      <c r="H65" s="45">
        <f t="shared" si="2"/>
        <v>8.1974401359466835</v>
      </c>
      <c r="I65" s="10">
        <f t="shared" si="3"/>
        <v>1.3572821195574947</v>
      </c>
      <c r="J65" s="4">
        <f t="shared" si="4"/>
        <v>1044.8549921952565</v>
      </c>
      <c r="K65" s="4">
        <f t="shared" si="5"/>
        <v>234.8938879086499</v>
      </c>
      <c r="L65" s="45">
        <f>Pressure!Q65</f>
        <v>0.17624861461469463</v>
      </c>
      <c r="M65" s="10">
        <f t="shared" si="8"/>
        <v>3.8607127918995712</v>
      </c>
      <c r="N65" s="10">
        <f t="shared" si="7"/>
        <v>2.9545467240956045</v>
      </c>
    </row>
    <row r="66" spans="3:14">
      <c r="C66" s="4">
        <f>Pressure!AB66*1000000</f>
        <v>101000</v>
      </c>
      <c r="D66" s="84">
        <f>Pressure!I66</f>
        <v>1.4801552192482141E-4</v>
      </c>
      <c r="E66" s="40">
        <f>Pressure!H66</f>
        <v>148.0155219248214</v>
      </c>
      <c r="F66" s="10">
        <f t="shared" si="1"/>
        <v>8</v>
      </c>
      <c r="G66" s="4">
        <f t="shared" si="0"/>
        <v>101000</v>
      </c>
      <c r="H66" s="45" t="e">
        <f t="shared" si="2"/>
        <v>#DIV/0!</v>
      </c>
      <c r="I66" s="10">
        <f t="shared" si="3"/>
        <v>0</v>
      </c>
      <c r="J66" s="4">
        <f t="shared" si="4"/>
        <v>0</v>
      </c>
      <c r="K66" s="4">
        <f t="shared" si="5"/>
        <v>0</v>
      </c>
      <c r="L66" s="45">
        <f>Pressure!Q66</f>
        <v>0.17835041226593876</v>
      </c>
      <c r="M66" s="10">
        <f t="shared" si="8"/>
        <v>1.0980368842433472</v>
      </c>
      <c r="N66" s="10">
        <f t="shared" si="7"/>
        <v>2.9545467240956045</v>
      </c>
    </row>
    <row r="67" spans="3:14">
      <c r="C67" s="4">
        <f>Pressure!AB67*1000000</f>
        <v>5118793.2204246605</v>
      </c>
      <c r="D67" s="84">
        <f>Pressure!I67</f>
        <v>1.4801552192482141E-4</v>
      </c>
      <c r="E67" s="40">
        <f>Pressure!H67</f>
        <v>148.0155219248214</v>
      </c>
      <c r="F67" s="10">
        <f t="shared" si="1"/>
        <v>8</v>
      </c>
      <c r="G67" s="4">
        <f t="shared" si="0"/>
        <v>103674.99184613233</v>
      </c>
      <c r="H67" s="45">
        <f t="shared" si="2"/>
        <v>8.0959850423028552</v>
      </c>
      <c r="I67" s="10">
        <f t="shared" si="3"/>
        <v>1.3547900946209848</v>
      </c>
      <c r="J67" s="4">
        <f t="shared" si="4"/>
        <v>1026.4714148604482</v>
      </c>
      <c r="K67" s="4">
        <f t="shared" si="5"/>
        <v>230.76107523502725</v>
      </c>
      <c r="L67" s="45">
        <f>Pressure!Q67</f>
        <v>0.18574036172445291</v>
      </c>
      <c r="M67" s="10">
        <f t="shared" si="8"/>
        <v>3.7927859382141116</v>
      </c>
      <c r="N67" s="10">
        <f t="shared" si="7"/>
        <v>2.9545467240956045</v>
      </c>
    </row>
    <row r="68" spans="3:14">
      <c r="C68" s="4">
        <f>Pressure!AB68*1000000</f>
        <v>101000</v>
      </c>
      <c r="D68" s="84">
        <f>Pressure!I68</f>
        <v>1.4801552192482141E-4</v>
      </c>
      <c r="E68" s="40">
        <f>Pressure!H68</f>
        <v>148.0155219248214</v>
      </c>
      <c r="F68" s="10">
        <f t="shared" si="1"/>
        <v>8</v>
      </c>
      <c r="G68" s="4">
        <f t="shared" si="0"/>
        <v>101000</v>
      </c>
      <c r="H68" s="45" t="e">
        <f t="shared" si="2"/>
        <v>#DIV/0!</v>
      </c>
      <c r="I68" s="10">
        <f t="shared" si="3"/>
        <v>0</v>
      </c>
      <c r="J68" s="4">
        <f t="shared" si="4"/>
        <v>0</v>
      </c>
      <c r="K68" s="4">
        <f t="shared" si="5"/>
        <v>0</v>
      </c>
      <c r="L68" s="45">
        <f>Pressure!Q68</f>
        <v>0.18785285593034051</v>
      </c>
      <c r="M68" s="10">
        <f t="shared" si="8"/>
        <v>1.0842074582009744</v>
      </c>
      <c r="N68" s="10">
        <f t="shared" si="7"/>
        <v>2.9545467240956045</v>
      </c>
    </row>
    <row r="69" spans="3:14">
      <c r="C69" s="4">
        <f>Pressure!AB69*1000000</f>
        <v>5039282.5432987167</v>
      </c>
      <c r="D69" s="84">
        <f>Pressure!I69</f>
        <v>1.4801552192482141E-4</v>
      </c>
      <c r="E69" s="40">
        <f>Pressure!H69</f>
        <v>148.0155219248214</v>
      </c>
      <c r="F69" s="10">
        <f t="shared" si="1"/>
        <v>8</v>
      </c>
      <c r="G69" s="4">
        <f t="shared" si="0"/>
        <v>102064.59883986261</v>
      </c>
      <c r="H69" s="45">
        <f t="shared" si="2"/>
        <v>7.9974649486090188</v>
      </c>
      <c r="I69" s="10">
        <f t="shared" si="3"/>
        <v>1.352299514498924</v>
      </c>
      <c r="J69" s="4">
        <f t="shared" si="4"/>
        <v>1008.6694378444433</v>
      </c>
      <c r="K69" s="4">
        <f t="shared" si="5"/>
        <v>226.75901214973322</v>
      </c>
      <c r="L69" s="45">
        <f>Pressure!Q69</f>
        <v>0.19524280538885466</v>
      </c>
      <c r="M69" s="10">
        <f t="shared" si="8"/>
        <v>3.7270080830091583</v>
      </c>
      <c r="N69" s="10">
        <f t="shared" si="7"/>
        <v>2.9545467240956045</v>
      </c>
    </row>
    <row r="70" spans="3:14">
      <c r="C70" s="4">
        <f>Pressure!AB70*1000000</f>
        <v>101000</v>
      </c>
      <c r="D70" s="84">
        <f>Pressure!I70</f>
        <v>1.4801552192482141E-4</v>
      </c>
      <c r="E70" s="40">
        <f>Pressure!H70</f>
        <v>148.0155219248214</v>
      </c>
      <c r="F70" s="10">
        <f t="shared" si="1"/>
        <v>8</v>
      </c>
      <c r="G70" s="4">
        <f t="shared" si="0"/>
        <v>101000</v>
      </c>
      <c r="H70" s="45" t="e">
        <f t="shared" si="2"/>
        <v>#DIV/0!</v>
      </c>
      <c r="I70" s="10">
        <f t="shared" si="3"/>
        <v>0</v>
      </c>
      <c r="J70" s="4">
        <f t="shared" si="4"/>
        <v>0</v>
      </c>
      <c r="K70" s="4">
        <f t="shared" si="5"/>
        <v>0</v>
      </c>
      <c r="L70" s="45">
        <f>Pressure!Q70</f>
        <v>0.19736587565584399</v>
      </c>
      <c r="M70" s="10">
        <f t="shared" si="8"/>
        <v>1.0707380463541869</v>
      </c>
      <c r="N70" s="10">
        <f t="shared" si="7"/>
        <v>2.9545467240956045</v>
      </c>
    </row>
    <row r="71" spans="3:14">
      <c r="C71" s="4">
        <f>Pressure!AB71*1000000</f>
        <v>4962245.4333734335</v>
      </c>
      <c r="D71" s="84">
        <f>Pressure!I71</f>
        <v>1.4801552192482141E-4</v>
      </c>
      <c r="E71" s="40">
        <f>Pressure!H71</f>
        <v>148.0155219248214</v>
      </c>
      <c r="F71" s="10">
        <f t="shared" si="1"/>
        <v>8</v>
      </c>
      <c r="G71" s="4">
        <f t="shared" si="0"/>
        <v>101000</v>
      </c>
      <c r="H71" s="45">
        <f t="shared" si="2"/>
        <v>7.9017469649965495</v>
      </c>
      <c r="I71" s="10">
        <f t="shared" si="3"/>
        <v>1.3499372124070197</v>
      </c>
      <c r="J71" s="4">
        <f t="shared" si="4"/>
        <v>991.51450263055676</v>
      </c>
      <c r="K71" s="4">
        <f t="shared" si="5"/>
        <v>222.90241055495633</v>
      </c>
      <c r="L71" s="45">
        <f>Pressure!Q71</f>
        <v>0.20475582511435814</v>
      </c>
      <c r="M71" s="10">
        <f t="shared" si="8"/>
        <v>3.6636210309118047</v>
      </c>
      <c r="N71" s="10">
        <f t="shared" si="7"/>
        <v>2.9545467240956045</v>
      </c>
    </row>
    <row r="72" spans="3:14">
      <c r="C72" s="4">
        <f>Pressure!AB72*1000000</f>
        <v>101000</v>
      </c>
      <c r="D72" s="84">
        <f>Pressure!I72</f>
        <v>1.4801552192482141E-4</v>
      </c>
      <c r="E72" s="40">
        <f>Pressure!H72</f>
        <v>148.0155219248214</v>
      </c>
      <c r="F72" s="10">
        <f t="shared" si="1"/>
        <v>8</v>
      </c>
      <c r="G72" s="4">
        <f t="shared" si="0"/>
        <v>101000</v>
      </c>
      <c r="H72" s="45" t="e">
        <f t="shared" si="2"/>
        <v>#DIV/0!</v>
      </c>
      <c r="I72" s="10">
        <f t="shared" si="3"/>
        <v>0</v>
      </c>
      <c r="J72" s="4">
        <f t="shared" si="4"/>
        <v>0</v>
      </c>
      <c r="K72" s="4">
        <f t="shared" si="5"/>
        <v>0</v>
      </c>
      <c r="L72" s="45">
        <f>Pressure!Q72</f>
        <v>0.20688935449374743</v>
      </c>
      <c r="M72" s="10">
        <f t="shared" si="8"/>
        <v>1.0577126607264276</v>
      </c>
      <c r="N72" s="10">
        <f t="shared" si="7"/>
        <v>2.9545467240956045</v>
      </c>
    </row>
    <row r="73" spans="3:14">
      <c r="C73" s="4">
        <f>Pressure!AB73*1000000</f>
        <v>4887565.5890964344</v>
      </c>
      <c r="D73" s="84">
        <f>Pressure!I73</f>
        <v>1.4801552192482141E-4</v>
      </c>
      <c r="E73" s="40">
        <f>Pressure!H73</f>
        <v>148.0155219248214</v>
      </c>
      <c r="F73" s="10">
        <f t="shared" si="1"/>
        <v>8</v>
      </c>
      <c r="G73" s="4">
        <f t="shared" si="0"/>
        <v>101000</v>
      </c>
      <c r="H73" s="45">
        <f t="shared" si="2"/>
        <v>7.8087062147309165</v>
      </c>
      <c r="I73" s="10">
        <f t="shared" si="3"/>
        <v>1.3478607707515804</v>
      </c>
      <c r="J73" s="4">
        <f t="shared" si="4"/>
        <v>975.09042714193367</v>
      </c>
      <c r="K73" s="4">
        <f t="shared" si="5"/>
        <v>219.21011356097605</v>
      </c>
      <c r="L73" s="45">
        <f>Pressure!Q73</f>
        <v>0.21427930395226158</v>
      </c>
      <c r="M73" s="10">
        <f t="shared" si="8"/>
        <v>3.6029344870299322</v>
      </c>
      <c r="N73" s="10">
        <f t="shared" si="7"/>
        <v>2.9545467240956045</v>
      </c>
    </row>
    <row r="74" spans="3:14">
      <c r="C74" s="4">
        <f>Pressure!AB74*1000000</f>
        <v>101000</v>
      </c>
      <c r="D74" s="84">
        <f>Pressure!I74</f>
        <v>1.4801552192482141E-4</v>
      </c>
      <c r="E74" s="40">
        <f>Pressure!H74</f>
        <v>148.0155219248214</v>
      </c>
      <c r="F74" s="10">
        <f t="shared" si="1"/>
        <v>8</v>
      </c>
      <c r="G74" s="4">
        <f t="shared" si="0"/>
        <v>101000</v>
      </c>
      <c r="H74" s="45" t="e">
        <f t="shared" si="2"/>
        <v>#DIV/0!</v>
      </c>
      <c r="I74" s="10">
        <f t="shared" si="3"/>
        <v>0</v>
      </c>
      <c r="J74" s="4">
        <f t="shared" si="4"/>
        <v>0</v>
      </c>
      <c r="K74" s="4">
        <f t="shared" si="5"/>
        <v>0</v>
      </c>
      <c r="L74" s="45">
        <f>Pressure!Q74</f>
        <v>0.2164231788907767</v>
      </c>
      <c r="M74" s="10">
        <f t="shared" si="8"/>
        <v>1.045235964767796</v>
      </c>
      <c r="N74" s="10">
        <f t="shared" si="7"/>
        <v>2.9545467240956045</v>
      </c>
    </row>
    <row r="75" spans="3:14">
      <c r="C75" s="4">
        <f>Pressure!AB75*1000000</f>
        <v>4815133.8956103958</v>
      </c>
      <c r="D75" s="84">
        <f>Pressure!I75</f>
        <v>1.4801552192482141E-4</v>
      </c>
      <c r="E75" s="40">
        <f>Pressure!H75</f>
        <v>148.0155219248214</v>
      </c>
      <c r="F75" s="10">
        <f t="shared" si="1"/>
        <v>8</v>
      </c>
      <c r="G75" s="4">
        <f t="shared" si="0"/>
        <v>101000</v>
      </c>
      <c r="H75" s="45">
        <f t="shared" si="2"/>
        <v>7.7182252342779201</v>
      </c>
      <c r="I75" s="10">
        <f t="shared" si="3"/>
        <v>1.3458095512638992</v>
      </c>
      <c r="J75" s="4">
        <f t="shared" si="4"/>
        <v>959.17805772719601</v>
      </c>
      <c r="K75" s="4">
        <f t="shared" si="5"/>
        <v>215.63285322764176</v>
      </c>
      <c r="L75" s="45">
        <f>Pressure!Q75</f>
        <v>0.22381312834929085</v>
      </c>
      <c r="M75" s="10">
        <f t="shared" si="8"/>
        <v>3.544138684159873</v>
      </c>
      <c r="N75" s="10">
        <f t="shared" si="7"/>
        <v>2.9545467240956045</v>
      </c>
    </row>
    <row r="76" spans="3:14">
      <c r="C76" s="4">
        <f>Pressure!AB76*1000000</f>
        <v>101000</v>
      </c>
      <c r="D76" s="84">
        <f>Pressure!I76</f>
        <v>1.4801552192482141E-4</v>
      </c>
      <c r="E76" s="40">
        <f>Pressure!H76</f>
        <v>148.0155219248214</v>
      </c>
      <c r="F76" s="10">
        <f t="shared" si="1"/>
        <v>8</v>
      </c>
      <c r="G76" s="4">
        <f t="shared" si="0"/>
        <v>101000</v>
      </c>
      <c r="H76" s="45" t="e">
        <f t="shared" si="2"/>
        <v>#DIV/0!</v>
      </c>
      <c r="I76" s="10">
        <f t="shared" si="3"/>
        <v>0</v>
      </c>
      <c r="J76" s="4">
        <f t="shared" si="4"/>
        <v>0</v>
      </c>
      <c r="K76" s="4">
        <f t="shared" si="5"/>
        <v>0</v>
      </c>
      <c r="L76" s="45">
        <f>Pressure!Q76</f>
        <v>0.22596723854824563</v>
      </c>
      <c r="M76" s="10">
        <f t="shared" si="8"/>
        <v>1.0330876183818967</v>
      </c>
      <c r="N76" s="10">
        <f t="shared" si="7"/>
        <v>2.9545467240956045</v>
      </c>
    </row>
    <row r="77" spans="3:14">
      <c r="C77" s="4">
        <f>Pressure!AB77*1000000</f>
        <v>4744847.8778846422</v>
      </c>
      <c r="D77" s="84">
        <f>Pressure!I77</f>
        <v>1.4801552192482141E-4</v>
      </c>
      <c r="E77" s="40">
        <f>Pressure!H77</f>
        <v>148.0155219248214</v>
      </c>
      <c r="F77" s="10">
        <f t="shared" si="1"/>
        <v>8</v>
      </c>
      <c r="G77" s="4">
        <f t="shared" si="0"/>
        <v>101000</v>
      </c>
      <c r="H77" s="45">
        <f t="shared" si="2"/>
        <v>7.6301934267552172</v>
      </c>
      <c r="I77" s="10">
        <f t="shared" si="3"/>
        <v>1.3437827970180574</v>
      </c>
      <c r="J77" s="4">
        <f t="shared" si="4"/>
        <v>943.75362150022954</v>
      </c>
      <c r="K77" s="4">
        <f t="shared" si="5"/>
        <v>212.16528517158167</v>
      </c>
      <c r="L77" s="45">
        <f>Pressure!Q77</f>
        <v>0.23335718800675978</v>
      </c>
      <c r="M77" s="10">
        <f t="shared" si="8"/>
        <v>3.4871457820881946</v>
      </c>
      <c r="N77" s="10">
        <f t="shared" si="7"/>
        <v>2.9545467240956045</v>
      </c>
    </row>
    <row r="78" spans="3:14">
      <c r="C78" s="4">
        <f>Pressure!AB78*1000000</f>
        <v>101000</v>
      </c>
      <c r="D78" s="84">
        <f>Pressure!I78</f>
        <v>1.4801552192482141E-4</v>
      </c>
      <c r="E78" s="40">
        <f>Pressure!H78</f>
        <v>148.0155219248214</v>
      </c>
      <c r="F78" s="10">
        <f t="shared" si="1"/>
        <v>8</v>
      </c>
      <c r="G78" s="4">
        <f t="shared" si="0"/>
        <v>101000</v>
      </c>
      <c r="H78" s="45" t="e">
        <f t="shared" si="2"/>
        <v>#DIV/0!</v>
      </c>
      <c r="I78" s="10">
        <f t="shared" si="3"/>
        <v>0</v>
      </c>
      <c r="J78" s="4">
        <f t="shared" si="4"/>
        <v>0</v>
      </c>
      <c r="K78" s="4">
        <f t="shared" si="5"/>
        <v>0</v>
      </c>
      <c r="L78" s="45">
        <f>Pressure!Q78</f>
        <v>0.23552142628917369</v>
      </c>
      <c r="M78" s="10">
        <f t="shared" si="8"/>
        <v>1.0212538584087822</v>
      </c>
      <c r="N78" s="10">
        <f t="shared" si="7"/>
        <v>2.9545467240956045</v>
      </c>
    </row>
    <row r="79" spans="3:14">
      <c r="C79" s="4">
        <f>Pressure!AB79*1000000</f>
        <v>4676611.2030381411</v>
      </c>
      <c r="D79" s="84">
        <f>Pressure!I79</f>
        <v>1.4801552192482141E-4</v>
      </c>
      <c r="E79" s="40">
        <f>Pressure!H79</f>
        <v>148.0155219248214</v>
      </c>
      <c r="F79" s="10">
        <f t="shared" si="1"/>
        <v>8</v>
      </c>
      <c r="G79" s="4">
        <f t="shared" si="0"/>
        <v>101000</v>
      </c>
      <c r="H79" s="45">
        <f t="shared" si="2"/>
        <v>7.54450656328516</v>
      </c>
      <c r="I79" s="10">
        <f t="shared" si="3"/>
        <v>1.3417797832951259</v>
      </c>
      <c r="J79" s="4">
        <f t="shared" si="4"/>
        <v>928.79479005662472</v>
      </c>
      <c r="K79" s="4">
        <f t="shared" si="5"/>
        <v>208.80238974340739</v>
      </c>
      <c r="L79" s="45">
        <f>Pressure!Q79</f>
        <v>0.24291137574768784</v>
      </c>
      <c r="M79" s="10">
        <f t="shared" si="8"/>
        <v>3.4318732779248586</v>
      </c>
      <c r="N79" s="10">
        <f t="shared" si="7"/>
        <v>2.9545467240956045</v>
      </c>
    </row>
    <row r="80" spans="3:14">
      <c r="C80" s="4">
        <f>Pressure!AB80*1000000</f>
        <v>101000</v>
      </c>
      <c r="D80" s="84">
        <f>Pressure!I80</f>
        <v>1.4801552192482141E-4</v>
      </c>
      <c r="E80" s="40">
        <f>Pressure!H80</f>
        <v>148.0155219248214</v>
      </c>
      <c r="F80" s="10">
        <f t="shared" si="1"/>
        <v>8</v>
      </c>
      <c r="G80" s="4">
        <f t="shared" si="0"/>
        <v>101000</v>
      </c>
      <c r="H80" s="45" t="e">
        <f t="shared" si="2"/>
        <v>#DIV/0!</v>
      </c>
      <c r="I80" s="10">
        <f t="shared" si="3"/>
        <v>0</v>
      </c>
      <c r="J80" s="4">
        <f t="shared" si="4"/>
        <v>0</v>
      </c>
      <c r="K80" s="4">
        <f t="shared" si="5"/>
        <v>0</v>
      </c>
      <c r="L80" s="45">
        <f>Pressure!Q80</f>
        <v>0.24508563793279894</v>
      </c>
      <c r="M80" s="10">
        <f t="shared" si="8"/>
        <v>1.0097216948741625</v>
      </c>
      <c r="N80" s="10">
        <f t="shared" si="7"/>
        <v>2.9545467240956045</v>
      </c>
    </row>
    <row r="81" spans="3:14">
      <c r="C81" s="4">
        <f>Pressure!AB81*1000000</f>
        <v>4610333.2267580228</v>
      </c>
      <c r="D81" s="84">
        <f>Pressure!I81</f>
        <v>1.4801552192482141E-4</v>
      </c>
      <c r="E81" s="40">
        <f>Pressure!H81</f>
        <v>148.0155219248214</v>
      </c>
      <c r="F81" s="10">
        <f t="shared" si="1"/>
        <v>8</v>
      </c>
      <c r="G81" s="4">
        <f t="shared" si="0"/>
        <v>101000</v>
      </c>
      <c r="H81" s="45">
        <f t="shared" si="2"/>
        <v>7.4610663273915856</v>
      </c>
      <c r="I81" s="10">
        <f t="shared" si="3"/>
        <v>1.3397998157434856</v>
      </c>
      <c r="J81" s="4">
        <f t="shared" si="4"/>
        <v>914.28057168738394</v>
      </c>
      <c r="K81" s="4">
        <f t="shared" si="5"/>
        <v>205.53944779627355</v>
      </c>
      <c r="L81" s="45">
        <f>Pressure!Q81</f>
        <v>0.25247558739131309</v>
      </c>
      <c r="M81" s="10">
        <f t="shared" si="8"/>
        <v>3.3782436078355951</v>
      </c>
      <c r="N81" s="10">
        <f t="shared" si="7"/>
        <v>2.9545467240956045</v>
      </c>
    </row>
    <row r="82" spans="3:14">
      <c r="C82" s="4">
        <f>Pressure!AB82*1000000</f>
        <v>101000</v>
      </c>
      <c r="D82" s="84">
        <f>Pressure!I82</f>
        <v>1.4801552192482141E-4</v>
      </c>
      <c r="E82" s="40">
        <f>Pressure!H82</f>
        <v>148.0155219248214</v>
      </c>
      <c r="F82" s="10">
        <f t="shared" si="1"/>
        <v>8</v>
      </c>
      <c r="G82" s="4">
        <f t="shared" si="0"/>
        <v>101000</v>
      </c>
      <c r="H82" s="45" t="e">
        <f t="shared" si="2"/>
        <v>#DIV/0!</v>
      </c>
      <c r="I82" s="10">
        <f t="shared" si="3"/>
        <v>0</v>
      </c>
      <c r="J82" s="4">
        <f t="shared" si="4"/>
        <v>0</v>
      </c>
      <c r="K82" s="4">
        <f t="shared" si="5"/>
        <v>0</v>
      </c>
      <c r="L82" s="45">
        <f>Pressure!Q82</f>
        <v>0.2546597721759733</v>
      </c>
      <c r="M82" s="10">
        <f t="shared" si="8"/>
        <v>0.99847885679500825</v>
      </c>
      <c r="N82" s="10">
        <f t="shared" si="7"/>
        <v>2.9545467240956045</v>
      </c>
    </row>
    <row r="83" spans="3:14">
      <c r="C83" s="4">
        <f>Pressure!AB83*1000000</f>
        <v>4545928.579338883</v>
      </c>
      <c r="D83" s="84">
        <f>Pressure!I83</f>
        <v>1.4801552192482141E-4</v>
      </c>
      <c r="E83" s="40">
        <f>Pressure!H83</f>
        <v>148.0155219248214</v>
      </c>
      <c r="F83" s="10">
        <f t="shared" si="1"/>
        <v>8</v>
      </c>
      <c r="G83" s="4">
        <f t="shared" si="0"/>
        <v>101000</v>
      </c>
      <c r="H83" s="45">
        <f t="shared" si="2"/>
        <v>7.3797798981730232</v>
      </c>
      <c r="I83" s="10">
        <f t="shared" si="3"/>
        <v>1.3378422286697165</v>
      </c>
      <c r="J83" s="4">
        <f t="shared" si="4"/>
        <v>900.19121308640013</v>
      </c>
      <c r="K83" s="4">
        <f t="shared" si="5"/>
        <v>202.37201858873254</v>
      </c>
      <c r="L83" s="45">
        <f>Pressure!Q83</f>
        <v>0.26204972163448742</v>
      </c>
      <c r="M83" s="10">
        <f t="shared" si="8"/>
        <v>3.3261837838535069</v>
      </c>
      <c r="N83" s="10">
        <f t="shared" si="7"/>
        <v>2.9545467240956045</v>
      </c>
    </row>
    <row r="84" spans="3:14">
      <c r="C84" s="4">
        <f>Pressure!AB84*1000000</f>
        <v>101000</v>
      </c>
      <c r="D84" s="84">
        <f>Pressure!I84</f>
        <v>1.4801552192482141E-4</v>
      </c>
      <c r="E84" s="40">
        <f>Pressure!H84</f>
        <v>148.0155219248214</v>
      </c>
      <c r="F84" s="10">
        <f t="shared" si="1"/>
        <v>8</v>
      </c>
      <c r="G84" s="4">
        <f t="shared" si="0"/>
        <v>101000</v>
      </c>
      <c r="H84" s="45" t="e">
        <f t="shared" si="2"/>
        <v>#DIV/0!</v>
      </c>
      <c r="I84" s="10">
        <f t="shared" si="3"/>
        <v>0</v>
      </c>
      <c r="J84" s="4">
        <f t="shared" si="4"/>
        <v>0</v>
      </c>
      <c r="K84" s="4">
        <f t="shared" si="5"/>
        <v>0</v>
      </c>
      <c r="L84" s="45">
        <f>Pressure!Q84</f>
        <v>0.26424373048096728</v>
      </c>
      <c r="M84" s="10">
        <f t="shared" si="8"/>
        <v>0.98751374251749735</v>
      </c>
      <c r="N84" s="10">
        <f t="shared" si="7"/>
        <v>2.9545467240956045</v>
      </c>
    </row>
    <row r="85" spans="3:14">
      <c r="C85" s="4">
        <f>Pressure!AB85*1000000</f>
        <v>4483316.7873496851</v>
      </c>
      <c r="D85" s="84">
        <f>Pressure!I85</f>
        <v>1.4801552192482141E-4</v>
      </c>
      <c r="E85" s="40">
        <f>Pressure!H85</f>
        <v>148.0155219248214</v>
      </c>
      <c r="F85" s="10">
        <f t="shared" si="1"/>
        <v>8</v>
      </c>
      <c r="G85" s="4">
        <f t="shared" si="0"/>
        <v>101000</v>
      </c>
      <c r="H85" s="45">
        <f t="shared" si="2"/>
        <v>7.3005595684252427</v>
      </c>
      <c r="I85" s="10">
        <f t="shared" si="3"/>
        <v>1.3359063834486258</v>
      </c>
      <c r="J85" s="4">
        <f t="shared" si="4"/>
        <v>886.50810958857187</v>
      </c>
      <c r="K85" s="4">
        <f t="shared" si="5"/>
        <v>199.29591960536214</v>
      </c>
      <c r="L85" s="45">
        <f>Pressure!Q85</f>
        <v>0.2716336799394814</v>
      </c>
      <c r="M85" s="10">
        <f t="shared" si="8"/>
        <v>3.2756250622112226</v>
      </c>
      <c r="N85" s="10">
        <f t="shared" si="7"/>
        <v>2.9545467240956045</v>
      </c>
    </row>
    <row r="86" spans="3:14">
      <c r="C86" s="4">
        <f>Pressure!AB86*1000000</f>
        <v>101000</v>
      </c>
      <c r="D86" s="84">
        <f>Pressure!I86</f>
        <v>1.4801552192482141E-4</v>
      </c>
      <c r="E86" s="40">
        <f>Pressure!H86</f>
        <v>148.0155219248214</v>
      </c>
      <c r="F86" s="10">
        <f t="shared" si="1"/>
        <v>8</v>
      </c>
      <c r="G86" s="4">
        <f t="shared" si="0"/>
        <v>101000</v>
      </c>
      <c r="H86" s="45" t="e">
        <f t="shared" si="2"/>
        <v>#DIV/0!</v>
      </c>
      <c r="I86" s="10">
        <f t="shared" si="3"/>
        <v>0</v>
      </c>
      <c r="J86" s="4">
        <f t="shared" si="4"/>
        <v>0</v>
      </c>
      <c r="K86" s="4">
        <f t="shared" si="5"/>
        <v>0</v>
      </c>
      <c r="L86" s="45">
        <f>Pressure!Q86</f>
        <v>0.27383741696925185</v>
      </c>
      <c r="M86" s="10">
        <f t="shared" si="8"/>
        <v>0.97681537414606678</v>
      </c>
      <c r="N86" s="10">
        <f t="shared" si="7"/>
        <v>2.9545467240956045</v>
      </c>
    </row>
    <row r="87" spans="3:14">
      <c r="C87" s="4">
        <f>Pressure!AB87*1000000</f>
        <v>4422421.9274029927</v>
      </c>
      <c r="D87" s="84">
        <f>Pressure!I87</f>
        <v>1.4801552192482141E-4</v>
      </c>
      <c r="E87" s="40">
        <f>Pressure!H87</f>
        <v>148.0155219248214</v>
      </c>
      <c r="F87" s="10">
        <f t="shared" si="1"/>
        <v>8</v>
      </c>
      <c r="G87" s="4">
        <f t="shared" si="0"/>
        <v>101000</v>
      </c>
      <c r="H87" s="45">
        <f t="shared" si="2"/>
        <v>7.2233223943309328</v>
      </c>
      <c r="I87" s="10">
        <f t="shared" si="3"/>
        <v>1.3339916670425611</v>
      </c>
      <c r="J87" s="4">
        <f t="shared" si="4"/>
        <v>873.21372308858338</v>
      </c>
      <c r="K87" s="4">
        <f t="shared" si="5"/>
        <v>196.30720810408332</v>
      </c>
      <c r="L87" s="45">
        <f>Pressure!Q87</f>
        <v>0.28122736642776597</v>
      </c>
      <c r="M87" s="10">
        <f t="shared" si="8"/>
        <v>3.2265026400527885</v>
      </c>
      <c r="N87" s="10">
        <f t="shared" si="7"/>
        <v>2.9545467240956045</v>
      </c>
    </row>
    <row r="88" spans="3:14">
      <c r="C88" s="4">
        <f>Pressure!AB88*1000000</f>
        <v>101000</v>
      </c>
      <c r="D88" s="84">
        <f>Pressure!I88</f>
        <v>1.4801552192482141E-4</v>
      </c>
      <c r="E88" s="40">
        <f>Pressure!H88</f>
        <v>148.0155219248214</v>
      </c>
      <c r="F88" s="10">
        <f t="shared" si="1"/>
        <v>8</v>
      </c>
      <c r="G88" s="4">
        <f t="shared" si="0"/>
        <v>101000</v>
      </c>
      <c r="H88" s="45" t="e">
        <f t="shared" si="2"/>
        <v>#DIV/0!</v>
      </c>
      <c r="I88" s="10">
        <f t="shared" si="3"/>
        <v>0</v>
      </c>
      <c r="J88" s="4">
        <f t="shared" si="4"/>
        <v>0</v>
      </c>
      <c r="K88" s="4">
        <f t="shared" si="5"/>
        <v>0</v>
      </c>
      <c r="L88" s="45">
        <f>Pressure!Q88</f>
        <v>0.28344073832086047</v>
      </c>
      <c r="M88" s="10">
        <f t="shared" si="8"/>
        <v>0.96637335567434013</v>
      </c>
      <c r="N88" s="10">
        <f t="shared" si="7"/>
        <v>2.9545467240956045</v>
      </c>
    </row>
    <row r="89" spans="3:14">
      <c r="C89" s="4">
        <f>Pressure!AB89*1000000</f>
        <v>4363172.3089016983</v>
      </c>
      <c r="D89" s="84">
        <f>Pressure!I89</f>
        <v>1.4801552192482141E-4</v>
      </c>
      <c r="E89" s="40">
        <f>Pressure!H89</f>
        <v>148.0155219248214</v>
      </c>
      <c r="F89" s="10">
        <f t="shared" si="1"/>
        <v>8</v>
      </c>
      <c r="G89" s="4">
        <f t="shared" si="0"/>
        <v>101000</v>
      </c>
      <c r="H89" s="45">
        <f t="shared" si="2"/>
        <v>7.1479898737137377</v>
      </c>
      <c r="I89" s="10">
        <f t="shared" si="3"/>
        <v>1.3320974906213399</v>
      </c>
      <c r="J89" s="4">
        <f t="shared" si="4"/>
        <v>860.29150688730556</v>
      </c>
      <c r="K89" s="4">
        <f t="shared" si="5"/>
        <v>193.40216422087713</v>
      </c>
      <c r="L89" s="45">
        <f>Pressure!Q89</f>
        <v>0.2908306877793746</v>
      </c>
      <c r="M89" s="10">
        <f t="shared" si="8"/>
        <v>3.1787553777430708</v>
      </c>
      <c r="N89" s="10">
        <f t="shared" si="7"/>
        <v>2.9545467240956045</v>
      </c>
    </row>
    <row r="90" spans="3:14">
      <c r="C90" s="4">
        <f>Pressure!AB90*1000000</f>
        <v>101000</v>
      </c>
      <c r="D90" s="84">
        <f>Pressure!I90</f>
        <v>1.4801552192482141E-4</v>
      </c>
      <c r="E90" s="40">
        <f>Pressure!H90</f>
        <v>148.0155219248214</v>
      </c>
      <c r="F90" s="10">
        <f t="shared" si="1"/>
        <v>8</v>
      </c>
      <c r="G90" s="4">
        <f t="shared" si="0"/>
        <v>101000</v>
      </c>
      <c r="H90" s="45" t="e">
        <f t="shared" si="2"/>
        <v>#DIV/0!</v>
      </c>
      <c r="I90" s="10">
        <f t="shared" si="3"/>
        <v>0</v>
      </c>
      <c r="J90" s="4">
        <f t="shared" si="4"/>
        <v>0</v>
      </c>
      <c r="K90" s="4">
        <f t="shared" si="5"/>
        <v>0</v>
      </c>
      <c r="L90" s="45">
        <f>Pressure!Q90</f>
        <v>0.29305360367896405</v>
      </c>
      <c r="M90" s="10">
        <f t="shared" si="8"/>
        <v>0.95617783447077942</v>
      </c>
      <c r="N90" s="10">
        <f t="shared" si="7"/>
        <v>2.9545467240956045</v>
      </c>
    </row>
    <row r="91" spans="3:14">
      <c r="C91" s="4">
        <f>Pressure!AB91*1000000</f>
        <v>4305500.182959876</v>
      </c>
      <c r="D91" s="84">
        <f>Pressure!I91</f>
        <v>1.4801552192482141E-4</v>
      </c>
      <c r="E91" s="40">
        <f>Pressure!H91</f>
        <v>148.0155219248214</v>
      </c>
      <c r="F91" s="10">
        <f t="shared" si="1"/>
        <v>8</v>
      </c>
      <c r="G91" s="4">
        <f t="shared" si="0"/>
        <v>101000</v>
      </c>
      <c r="H91" s="45">
        <f t="shared" si="2"/>
        <v>7.0744876501496572</v>
      </c>
      <c r="I91" s="10">
        <f t="shared" si="3"/>
        <v>1.3302232882742362</v>
      </c>
      <c r="J91" s="4">
        <f t="shared" si="4"/>
        <v>847.72583679123534</v>
      </c>
      <c r="K91" s="4">
        <f t="shared" si="5"/>
        <v>190.57727548024715</v>
      </c>
      <c r="L91" s="45">
        <f>Pressure!Q91</f>
        <v>0.30044355313747817</v>
      </c>
      <c r="M91" s="10">
        <f t="shared" si="8"/>
        <v>3.1323255442819105</v>
      </c>
      <c r="N91" s="10">
        <f t="shared" si="7"/>
        <v>2.9545467240956045</v>
      </c>
    </row>
    <row r="92" spans="3:14">
      <c r="C92" s="4">
        <f>Pressure!AB92*1000000</f>
        <v>101000</v>
      </c>
      <c r="D92" s="84">
        <f>Pressure!I92</f>
        <v>1.4801552192482141E-4</v>
      </c>
      <c r="E92" s="40">
        <f>Pressure!H92</f>
        <v>148.0155219248214</v>
      </c>
      <c r="F92" s="10">
        <f t="shared" si="1"/>
        <v>8</v>
      </c>
      <c r="G92" s="4">
        <f t="shared" ref="G92:G155" si="9">IF(C92/(1+(k-1)/2*N92^2)^(k/(k-1))&lt;patm*1000000,patm*1000000,C92/(1+(k-1)/2*N92^2)^(k/(k-1)))</f>
        <v>101000</v>
      </c>
      <c r="H92" s="45" t="e">
        <f t="shared" si="2"/>
        <v>#DIV/0!</v>
      </c>
      <c r="I92" s="10">
        <f t="shared" si="3"/>
        <v>0</v>
      </c>
      <c r="J92" s="4">
        <f t="shared" si="4"/>
        <v>0</v>
      </c>
      <c r="K92" s="4">
        <f t="shared" si="5"/>
        <v>0</v>
      </c>
      <c r="L92" s="45">
        <f>Pressure!Q92</f>
        <v>0.30267592455932263</v>
      </c>
      <c r="M92" s="10">
        <f t="shared" si="8"/>
        <v>0.94621946580596694</v>
      </c>
      <c r="N92" s="10">
        <f t="shared" si="7"/>
        <v>2.9545467240956045</v>
      </c>
    </row>
    <row r="93" spans="3:14">
      <c r="C93" s="4">
        <f>Pressure!AB93*1000000</f>
        <v>4249341.4750267137</v>
      </c>
      <c r="D93" s="84">
        <f>Pressure!I93</f>
        <v>1.4801552192482141E-4</v>
      </c>
      <c r="E93" s="40">
        <f>Pressure!H93</f>
        <v>148.0155219248214</v>
      </c>
      <c r="F93" s="10">
        <f t="shared" ref="F93:F156" si="10">aexit/E93</f>
        <v>8</v>
      </c>
      <c r="G93" s="4">
        <f t="shared" si="9"/>
        <v>101000</v>
      </c>
      <c r="H93" s="45">
        <f t="shared" ref="H93:H156" si="11">1/(((k+1)/2)^(1/(k-1))*(patm*1000000/C93)^(1/k)*SQRT((k+1)/(k-1)*(1-(patm*1000000/C93)^((k-1)/k))))</f>
        <v>7.002745240552593</v>
      </c>
      <c r="I93" s="10">
        <f t="shared" ref="I93:I156" si="12">etanoz*SQRT(2*k^2/(k-1)*(2/(k+1))^((k+1)/(k-1))*(1-(G93/C93)^((k-1)/k)))+(G93-patm*1000000)/C93*(aexit/E93)</f>
        <v>1.3283685158071699</v>
      </c>
      <c r="J93" s="4">
        <f t="shared" ref="J93:J156" si="13">I93*D93*C93</f>
        <v>835.5019478701754</v>
      </c>
      <c r="K93" s="4">
        <f t="shared" ref="K93:K156" si="14">J93/4.4482</f>
        <v>187.82922257771131</v>
      </c>
      <c r="L93" s="45">
        <f>Pressure!Q93</f>
        <v>0.31006587401783675</v>
      </c>
      <c r="M93" s="10">
        <f t="shared" si="8"/>
        <v>3.0871585836253486</v>
      </c>
      <c r="N93" s="10">
        <f t="shared" si="7"/>
        <v>2.9545467240956045</v>
      </c>
    </row>
    <row r="94" spans="3:14">
      <c r="C94" s="4">
        <f>Pressure!AB94*1000000</f>
        <v>101000</v>
      </c>
      <c r="D94" s="84">
        <f>Pressure!I94</f>
        <v>1.4801552192482141E-4</v>
      </c>
      <c r="E94" s="40">
        <f>Pressure!H94</f>
        <v>148.0155219248214</v>
      </c>
      <c r="F94" s="10">
        <f t="shared" si="10"/>
        <v>8</v>
      </c>
      <c r="G94" s="4">
        <f t="shared" si="9"/>
        <v>101000</v>
      </c>
      <c r="H94" s="45" t="e">
        <f t="shared" si="11"/>
        <v>#DIV/0!</v>
      </c>
      <c r="I94" s="10">
        <f t="shared" si="12"/>
        <v>0</v>
      </c>
      <c r="J94" s="4">
        <f t="shared" si="13"/>
        <v>0</v>
      </c>
      <c r="K94" s="4">
        <f t="shared" si="14"/>
        <v>0</v>
      </c>
      <c r="L94" s="45">
        <f>Pressure!Q94</f>
        <v>0.3123076147643018</v>
      </c>
      <c r="M94" s="10">
        <f t="shared" si="8"/>
        <v>0.93648938014574457</v>
      </c>
      <c r="N94" s="10">
        <f t="shared" ref="N94:N157" si="15">N93-1/834*(me-mef)</f>
        <v>2.9545467240956045</v>
      </c>
    </row>
    <row r="95" spans="3:14">
      <c r="C95" s="4">
        <f>Pressure!AB95*1000000</f>
        <v>4194635.5389773194</v>
      </c>
      <c r="D95" s="84">
        <f>Pressure!I95</f>
        <v>1.4801552192482141E-4</v>
      </c>
      <c r="E95" s="40">
        <f>Pressure!H95</f>
        <v>148.0155219248214</v>
      </c>
      <c r="F95" s="10">
        <f t="shared" si="10"/>
        <v>8</v>
      </c>
      <c r="G95" s="4">
        <f t="shared" si="9"/>
        <v>101000</v>
      </c>
      <c r="H95" s="45">
        <f t="shared" si="11"/>
        <v>6.9326957840634575</v>
      </c>
      <c r="I95" s="10">
        <f t="shared" si="12"/>
        <v>1.3265326496178975</v>
      </c>
      <c r="J95" s="4">
        <f t="shared" si="13"/>
        <v>823.60587633592263</v>
      </c>
      <c r="K95" s="4">
        <f t="shared" si="14"/>
        <v>185.15486631354764</v>
      </c>
      <c r="L95" s="45">
        <f>Pressure!Q95</f>
        <v>0.31969756422281592</v>
      </c>
      <c r="M95" s="10">
        <f t="shared" si="8"/>
        <v>3.0432028999288505</v>
      </c>
      <c r="N95" s="10">
        <f t="shared" si="15"/>
        <v>2.9545467240956045</v>
      </c>
    </row>
    <row r="96" spans="3:14">
      <c r="C96" s="4">
        <f>Pressure!AB96*1000000</f>
        <v>101000</v>
      </c>
      <c r="D96" s="84">
        <f>Pressure!I96</f>
        <v>1.4801552192482141E-4</v>
      </c>
      <c r="E96" s="40">
        <f>Pressure!H96</f>
        <v>148.0155219248214</v>
      </c>
      <c r="F96" s="10">
        <f t="shared" si="10"/>
        <v>8</v>
      </c>
      <c r="G96" s="4">
        <f t="shared" si="9"/>
        <v>101000</v>
      </c>
      <c r="H96" s="45" t="e">
        <f t="shared" si="11"/>
        <v>#DIV/0!</v>
      </c>
      <c r="I96" s="10">
        <f t="shared" si="12"/>
        <v>0</v>
      </c>
      <c r="J96" s="4">
        <f t="shared" si="13"/>
        <v>0</v>
      </c>
      <c r="K96" s="4">
        <f t="shared" si="14"/>
        <v>0</v>
      </c>
      <c r="L96" s="45">
        <f>Pressure!Q96</f>
        <v>0.32194859030116757</v>
      </c>
      <c r="M96" s="10">
        <f t="shared" si="8"/>
        <v>0.92697915295791211</v>
      </c>
      <c r="N96" s="10">
        <f t="shared" si="15"/>
        <v>2.9545467240956045</v>
      </c>
    </row>
    <row r="97" spans="3:14">
      <c r="C97" s="4">
        <f>Pressure!AB97*1000000</f>
        <v>4141324.9306940497</v>
      </c>
      <c r="D97" s="84">
        <f>Pressure!I97</f>
        <v>1.4801552192482141E-4</v>
      </c>
      <c r="E97" s="40">
        <f>Pressure!H97</f>
        <v>148.0155219248214</v>
      </c>
      <c r="F97" s="10">
        <f t="shared" si="10"/>
        <v>8</v>
      </c>
      <c r="G97" s="4">
        <f t="shared" si="9"/>
        <v>101000</v>
      </c>
      <c r="H97" s="45">
        <f t="shared" si="11"/>
        <v>6.8642758103270207</v>
      </c>
      <c r="I97" s="10">
        <f t="shared" si="12"/>
        <v>1.324715185643438</v>
      </c>
      <c r="J97" s="4">
        <f t="shared" si="13"/>
        <v>812.02440606699145</v>
      </c>
      <c r="K97" s="4">
        <f t="shared" si="14"/>
        <v>182.55123557101558</v>
      </c>
      <c r="L97" s="45">
        <f>Pressure!Q97</f>
        <v>0.32933853975968169</v>
      </c>
      <c r="M97" s="10">
        <f t="shared" si="8"/>
        <v>3.0004096599575076</v>
      </c>
      <c r="N97" s="10">
        <f t="shared" si="15"/>
        <v>2.9545467240956045</v>
      </c>
    </row>
    <row r="98" spans="3:14">
      <c r="C98" s="4">
        <f>Pressure!AB98*1000000</f>
        <v>101000</v>
      </c>
      <c r="D98" s="84">
        <f>Pressure!I98</f>
        <v>1.4801552192482141E-4</v>
      </c>
      <c r="E98" s="40">
        <f>Pressure!H98</f>
        <v>148.0155219248214</v>
      </c>
      <c r="F98" s="10">
        <f t="shared" si="10"/>
        <v>8</v>
      </c>
      <c r="G98" s="4">
        <f t="shared" si="9"/>
        <v>101000</v>
      </c>
      <c r="H98" s="45" t="e">
        <f t="shared" si="11"/>
        <v>#DIV/0!</v>
      </c>
      <c r="I98" s="10">
        <f t="shared" si="12"/>
        <v>0</v>
      </c>
      <c r="J98" s="4">
        <f t="shared" si="13"/>
        <v>0</v>
      </c>
      <c r="K98" s="4">
        <f t="shared" si="14"/>
        <v>0</v>
      </c>
      <c r="L98" s="45">
        <f>Pressure!Q98</f>
        <v>0.33159876930439391</v>
      </c>
      <c r="M98" s="10">
        <f t="shared" si="8"/>
        <v>0.91768077681000437</v>
      </c>
      <c r="N98" s="10">
        <f t="shared" si="15"/>
        <v>2.9545467240956045</v>
      </c>
    </row>
    <row r="99" spans="3:14">
      <c r="C99" s="4">
        <f>Pressure!AB99*1000000</f>
        <v>4089355.1993653523</v>
      </c>
      <c r="D99" s="84">
        <f>Pressure!I99</f>
        <v>1.4801552192482141E-4</v>
      </c>
      <c r="E99" s="40">
        <f>Pressure!H99</f>
        <v>148.0155219248214</v>
      </c>
      <c r="F99" s="10">
        <f t="shared" si="10"/>
        <v>8</v>
      </c>
      <c r="G99" s="4">
        <f t="shared" si="9"/>
        <v>101000</v>
      </c>
      <c r="H99" s="45">
        <f t="shared" si="11"/>
        <v>6.7974250254335571</v>
      </c>
      <c r="I99" s="10">
        <f t="shared" si="12"/>
        <v>1.3229156383743905</v>
      </c>
      <c r="J99" s="4">
        <f t="shared" si="13"/>
        <v>800.74501935360092</v>
      </c>
      <c r="K99" s="4">
        <f t="shared" si="14"/>
        <v>180.01551624333459</v>
      </c>
      <c r="L99" s="45">
        <f>Pressure!Q99</f>
        <v>0.33898871876290804</v>
      </c>
      <c r="M99" s="10">
        <f t="shared" si="8"/>
        <v>2.9587326110900118</v>
      </c>
      <c r="N99" s="10">
        <f t="shared" si="15"/>
        <v>2.9545467240956045</v>
      </c>
    </row>
    <row r="100" spans="3:14">
      <c r="C100" s="4">
        <f>Pressure!AB100*1000000</f>
        <v>101000</v>
      </c>
      <c r="D100" s="84">
        <f>Pressure!I100</f>
        <v>1.4801552192482141E-4</v>
      </c>
      <c r="E100" s="40">
        <f>Pressure!H100</f>
        <v>148.0155219248214</v>
      </c>
      <c r="F100" s="10">
        <f t="shared" si="10"/>
        <v>8</v>
      </c>
      <c r="G100" s="4">
        <f t="shared" si="9"/>
        <v>101000</v>
      </c>
      <c r="H100" s="45" t="e">
        <f t="shared" si="11"/>
        <v>#DIV/0!</v>
      </c>
      <c r="I100" s="10">
        <f t="shared" si="12"/>
        <v>0</v>
      </c>
      <c r="J100" s="4">
        <f t="shared" si="13"/>
        <v>0</v>
      </c>
      <c r="K100" s="4">
        <f t="shared" si="14"/>
        <v>0</v>
      </c>
      <c r="L100" s="45">
        <f>Pressure!Q100</f>
        <v>0.34125807196173613</v>
      </c>
      <c r="M100" s="10">
        <f t="shared" si="8"/>
        <v>0.90858663555787944</v>
      </c>
      <c r="N100" s="10">
        <f t="shared" si="15"/>
        <v>2.9545467240956045</v>
      </c>
    </row>
    <row r="101" spans="3:14">
      <c r="C101" s="4">
        <f>Pressure!AB101*1000000</f>
        <v>4038674.6948909191</v>
      </c>
      <c r="D101" s="84">
        <f>Pressure!I101</f>
        <v>1.4801552192482141E-4</v>
      </c>
      <c r="E101" s="40">
        <f>Pressure!H101</f>
        <v>148.0155219248214</v>
      </c>
      <c r="F101" s="10">
        <f t="shared" si="10"/>
        <v>8</v>
      </c>
      <c r="G101" s="4">
        <f t="shared" si="9"/>
        <v>101000</v>
      </c>
      <c r="H101" s="45">
        <f t="shared" si="11"/>
        <v>6.7320861139494088</v>
      </c>
      <c r="I101" s="10">
        <f t="shared" si="12"/>
        <v>1.3211335399305892</v>
      </c>
      <c r="J101" s="4">
        <f t="shared" si="13"/>
        <v>789.7558514767677</v>
      </c>
      <c r="K101" s="4">
        <f t="shared" si="14"/>
        <v>177.54504102260864</v>
      </c>
      <c r="L101" s="45">
        <f>Pressure!Q101</f>
        <v>0.34864802142025025</v>
      </c>
      <c r="M101" s="10">
        <f t="shared" si="8"/>
        <v>2.9181279134895495</v>
      </c>
      <c r="N101" s="10">
        <f t="shared" si="15"/>
        <v>2.9545467240956045</v>
      </c>
    </row>
    <row r="102" spans="3:14">
      <c r="C102" s="4">
        <f>Pressure!AB102*1000000</f>
        <v>101000</v>
      </c>
      <c r="D102" s="84">
        <f>Pressure!I102</f>
        <v>1.4801552192482141E-4</v>
      </c>
      <c r="E102" s="40">
        <f>Pressure!H102</f>
        <v>148.0155219248214</v>
      </c>
      <c r="F102" s="10">
        <f t="shared" si="10"/>
        <v>8</v>
      </c>
      <c r="G102" s="4">
        <f t="shared" si="9"/>
        <v>101000</v>
      </c>
      <c r="H102" s="45" t="e">
        <f t="shared" si="11"/>
        <v>#DIV/0!</v>
      </c>
      <c r="I102" s="10">
        <f t="shared" si="12"/>
        <v>0</v>
      </c>
      <c r="J102" s="4">
        <f t="shared" si="13"/>
        <v>0</v>
      </c>
      <c r="K102" s="4">
        <f t="shared" si="14"/>
        <v>0</v>
      </c>
      <c r="L102" s="45">
        <f>Pressure!Q102</f>
        <v>0.3509264204438437</v>
      </c>
      <c r="M102" s="10">
        <f t="shared" si="8"/>
        <v>0.89968948044093944</v>
      </c>
      <c r="N102" s="10">
        <f t="shared" si="15"/>
        <v>2.9545467240956045</v>
      </c>
    </row>
    <row r="103" spans="3:14">
      <c r="C103" s="4">
        <f>Pressure!AB103*1000000</f>
        <v>3989234.389971877</v>
      </c>
      <c r="D103" s="84">
        <f>Pressure!I103</f>
        <v>1.4801552192482141E-4</v>
      </c>
      <c r="E103" s="40">
        <f>Pressure!H103</f>
        <v>148.0155219248214</v>
      </c>
      <c r="F103" s="10">
        <f t="shared" si="10"/>
        <v>8</v>
      </c>
      <c r="G103" s="4">
        <f t="shared" si="9"/>
        <v>101000</v>
      </c>
      <c r="H103" s="45">
        <f t="shared" si="11"/>
        <v>6.6682045556514975</v>
      </c>
      <c r="I103" s="10">
        <f t="shared" si="12"/>
        <v>1.3193684391938896</v>
      </c>
      <c r="J103" s="4">
        <f t="shared" si="13"/>
        <v>779.04564878050508</v>
      </c>
      <c r="K103" s="4">
        <f t="shared" si="14"/>
        <v>175.13727997403558</v>
      </c>
      <c r="L103" s="45">
        <f>Pressure!Q103</f>
        <v>0.35831636990235782</v>
      </c>
      <c r="M103" s="10">
        <f t="shared" si="8"/>
        <v>2.8785539851816382</v>
      </c>
      <c r="N103" s="10">
        <f t="shared" si="15"/>
        <v>2.9545467240956045</v>
      </c>
    </row>
    <row r="104" spans="3:14">
      <c r="C104" s="4">
        <f>Pressure!AB104*1000000</f>
        <v>149259.00206175901</v>
      </c>
      <c r="D104" s="84">
        <f>Pressure!I104</f>
        <v>1.4801552192482141E-4</v>
      </c>
      <c r="E104" s="40">
        <f>Pressure!H104</f>
        <v>148.0155219248214</v>
      </c>
      <c r="F104" s="10">
        <f t="shared" si="10"/>
        <v>8</v>
      </c>
      <c r="G104" s="4">
        <f t="shared" si="9"/>
        <v>101000</v>
      </c>
      <c r="H104" s="45">
        <f t="shared" si="11"/>
        <v>1.0261455590496802</v>
      </c>
      <c r="I104" s="10">
        <f t="shared" si="12"/>
        <v>0.47176198839662831</v>
      </c>
      <c r="J104" s="4">
        <f t="shared" si="13"/>
        <v>10.422472064661298</v>
      </c>
      <c r="K104" s="4">
        <f t="shared" si="14"/>
        <v>2.343076315062564</v>
      </c>
      <c r="L104" s="45">
        <f>Pressure!Q104</f>
        <v>0.36060373883720098</v>
      </c>
      <c r="M104" s="10">
        <f t="shared" ref="M104:M167" si="16">(J104+J103)/2*(L104-L103)</f>
        <v>0.90290242733511938</v>
      </c>
      <c r="N104" s="10">
        <f t="shared" si="15"/>
        <v>2.9545467240956045</v>
      </c>
    </row>
    <row r="105" spans="3:14">
      <c r="C105" s="4">
        <f>Pressure!AB105*1000000</f>
        <v>3718911.4476714795</v>
      </c>
      <c r="D105" s="84">
        <f>Pressure!I105</f>
        <v>1.4801552192482141E-4</v>
      </c>
      <c r="E105" s="40">
        <f>Pressure!H105</f>
        <v>148.0155219248214</v>
      </c>
      <c r="F105" s="10">
        <f t="shared" si="10"/>
        <v>8</v>
      </c>
      <c r="G105" s="4">
        <f t="shared" si="9"/>
        <v>101000</v>
      </c>
      <c r="H105" s="45">
        <f t="shared" si="11"/>
        <v>6.3163530115859006</v>
      </c>
      <c r="I105" s="10">
        <f t="shared" si="12"/>
        <v>1.30921847837224</v>
      </c>
      <c r="J105" s="4">
        <f t="shared" si="13"/>
        <v>720.6679770314372</v>
      </c>
      <c r="K105" s="4">
        <f t="shared" si="14"/>
        <v>162.01339351455357</v>
      </c>
      <c r="L105" s="45">
        <f>Pressure!Q105</f>
        <v>0.36712802431995589</v>
      </c>
      <c r="M105" s="10">
        <f t="shared" si="16"/>
        <v>2.3849214018092217</v>
      </c>
      <c r="N105" s="10">
        <f t="shared" si="15"/>
        <v>2.9545467240956045</v>
      </c>
    </row>
    <row r="106" spans="3:14">
      <c r="C106" s="4">
        <f>Pressure!AB106*1000000</f>
        <v>301546.98133179918</v>
      </c>
      <c r="D106" s="84">
        <f>Pressure!I106</f>
        <v>1.4801552192482141E-4</v>
      </c>
      <c r="E106" s="40">
        <f>Pressure!H106</f>
        <v>148.0155219248214</v>
      </c>
      <c r="F106" s="10">
        <f t="shared" si="10"/>
        <v>8</v>
      </c>
      <c r="G106" s="4">
        <f t="shared" si="9"/>
        <v>101000</v>
      </c>
      <c r="H106" s="45">
        <f t="shared" si="11"/>
        <v>1.1640716363842398</v>
      </c>
      <c r="I106" s="10">
        <f t="shared" si="12"/>
        <v>0.77359709570127688</v>
      </c>
      <c r="J106" s="4">
        <f t="shared" si="13"/>
        <v>34.528449498914405</v>
      </c>
      <c r="K106" s="4">
        <f t="shared" si="14"/>
        <v>7.7623419583009765</v>
      </c>
      <c r="L106" s="45">
        <f>Pressure!Q106</f>
        <v>0.36946717034548832</v>
      </c>
      <c r="M106" s="10">
        <f t="shared" si="16"/>
        <v>0.8832573598073804</v>
      </c>
      <c r="N106" s="10">
        <f t="shared" si="15"/>
        <v>2.9545467240956045</v>
      </c>
    </row>
    <row r="107" spans="3:14">
      <c r="C107" s="4">
        <f>Pressure!AB107*1000000</f>
        <v>3208244.6151479776</v>
      </c>
      <c r="D107" s="84">
        <f>Pressure!I107</f>
        <v>1.4801552192482141E-4</v>
      </c>
      <c r="E107" s="40">
        <f>Pressure!H107</f>
        <v>148.0155219248214</v>
      </c>
      <c r="F107" s="10">
        <f t="shared" si="10"/>
        <v>8</v>
      </c>
      <c r="G107" s="4">
        <f t="shared" si="9"/>
        <v>101000</v>
      </c>
      <c r="H107" s="45">
        <f t="shared" si="11"/>
        <v>5.6386770211534767</v>
      </c>
      <c r="I107" s="10">
        <f t="shared" si="12"/>
        <v>1.2873100259925088</v>
      </c>
      <c r="J107" s="4">
        <f t="shared" si="13"/>
        <v>611.30491355388278</v>
      </c>
      <c r="K107" s="4">
        <f t="shared" si="14"/>
        <v>137.42747932959011</v>
      </c>
      <c r="L107" s="45">
        <f>Pressure!Q107</f>
        <v>0.37468038666492759</v>
      </c>
      <c r="M107" s="10">
        <f t="shared" si="16"/>
        <v>1.6834345139525955</v>
      </c>
      <c r="N107" s="10">
        <f t="shared" si="15"/>
        <v>2.9545467240956045</v>
      </c>
    </row>
    <row r="108" spans="3:14">
      <c r="C108" s="4">
        <f>Pressure!AB108*1000000</f>
        <v>551203.26198868616</v>
      </c>
      <c r="D108" s="84">
        <f>Pressure!I108</f>
        <v>1.4801552192482141E-4</v>
      </c>
      <c r="E108" s="40">
        <f>Pressure!H108</f>
        <v>148.0155219248214</v>
      </c>
      <c r="F108" s="10">
        <f t="shared" si="10"/>
        <v>8</v>
      </c>
      <c r="G108" s="4">
        <f t="shared" si="9"/>
        <v>101000</v>
      </c>
      <c r="H108" s="45">
        <f t="shared" si="11"/>
        <v>1.6191800520976223</v>
      </c>
      <c r="I108" s="10">
        <f t="shared" si="12"/>
        <v>0.94712160285245994</v>
      </c>
      <c r="J108" s="4">
        <f t="shared" si="13"/>
        <v>77.27246783685915</v>
      </c>
      <c r="K108" s="4">
        <f t="shared" si="14"/>
        <v>17.371626239121252</v>
      </c>
      <c r="L108" s="45">
        <f>Pressure!Q108</f>
        <v>0.37713238777352909</v>
      </c>
      <c r="M108" s="10">
        <f t="shared" si="16"/>
        <v>0.84419625126400788</v>
      </c>
      <c r="N108" s="10">
        <f t="shared" si="15"/>
        <v>2.9545467240956045</v>
      </c>
    </row>
    <row r="109" spans="3:14">
      <c r="C109" s="4">
        <f>Pressure!AB109*1000000</f>
        <v>2677605.648776839</v>
      </c>
      <c r="D109" s="84">
        <f>Pressure!I109</f>
        <v>1.4801552192482141E-4</v>
      </c>
      <c r="E109" s="40">
        <f>Pressure!H109</f>
        <v>148.0155219248214</v>
      </c>
      <c r="F109" s="10">
        <f t="shared" si="10"/>
        <v>8</v>
      </c>
      <c r="G109" s="4">
        <f t="shared" si="9"/>
        <v>101000</v>
      </c>
      <c r="H109" s="45">
        <f t="shared" si="11"/>
        <v>4.9133835952347731</v>
      </c>
      <c r="I109" s="10">
        <f t="shared" si="12"/>
        <v>1.2594362975050406</v>
      </c>
      <c r="J109" s="4">
        <f t="shared" si="13"/>
        <v>499.14885836170339</v>
      </c>
      <c r="K109" s="4">
        <f t="shared" si="14"/>
        <v>112.21367257805481</v>
      </c>
      <c r="L109" s="45">
        <f>Pressure!Q109</f>
        <v>0.38143311134175284</v>
      </c>
      <c r="M109" s="10">
        <f t="shared" si="16"/>
        <v>1.2395143914044746</v>
      </c>
      <c r="N109" s="10">
        <f t="shared" si="15"/>
        <v>2.9545467240956045</v>
      </c>
    </row>
    <row r="110" spans="3:14">
      <c r="C110" s="4">
        <f>Pressure!AB110*1000000</f>
        <v>829679.22900835704</v>
      </c>
      <c r="D110" s="84">
        <f>Pressure!I110</f>
        <v>1.4801552192482141E-4</v>
      </c>
      <c r="E110" s="40">
        <f>Pressure!H110</f>
        <v>148.0155219248214</v>
      </c>
      <c r="F110" s="10">
        <f t="shared" si="10"/>
        <v>8</v>
      </c>
      <c r="G110" s="4">
        <f t="shared" si="9"/>
        <v>101000</v>
      </c>
      <c r="H110" s="45">
        <f t="shared" si="11"/>
        <v>2.1095117543745587</v>
      </c>
      <c r="I110" s="10">
        <f t="shared" si="12"/>
        <v>1.0429645459505805</v>
      </c>
      <c r="J110" s="4">
        <f t="shared" si="13"/>
        <v>128.08168253979881</v>
      </c>
      <c r="K110" s="4">
        <f t="shared" si="14"/>
        <v>28.794047601231689</v>
      </c>
      <c r="L110" s="45">
        <f>Pressure!Q110</f>
        <v>0.38403069064945167</v>
      </c>
      <c r="M110" s="10">
        <f t="shared" si="16"/>
        <v>0.81464053710124251</v>
      </c>
      <c r="N110" s="10">
        <f t="shared" si="15"/>
        <v>2.9545467240956045</v>
      </c>
    </row>
    <row r="111" spans="3:14">
      <c r="C111" s="4">
        <f>Pressure!AB111*1000000</f>
        <v>2258367.1674153707</v>
      </c>
      <c r="D111" s="84">
        <f>Pressure!I111</f>
        <v>1.4801552192482141E-4</v>
      </c>
      <c r="E111" s="40">
        <f>Pressure!H111</f>
        <v>148.0155219248214</v>
      </c>
      <c r="F111" s="10">
        <f t="shared" si="10"/>
        <v>8</v>
      </c>
      <c r="G111" s="4">
        <f t="shared" si="9"/>
        <v>101000</v>
      </c>
      <c r="H111" s="45">
        <f t="shared" si="11"/>
        <v>4.3217518723358737</v>
      </c>
      <c r="I111" s="10">
        <f t="shared" si="12"/>
        <v>1.2320434654149968</v>
      </c>
      <c r="J111" s="4">
        <f t="shared" si="13"/>
        <v>411.83935195072701</v>
      </c>
      <c r="K111" s="4">
        <f t="shared" si="14"/>
        <v>92.585619340570801</v>
      </c>
      <c r="L111" s="45">
        <f>Pressure!Q111</f>
        <v>0.38780543572281545</v>
      </c>
      <c r="M111" s="10">
        <f t="shared" si="16"/>
        <v>1.0190321324742948</v>
      </c>
      <c r="N111" s="10">
        <f t="shared" si="15"/>
        <v>2.9545467240956045</v>
      </c>
    </row>
    <row r="112" spans="3:14">
      <c r="C112" s="4">
        <f>Pressure!AB112*1000000</f>
        <v>1075480.6363961361</v>
      </c>
      <c r="D112" s="84">
        <f>Pressure!I112</f>
        <v>1.4801552192482141E-4</v>
      </c>
      <c r="E112" s="40">
        <f>Pressure!H112</f>
        <v>148.0155219248214</v>
      </c>
      <c r="F112" s="10">
        <f t="shared" si="10"/>
        <v>8</v>
      </c>
      <c r="G112" s="4">
        <f t="shared" si="9"/>
        <v>101000</v>
      </c>
      <c r="H112" s="45">
        <f t="shared" si="11"/>
        <v>2.5210218487145015</v>
      </c>
      <c r="I112" s="10">
        <f t="shared" si="12"/>
        <v>1.0973333808146977</v>
      </c>
      <c r="J112" s="4">
        <f t="shared" si="13"/>
        <v>174.68211717237983</v>
      </c>
      <c r="K112" s="4">
        <f t="shared" si="14"/>
        <v>39.270292966229</v>
      </c>
      <c r="L112" s="45">
        <f>Pressure!Q112</f>
        <v>0.39054801711148535</v>
      </c>
      <c r="M112" s="10">
        <f t="shared" si="16"/>
        <v>0.80429143263617886</v>
      </c>
      <c r="N112" s="10">
        <f t="shared" si="15"/>
        <v>2.9545467240956045</v>
      </c>
    </row>
    <row r="113" spans="3:14">
      <c r="C113" s="4">
        <f>Pressure!AB113*1000000</f>
        <v>1969744.2091867675</v>
      </c>
      <c r="D113" s="84">
        <f>Pressure!I113</f>
        <v>1.4801552192482141E-4</v>
      </c>
      <c r="E113" s="40">
        <f>Pressure!H113</f>
        <v>148.0155219248214</v>
      </c>
      <c r="F113" s="10">
        <f t="shared" si="10"/>
        <v>8</v>
      </c>
      <c r="G113" s="4">
        <f t="shared" si="9"/>
        <v>101000</v>
      </c>
      <c r="H113" s="45">
        <f t="shared" si="11"/>
        <v>3.9028256971575006</v>
      </c>
      <c r="I113" s="10">
        <f t="shared" si="12"/>
        <v>1.2091857080568527</v>
      </c>
      <c r="J113" s="4">
        <f t="shared" si="13"/>
        <v>352.54137876061719</v>
      </c>
      <c r="K113" s="4">
        <f t="shared" si="14"/>
        <v>79.254839881439054</v>
      </c>
      <c r="L113" s="45">
        <f>Pressure!Q113</f>
        <v>0.3940228886861955</v>
      </c>
      <c r="M113" s="10">
        <f t="shared" si="16"/>
        <v>0.91601696976844416</v>
      </c>
      <c r="N113" s="10">
        <f t="shared" si="15"/>
        <v>2.9545467240956045</v>
      </c>
    </row>
    <row r="114" spans="3:14">
      <c r="C114" s="4">
        <f>Pressure!AB114*1000000</f>
        <v>1261891.6274871139</v>
      </c>
      <c r="D114" s="84">
        <f>Pressure!I114</f>
        <v>1.4801552192482141E-4</v>
      </c>
      <c r="E114" s="40">
        <f>Pressure!H114</f>
        <v>148.0155219248214</v>
      </c>
      <c r="F114" s="10">
        <f t="shared" si="10"/>
        <v>8</v>
      </c>
      <c r="G114" s="4">
        <f t="shared" si="9"/>
        <v>101000</v>
      </c>
      <c r="H114" s="45">
        <f t="shared" si="11"/>
        <v>2.8221989600539104</v>
      </c>
      <c r="I114" s="10">
        <f t="shared" si="12"/>
        <v>1.1287507739040588</v>
      </c>
      <c r="J114" s="4">
        <f t="shared" si="13"/>
        <v>210.82755919085758</v>
      </c>
      <c r="K114" s="4">
        <f t="shared" si="14"/>
        <v>47.39615107028856</v>
      </c>
      <c r="L114" s="45">
        <f>Pressure!Q114</f>
        <v>0.39688774767138696</v>
      </c>
      <c r="M114" s="10">
        <f t="shared" si="16"/>
        <v>0.80698628193402466</v>
      </c>
      <c r="N114" s="10">
        <f t="shared" si="15"/>
        <v>2.9545467240956045</v>
      </c>
    </row>
    <row r="115" spans="3:14">
      <c r="C115" s="4">
        <f>Pressure!AB115*1000000</f>
        <v>1786854.4094263788</v>
      </c>
      <c r="D115" s="84">
        <f>Pressure!I115</f>
        <v>1.4801552192482141E-4</v>
      </c>
      <c r="E115" s="40">
        <f>Pressure!H115</f>
        <v>148.0155219248214</v>
      </c>
      <c r="F115" s="10">
        <f t="shared" si="10"/>
        <v>8</v>
      </c>
      <c r="G115" s="4">
        <f t="shared" si="9"/>
        <v>101000</v>
      </c>
      <c r="H115" s="45">
        <f t="shared" si="11"/>
        <v>3.6316011504179104</v>
      </c>
      <c r="I115" s="10">
        <f t="shared" si="12"/>
        <v>1.1923980787722097</v>
      </c>
      <c r="J115" s="4">
        <f t="shared" si="13"/>
        <v>315.36805285845378</v>
      </c>
      <c r="K115" s="4">
        <f t="shared" si="14"/>
        <v>70.897903164977691</v>
      </c>
      <c r="L115" s="45">
        <f>Pressure!Q115</f>
        <v>0.40018987602014949</v>
      </c>
      <c r="M115" s="10">
        <f t="shared" si="16"/>
        <v>0.86878272377124188</v>
      </c>
      <c r="N115" s="10">
        <f t="shared" si="15"/>
        <v>2.9545467240956045</v>
      </c>
    </row>
    <row r="116" spans="3:14">
      <c r="C116" s="4">
        <f>Pressure!AB116*1000000</f>
        <v>1388416.6642066145</v>
      </c>
      <c r="D116" s="84">
        <f>Pressure!I116</f>
        <v>1.4801552192482141E-4</v>
      </c>
      <c r="E116" s="40">
        <f>Pressure!H116</f>
        <v>148.0155219248214</v>
      </c>
      <c r="F116" s="10">
        <f t="shared" si="10"/>
        <v>8</v>
      </c>
      <c r="G116" s="4">
        <f t="shared" si="9"/>
        <v>101000</v>
      </c>
      <c r="H116" s="45">
        <f t="shared" si="11"/>
        <v>3.0220785590514372</v>
      </c>
      <c r="I116" s="10">
        <f t="shared" si="12"/>
        <v>1.1468493713347425</v>
      </c>
      <c r="J116" s="4">
        <f t="shared" si="13"/>
        <v>235.68582285247794</v>
      </c>
      <c r="K116" s="4">
        <f t="shared" si="14"/>
        <v>52.984538207022602</v>
      </c>
      <c r="L116" s="45">
        <f>Pressure!Q116</f>
        <v>0.4031451894118242</v>
      </c>
      <c r="M116" s="10">
        <f t="shared" si="16"/>
        <v>0.81426844921138319</v>
      </c>
      <c r="N116" s="10">
        <f t="shared" si="15"/>
        <v>2.9545467240956045</v>
      </c>
    </row>
    <row r="117" spans="3:14">
      <c r="C117" s="4">
        <f>Pressure!AB117*1000000</f>
        <v>1678213.1848760028</v>
      </c>
      <c r="D117" s="84">
        <f>Pressure!I117</f>
        <v>1.4801552192482141E-4</v>
      </c>
      <c r="E117" s="40">
        <f>Pressure!H117</f>
        <v>148.0155219248214</v>
      </c>
      <c r="F117" s="10">
        <f t="shared" si="10"/>
        <v>8</v>
      </c>
      <c r="G117" s="4">
        <f t="shared" si="9"/>
        <v>101000</v>
      </c>
      <c r="H117" s="45">
        <f t="shared" si="11"/>
        <v>3.468105410362186</v>
      </c>
      <c r="I117" s="10">
        <f t="shared" si="12"/>
        <v>1.1813618940580701</v>
      </c>
      <c r="J117" s="4">
        <f t="shared" si="13"/>
        <v>293.45218520711762</v>
      </c>
      <c r="K117" s="4">
        <f t="shared" si="14"/>
        <v>65.970996179829513</v>
      </c>
      <c r="L117" s="45">
        <f>Pressure!Q117</f>
        <v>0.4063481837029867</v>
      </c>
      <c r="M117" s="10">
        <f t="shared" si="16"/>
        <v>0.84741300952599008</v>
      </c>
      <c r="N117" s="10">
        <f t="shared" si="15"/>
        <v>2.9545467240956045</v>
      </c>
    </row>
    <row r="118" spans="3:14">
      <c r="C118" s="4">
        <f>Pressure!AB118*1000000</f>
        <v>1466942.7609772002</v>
      </c>
      <c r="D118" s="84">
        <f>Pressure!I118</f>
        <v>1.4801552192482141E-4</v>
      </c>
      <c r="E118" s="40">
        <f>Pressure!H118</f>
        <v>148.0155219248214</v>
      </c>
      <c r="F118" s="10">
        <f t="shared" si="10"/>
        <v>8</v>
      </c>
      <c r="G118" s="4">
        <f t="shared" si="9"/>
        <v>101000</v>
      </c>
      <c r="H118" s="45">
        <f t="shared" si="11"/>
        <v>3.1444740804796432</v>
      </c>
      <c r="I118" s="10">
        <f t="shared" si="12"/>
        <v>1.157051479765542</v>
      </c>
      <c r="J118" s="4">
        <f t="shared" si="13"/>
        <v>251.23093306551348</v>
      </c>
      <c r="K118" s="4">
        <f t="shared" si="14"/>
        <v>56.479234986177218</v>
      </c>
      <c r="L118" s="45">
        <f>Pressure!Q118</f>
        <v>0.40936322838282885</v>
      </c>
      <c r="M118" s="10">
        <f t="shared" si="16"/>
        <v>0.82112196897386425</v>
      </c>
      <c r="N118" s="10">
        <f t="shared" si="15"/>
        <v>2.9545467240956045</v>
      </c>
    </row>
    <row r="119" spans="3:14">
      <c r="C119" s="4">
        <f>Pressure!AB119*1000000</f>
        <v>1617577.2724299813</v>
      </c>
      <c r="D119" s="84">
        <f>Pressure!I119</f>
        <v>1.4801552192482141E-4</v>
      </c>
      <c r="E119" s="40">
        <f>Pressure!H119</f>
        <v>148.0155219248214</v>
      </c>
      <c r="F119" s="10">
        <f t="shared" si="10"/>
        <v>8</v>
      </c>
      <c r="G119" s="4">
        <f t="shared" si="9"/>
        <v>101000</v>
      </c>
      <c r="H119" s="45">
        <f t="shared" si="11"/>
        <v>3.3760202595866118</v>
      </c>
      <c r="I119" s="10">
        <f t="shared" si="12"/>
        <v>1.1748007304656272</v>
      </c>
      <c r="J119" s="4">
        <f t="shared" si="13"/>
        <v>281.27847905714623</v>
      </c>
      <c r="K119" s="4">
        <f t="shared" si="14"/>
        <v>63.234224867844574</v>
      </c>
      <c r="L119" s="45">
        <f>Pressure!Q119</f>
        <v>0.41251049971384779</v>
      </c>
      <c r="M119" s="10">
        <f t="shared" si="16"/>
        <v>0.83797580313569864</v>
      </c>
      <c r="N119" s="10">
        <f t="shared" si="15"/>
        <v>2.9545467240956045</v>
      </c>
    </row>
    <row r="120" spans="3:14">
      <c r="C120" s="4">
        <f>Pressure!AB120*1000000</f>
        <v>1512133.5135126945</v>
      </c>
      <c r="D120" s="84">
        <f>Pressure!I120</f>
        <v>1.4801552192482141E-4</v>
      </c>
      <c r="E120" s="40">
        <f>Pressure!H120</f>
        <v>148.0155219248214</v>
      </c>
      <c r="F120" s="10">
        <f t="shared" si="10"/>
        <v>8</v>
      </c>
      <c r="G120" s="4">
        <f t="shared" si="9"/>
        <v>101000</v>
      </c>
      <c r="H120" s="45">
        <f t="shared" si="11"/>
        <v>3.214372295490628</v>
      </c>
      <c r="I120" s="10">
        <f t="shared" si="12"/>
        <v>1.1626116871108034</v>
      </c>
      <c r="J120" s="4">
        <f t="shared" si="13"/>
        <v>260.2148540195447</v>
      </c>
      <c r="K120" s="4">
        <f t="shared" si="14"/>
        <v>58.49891057496172</v>
      </c>
      <c r="L120" s="45">
        <f>Pressure!Q120</f>
        <v>0.41556114729593557</v>
      </c>
      <c r="M120" s="10">
        <f t="shared" si="16"/>
        <v>0.82595266363353126</v>
      </c>
      <c r="N120" s="10">
        <f t="shared" si="15"/>
        <v>2.9545467240956045</v>
      </c>
    </row>
    <row r="121" spans="3:14">
      <c r="C121" s="4">
        <f>Pressure!AB121*1000000</f>
        <v>1585971.3139770192</v>
      </c>
      <c r="D121" s="84">
        <f>Pressure!I121</f>
        <v>1.4801552192482141E-4</v>
      </c>
      <c r="E121" s="40">
        <f>Pressure!H121</f>
        <v>148.0155219248214</v>
      </c>
      <c r="F121" s="10">
        <f t="shared" si="10"/>
        <v>8</v>
      </c>
      <c r="G121" s="4">
        <f t="shared" si="9"/>
        <v>101000</v>
      </c>
      <c r="H121" s="45">
        <f t="shared" si="11"/>
        <v>3.3277738545357529</v>
      </c>
      <c r="I121" s="10">
        <f t="shared" si="12"/>
        <v>1.1712556925835307</v>
      </c>
      <c r="J121" s="4">
        <f t="shared" si="13"/>
        <v>274.95036679090111</v>
      </c>
      <c r="K121" s="4">
        <f t="shared" si="14"/>
        <v>61.811601724495553</v>
      </c>
      <c r="L121" s="45">
        <f>Pressure!Q121</f>
        <v>0.41867810372983583</v>
      </c>
      <c r="M121" s="10">
        <f t="shared" si="16"/>
        <v>0.83404333910238437</v>
      </c>
      <c r="N121" s="10">
        <f t="shared" si="15"/>
        <v>2.9545467240956045</v>
      </c>
    </row>
    <row r="122" spans="3:14">
      <c r="C122" s="4">
        <f>Pressure!AB122*1000000</f>
        <v>1536570.8773985442</v>
      </c>
      <c r="D122" s="84">
        <f>Pressure!I122</f>
        <v>1.4801552192482141E-4</v>
      </c>
      <c r="E122" s="40">
        <f>Pressure!H122</f>
        <v>148.0155219248214</v>
      </c>
      <c r="F122" s="10">
        <f t="shared" si="10"/>
        <v>8</v>
      </c>
      <c r="G122" s="4">
        <f t="shared" si="9"/>
        <v>101000</v>
      </c>
      <c r="H122" s="45">
        <f t="shared" si="11"/>
        <v>3.2520125189419438</v>
      </c>
      <c r="I122" s="10">
        <f t="shared" si="12"/>
        <v>1.1655309363997064</v>
      </c>
      <c r="J122" s="4">
        <f t="shared" si="13"/>
        <v>265.08409078914008</v>
      </c>
      <c r="K122" s="4">
        <f t="shared" si="14"/>
        <v>59.593563866089674</v>
      </c>
      <c r="L122" s="45">
        <f>Pressure!Q122</f>
        <v>0.42174801467211798</v>
      </c>
      <c r="M122" s="10">
        <f t="shared" si="16"/>
        <v>0.82892884526718702</v>
      </c>
      <c r="N122" s="10">
        <f t="shared" si="15"/>
        <v>2.9545467240956045</v>
      </c>
    </row>
    <row r="123" spans="3:14">
      <c r="C123" s="4">
        <f>Pressure!AB123*1000000</f>
        <v>1570813.9756747168</v>
      </c>
      <c r="D123" s="84">
        <f>Pressure!I123</f>
        <v>1.4801552192482141E-4</v>
      </c>
      <c r="E123" s="40">
        <f>Pressure!H123</f>
        <v>148.0155219248214</v>
      </c>
      <c r="F123" s="10">
        <f t="shared" si="10"/>
        <v>8</v>
      </c>
      <c r="G123" s="4">
        <f t="shared" si="9"/>
        <v>101000</v>
      </c>
      <c r="H123" s="45">
        <f t="shared" si="11"/>
        <v>3.3045744365287293</v>
      </c>
      <c r="I123" s="10">
        <f t="shared" si="12"/>
        <v>1.1695235802008006</v>
      </c>
      <c r="J123" s="4">
        <f t="shared" si="13"/>
        <v>271.91990511970016</v>
      </c>
      <c r="K123" s="4">
        <f t="shared" si="14"/>
        <v>61.13032352855091</v>
      </c>
      <c r="L123" s="45">
        <f>Pressure!Q123</f>
        <v>0.42484907137735517</v>
      </c>
      <c r="M123" s="10">
        <f t="shared" si="16"/>
        <v>0.83263992112613761</v>
      </c>
      <c r="N123" s="10">
        <f t="shared" si="15"/>
        <v>2.9545467240956045</v>
      </c>
    </row>
    <row r="124" spans="3:14">
      <c r="C124" s="4">
        <f>Pressure!AB124*1000000</f>
        <v>1549224.5752115978</v>
      </c>
      <c r="D124" s="84">
        <f>Pressure!I124</f>
        <v>1.4801552192482141E-4</v>
      </c>
      <c r="E124" s="40">
        <f>Pressure!H124</f>
        <v>148.0155219248214</v>
      </c>
      <c r="F124" s="10">
        <f t="shared" si="10"/>
        <v>8</v>
      </c>
      <c r="G124" s="4">
        <f t="shared" si="9"/>
        <v>101000</v>
      </c>
      <c r="H124" s="45">
        <f t="shared" si="11"/>
        <v>3.2714599832358333</v>
      </c>
      <c r="I124" s="10">
        <f t="shared" si="12"/>
        <v>1.1670193937830848</v>
      </c>
      <c r="J124" s="4">
        <f t="shared" si="13"/>
        <v>267.60838169436278</v>
      </c>
      <c r="K124" s="4">
        <f t="shared" si="14"/>
        <v>60.161049794155566</v>
      </c>
      <c r="L124" s="45">
        <f>Pressure!Q124</f>
        <v>0.42792840106528035</v>
      </c>
      <c r="M124" s="10">
        <f t="shared" si="16"/>
        <v>0.830692735530978</v>
      </c>
      <c r="N124" s="10">
        <f t="shared" si="15"/>
        <v>2.9545467240956045</v>
      </c>
    </row>
    <row r="125" spans="3:14">
      <c r="C125" s="4">
        <f>Pressure!AB125*1000000</f>
        <v>1564370.7034201592</v>
      </c>
      <c r="D125" s="84">
        <f>Pressure!I125</f>
        <v>1.4801552192482141E-4</v>
      </c>
      <c r="E125" s="40">
        <f>Pressure!H125</f>
        <v>148.0155219248214</v>
      </c>
      <c r="F125" s="10">
        <f t="shared" si="10"/>
        <v>8</v>
      </c>
      <c r="G125" s="4">
        <f t="shared" si="9"/>
        <v>101000</v>
      </c>
      <c r="H125" s="45">
        <f t="shared" si="11"/>
        <v>3.2947002491081796</v>
      </c>
      <c r="I125" s="10">
        <f t="shared" si="12"/>
        <v>1.1687808214936151</v>
      </c>
      <c r="J125" s="4">
        <f t="shared" si="13"/>
        <v>270.63253881572712</v>
      </c>
      <c r="K125" s="4">
        <f t="shared" si="14"/>
        <v>60.840910664027497</v>
      </c>
      <c r="L125" s="45">
        <f>Pressure!Q125</f>
        <v>0.43102135534281194</v>
      </c>
      <c r="M125" s="10">
        <f t="shared" si="16"/>
        <v>0.83237727871711142</v>
      </c>
      <c r="N125" s="10">
        <f t="shared" si="15"/>
        <v>2.9545467240956045</v>
      </c>
    </row>
    <row r="126" spans="3:14">
      <c r="C126" s="4">
        <f>Pressure!AB126*1000000</f>
        <v>1555711.2835967466</v>
      </c>
      <c r="D126" s="84">
        <f>Pressure!I126</f>
        <v>1.4801552192482141E-4</v>
      </c>
      <c r="E126" s="40">
        <f>Pressure!H126</f>
        <v>148.0155219248214</v>
      </c>
      <c r="F126" s="10">
        <f t="shared" si="10"/>
        <v>8</v>
      </c>
      <c r="G126" s="4">
        <f t="shared" si="9"/>
        <v>101000</v>
      </c>
      <c r="H126" s="45">
        <f t="shared" si="11"/>
        <v>3.2814182297278349</v>
      </c>
      <c r="I126" s="10">
        <f t="shared" si="12"/>
        <v>1.167776440289491</v>
      </c>
      <c r="J126" s="4">
        <f t="shared" si="13"/>
        <v>268.90320079935952</v>
      </c>
      <c r="K126" s="4">
        <f t="shared" si="14"/>
        <v>60.452138123141836</v>
      </c>
      <c r="L126" s="45">
        <f>Pressure!Q126</f>
        <v>0.43410472525604982</v>
      </c>
      <c r="M126" s="10">
        <f t="shared" si="16"/>
        <v>0.83179413332285168</v>
      </c>
      <c r="N126" s="10">
        <f t="shared" si="15"/>
        <v>2.9545467240956045</v>
      </c>
    </row>
    <row r="127" spans="3:14">
      <c r="C127" s="4">
        <f>Pressure!AB127*1000000</f>
        <v>1562230.8190430659</v>
      </c>
      <c r="D127" s="84">
        <f>Pressure!I127</f>
        <v>1.4801552192482141E-4</v>
      </c>
      <c r="E127" s="40">
        <f>Pressure!H127</f>
        <v>148.0155219248214</v>
      </c>
      <c r="F127" s="10">
        <f t="shared" si="10"/>
        <v>8</v>
      </c>
      <c r="G127" s="4">
        <f t="shared" si="9"/>
        <v>101000</v>
      </c>
      <c r="H127" s="45">
        <f t="shared" si="11"/>
        <v>3.2914192878780124</v>
      </c>
      <c r="I127" s="10">
        <f t="shared" si="12"/>
        <v>1.1685332815682585</v>
      </c>
      <c r="J127" s="4">
        <f t="shared" si="13"/>
        <v>270.2051039845399</v>
      </c>
      <c r="K127" s="4">
        <f t="shared" si="14"/>
        <v>60.744819024445825</v>
      </c>
      <c r="L127" s="45">
        <f>Pressure!Q127</f>
        <v>0.43719355972392282</v>
      </c>
      <c r="M127" s="10">
        <f t="shared" si="16"/>
        <v>0.83260815686654643</v>
      </c>
      <c r="N127" s="10">
        <f t="shared" si="15"/>
        <v>2.9545467240956045</v>
      </c>
    </row>
    <row r="128" spans="3:14">
      <c r="C128" s="4">
        <f>Pressure!AB128*1000000</f>
        <v>1559199.297443537</v>
      </c>
      <c r="D128" s="84">
        <f>Pressure!I128</f>
        <v>1.4801552192482141E-4</v>
      </c>
      <c r="E128" s="40">
        <f>Pressure!H128</f>
        <v>148.0155219248214</v>
      </c>
      <c r="F128" s="10">
        <f t="shared" si="10"/>
        <v>8</v>
      </c>
      <c r="G128" s="4">
        <f t="shared" si="9"/>
        <v>101000</v>
      </c>
      <c r="H128" s="45">
        <f t="shared" si="11"/>
        <v>3.2867698349474721</v>
      </c>
      <c r="I128" s="10">
        <f t="shared" si="12"/>
        <v>1.1681818584615427</v>
      </c>
      <c r="J128" s="4">
        <f t="shared" si="13"/>
        <v>269.59966535758173</v>
      </c>
      <c r="K128" s="4">
        <f t="shared" si="14"/>
        <v>60.608710345214185</v>
      </c>
      <c r="L128" s="45">
        <f>Pressure!Q128</f>
        <v>0.44027827630029681</v>
      </c>
      <c r="M128" s="10">
        <f t="shared" si="16"/>
        <v>0.83257235999769075</v>
      </c>
      <c r="N128" s="10">
        <f t="shared" si="15"/>
        <v>2.9545467240956045</v>
      </c>
    </row>
    <row r="129" spans="3:14">
      <c r="C129" s="4">
        <f>Pressure!AB129*1000000</f>
        <v>1562063.3120128266</v>
      </c>
      <c r="D129" s="84">
        <f>Pressure!I129</f>
        <v>1.4801552192482141E-4</v>
      </c>
      <c r="E129" s="40">
        <f>Pressure!H129</f>
        <v>148.0155219248214</v>
      </c>
      <c r="F129" s="10">
        <f t="shared" si="10"/>
        <v>8</v>
      </c>
      <c r="G129" s="4">
        <f t="shared" si="9"/>
        <v>101000</v>
      </c>
      <c r="H129" s="45">
        <f t="shared" si="11"/>
        <v>3.2911624246267093</v>
      </c>
      <c r="I129" s="10">
        <f t="shared" si="12"/>
        <v>1.1685138863010269</v>
      </c>
      <c r="J129" s="4">
        <f t="shared" si="13"/>
        <v>270.17164741813957</v>
      </c>
      <c r="K129" s="4">
        <f t="shared" si="14"/>
        <v>60.73729765256499</v>
      </c>
      <c r="L129" s="45">
        <f>Pressure!Q129</f>
        <v>0.44336490483177288</v>
      </c>
      <c r="M129" s="10">
        <f t="shared" si="16"/>
        <v>0.83303676724291631</v>
      </c>
      <c r="N129" s="10">
        <f t="shared" si="15"/>
        <v>2.9545467240956045</v>
      </c>
    </row>
    <row r="130" spans="3:14">
      <c r="C130" s="4">
        <f>Pressure!AB130*1000000</f>
        <v>1561320.5767691243</v>
      </c>
      <c r="D130" s="84">
        <f>Pressure!I130</f>
        <v>1.4801552192482141E-4</v>
      </c>
      <c r="E130" s="40">
        <f>Pressure!H130</f>
        <v>148.0155219248214</v>
      </c>
      <c r="F130" s="10">
        <f t="shared" si="10"/>
        <v>8</v>
      </c>
      <c r="G130" s="4">
        <f t="shared" si="9"/>
        <v>101000</v>
      </c>
      <c r="H130" s="45">
        <f t="shared" si="11"/>
        <v>3.29002341886404</v>
      </c>
      <c r="I130" s="10">
        <f t="shared" si="12"/>
        <v>1.1684278547476774</v>
      </c>
      <c r="J130" s="4">
        <f t="shared" si="13"/>
        <v>270.02330340823738</v>
      </c>
      <c r="K130" s="4">
        <f t="shared" si="14"/>
        <v>60.703948430429698</v>
      </c>
      <c r="L130" s="45">
        <f>Pressure!Q130</f>
        <v>0.4464497269256486</v>
      </c>
      <c r="M130" s="10">
        <f t="shared" si="16"/>
        <v>0.83320265965465989</v>
      </c>
      <c r="N130" s="10">
        <f t="shared" si="15"/>
        <v>2.9545467240956045</v>
      </c>
    </row>
    <row r="131" spans="3:14">
      <c r="C131" s="4">
        <f>Pressure!AB131*1000000</f>
        <v>1562726.666645159</v>
      </c>
      <c r="D131" s="84">
        <f>Pressure!I131</f>
        <v>1.4801552192482141E-4</v>
      </c>
      <c r="E131" s="40">
        <f>Pressure!H131</f>
        <v>148.0155219248214</v>
      </c>
      <c r="F131" s="10">
        <f t="shared" si="10"/>
        <v>8</v>
      </c>
      <c r="G131" s="4">
        <f t="shared" si="9"/>
        <v>101000</v>
      </c>
      <c r="H131" s="45">
        <f t="shared" si="11"/>
        <v>3.2921796149103355</v>
      </c>
      <c r="I131" s="10">
        <f t="shared" si="12"/>
        <v>1.1685906791580734</v>
      </c>
      <c r="J131" s="4">
        <f t="shared" si="13"/>
        <v>270.30414282356901</v>
      </c>
      <c r="K131" s="4">
        <f t="shared" si="14"/>
        <v>60.767083949365812</v>
      </c>
      <c r="L131" s="45">
        <f>Pressure!Q131</f>
        <v>0.44953501706970911</v>
      </c>
      <c r="M131" s="10">
        <f t="shared" si="16"/>
        <v>0.83353347221218699</v>
      </c>
      <c r="N131" s="10">
        <f t="shared" si="15"/>
        <v>2.9545467240956045</v>
      </c>
    </row>
    <row r="132" spans="3:14">
      <c r="C132" s="4">
        <f>Pressure!AB132*1000000</f>
        <v>1562848.732134647</v>
      </c>
      <c r="D132" s="84">
        <f>Pressure!I132</f>
        <v>1.4801552192482141E-4</v>
      </c>
      <c r="E132" s="40">
        <f>Pressure!H132</f>
        <v>148.0155219248214</v>
      </c>
      <c r="F132" s="10">
        <f t="shared" si="10"/>
        <v>8</v>
      </c>
      <c r="G132" s="4">
        <f t="shared" si="9"/>
        <v>101000</v>
      </c>
      <c r="H132" s="45">
        <f t="shared" si="11"/>
        <v>3.2923667820212787</v>
      </c>
      <c r="I132" s="10">
        <f t="shared" si="12"/>
        <v>1.168604805479859</v>
      </c>
      <c r="J132" s="4">
        <f t="shared" si="13"/>
        <v>270.32852422117838</v>
      </c>
      <c r="K132" s="4">
        <f t="shared" si="14"/>
        <v>60.772565132228401</v>
      </c>
      <c r="L132" s="45">
        <f>Pressure!Q132</f>
        <v>0.45261942138484934</v>
      </c>
      <c r="M132" s="10">
        <f t="shared" si="16"/>
        <v>0.83376486556929574</v>
      </c>
      <c r="N132" s="10">
        <f t="shared" si="15"/>
        <v>2.9545467240956045</v>
      </c>
    </row>
    <row r="133" spans="3:14">
      <c r="C133" s="4">
        <f>Pressure!AB133*1000000</f>
        <v>1563702.5921012207</v>
      </c>
      <c r="D133" s="84">
        <f>Pressure!I133</f>
        <v>1.4801552192482141E-4</v>
      </c>
      <c r="E133" s="40">
        <f>Pressure!H133</f>
        <v>148.0155219248214</v>
      </c>
      <c r="F133" s="10">
        <f t="shared" si="10"/>
        <v>8</v>
      </c>
      <c r="G133" s="4">
        <f t="shared" si="9"/>
        <v>101000</v>
      </c>
      <c r="H133" s="45">
        <f t="shared" si="11"/>
        <v>3.2936759600295575</v>
      </c>
      <c r="I133" s="10">
        <f t="shared" si="12"/>
        <v>1.1687035812411513</v>
      </c>
      <c r="J133" s="4">
        <f t="shared" si="13"/>
        <v>270.49907966136288</v>
      </c>
      <c r="K133" s="4">
        <f t="shared" si="14"/>
        <v>60.81090770679441</v>
      </c>
      <c r="L133" s="45">
        <f>Pressure!Q133</f>
        <v>0.45570374884899584</v>
      </c>
      <c r="M133" s="10">
        <f t="shared" si="16"/>
        <v>0.83404471601173236</v>
      </c>
      <c r="N133" s="10">
        <f t="shared" si="15"/>
        <v>2.9545467240956045</v>
      </c>
    </row>
    <row r="134" spans="3:14">
      <c r="C134" s="4">
        <f>Pressure!AB134*1000000</f>
        <v>1564122.8203792039</v>
      </c>
      <c r="D134" s="84">
        <f>Pressure!I134</f>
        <v>1.4801552192482141E-4</v>
      </c>
      <c r="E134" s="40">
        <f>Pressure!H134</f>
        <v>148.0155219248214</v>
      </c>
      <c r="F134" s="10">
        <f t="shared" si="10"/>
        <v>8</v>
      </c>
      <c r="G134" s="4">
        <f t="shared" si="9"/>
        <v>101000</v>
      </c>
      <c r="H134" s="45">
        <f t="shared" si="11"/>
        <v>3.2943202260526601</v>
      </c>
      <c r="I134" s="10">
        <f t="shared" si="12"/>
        <v>1.1687521686685352</v>
      </c>
      <c r="J134" s="4">
        <f t="shared" si="13"/>
        <v>270.58302207575241</v>
      </c>
      <c r="K134" s="4">
        <f t="shared" si="14"/>
        <v>60.829778803954952</v>
      </c>
      <c r="L134" s="45">
        <f>Pressure!Q134</f>
        <v>0.45878753895426788</v>
      </c>
      <c r="M134" s="10">
        <f t="shared" si="16"/>
        <v>0.83429181573835876</v>
      </c>
      <c r="N134" s="10">
        <f t="shared" si="15"/>
        <v>2.9545467240956045</v>
      </c>
    </row>
    <row r="135" spans="3:14">
      <c r="C135" s="4">
        <f>Pressure!AB135*1000000</f>
        <v>1564772.6970763414</v>
      </c>
      <c r="D135" s="84">
        <f>Pressure!I135</f>
        <v>1.4801552192482141E-4</v>
      </c>
      <c r="E135" s="40">
        <f>Pressure!H135</f>
        <v>148.0155219248214</v>
      </c>
      <c r="F135" s="10">
        <f t="shared" si="10"/>
        <v>8</v>
      </c>
      <c r="G135" s="4">
        <f t="shared" si="9"/>
        <v>101000</v>
      </c>
      <c r="H135" s="45">
        <f t="shared" si="11"/>
        <v>3.2953165119296566</v>
      </c>
      <c r="I135" s="10">
        <f t="shared" si="12"/>
        <v>1.1688272757043305</v>
      </c>
      <c r="J135" s="4">
        <f t="shared" si="13"/>
        <v>270.71284208481211</v>
      </c>
      <c r="K135" s="4">
        <f t="shared" si="14"/>
        <v>60.85896364480287</v>
      </c>
      <c r="L135" s="45">
        <f>Pressure!Q135</f>
        <v>0.46187106473976924</v>
      </c>
      <c r="M135" s="10">
        <f t="shared" si="16"/>
        <v>0.83454987736217168</v>
      </c>
      <c r="N135" s="10">
        <f t="shared" si="15"/>
        <v>2.9545467240956045</v>
      </c>
    </row>
    <row r="136" spans="3:14">
      <c r="C136" s="4">
        <f>Pressure!AB136*1000000</f>
        <v>1565280.6138273298</v>
      </c>
      <c r="D136" s="84">
        <f>Pressure!I136</f>
        <v>1.4801552192482141E-4</v>
      </c>
      <c r="E136" s="40">
        <f>Pressure!H136</f>
        <v>148.0155219248214</v>
      </c>
      <c r="F136" s="10">
        <f t="shared" si="10"/>
        <v>8</v>
      </c>
      <c r="G136" s="4">
        <f t="shared" si="9"/>
        <v>101000</v>
      </c>
      <c r="H136" s="45">
        <f t="shared" si="11"/>
        <v>3.2960951155183387</v>
      </c>
      <c r="I136" s="10">
        <f t="shared" si="12"/>
        <v>1.1688859486378234</v>
      </c>
      <c r="J136" s="4">
        <f t="shared" si="13"/>
        <v>270.81430769573228</v>
      </c>
      <c r="K136" s="4">
        <f t="shared" si="14"/>
        <v>60.881774132397886</v>
      </c>
      <c r="L136" s="45">
        <f>Pressure!Q136</f>
        <v>0.46495418194311222</v>
      </c>
      <c r="M136" s="10">
        <f t="shared" si="16"/>
        <v>0.83479583578284289</v>
      </c>
      <c r="N136" s="10">
        <f t="shared" si="15"/>
        <v>2.9545467240956045</v>
      </c>
    </row>
    <row r="137" spans="3:14">
      <c r="C137" s="4">
        <f>Pressure!AB137*1000000</f>
        <v>1565851.4902544278</v>
      </c>
      <c r="D137" s="84">
        <f>Pressure!I137</f>
        <v>1.4801552192482141E-4</v>
      </c>
      <c r="E137" s="40">
        <f>Pressure!H137</f>
        <v>148.0155219248214</v>
      </c>
      <c r="F137" s="10">
        <f t="shared" si="10"/>
        <v>8</v>
      </c>
      <c r="G137" s="4">
        <f t="shared" si="9"/>
        <v>101000</v>
      </c>
      <c r="H137" s="45">
        <f t="shared" si="11"/>
        <v>3.2969701775273856</v>
      </c>
      <c r="I137" s="10">
        <f t="shared" si="12"/>
        <v>1.1689518655732214</v>
      </c>
      <c r="J137" s="4">
        <f t="shared" si="13"/>
        <v>270.92835447916599</v>
      </c>
      <c r="K137" s="4">
        <f t="shared" si="14"/>
        <v>60.907412993832558</v>
      </c>
      <c r="L137" s="45">
        <f>Pressure!Q137</f>
        <v>0.46803697997132976</v>
      </c>
      <c r="M137" s="10">
        <f t="shared" si="16"/>
        <v>0.83504160537704775</v>
      </c>
      <c r="N137" s="10">
        <f t="shared" si="15"/>
        <v>2.9545467240956045</v>
      </c>
    </row>
    <row r="138" spans="3:14">
      <c r="C138" s="4">
        <f>Pressure!AB138*1000000</f>
        <v>1566374.0987420739</v>
      </c>
      <c r="D138" s="84">
        <f>Pressure!I138</f>
        <v>1.4801552192482141E-4</v>
      </c>
      <c r="E138" s="40">
        <f>Pressure!H138</f>
        <v>148.0155219248214</v>
      </c>
      <c r="F138" s="10">
        <f t="shared" si="10"/>
        <v>8</v>
      </c>
      <c r="G138" s="4">
        <f t="shared" si="9"/>
        <v>101000</v>
      </c>
      <c r="H138" s="45">
        <f t="shared" si="11"/>
        <v>3.297771201790114</v>
      </c>
      <c r="I138" s="10">
        <f t="shared" si="12"/>
        <v>1.1690121823968729</v>
      </c>
      <c r="J138" s="4">
        <f t="shared" si="13"/>
        <v>271.03276209384489</v>
      </c>
      <c r="K138" s="4">
        <f t="shared" si="14"/>
        <v>60.930884873397083</v>
      </c>
      <c r="L138" s="45">
        <f>Pressure!Q138</f>
        <v>0.47111941942354874</v>
      </c>
      <c r="M138" s="10">
        <f t="shared" si="16"/>
        <v>0.83528116364664851</v>
      </c>
      <c r="N138" s="10">
        <f t="shared" si="15"/>
        <v>2.9545467240956045</v>
      </c>
    </row>
    <row r="139" spans="3:14">
      <c r="C139" s="4">
        <f>Pressure!AB139*1000000</f>
        <v>1566907.8475939177</v>
      </c>
      <c r="D139" s="84">
        <f>Pressure!I139</f>
        <v>1.4801552192482141E-4</v>
      </c>
      <c r="E139" s="40">
        <f>Pressure!H139</f>
        <v>148.0155219248214</v>
      </c>
      <c r="F139" s="10">
        <f t="shared" si="10"/>
        <v>8</v>
      </c>
      <c r="G139" s="4">
        <f t="shared" si="9"/>
        <v>101000</v>
      </c>
      <c r="H139" s="45">
        <f t="shared" si="11"/>
        <v>3.2985892513244206</v>
      </c>
      <c r="I139" s="10">
        <f t="shared" si="12"/>
        <v>1.1690737585683022</v>
      </c>
      <c r="J139" s="4">
        <f t="shared" si="13"/>
        <v>271.13939885477316</v>
      </c>
      <c r="K139" s="4">
        <f t="shared" si="14"/>
        <v>60.954857887409105</v>
      </c>
      <c r="L139" s="45">
        <f>Pressure!Q139</f>
        <v>0.47420153076872845</v>
      </c>
      <c r="M139" s="10">
        <f t="shared" si="16"/>
        <v>0.83551748415016946</v>
      </c>
      <c r="N139" s="10">
        <f t="shared" si="15"/>
        <v>2.9545467240956045</v>
      </c>
    </row>
    <row r="140" spans="3:14">
      <c r="C140" s="4">
        <f>Pressure!AB140*1000000</f>
        <v>1567421.503489939</v>
      </c>
      <c r="D140" s="84">
        <f>Pressure!I140</f>
        <v>1.4801552192482141E-4</v>
      </c>
      <c r="E140" s="40">
        <f>Pressure!H140</f>
        <v>148.0155219248214</v>
      </c>
      <c r="F140" s="10">
        <f t="shared" si="10"/>
        <v>8</v>
      </c>
      <c r="G140" s="4">
        <f t="shared" si="9"/>
        <v>101000</v>
      </c>
      <c r="H140" s="45">
        <f t="shared" si="11"/>
        <v>3.2993764576854958</v>
      </c>
      <c r="I140" s="10">
        <f t="shared" si="12"/>
        <v>1.1691329915198851</v>
      </c>
      <c r="J140" s="4">
        <f t="shared" si="13"/>
        <v>271.24202462220421</v>
      </c>
      <c r="K140" s="4">
        <f t="shared" si="14"/>
        <v>60.97792918983054</v>
      </c>
      <c r="L140" s="45">
        <f>Pressure!Q140</f>
        <v>0.47728330716166956</v>
      </c>
      <c r="M140" s="10">
        <f t="shared" si="16"/>
        <v>0.83574913342057056</v>
      </c>
      <c r="N140" s="10">
        <f t="shared" si="15"/>
        <v>2.9545467240956045</v>
      </c>
    </row>
    <row r="141" spans="3:14">
      <c r="C141" s="4">
        <f>Pressure!AB141*1000000</f>
        <v>1567931.2168108409</v>
      </c>
      <c r="D141" s="84">
        <f>Pressure!I141</f>
        <v>1.4801552192482141E-4</v>
      </c>
      <c r="E141" s="40">
        <f>Pressure!H141</f>
        <v>148.0155219248214</v>
      </c>
      <c r="F141" s="10">
        <f t="shared" si="10"/>
        <v>8</v>
      </c>
      <c r="G141" s="4">
        <f t="shared" si="9"/>
        <v>101000</v>
      </c>
      <c r="H141" s="45">
        <f t="shared" si="11"/>
        <v>3.3001575755717512</v>
      </c>
      <c r="I141" s="10">
        <f t="shared" si="12"/>
        <v>1.1691917454263927</v>
      </c>
      <c r="J141" s="4">
        <f t="shared" si="13"/>
        <v>271.34386592406634</v>
      </c>
      <c r="K141" s="4">
        <f t="shared" si="14"/>
        <v>61.000824136519569</v>
      </c>
      <c r="L141" s="45">
        <f>Pressure!Q141</f>
        <v>0.48036476135370948</v>
      </c>
      <c r="M141" s="10">
        <f t="shared" si="16"/>
        <v>0.83597678348276006</v>
      </c>
      <c r="N141" s="10">
        <f t="shared" si="15"/>
        <v>2.9545467240956045</v>
      </c>
    </row>
    <row r="142" spans="3:14">
      <c r="C142" s="4">
        <f>Pressure!AB142*1000000</f>
        <v>1568428.763507029</v>
      </c>
      <c r="D142" s="84">
        <f>Pressure!I142</f>
        <v>1.4801552192482141E-4</v>
      </c>
      <c r="E142" s="40">
        <f>Pressure!H142</f>
        <v>148.0155219248214</v>
      </c>
      <c r="F142" s="10">
        <f t="shared" si="10"/>
        <v>8</v>
      </c>
      <c r="G142" s="4">
        <f t="shared" si="9"/>
        <v>101000</v>
      </c>
      <c r="H142" s="45">
        <f t="shared" si="11"/>
        <v>3.3009200041030438</v>
      </c>
      <c r="I142" s="10">
        <f t="shared" si="12"/>
        <v>1.1692490734774468</v>
      </c>
      <c r="J142" s="4">
        <f t="shared" si="13"/>
        <v>271.44327943249772</v>
      </c>
      <c r="K142" s="4">
        <f t="shared" si="14"/>
        <v>61.023173290881196</v>
      </c>
      <c r="L142" s="45">
        <f>Pressure!Q142</f>
        <v>0.48344589595554838</v>
      </c>
      <c r="M142" s="10">
        <f t="shared" si="16"/>
        <v>0.83620012749573425</v>
      </c>
      <c r="N142" s="10">
        <f t="shared" si="15"/>
        <v>2.9545467240956045</v>
      </c>
    </row>
    <row r="143" spans="3:14">
      <c r="C143" s="4">
        <f>Pressure!AB143*1000000</f>
        <v>1568918.2566686743</v>
      </c>
      <c r="D143" s="84">
        <f>Pressure!I143</f>
        <v>1.4801552192482141E-4</v>
      </c>
      <c r="E143" s="40">
        <f>Pressure!H143</f>
        <v>148.0155219248214</v>
      </c>
      <c r="F143" s="10">
        <f t="shared" si="10"/>
        <v>8</v>
      </c>
      <c r="G143" s="4">
        <f t="shared" si="9"/>
        <v>101000</v>
      </c>
      <c r="H143" s="45">
        <f t="shared" si="11"/>
        <v>3.3016700487776713</v>
      </c>
      <c r="I143" s="10">
        <f t="shared" si="12"/>
        <v>1.1693054510206524</v>
      </c>
      <c r="J143" s="4">
        <f t="shared" si="13"/>
        <v>271.54108678426303</v>
      </c>
      <c r="K143" s="4">
        <f t="shared" si="14"/>
        <v>61.04516136510567</v>
      </c>
      <c r="L143" s="45">
        <f>Pressure!Q143</f>
        <v>0.48652671872780057</v>
      </c>
      <c r="M143" s="10">
        <f t="shared" si="16"/>
        <v>0.83641930020875943</v>
      </c>
      <c r="N143" s="10">
        <f t="shared" si="15"/>
        <v>2.9545467240956045</v>
      </c>
    </row>
    <row r="144" spans="3:14">
      <c r="C144" s="4">
        <f>Pressure!AB144*1000000</f>
        <v>1569397.6658733317</v>
      </c>
      <c r="D144" s="84">
        <f>Pressure!I144</f>
        <v>1.4801552192482141E-4</v>
      </c>
      <c r="E144" s="40">
        <f>Pressure!H144</f>
        <v>148.0155219248214</v>
      </c>
      <c r="F144" s="10">
        <f t="shared" si="10"/>
        <v>8</v>
      </c>
      <c r="G144" s="4">
        <f t="shared" si="9"/>
        <v>101000</v>
      </c>
      <c r="H144" s="45">
        <f t="shared" si="11"/>
        <v>3.3024046007744778</v>
      </c>
      <c r="I144" s="10">
        <f t="shared" si="12"/>
        <v>1.1693606454594914</v>
      </c>
      <c r="J144" s="4">
        <f t="shared" si="13"/>
        <v>271.63688210734318</v>
      </c>
      <c r="K144" s="4">
        <f t="shared" si="14"/>
        <v>61.066697115089966</v>
      </c>
      <c r="L144" s="45">
        <f>Pressure!Q144</f>
        <v>0.48960723484519164</v>
      </c>
      <c r="M144" s="10">
        <f t="shared" si="16"/>
        <v>0.83663424389117036</v>
      </c>
      <c r="N144" s="10">
        <f t="shared" si="15"/>
        <v>2.9545467240956045</v>
      </c>
    </row>
    <row r="145" spans="3:14">
      <c r="C145" s="4">
        <f>Pressure!AB145*1000000</f>
        <v>1569867.97044356</v>
      </c>
      <c r="D145" s="84">
        <f>Pressure!I145</f>
        <v>1.4801552192482141E-4</v>
      </c>
      <c r="E145" s="40">
        <f>Pressure!H145</f>
        <v>148.0155219248214</v>
      </c>
      <c r="F145" s="10">
        <f t="shared" si="10"/>
        <v>8</v>
      </c>
      <c r="G145" s="4">
        <f t="shared" si="9"/>
        <v>101000</v>
      </c>
      <c r="H145" s="45">
        <f t="shared" si="11"/>
        <v>3.3031251630740632</v>
      </c>
      <c r="I145" s="10">
        <f t="shared" si="12"/>
        <v>1.1694147708473202</v>
      </c>
      <c r="J145" s="4">
        <f t="shared" si="13"/>
        <v>271.73086091715169</v>
      </c>
      <c r="K145" s="4">
        <f t="shared" si="14"/>
        <v>61.087824494661142</v>
      </c>
      <c r="L145" s="45">
        <f>Pressure!Q145</f>
        <v>0.49268745074735826</v>
      </c>
      <c r="M145" s="10">
        <f t="shared" si="16"/>
        <v>0.83684498139421637</v>
      </c>
      <c r="N145" s="10">
        <f t="shared" si="15"/>
        <v>2.9545467240956045</v>
      </c>
    </row>
    <row r="146" spans="3:14">
      <c r="C146" s="4">
        <f>Pressure!AB146*1000000</f>
        <v>1570328.6994077549</v>
      </c>
      <c r="D146" s="84">
        <f>Pressure!I146</f>
        <v>1.4801552192482141E-4</v>
      </c>
      <c r="E146" s="40">
        <f>Pressure!H146</f>
        <v>148.0155219248214</v>
      </c>
      <c r="F146" s="10">
        <f t="shared" si="10"/>
        <v>8</v>
      </c>
      <c r="G146" s="4">
        <f t="shared" si="9"/>
        <v>101000</v>
      </c>
      <c r="H146" s="45">
        <f t="shared" si="11"/>
        <v>3.3038310164382203</v>
      </c>
      <c r="I146" s="10">
        <f t="shared" si="12"/>
        <v>1.1694677742248309</v>
      </c>
      <c r="J146" s="4">
        <f t="shared" si="13"/>
        <v>271.82292893721865</v>
      </c>
      <c r="K146" s="4">
        <f t="shared" si="14"/>
        <v>61.108522309522648</v>
      </c>
      <c r="L146" s="45">
        <f>Pressure!Q146</f>
        <v>0.49576737225331224</v>
      </c>
      <c r="M146" s="10">
        <f t="shared" si="16"/>
        <v>0.83705150350763435</v>
      </c>
      <c r="N146" s="10">
        <f t="shared" si="15"/>
        <v>2.9545467240956045</v>
      </c>
    </row>
    <row r="147" spans="3:14">
      <c r="C147" s="4">
        <f>Pressure!AB147*1000000</f>
        <v>1570780.0692941593</v>
      </c>
      <c r="D147" s="84">
        <f>Pressure!I147</f>
        <v>1.4801552192482141E-4</v>
      </c>
      <c r="E147" s="40">
        <f>Pressure!H147</f>
        <v>148.0155219248214</v>
      </c>
      <c r="F147" s="10">
        <f t="shared" si="10"/>
        <v>8</v>
      </c>
      <c r="G147" s="4">
        <f t="shared" si="9"/>
        <v>101000</v>
      </c>
      <c r="H147" s="45">
        <f t="shared" si="11"/>
        <v>3.3045224949252932</v>
      </c>
      <c r="I147" s="10">
        <f t="shared" si="12"/>
        <v>1.1695196817350899</v>
      </c>
      <c r="J147" s="4">
        <f t="shared" si="13"/>
        <v>271.91312927345291</v>
      </c>
      <c r="K147" s="4">
        <f t="shared" si="14"/>
        <v>61.128800250315386</v>
      </c>
      <c r="L147" s="45">
        <f>Pressure!Q147</f>
        <v>0.49884700546986871</v>
      </c>
      <c r="M147" s="10">
        <f t="shared" si="16"/>
        <v>0.83725381295253198</v>
      </c>
      <c r="N147" s="10">
        <f t="shared" si="15"/>
        <v>2.9545467240956045</v>
      </c>
    </row>
    <row r="148" spans="3:14">
      <c r="C148" s="4">
        <f>Pressure!AB148*1000000</f>
        <v>1571221.9762339063</v>
      </c>
      <c r="D148" s="84">
        <f>Pressure!I148</f>
        <v>1.4801552192482141E-4</v>
      </c>
      <c r="E148" s="40">
        <f>Pressure!H148</f>
        <v>148.0155219248214</v>
      </c>
      <c r="F148" s="10">
        <f t="shared" si="10"/>
        <v>8</v>
      </c>
      <c r="G148" s="4">
        <f t="shared" si="9"/>
        <v>101000</v>
      </c>
      <c r="H148" s="45">
        <f t="shared" si="11"/>
        <v>3.3051994416795001</v>
      </c>
      <c r="I148" s="10">
        <f t="shared" si="12"/>
        <v>1.1695704826325264</v>
      </c>
      <c r="J148" s="4">
        <f t="shared" si="13"/>
        <v>272.00144101022767</v>
      </c>
      <c r="K148" s="4">
        <f t="shared" si="14"/>
        <v>61.148653614996554</v>
      </c>
      <c r="L148" s="45">
        <f>Pressure!Q148</f>
        <v>0.50192635636140015</v>
      </c>
      <c r="M148" s="10">
        <f t="shared" si="16"/>
        <v>0.83745190845999617</v>
      </c>
      <c r="N148" s="10">
        <f t="shared" si="15"/>
        <v>2.9545467240956045</v>
      </c>
    </row>
    <row r="149" spans="3:14">
      <c r="C149" s="4">
        <f>Pressure!AB149*1000000</f>
        <v>1571654.4633163062</v>
      </c>
      <c r="D149" s="84">
        <f>Pressure!I149</f>
        <v>1.4801552192482141E-4</v>
      </c>
      <c r="E149" s="40">
        <f>Pressure!H149</f>
        <v>148.0155219248214</v>
      </c>
      <c r="F149" s="10">
        <f t="shared" si="10"/>
        <v>8</v>
      </c>
      <c r="G149" s="4">
        <f t="shared" si="9"/>
        <v>101000</v>
      </c>
      <c r="H149" s="45">
        <f t="shared" si="11"/>
        <v>3.3058619249336698</v>
      </c>
      <c r="I149" s="10">
        <f t="shared" si="12"/>
        <v>1.1696201830474022</v>
      </c>
      <c r="J149" s="4">
        <f t="shared" si="13"/>
        <v>272.08787260271373</v>
      </c>
      <c r="K149" s="4">
        <f t="shared" si="14"/>
        <v>61.168084304373394</v>
      </c>
      <c r="L149" s="45">
        <f>Pressure!Q149</f>
        <v>0.50500543095048234</v>
      </c>
      <c r="M149" s="10">
        <f t="shared" si="16"/>
        <v>0.83764578986838834</v>
      </c>
      <c r="N149" s="10">
        <f t="shared" si="15"/>
        <v>2.9545467240956045</v>
      </c>
    </row>
    <row r="150" spans="3:14">
      <c r="C150" s="4">
        <f>Pressure!AB150*1000000</f>
        <v>1572077.5074729342</v>
      </c>
      <c r="D150" s="84">
        <f>Pressure!I150</f>
        <v>1.4801552192482141E-4</v>
      </c>
      <c r="E150" s="40">
        <f>Pressure!H150</f>
        <v>148.0155219248214</v>
      </c>
      <c r="F150" s="10">
        <f t="shared" si="10"/>
        <v>8</v>
      </c>
      <c r="G150" s="4">
        <f t="shared" si="9"/>
        <v>101000</v>
      </c>
      <c r="H150" s="45">
        <f t="shared" si="11"/>
        <v>3.3065099115259655</v>
      </c>
      <c r="I150" s="10">
        <f t="shared" si="12"/>
        <v>1.169668781477943</v>
      </c>
      <c r="J150" s="4">
        <f t="shared" si="13"/>
        <v>272.17241928841287</v>
      </c>
      <c r="K150" s="4">
        <f t="shared" si="14"/>
        <v>61.187091247788516</v>
      </c>
      <c r="L150" s="45">
        <f>Pressure!Q150</f>
        <v>0.50808423522611168</v>
      </c>
      <c r="M150" s="10">
        <f t="shared" si="16"/>
        <v>0.83783545686483751</v>
      </c>
      <c r="N150" s="10">
        <f t="shared" si="15"/>
        <v>2.9545467240956045</v>
      </c>
    </row>
    <row r="151" spans="3:14">
      <c r="C151" s="4">
        <f>Pressure!AB151*1000000</f>
        <v>1572491.1150385404</v>
      </c>
      <c r="D151" s="84">
        <f>Pressure!I151</f>
        <v>1.4801552192482141E-4</v>
      </c>
      <c r="E151" s="40">
        <f>Pressure!H151</f>
        <v>148.0155219248214</v>
      </c>
      <c r="F151" s="10">
        <f t="shared" si="10"/>
        <v>8</v>
      </c>
      <c r="G151" s="4">
        <f t="shared" si="9"/>
        <v>101000</v>
      </c>
      <c r="H151" s="45">
        <f t="shared" si="11"/>
        <v>3.3071434132871804</v>
      </c>
      <c r="I151" s="10">
        <f t="shared" si="12"/>
        <v>1.1697162797758063</v>
      </c>
      <c r="J151" s="4">
        <f t="shared" si="13"/>
        <v>272.25508218429127</v>
      </c>
      <c r="K151" s="4">
        <f t="shared" si="14"/>
        <v>61.205674696347124</v>
      </c>
      <c r="L151" s="45">
        <f>Pressure!Q151</f>
        <v>0.51116277518522057</v>
      </c>
      <c r="M151" s="10">
        <f t="shared" si="16"/>
        <v>0.83802090906076809</v>
      </c>
      <c r="N151" s="10">
        <f t="shared" si="15"/>
        <v>2.9545467240956045</v>
      </c>
    </row>
    <row r="152" spans="3:14">
      <c r="C152" s="4">
        <f>Pressure!AB152*1000000</f>
        <v>1572895.2796189894</v>
      </c>
      <c r="D152" s="84">
        <f>Pressure!I152</f>
        <v>1.4801552192482141E-4</v>
      </c>
      <c r="E152" s="40">
        <f>Pressure!H152</f>
        <v>148.0155219248214</v>
      </c>
      <c r="F152" s="10">
        <f t="shared" si="10"/>
        <v>8</v>
      </c>
      <c r="G152" s="4">
        <f t="shared" si="9"/>
        <v>101000</v>
      </c>
      <c r="H152" s="45">
        <f t="shared" si="11"/>
        <v>3.3077624225029254</v>
      </c>
      <c r="I152" s="10">
        <f t="shared" si="12"/>
        <v>1.1697626783044202</v>
      </c>
      <c r="J152" s="4">
        <f t="shared" si="13"/>
        <v>272.33585986677667</v>
      </c>
      <c r="K152" s="4">
        <f t="shared" si="14"/>
        <v>61.22383433001589</v>
      </c>
      <c r="L152" s="45">
        <f>Pressure!Q152</f>
        <v>0.51424105681444388</v>
      </c>
      <c r="M152" s="10">
        <f t="shared" si="16"/>
        <v>0.83820214617860678</v>
      </c>
      <c r="N152" s="10">
        <f t="shared" si="15"/>
        <v>2.9545467240956045</v>
      </c>
    </row>
    <row r="153" spans="3:14">
      <c r="C153" s="4">
        <f>Pressure!AB153*1000000</f>
        <v>1573290.0003553759</v>
      </c>
      <c r="D153" s="84">
        <f>Pressure!I153</f>
        <v>1.4801552192482141E-4</v>
      </c>
      <c r="E153" s="40">
        <f>Pressure!H153</f>
        <v>148.0155219248214</v>
      </c>
      <c r="F153" s="10">
        <f t="shared" si="10"/>
        <v>8</v>
      </c>
      <c r="G153" s="4">
        <f t="shared" si="9"/>
        <v>101000</v>
      </c>
      <c r="H153" s="45">
        <f t="shared" si="11"/>
        <v>3.3083669398892295</v>
      </c>
      <c r="I153" s="10">
        <f t="shared" si="12"/>
        <v>1.1698079780371797</v>
      </c>
      <c r="J153" s="4">
        <f t="shared" si="13"/>
        <v>272.41475202189758</v>
      </c>
      <c r="K153" s="4">
        <f t="shared" si="14"/>
        <v>61.24157007821087</v>
      </c>
      <c r="L153" s="45">
        <f>Pressure!Q153</f>
        <v>0.51731908609821797</v>
      </c>
      <c r="M153" s="10">
        <f t="shared" si="16"/>
        <v>0.83837916787359867</v>
      </c>
      <c r="N153" s="10">
        <f t="shared" si="15"/>
        <v>2.9545467240956045</v>
      </c>
    </row>
    <row r="154" spans="3:14">
      <c r="C154" s="4">
        <f>Pressure!AB154*1000000</f>
        <v>1573675.2741399645</v>
      </c>
      <c r="D154" s="84">
        <f>Pressure!I154</f>
        <v>1.4801552192482141E-4</v>
      </c>
      <c r="E154" s="40">
        <f>Pressure!H154</f>
        <v>148.0155219248214</v>
      </c>
      <c r="F154" s="10">
        <f t="shared" si="10"/>
        <v>8</v>
      </c>
      <c r="G154" s="4">
        <f t="shared" si="9"/>
        <v>101000</v>
      </c>
      <c r="H154" s="45">
        <f t="shared" si="11"/>
        <v>3.3089569626700719</v>
      </c>
      <c r="I154" s="10">
        <f t="shared" si="12"/>
        <v>1.1698521796635653</v>
      </c>
      <c r="J154" s="4">
        <f t="shared" si="13"/>
        <v>272.49175788957416</v>
      </c>
      <c r="K154" s="4">
        <f t="shared" si="14"/>
        <v>61.258881770058487</v>
      </c>
      <c r="L154" s="45">
        <f>Pressure!Q154</f>
        <v>0.52039686901546878</v>
      </c>
      <c r="M154" s="10">
        <f t="shared" si="16"/>
        <v>0.83855197385214186</v>
      </c>
      <c r="N154" s="10">
        <f t="shared" si="15"/>
        <v>2.9545467240956045</v>
      </c>
    </row>
    <row r="155" spans="3:14">
      <c r="C155" s="4">
        <f>Pressure!AB155*1000000</f>
        <v>1574051.0988769713</v>
      </c>
      <c r="D155" s="84">
        <f>Pressure!I155</f>
        <v>1.4801552192482141E-4</v>
      </c>
      <c r="E155" s="40">
        <f>Pressure!H155</f>
        <v>148.0155219248214</v>
      </c>
      <c r="F155" s="10">
        <f t="shared" si="10"/>
        <v>8</v>
      </c>
      <c r="G155" s="4">
        <f t="shared" si="9"/>
        <v>101000</v>
      </c>
      <c r="H155" s="45">
        <f t="shared" si="11"/>
        <v>3.3095324895715414</v>
      </c>
      <c r="I155" s="10">
        <f t="shared" si="12"/>
        <v>1.1698952839635324</v>
      </c>
      <c r="J155" s="4">
        <f t="shared" si="13"/>
        <v>272.56687691532773</v>
      </c>
      <c r="K155" s="4">
        <f t="shared" si="14"/>
        <v>61.275769280906374</v>
      </c>
      <c r="L155" s="45">
        <f>Pressure!Q155</f>
        <v>0.52347441154116103</v>
      </c>
      <c r="M155" s="10">
        <f t="shared" si="16"/>
        <v>0.83872056380392546</v>
      </c>
      <c r="N155" s="10">
        <f t="shared" si="15"/>
        <v>2.9545467240956045</v>
      </c>
    </row>
    <row r="156" spans="3:14">
      <c r="C156" s="4">
        <f>Pressure!AB156*1000000</f>
        <v>1574417.4721398444</v>
      </c>
      <c r="D156" s="84">
        <f>Pressure!I156</f>
        <v>1.4801552192482141E-4</v>
      </c>
      <c r="E156" s="40">
        <f>Pressure!H156</f>
        <v>148.0155219248214</v>
      </c>
      <c r="F156" s="10">
        <f t="shared" si="10"/>
        <v>8</v>
      </c>
      <c r="G156" s="4">
        <f t="shared" ref="G156:G219" si="17">IF(C156/(1+(k-1)/2*N156^2)^(k/(k-1))&lt;patm*1000000,patm*1000000,C156/(1+(k-1)/2*N156^2)^(k/(k-1)))</f>
        <v>101000</v>
      </c>
      <c r="H156" s="45">
        <f t="shared" si="11"/>
        <v>3.3100935187654534</v>
      </c>
      <c r="I156" s="10">
        <f t="shared" si="12"/>
        <v>1.1699372916534534</v>
      </c>
      <c r="J156" s="4">
        <f t="shared" si="13"/>
        <v>272.6401084819135</v>
      </c>
      <c r="K156" s="4">
        <f t="shared" si="14"/>
        <v>61.292232471991703</v>
      </c>
      <c r="L156" s="45">
        <f>Pressure!Q156</f>
        <v>0.52655171964581127</v>
      </c>
      <c r="M156" s="10">
        <f t="shared" si="16"/>
        <v>0.83888493743742598</v>
      </c>
      <c r="N156" s="10">
        <f t="shared" si="15"/>
        <v>2.9545467240956045</v>
      </c>
    </row>
    <row r="157" spans="3:14">
      <c r="C157" s="4">
        <f>Pressure!AB157*1000000</f>
        <v>1574774.3917150747</v>
      </c>
      <c r="D157" s="84">
        <f>Pressure!I157</f>
        <v>1.4801552192482141E-4</v>
      </c>
      <c r="E157" s="40">
        <f>Pressure!H157</f>
        <v>148.0155219248214</v>
      </c>
      <c r="F157" s="10">
        <f t="shared" ref="F157:F220" si="18">aexit/E157</f>
        <v>8</v>
      </c>
      <c r="G157" s="4">
        <f t="shared" si="17"/>
        <v>101000</v>
      </c>
      <c r="H157" s="45">
        <f t="shared" ref="H157:H220" si="19">1/(((k+1)/2)^(1/(k-1))*(patm*1000000/C157)^(1/k)*SQRT((k+1)/(k-1)*(1-(patm*1000000/C157)^((k-1)/k))))</f>
        <v>3.3106400487021697</v>
      </c>
      <c r="I157" s="10">
        <f t="shared" ref="I157:I220" si="20">etanoz*SQRT(2*k^2/(k-1)*(2/(k+1))^((k+1)/(k-1))*(1-(G157/C157)^((k-1)/k)))+(G157-patm*1000000)/C157*(aexit/E157)</f>
        <v>1.1699782034485484</v>
      </c>
      <c r="J157" s="4">
        <f t="shared" ref="J157:J220" si="21">I157*D157*C157</f>
        <v>272.71145201801278</v>
      </c>
      <c r="K157" s="4">
        <f t="shared" ref="K157:K220" si="22">J157/4.4482</f>
        <v>61.308271214876306</v>
      </c>
      <c r="L157" s="45">
        <f>Pressure!Q157</f>
        <v>0.52962879929583895</v>
      </c>
      <c r="M157" s="10">
        <f t="shared" si="16"/>
        <v>0.83904509446258146</v>
      </c>
      <c r="N157" s="10">
        <f t="shared" si="15"/>
        <v>2.9545467240956045</v>
      </c>
    </row>
    <row r="158" spans="3:14">
      <c r="C158" s="4">
        <f>Pressure!AB158*1000000</f>
        <v>1575121.8553859692</v>
      </c>
      <c r="D158" s="84">
        <f>Pressure!I158</f>
        <v>1.4801552192482141E-4</v>
      </c>
      <c r="E158" s="40">
        <f>Pressure!H158</f>
        <v>148.0155219248214</v>
      </c>
      <c r="F158" s="10">
        <f t="shared" si="18"/>
        <v>8</v>
      </c>
      <c r="G158" s="4">
        <f t="shared" si="17"/>
        <v>101000</v>
      </c>
      <c r="H158" s="45">
        <f t="shared" si="19"/>
        <v>3.3111720777794891</v>
      </c>
      <c r="I158" s="10">
        <f t="shared" si="20"/>
        <v>1.1700180200381236</v>
      </c>
      <c r="J158" s="4">
        <f t="shared" si="21"/>
        <v>272.78090695501356</v>
      </c>
      <c r="K158" s="4">
        <f t="shared" si="22"/>
        <v>61.323885381730491</v>
      </c>
      <c r="L158" s="45">
        <f>Pressure!Q158</f>
        <v>0.53270565645357781</v>
      </c>
      <c r="M158" s="10">
        <f t="shared" si="16"/>
        <v>0.83920103459900741</v>
      </c>
      <c r="N158" s="10">
        <f t="shared" ref="N158:N221" si="23">N157-1/834*(me-mef)</f>
        <v>2.9545467240956045</v>
      </c>
    </row>
    <row r="159" spans="3:14">
      <c r="C159" s="4">
        <f>Pressure!AB159*1000000</f>
        <v>1575459.861015927</v>
      </c>
      <c r="D159" s="84">
        <f>Pressure!I159</f>
        <v>1.4801552192482141E-4</v>
      </c>
      <c r="E159" s="40">
        <f>Pressure!H159</f>
        <v>148.0155219248214</v>
      </c>
      <c r="F159" s="10">
        <f t="shared" si="18"/>
        <v>8</v>
      </c>
      <c r="G159" s="4">
        <f t="shared" si="17"/>
        <v>101000</v>
      </c>
      <c r="H159" s="45">
        <f t="shared" si="19"/>
        <v>3.3116896044701631</v>
      </c>
      <c r="I159" s="10">
        <f t="shared" si="20"/>
        <v>1.1700567420951575</v>
      </c>
      <c r="J159" s="4">
        <f t="shared" si="21"/>
        <v>272.84847274365518</v>
      </c>
      <c r="K159" s="4">
        <f t="shared" si="22"/>
        <v>61.339074849074947</v>
      </c>
      <c r="L159" s="45">
        <f>Pressure!Q159</f>
        <v>0.53578229707742187</v>
      </c>
      <c r="M159" s="10">
        <f t="shared" si="16"/>
        <v>0.83935275757187755</v>
      </c>
      <c r="N159" s="10">
        <f t="shared" si="23"/>
        <v>2.9545467240956045</v>
      </c>
    </row>
    <row r="160" spans="3:14">
      <c r="C160" s="4">
        <f>Pressure!AB160*1000000</f>
        <v>1575788.4065170509</v>
      </c>
      <c r="D160" s="84">
        <f>Pressure!I160</f>
        <v>1.4801552192482141E-4</v>
      </c>
      <c r="E160" s="40">
        <f>Pressure!H160</f>
        <v>148.0155219248214</v>
      </c>
      <c r="F160" s="10">
        <f t="shared" si="18"/>
        <v>8</v>
      </c>
      <c r="G160" s="4">
        <f t="shared" si="17"/>
        <v>101000</v>
      </c>
      <c r="H160" s="45">
        <f t="shared" si="19"/>
        <v>3.312192627273844</v>
      </c>
      <c r="I160" s="10">
        <f t="shared" si="20"/>
        <v>1.1700943702727402</v>
      </c>
      <c r="J160" s="4">
        <f t="shared" si="21"/>
        <v>272.91414884775367</v>
      </c>
      <c r="K160" s="4">
        <f t="shared" si="22"/>
        <v>61.353839496370142</v>
      </c>
      <c r="L160" s="45">
        <f>Pressure!Q160</f>
        <v>0.53885872712191951</v>
      </c>
      <c r="M160" s="10">
        <f t="shared" si="16"/>
        <v>0.83950026311380499</v>
      </c>
      <c r="N160" s="10">
        <f t="shared" si="23"/>
        <v>2.9545467240956045</v>
      </c>
    </row>
    <row r="161" spans="3:14">
      <c r="C161" s="4">
        <f>Pressure!AB161*1000000</f>
        <v>1576107.4898636285</v>
      </c>
      <c r="D161" s="84">
        <f>Pressure!I161</f>
        <v>1.4801552192482141E-4</v>
      </c>
      <c r="E161" s="40">
        <f>Pressure!H161</f>
        <v>148.0155219248214</v>
      </c>
      <c r="F161" s="10">
        <f t="shared" si="18"/>
        <v>8</v>
      </c>
      <c r="G161" s="4">
        <f t="shared" si="17"/>
        <v>101000</v>
      </c>
      <c r="H161" s="45">
        <f t="shared" si="19"/>
        <v>3.3126811447377373</v>
      </c>
      <c r="I161" s="10">
        <f t="shared" si="20"/>
        <v>1.1701309052056512</v>
      </c>
      <c r="J161" s="4">
        <f t="shared" si="21"/>
        <v>272.97793474689581</v>
      </c>
      <c r="K161" s="4">
        <f t="shared" si="22"/>
        <v>61.36817920662196</v>
      </c>
      <c r="L161" s="45">
        <f>Pressure!Q161</f>
        <v>0.54193495253788682</v>
      </c>
      <c r="M161" s="10">
        <f t="shared" si="16"/>
        <v>0.83964355096460441</v>
      </c>
      <c r="N161" s="10">
        <f t="shared" si="23"/>
        <v>2.9545467240956045</v>
      </c>
    </row>
    <row r="162" spans="3:14">
      <c r="C162" s="4">
        <f>Pressure!AB162*1000000</f>
        <v>1576417.1090837421</v>
      </c>
      <c r="D162" s="84">
        <f>Pressure!I162</f>
        <v>1.4801552192482141E-4</v>
      </c>
      <c r="E162" s="40">
        <f>Pressure!H162</f>
        <v>148.0155219248214</v>
      </c>
      <c r="F162" s="10">
        <f t="shared" si="18"/>
        <v>8</v>
      </c>
      <c r="G162" s="4">
        <f t="shared" si="17"/>
        <v>101000</v>
      </c>
      <c r="H162" s="45">
        <f t="shared" si="19"/>
        <v>3.3131551554437491</v>
      </c>
      <c r="I162" s="10">
        <f t="shared" si="20"/>
        <v>1.1701663475094353</v>
      </c>
      <c r="J162" s="4">
        <f t="shared" si="21"/>
        <v>273.03982993476149</v>
      </c>
      <c r="K162" s="4">
        <f t="shared" si="22"/>
        <v>61.38209386600456</v>
      </c>
      <c r="L162" s="45">
        <f>Pressure!Q162</f>
        <v>0.54501097927251219</v>
      </c>
      <c r="M162" s="10">
        <f t="shared" si="16"/>
        <v>0.83978262087058109</v>
      </c>
      <c r="N162" s="10">
        <f t="shared" si="23"/>
        <v>2.9545467240956045</v>
      </c>
    </row>
    <row r="163" spans="3:14">
      <c r="C163" s="4">
        <f>Pressure!AB163*1000000</f>
        <v>1576717.2622649977</v>
      </c>
      <c r="D163" s="84">
        <f>Pressure!I163</f>
        <v>1.4801552192482141E-4</v>
      </c>
      <c r="E163" s="40">
        <f>Pressure!H163</f>
        <v>148.0155219248214</v>
      </c>
      <c r="F163" s="10">
        <f t="shared" si="18"/>
        <v>8</v>
      </c>
      <c r="G163" s="4">
        <f t="shared" si="17"/>
        <v>101000</v>
      </c>
      <c r="H163" s="45">
        <f t="shared" si="19"/>
        <v>3.3136146580172809</v>
      </c>
      <c r="I163" s="10">
        <f t="shared" si="20"/>
        <v>1.1702006977810904</v>
      </c>
      <c r="J163" s="4">
        <f t="shared" si="21"/>
        <v>273.09983392026834</v>
      </c>
      <c r="K163" s="4">
        <f t="shared" si="22"/>
        <v>61.395583364117698</v>
      </c>
      <c r="L163" s="45">
        <f>Pressure!Q163</f>
        <v>0.54808681326946607</v>
      </c>
      <c r="M163" s="10">
        <f t="shared" si="16"/>
        <v>0.8399174725851325</v>
      </c>
      <c r="N163" s="10">
        <f t="shared" si="23"/>
        <v>2.9545467240956045</v>
      </c>
    </row>
    <row r="164" spans="3:14">
      <c r="C164" s="4">
        <f>Pressure!AB164*1000000</f>
        <v>1577007.9475522728</v>
      </c>
      <c r="D164" s="84">
        <f>Pressure!I164</f>
        <v>1.4801552192482141E-4</v>
      </c>
      <c r="E164" s="40">
        <f>Pressure!H164</f>
        <v>148.0155219248214</v>
      </c>
      <c r="F164" s="10">
        <f t="shared" si="18"/>
        <v>8</v>
      </c>
      <c r="G164" s="4">
        <f t="shared" si="17"/>
        <v>101000</v>
      </c>
      <c r="H164" s="45">
        <f t="shared" si="19"/>
        <v>3.3140596511237677</v>
      </c>
      <c r="I164" s="10">
        <f t="shared" si="20"/>
        <v>1.1702339565988429</v>
      </c>
      <c r="J164" s="4">
        <f t="shared" si="21"/>
        <v>273.15794622712127</v>
      </c>
      <c r="K164" s="4">
        <f t="shared" si="22"/>
        <v>61.408647593885455</v>
      </c>
      <c r="L164" s="45">
        <f>Pressure!Q164</f>
        <v>0.55116246046900708</v>
      </c>
      <c r="M164" s="10">
        <f t="shared" si="16"/>
        <v>0.84004810586890377</v>
      </c>
      <c r="N164" s="10">
        <f t="shared" si="23"/>
        <v>2.9545467240956045</v>
      </c>
    </row>
    <row r="165" spans="3:14">
      <c r="C165" s="4">
        <f>Pressure!AB165*1000000</f>
        <v>1577289.163146093</v>
      </c>
      <c r="D165" s="84">
        <f>Pressure!I165</f>
        <v>1.4801552192482141E-4</v>
      </c>
      <c r="E165" s="40">
        <f>Pressure!H165</f>
        <v>148.0155219248214</v>
      </c>
      <c r="F165" s="10">
        <f t="shared" si="18"/>
        <v>8</v>
      </c>
      <c r="G165" s="4">
        <f t="shared" si="17"/>
        <v>101000</v>
      </c>
      <c r="H165" s="45">
        <f t="shared" si="19"/>
        <v>3.3144901334662178</v>
      </c>
      <c r="I165" s="10">
        <f t="shared" si="20"/>
        <v>1.1702661245219919</v>
      </c>
      <c r="J165" s="4">
        <f t="shared" si="21"/>
        <v>273.21416639348666</v>
      </c>
      <c r="K165" s="4">
        <f t="shared" si="22"/>
        <v>61.421286451482999</v>
      </c>
      <c r="L165" s="45">
        <f>Pressure!Q165</f>
        <v>0.55423792680808903</v>
      </c>
      <c r="M165" s="10">
        <f t="shared" si="16"/>
        <v>0.84017452048888763</v>
      </c>
      <c r="N165" s="10">
        <f t="shared" si="23"/>
        <v>2.9545467240956045</v>
      </c>
    </row>
    <row r="166" spans="3:14">
      <c r="C166" s="4">
        <f>Pressure!AB166*1000000</f>
        <v>1577560.9073066006</v>
      </c>
      <c r="D166" s="84">
        <f>Pressure!I166</f>
        <v>1.4801552192482141E-4</v>
      </c>
      <c r="E166" s="40">
        <f>Pressure!H166</f>
        <v>148.0155219248214</v>
      </c>
      <c r="F166" s="10">
        <f t="shared" si="18"/>
        <v>8</v>
      </c>
      <c r="G166" s="4">
        <f t="shared" si="17"/>
        <v>101000</v>
      </c>
      <c r="H166" s="45">
        <f t="shared" si="19"/>
        <v>3.3149061037912713</v>
      </c>
      <c r="I166" s="10">
        <f t="shared" si="20"/>
        <v>1.1702972020913953</v>
      </c>
      <c r="J166" s="4">
        <f t="shared" si="21"/>
        <v>273.26849397278625</v>
      </c>
      <c r="K166" s="4">
        <f t="shared" si="22"/>
        <v>61.433499836515054</v>
      </c>
      <c r="L166" s="45">
        <f>Pressure!Q166</f>
        <v>0.55731321822046909</v>
      </c>
      <c r="M166" s="10">
        <f t="shared" si="16"/>
        <v>0.84029671621950264</v>
      </c>
      <c r="N166" s="10">
        <f t="shared" si="23"/>
        <v>2.9545467240956045</v>
      </c>
    </row>
    <row r="167" spans="3:14">
      <c r="C167" s="4">
        <f>Pressure!AB167*1000000</f>
        <v>1577823.1783486374</v>
      </c>
      <c r="D167" s="84">
        <f>Pressure!I167</f>
        <v>1.4801552192482141E-4</v>
      </c>
      <c r="E167" s="40">
        <f>Pressure!H167</f>
        <v>148.0155219248214</v>
      </c>
      <c r="F167" s="10">
        <f t="shared" si="18"/>
        <v>8</v>
      </c>
      <c r="G167" s="4">
        <f t="shared" si="17"/>
        <v>101000</v>
      </c>
      <c r="H167" s="45">
        <f t="shared" si="19"/>
        <v>3.3153075608816982</v>
      </c>
      <c r="I167" s="10">
        <f t="shared" si="20"/>
        <v>1.1703271898289347</v>
      </c>
      <c r="J167" s="4">
        <f t="shared" si="21"/>
        <v>273.32092853271257</v>
      </c>
      <c r="K167" s="4">
        <f t="shared" si="22"/>
        <v>61.445287651794565</v>
      </c>
      <c r="L167" s="45">
        <f>Pressure!Q167</f>
        <v>0.56038834063681331</v>
      </c>
      <c r="M167" s="10">
        <f t="shared" si="16"/>
        <v>0.84041469284165127</v>
      </c>
      <c r="N167" s="10">
        <f t="shared" si="23"/>
        <v>2.9545467240956045</v>
      </c>
    </row>
    <row r="168" spans="3:14">
      <c r="C168" s="4">
        <f>Pressure!AB168*1000000</f>
        <v>1578075.9746472933</v>
      </c>
      <c r="D168" s="84">
        <f>Pressure!I168</f>
        <v>1.4801552192482141E-4</v>
      </c>
      <c r="E168" s="40">
        <f>Pressure!H168</f>
        <v>148.0155219248214</v>
      </c>
      <c r="F168" s="10">
        <f t="shared" si="18"/>
        <v>8</v>
      </c>
      <c r="G168" s="4">
        <f t="shared" si="17"/>
        <v>101000</v>
      </c>
      <c r="H168" s="45">
        <f t="shared" si="19"/>
        <v>3.3156945035648788</v>
      </c>
      <c r="I168" s="10">
        <f t="shared" si="20"/>
        <v>1.1703560882381794</v>
      </c>
      <c r="J168" s="4">
        <f t="shared" si="21"/>
        <v>273.37146965633883</v>
      </c>
      <c r="K168" s="4">
        <f t="shared" si="22"/>
        <v>61.4566498035922</v>
      </c>
      <c r="L168" s="45">
        <f>Pressure!Q168</f>
        <v>0.5634632999848046</v>
      </c>
      <c r="M168" s="10">
        <f t="shared" ref="M168:M231" si="24">(J168+J167)/2*(L168-L167)</f>
        <v>0.84052845014360023</v>
      </c>
      <c r="N168" s="10">
        <f t="shared" si="23"/>
        <v>2.9545467240956045</v>
      </c>
    </row>
    <row r="169" spans="3:14">
      <c r="C169" s="4">
        <f>Pressure!AB169*1000000</f>
        <v>1578319.2946314081</v>
      </c>
      <c r="D169" s="84">
        <f>Pressure!I169</f>
        <v>1.4801552192482141E-4</v>
      </c>
      <c r="E169" s="40">
        <f>Pressure!H169</f>
        <v>148.0155219248214</v>
      </c>
      <c r="F169" s="10">
        <f t="shared" si="18"/>
        <v>8</v>
      </c>
      <c r="G169" s="4">
        <f t="shared" si="17"/>
        <v>101000</v>
      </c>
      <c r="H169" s="45">
        <f t="shared" si="19"/>
        <v>3.3160669307028745</v>
      </c>
      <c r="I169" s="10">
        <f t="shared" si="20"/>
        <v>1.1703838978036696</v>
      </c>
      <c r="J169" s="4">
        <f t="shared" si="21"/>
        <v>273.42011694081827</v>
      </c>
      <c r="K169" s="4">
        <f t="shared" si="22"/>
        <v>61.467586201343977</v>
      </c>
      <c r="L169" s="45">
        <f>Pressure!Q169</f>
        <v>0.56653810218924772</v>
      </c>
      <c r="M169" s="10">
        <f t="shared" si="24"/>
        <v>0.84063798791994404</v>
      </c>
      <c r="N169" s="10">
        <f t="shared" si="23"/>
        <v>2.9545467240956045</v>
      </c>
    </row>
    <row r="170" spans="3:14">
      <c r="C170" s="4">
        <f>Pressure!AB170*1000000</f>
        <v>1578553.136790612</v>
      </c>
      <c r="D170" s="84">
        <f>Pressure!I170</f>
        <v>1.4801552192482141E-4</v>
      </c>
      <c r="E170" s="40">
        <f>Pressure!H170</f>
        <v>148.0155219248214</v>
      </c>
      <c r="F170" s="10">
        <f t="shared" si="18"/>
        <v>8</v>
      </c>
      <c r="G170" s="4">
        <f t="shared" si="17"/>
        <v>101000</v>
      </c>
      <c r="H170" s="45">
        <f t="shared" si="19"/>
        <v>3.3164248412032058</v>
      </c>
      <c r="I170" s="10">
        <f t="shared" si="20"/>
        <v>1.170410618991748</v>
      </c>
      <c r="J170" s="4">
        <f t="shared" si="21"/>
        <v>273.46686999879222</v>
      </c>
      <c r="K170" s="4">
        <f t="shared" si="22"/>
        <v>61.478096757967769</v>
      </c>
      <c r="L170" s="45">
        <f>Pressure!Q170</f>
        <v>0.56961275317217774</v>
      </c>
      <c r="M170" s="10">
        <f t="shared" si="24"/>
        <v>0.84074330597275726</v>
      </c>
      <c r="N170" s="10">
        <f t="shared" si="23"/>
        <v>2.9545467240956045</v>
      </c>
    </row>
    <row r="171" spans="3:14">
      <c r="C171" s="4">
        <f>Pressure!AB171*1000000</f>
        <v>1578777.4996688408</v>
      </c>
      <c r="D171" s="84">
        <f>Pressure!I171</f>
        <v>1.4801552192482141E-4</v>
      </c>
      <c r="E171" s="40">
        <f>Pressure!H171</f>
        <v>148.0155219248214</v>
      </c>
      <c r="F171" s="10">
        <f t="shared" si="18"/>
        <v>8</v>
      </c>
      <c r="G171" s="4">
        <f t="shared" si="17"/>
        <v>101000</v>
      </c>
      <c r="H171" s="45">
        <f t="shared" si="19"/>
        <v>3.3167682340089244</v>
      </c>
      <c r="I171" s="10">
        <f t="shared" si="20"/>
        <v>1.1704362522498437</v>
      </c>
      <c r="J171" s="4">
        <f t="shared" si="21"/>
        <v>273.51172845709249</v>
      </c>
      <c r="K171" s="4">
        <f t="shared" si="22"/>
        <v>61.488181389571622</v>
      </c>
      <c r="L171" s="45">
        <f>Pressure!Q171</f>
        <v>0.57268725885296412</v>
      </c>
      <c r="M171" s="10">
        <f t="shared" si="24"/>
        <v>0.84084440411059402</v>
      </c>
      <c r="N171" s="10">
        <f t="shared" si="23"/>
        <v>2.9545467240956045</v>
      </c>
    </row>
    <row r="172" spans="3:14">
      <c r="C172" s="4">
        <f>Pressure!AB172*1000000</f>
        <v>1578992.3818684856</v>
      </c>
      <c r="D172" s="84">
        <f>Pressure!I172</f>
        <v>1.4801552192482141E-4</v>
      </c>
      <c r="E172" s="40">
        <f>Pressure!H172</f>
        <v>148.0155219248214</v>
      </c>
      <c r="F172" s="10">
        <f t="shared" si="18"/>
        <v>8</v>
      </c>
      <c r="G172" s="4">
        <f t="shared" si="17"/>
        <v>101000</v>
      </c>
      <c r="H172" s="45">
        <f t="shared" si="19"/>
        <v>3.3170971081049769</v>
      </c>
      <c r="I172" s="10">
        <f t="shared" si="20"/>
        <v>1.1704607980069703</v>
      </c>
      <c r="J172" s="4">
        <f t="shared" si="21"/>
        <v>273.55469195757115</v>
      </c>
      <c r="K172" s="4">
        <f t="shared" si="22"/>
        <v>61.497840015640293</v>
      </c>
      <c r="L172" s="45">
        <f>Pressure!Q172</f>
        <v>0.57576162514841855</v>
      </c>
      <c r="M172" s="10">
        <f t="shared" si="24"/>
        <v>0.84094128214887365</v>
      </c>
      <c r="N172" s="10">
        <f t="shared" si="23"/>
        <v>2.9545467240956045</v>
      </c>
    </row>
    <row r="173" spans="3:14">
      <c r="C173" s="4">
        <f>Pressure!AB173*1000000</f>
        <v>1579197.7820489823</v>
      </c>
      <c r="D173" s="84">
        <f>Pressure!I173</f>
        <v>1.4801552192482141E-4</v>
      </c>
      <c r="E173" s="40">
        <f>Pressure!H173</f>
        <v>148.0155219248214</v>
      </c>
      <c r="F173" s="10">
        <f t="shared" si="18"/>
        <v>8</v>
      </c>
      <c r="G173" s="4">
        <f t="shared" si="17"/>
        <v>101000</v>
      </c>
      <c r="H173" s="45">
        <f t="shared" si="19"/>
        <v>3.3174114625160449</v>
      </c>
      <c r="I173" s="10">
        <f t="shared" si="20"/>
        <v>1.1704842566735876</v>
      </c>
      <c r="J173" s="4">
        <f t="shared" si="21"/>
        <v>273.59576015681785</v>
      </c>
      <c r="K173" s="4">
        <f t="shared" si="22"/>
        <v>61.507072558971686</v>
      </c>
      <c r="L173" s="45">
        <f>Pressure!Q173</f>
        <v>0.57883585797290038</v>
      </c>
      <c r="M173" s="10">
        <f t="shared" si="24"/>
        <v>0.84103393991006326</v>
      </c>
      <c r="N173" s="10">
        <f t="shared" si="23"/>
        <v>2.9545467240956045</v>
      </c>
    </row>
    <row r="174" spans="3:14">
      <c r="C174" s="4">
        <f>Pressure!AB174*1000000</f>
        <v>1579393.6989270751</v>
      </c>
      <c r="D174" s="84">
        <f>Pressure!I174</f>
        <v>1.4801552192482141E-4</v>
      </c>
      <c r="E174" s="40">
        <f>Pressure!H174</f>
        <v>148.0155219248214</v>
      </c>
      <c r="F174" s="10">
        <f t="shared" si="18"/>
        <v>8</v>
      </c>
      <c r="G174" s="4">
        <f t="shared" si="17"/>
        <v>101000</v>
      </c>
      <c r="H174" s="45">
        <f t="shared" si="19"/>
        <v>3.3177112963069502</v>
      </c>
      <c r="I174" s="10">
        <f t="shared" si="20"/>
        <v>1.1705066286416543</v>
      </c>
      <c r="J174" s="4">
        <f t="shared" si="21"/>
        <v>273.63493272621224</v>
      </c>
      <c r="K174" s="4">
        <f t="shared" si="22"/>
        <v>61.515878945688648</v>
      </c>
      <c r="L174" s="45">
        <f>Pressure!Q174</f>
        <v>0.58190996323842259</v>
      </c>
      <c r="M174" s="10">
        <f t="shared" si="24"/>
        <v>0.84112237722354477</v>
      </c>
      <c r="N174" s="10">
        <f t="shared" si="23"/>
        <v>2.9545467240956045</v>
      </c>
    </row>
    <row r="175" spans="3:14">
      <c r="C175" s="4">
        <f>Pressure!AB175*1000000</f>
        <v>1579580.1312760678</v>
      </c>
      <c r="D175" s="84">
        <f>Pressure!I175</f>
        <v>1.4801552192482141E-4</v>
      </c>
      <c r="E175" s="40">
        <f>Pressure!H175</f>
        <v>148.0155219248214</v>
      </c>
      <c r="F175" s="10">
        <f t="shared" si="18"/>
        <v>8</v>
      </c>
      <c r="G175" s="4">
        <f t="shared" si="17"/>
        <v>101000</v>
      </c>
      <c r="H175" s="45">
        <f t="shared" si="19"/>
        <v>3.3179966085815176</v>
      </c>
      <c r="I175" s="10">
        <f t="shared" si="20"/>
        <v>1.170527914284563</v>
      </c>
      <c r="J175" s="4">
        <f t="shared" si="21"/>
        <v>273.67220935177397</v>
      </c>
      <c r="K175" s="4">
        <f t="shared" si="22"/>
        <v>61.524259105205246</v>
      </c>
      <c r="L175" s="45">
        <f>Pressure!Q175</f>
        <v>0.58498394685475719</v>
      </c>
      <c r="M175" s="10">
        <f t="shared" si="24"/>
        <v>0.84120659392532049</v>
      </c>
      <c r="N175" s="10">
        <f t="shared" si="23"/>
        <v>2.9545467240956045</v>
      </c>
    </row>
    <row r="176" spans="3:14">
      <c r="C176" s="4">
        <f>Pressure!AB176*1000000</f>
        <v>1579757.0779261382</v>
      </c>
      <c r="D176" s="84">
        <f>Pressure!I176</f>
        <v>1.4801552192482141E-4</v>
      </c>
      <c r="E176" s="40">
        <f>Pressure!H176</f>
        <v>148.0155219248214</v>
      </c>
      <c r="F176" s="10">
        <f t="shared" si="18"/>
        <v>8</v>
      </c>
      <c r="G176" s="4">
        <f t="shared" si="17"/>
        <v>101000</v>
      </c>
      <c r="H176" s="45">
        <f t="shared" si="19"/>
        <v>3.3182673984830515</v>
      </c>
      <c r="I176" s="10">
        <f t="shared" si="20"/>
        <v>1.1705481139571972</v>
      </c>
      <c r="J176" s="4">
        <f t="shared" si="21"/>
        <v>273.70758973422517</v>
      </c>
      <c r="K176" s="4">
        <f t="shared" si="22"/>
        <v>61.532212970240813</v>
      </c>
      <c r="L176" s="45">
        <f>Pressure!Q176</f>
        <v>0.58805781472954144</v>
      </c>
      <c r="M176" s="10">
        <f t="shared" si="24"/>
        <v>0.84128658985815574</v>
      </c>
      <c r="N176" s="10">
        <f t="shared" si="23"/>
        <v>2.9545467240956045</v>
      </c>
    </row>
    <row r="177" spans="3:14">
      <c r="C177" s="4">
        <f>Pressure!AB177*1000000</f>
        <v>1579924.5377667632</v>
      </c>
      <c r="D177" s="84">
        <f>Pressure!I177</f>
        <v>1.4801552192482141E-4</v>
      </c>
      <c r="E177" s="40">
        <f>Pressure!H177</f>
        <v>148.0155219248214</v>
      </c>
      <c r="F177" s="10">
        <f t="shared" si="18"/>
        <v>8</v>
      </c>
      <c r="G177" s="4">
        <f t="shared" si="17"/>
        <v>101000</v>
      </c>
      <c r="H177" s="45">
        <f t="shared" si="19"/>
        <v>3.3185236651980676</v>
      </c>
      <c r="I177" s="10">
        <f t="shared" si="20"/>
        <v>1.1705672279962249</v>
      </c>
      <c r="J177" s="4">
        <f t="shared" si="21"/>
        <v>273.74107358947504</v>
      </c>
      <c r="K177" s="4">
        <f t="shared" si="22"/>
        <v>61.539740476928877</v>
      </c>
      <c r="L177" s="45">
        <f>Pressure!Q177</f>
        <v>0.5911315727683838</v>
      </c>
      <c r="M177" s="10">
        <f t="shared" si="24"/>
        <v>0.84136236487236293</v>
      </c>
      <c r="N177" s="10">
        <f t="shared" si="23"/>
        <v>2.9545467240956045</v>
      </c>
    </row>
    <row r="178" spans="3:14">
      <c r="C178" s="4">
        <f>Pressure!AB178*1000000</f>
        <v>1580082.5097402101</v>
      </c>
      <c r="D178" s="84">
        <f>Pressure!I178</f>
        <v>1.4801552192482141E-4</v>
      </c>
      <c r="E178" s="40">
        <f>Pressure!H178</f>
        <v>148.0155219248214</v>
      </c>
      <c r="F178" s="10">
        <f t="shared" si="18"/>
        <v>8</v>
      </c>
      <c r="G178" s="4">
        <f t="shared" si="17"/>
        <v>101000</v>
      </c>
      <c r="H178" s="45">
        <f t="shared" si="19"/>
        <v>3.3187654079463038</v>
      </c>
      <c r="I178" s="10">
        <f t="shared" si="20"/>
        <v>1.1705852567193766</v>
      </c>
      <c r="J178" s="4">
        <f t="shared" si="21"/>
        <v>273.77266064731816</v>
      </c>
      <c r="K178" s="4">
        <f t="shared" si="22"/>
        <v>61.546841564524563</v>
      </c>
      <c r="L178" s="45">
        <f>Pressure!Q178</f>
        <v>0.5942052268749678</v>
      </c>
      <c r="M178" s="10">
        <f t="shared" si="24"/>
        <v>0.84143391882403029</v>
      </c>
      <c r="N178" s="10">
        <f t="shared" si="23"/>
        <v>2.9545467240956045</v>
      </c>
    </row>
    <row r="179" spans="3:14">
      <c r="C179" s="4">
        <f>Pressure!AB179*1000000</f>
        <v>1580230.9928504813</v>
      </c>
      <c r="D179" s="84">
        <f>Pressure!I179</f>
        <v>1.4801552192482141E-4</v>
      </c>
      <c r="E179" s="40">
        <f>Pressure!H179</f>
        <v>148.0155219248214</v>
      </c>
      <c r="F179" s="10">
        <f t="shared" si="18"/>
        <v>8</v>
      </c>
      <c r="G179" s="4">
        <f t="shared" si="17"/>
        <v>101000</v>
      </c>
      <c r="H179" s="45">
        <f t="shared" si="19"/>
        <v>3.3189926259944458</v>
      </c>
      <c r="I179" s="10">
        <f t="shared" si="20"/>
        <v>1.1706022004264818</v>
      </c>
      <c r="J179" s="4">
        <f t="shared" si="21"/>
        <v>273.80235065322302</v>
      </c>
      <c r="K179" s="4">
        <f t="shared" si="22"/>
        <v>61.553516175806621</v>
      </c>
      <c r="L179" s="45">
        <f>Pressure!Q179</f>
        <v>0.59727878295115999</v>
      </c>
      <c r="M179" s="10">
        <f t="shared" si="24"/>
        <v>0.84150125157689448</v>
      </c>
      <c r="N179" s="10">
        <f t="shared" si="23"/>
        <v>2.9545467240956045</v>
      </c>
    </row>
    <row r="180" spans="3:14">
      <c r="C180" s="4">
        <f>Pressure!AB180*1000000</f>
        <v>1580369.9861558464</v>
      </c>
      <c r="D180" s="84">
        <f>Pressure!I180</f>
        <v>1.4801552192482141E-4</v>
      </c>
      <c r="E180" s="40">
        <f>Pressure!H180</f>
        <v>148.0155219248214</v>
      </c>
      <c r="F180" s="10">
        <f t="shared" si="18"/>
        <v>8</v>
      </c>
      <c r="G180" s="4">
        <f t="shared" si="17"/>
        <v>101000</v>
      </c>
      <c r="H180" s="45">
        <f t="shared" si="19"/>
        <v>3.3192053186446788</v>
      </c>
      <c r="I180" s="10">
        <f t="shared" si="20"/>
        <v>1.1706180593986315</v>
      </c>
      <c r="J180" s="4">
        <f t="shared" si="21"/>
        <v>273.83014336683783</v>
      </c>
      <c r="K180" s="4">
        <f t="shared" si="22"/>
        <v>61.559764256741566</v>
      </c>
      <c r="L180" s="45">
        <f>Pressure!Q180</f>
        <v>0.60035224689711264</v>
      </c>
      <c r="M180" s="10">
        <f t="shared" si="24"/>
        <v>0.84156436300139315</v>
      </c>
      <c r="N180" s="10">
        <f t="shared" si="23"/>
        <v>2.9545467240956045</v>
      </c>
    </row>
    <row r="181" spans="3:14">
      <c r="C181" s="4">
        <f>Pressure!AB181*1000000</f>
        <v>1580499.4887715599</v>
      </c>
      <c r="D181" s="84">
        <f>Pressure!I181</f>
        <v>1.4801552192482141E-4</v>
      </c>
      <c r="E181" s="40">
        <f>Pressure!H181</f>
        <v>148.0155219248214</v>
      </c>
      <c r="F181" s="10">
        <f t="shared" si="18"/>
        <v>8</v>
      </c>
      <c r="G181" s="4">
        <f t="shared" si="17"/>
        <v>101000</v>
      </c>
      <c r="H181" s="45">
        <f t="shared" si="19"/>
        <v>3.3194034852388543</v>
      </c>
      <c r="I181" s="10">
        <f t="shared" si="20"/>
        <v>1.1706328338985068</v>
      </c>
      <c r="J181" s="4">
        <f t="shared" si="21"/>
        <v>273.85603856253459</v>
      </c>
      <c r="K181" s="4">
        <f t="shared" si="22"/>
        <v>61.565585756605955</v>
      </c>
      <c r="L181" s="45">
        <f>Pressure!Q181</f>
        <v>0.60342562461137039</v>
      </c>
      <c r="M181" s="10">
        <f t="shared" si="24"/>
        <v>0.84162325297432505</v>
      </c>
      <c r="N181" s="10">
        <f t="shared" si="23"/>
        <v>2.9545467240956045</v>
      </c>
    </row>
    <row r="182" spans="3:14">
      <c r="C182" s="4">
        <f>Pressure!AB182*1000000</f>
        <v>1580619.499871545</v>
      </c>
      <c r="D182" s="84">
        <f>Pressure!I182</f>
        <v>1.4801552192482141E-4</v>
      </c>
      <c r="E182" s="40">
        <f>Pressure!H182</f>
        <v>148.0155219248214</v>
      </c>
      <c r="F182" s="10">
        <f t="shared" si="18"/>
        <v>8</v>
      </c>
      <c r="G182" s="4">
        <f t="shared" si="17"/>
        <v>101000</v>
      </c>
      <c r="H182" s="45">
        <f t="shared" si="19"/>
        <v>3.3195871251610702</v>
      </c>
      <c r="I182" s="10">
        <f t="shared" si="20"/>
        <v>1.1706465241705808</v>
      </c>
      <c r="J182" s="4">
        <f t="shared" si="21"/>
        <v>273.88003602974482</v>
      </c>
      <c r="K182" s="4">
        <f t="shared" si="22"/>
        <v>61.570980628061875</v>
      </c>
      <c r="L182" s="45">
        <f>Pressure!Q182</f>
        <v>0.60649892199097577</v>
      </c>
      <c r="M182" s="10">
        <f t="shared" si="24"/>
        <v>0.84167792137989406</v>
      </c>
      <c r="N182" s="10">
        <f t="shared" si="23"/>
        <v>2.9545467240956045</v>
      </c>
    </row>
    <row r="183" spans="3:14">
      <c r="C183" s="4">
        <f>Pressure!AB183*1000000</f>
        <v>1580730.0186855199</v>
      </c>
      <c r="D183" s="84">
        <f>Pressure!I183</f>
        <v>1.4801552192482141E-4</v>
      </c>
      <c r="E183" s="40">
        <f>Pressure!H183</f>
        <v>148.0155219248214</v>
      </c>
      <c r="F183" s="10">
        <f t="shared" si="18"/>
        <v>8</v>
      </c>
      <c r="G183" s="4">
        <f t="shared" si="17"/>
        <v>101000</v>
      </c>
      <c r="H183" s="45">
        <f t="shared" si="19"/>
        <v>3.3197562378332774</v>
      </c>
      <c r="I183" s="10">
        <f t="shared" si="20"/>
        <v>1.1706591304408076</v>
      </c>
      <c r="J183" s="4">
        <f t="shared" si="21"/>
        <v>273.90213557238525</v>
      </c>
      <c r="K183" s="4">
        <f t="shared" si="22"/>
        <v>61.575948827027844</v>
      </c>
      <c r="L183" s="45">
        <f>Pressure!Q183</f>
        <v>0.60957214493157308</v>
      </c>
      <c r="M183" s="10">
        <f t="shared" si="24"/>
        <v>0.84172836810893903</v>
      </c>
      <c r="N183" s="10">
        <f t="shared" si="23"/>
        <v>2.9545467240956045</v>
      </c>
    </row>
    <row r="184" spans="3:14">
      <c r="C184" s="4">
        <f>Pressure!AB184*1000000</f>
        <v>1580831.0444998736</v>
      </c>
      <c r="D184" s="84">
        <f>Pressure!I184</f>
        <v>1.4801552192482141E-4</v>
      </c>
      <c r="E184" s="40">
        <f>Pressure!H184</f>
        <v>148.0155219248214</v>
      </c>
      <c r="F184" s="10">
        <f t="shared" si="18"/>
        <v>8</v>
      </c>
      <c r="G184" s="4">
        <f t="shared" si="17"/>
        <v>101000</v>
      </c>
      <c r="H184" s="45">
        <f t="shared" si="19"/>
        <v>3.319910822716615</v>
      </c>
      <c r="I184" s="10">
        <f t="shared" si="20"/>
        <v>1.1706706529167323</v>
      </c>
      <c r="J184" s="4">
        <f t="shared" si="21"/>
        <v>273.92233700903267</v>
      </c>
      <c r="K184" s="4">
        <f t="shared" si="22"/>
        <v>61.580490312718105</v>
      </c>
      <c r="L184" s="45">
        <f>Pressure!Q184</f>
        <v>0.61264529932751399</v>
      </c>
      <c r="M184" s="10">
        <f t="shared" si="24"/>
        <v>0.84177459305879843</v>
      </c>
      <c r="N184" s="10">
        <f t="shared" si="23"/>
        <v>2.9545467240956045</v>
      </c>
    </row>
    <row r="185" spans="3:14">
      <c r="C185" s="4">
        <f>Pressure!AB185*1000000</f>
        <v>1580922.5766588261</v>
      </c>
      <c r="D185" s="84">
        <f>Pressure!I185</f>
        <v>1.4801552192482141E-4</v>
      </c>
      <c r="E185" s="40">
        <f>Pressure!H185</f>
        <v>148.0155219248214</v>
      </c>
      <c r="F185" s="10">
        <f t="shared" si="18"/>
        <v>8</v>
      </c>
      <c r="G185" s="4">
        <f t="shared" si="17"/>
        <v>101000</v>
      </c>
      <c r="H185" s="45">
        <f t="shared" si="19"/>
        <v>3.3200508793131918</v>
      </c>
      <c r="I185" s="10">
        <f t="shared" si="20"/>
        <v>1.1706810917876338</v>
      </c>
      <c r="J185" s="4">
        <f t="shared" si="21"/>
        <v>273.94064017315532</v>
      </c>
      <c r="K185" s="4">
        <f t="shared" si="22"/>
        <v>61.584605047694644</v>
      </c>
      <c r="L185" s="45">
        <f>Pressure!Q185</f>
        <v>0.61571839107196291</v>
      </c>
      <c r="M185" s="10">
        <f t="shared" si="24"/>
        <v>0.84181659613389415</v>
      </c>
      <c r="N185" s="10">
        <f t="shared" si="23"/>
        <v>2.9545467240956045</v>
      </c>
    </row>
    <row r="186" spans="3:14">
      <c r="C186" s="4">
        <f>Pressure!AB186*1000000</f>
        <v>1581004.614564047</v>
      </c>
      <c r="D186" s="84">
        <f>Pressure!I186</f>
        <v>1.4801552192482141E-4</v>
      </c>
      <c r="E186" s="40">
        <f>Pressure!H186</f>
        <v>148.0155219248214</v>
      </c>
      <c r="F186" s="10">
        <f t="shared" si="18"/>
        <v>8</v>
      </c>
      <c r="G186" s="4">
        <f t="shared" si="17"/>
        <v>101000</v>
      </c>
      <c r="H186" s="45">
        <f t="shared" si="19"/>
        <v>3.320176407165504</v>
      </c>
      <c r="I186" s="10">
        <f t="shared" si="20"/>
        <v>1.1706904472244939</v>
      </c>
      <c r="J186" s="4">
        <f t="shared" si="21"/>
        <v>273.95704491303729</v>
      </c>
      <c r="K186" s="4">
        <f t="shared" si="22"/>
        <v>61.58829299785021</v>
      </c>
      <c r="L186" s="45">
        <f>Pressure!Q186</f>
        <v>0.61879142605700144</v>
      </c>
      <c r="M186" s="10">
        <f t="shared" si="24"/>
        <v>0.8418543772457453</v>
      </c>
      <c r="N186" s="10">
        <f t="shared" si="23"/>
        <v>2.9545467240956045</v>
      </c>
    </row>
    <row r="187" spans="3:14">
      <c r="C187" s="4">
        <f>Pressure!AB187*1000000</f>
        <v>1581077.1576722006</v>
      </c>
      <c r="D187" s="84">
        <f>Pressure!I187</f>
        <v>1.4801552192482141E-4</v>
      </c>
      <c r="E187" s="40">
        <f>Pressure!H187</f>
        <v>148.0155219248214</v>
      </c>
      <c r="F187" s="10">
        <f t="shared" si="18"/>
        <v>8</v>
      </c>
      <c r="G187" s="4">
        <f t="shared" si="17"/>
        <v>101000</v>
      </c>
      <c r="H187" s="45">
        <f t="shared" si="19"/>
        <v>3.3202874058526777</v>
      </c>
      <c r="I187" s="10">
        <f t="shared" si="20"/>
        <v>1.1706987193797234</v>
      </c>
      <c r="J187" s="4">
        <f t="shared" si="21"/>
        <v>273.97155109128687</v>
      </c>
      <c r="K187" s="4">
        <f t="shared" si="22"/>
        <v>61.591554132297752</v>
      </c>
      <c r="L187" s="45">
        <f>Pressure!Q187</f>
        <v>0.62186441017373273</v>
      </c>
      <c r="M187" s="10">
        <f t="shared" si="24"/>
        <v>0.84188793631208259</v>
      </c>
      <c r="N187" s="10">
        <f t="shared" si="23"/>
        <v>2.9545467240956045</v>
      </c>
    </row>
    <row r="188" spans="3:14">
      <c r="C188" s="4">
        <f>Pressure!AB188*1000000</f>
        <v>1581140.2054988961</v>
      </c>
      <c r="D188" s="84">
        <f>Pressure!I188</f>
        <v>1.4801552192482141E-4</v>
      </c>
      <c r="E188" s="40">
        <f>Pressure!H188</f>
        <v>148.0155219248214</v>
      </c>
      <c r="F188" s="10">
        <f t="shared" si="18"/>
        <v>8</v>
      </c>
      <c r="G188" s="4">
        <f t="shared" si="17"/>
        <v>101000</v>
      </c>
      <c r="H188" s="45">
        <f t="shared" si="19"/>
        <v>3.3203838749965162</v>
      </c>
      <c r="I188" s="10">
        <f t="shared" si="20"/>
        <v>1.170705908387623</v>
      </c>
      <c r="J188" s="4">
        <f t="shared" si="21"/>
        <v>273.98415858562657</v>
      </c>
      <c r="K188" s="4">
        <f t="shared" si="22"/>
        <v>61.594388423548082</v>
      </c>
      <c r="L188" s="45">
        <f>Pressure!Q188</f>
        <v>0.62493734931238754</v>
      </c>
      <c r="M188" s="10">
        <f t="shared" si="24"/>
        <v>0.84191727325777888</v>
      </c>
      <c r="N188" s="10">
        <f t="shared" si="23"/>
        <v>2.9545467240956045</v>
      </c>
    </row>
    <row r="189" spans="3:14">
      <c r="C189" s="4">
        <f>Pressure!AB189*1000000</f>
        <v>1581193.7576153341</v>
      </c>
      <c r="D189" s="84">
        <f>Pressure!I189</f>
        <v>1.4801552192482141E-4</v>
      </c>
      <c r="E189" s="40">
        <f>Pressure!H189</f>
        <v>148.0155219248214</v>
      </c>
      <c r="F189" s="10">
        <f t="shared" si="18"/>
        <v>8</v>
      </c>
      <c r="G189" s="4">
        <f t="shared" si="17"/>
        <v>101000</v>
      </c>
      <c r="H189" s="45">
        <f t="shared" si="19"/>
        <v>3.3204658142563663</v>
      </c>
      <c r="I189" s="10">
        <f t="shared" si="20"/>
        <v>1.1707120143640071</v>
      </c>
      <c r="J189" s="4">
        <f t="shared" si="21"/>
        <v>273.99486728822251</v>
      </c>
      <c r="K189" s="4">
        <f t="shared" si="22"/>
        <v>61.596795847359047</v>
      </c>
      <c r="L189" s="45">
        <f>Pressure!Q189</f>
        <v>0.62801024936242789</v>
      </c>
      <c r="M189" s="10">
        <f t="shared" si="24"/>
        <v>0.84194238801440657</v>
      </c>
      <c r="N189" s="10">
        <f t="shared" si="23"/>
        <v>2.9545467240956045</v>
      </c>
    </row>
    <row r="190" spans="3:14">
      <c r="C190" s="4">
        <f>Pressure!AB190*1000000</f>
        <v>1581237.8136513948</v>
      </c>
      <c r="D190" s="84">
        <f>Pressure!I190</f>
        <v>1.4801552192482141E-4</v>
      </c>
      <c r="E190" s="40">
        <f>Pressure!H190</f>
        <v>148.0155219248214</v>
      </c>
      <c r="F190" s="10">
        <f t="shared" si="18"/>
        <v>8</v>
      </c>
      <c r="G190" s="4">
        <f t="shared" si="17"/>
        <v>101000</v>
      </c>
      <c r="H190" s="45">
        <f t="shared" si="19"/>
        <v>3.3205332233338454</v>
      </c>
      <c r="I190" s="10">
        <f t="shared" si="20"/>
        <v>1.170717037406561</v>
      </c>
      <c r="J190" s="4">
        <f t="shared" si="21"/>
        <v>274.00367710630155</v>
      </c>
      <c r="K190" s="4">
        <f t="shared" si="22"/>
        <v>61.59877638287432</v>
      </c>
      <c r="L190" s="45">
        <f>Pressure!Q190</f>
        <v>0.63108311621265245</v>
      </c>
      <c r="M190" s="10">
        <f t="shared" si="24"/>
        <v>0.84196328052062375</v>
      </c>
      <c r="N190" s="10">
        <f t="shared" si="23"/>
        <v>2.9545467240956045</v>
      </c>
    </row>
    <row r="191" spans="3:14">
      <c r="C191" s="4">
        <f>Pressure!AB191*1000000</f>
        <v>1581272.3732917805</v>
      </c>
      <c r="D191" s="84">
        <f>Pressure!I191</f>
        <v>1.4801552192482141E-4</v>
      </c>
      <c r="E191" s="40">
        <f>Pressure!H191</f>
        <v>148.0155219248214</v>
      </c>
      <c r="F191" s="10">
        <f t="shared" si="18"/>
        <v>8</v>
      </c>
      <c r="G191" s="4">
        <f t="shared" si="17"/>
        <v>101000</v>
      </c>
      <c r="H191" s="45">
        <f t="shared" si="19"/>
        <v>3.3205861019669465</v>
      </c>
      <c r="I191" s="10">
        <f t="shared" si="20"/>
        <v>1.170720977594409</v>
      </c>
      <c r="J191" s="4">
        <f t="shared" si="21"/>
        <v>274.01058796138068</v>
      </c>
      <c r="K191" s="4">
        <f t="shared" si="22"/>
        <v>61.600330012450137</v>
      </c>
      <c r="L191" s="45">
        <f>Pressure!Q191</f>
        <v>0.63415595575130024</v>
      </c>
      <c r="M191" s="10">
        <f t="shared" si="24"/>
        <v>0.84197995072149134</v>
      </c>
      <c r="N191" s="10">
        <f t="shared" si="23"/>
        <v>2.9545467240956045</v>
      </c>
    </row>
    <row r="192" spans="3:14">
      <c r="C192" s="4">
        <f>Pressure!AB192*1000000</f>
        <v>1581297.4362791476</v>
      </c>
      <c r="D192" s="84">
        <f>Pressure!I192</f>
        <v>1.4801552192482141E-4</v>
      </c>
      <c r="E192" s="40">
        <f>Pressure!H192</f>
        <v>148.0155219248214</v>
      </c>
      <c r="F192" s="10">
        <f t="shared" si="18"/>
        <v>8</v>
      </c>
      <c r="G192" s="4">
        <f t="shared" si="17"/>
        <v>101000</v>
      </c>
      <c r="H192" s="45">
        <f t="shared" si="19"/>
        <v>3.3206244499348143</v>
      </c>
      <c r="I192" s="10">
        <f t="shared" si="20"/>
        <v>1.1707238349884723</v>
      </c>
      <c r="J192" s="4">
        <f t="shared" si="21"/>
        <v>274.01559978989229</v>
      </c>
      <c r="K192" s="4">
        <f t="shared" si="22"/>
        <v>61.601456721795849</v>
      </c>
      <c r="L192" s="45">
        <f>Pressure!Q192</f>
        <v>0.63722877386615673</v>
      </c>
      <c r="M192" s="10">
        <f t="shared" si="24"/>
        <v>0.84199239856892794</v>
      </c>
      <c r="N192" s="10">
        <f t="shared" si="23"/>
        <v>2.9545467240956045</v>
      </c>
    </row>
    <row r="193" spans="3:14">
      <c r="C193" s="4">
        <f>Pressure!AB193*1000000</f>
        <v>1581313.0024138917</v>
      </c>
      <c r="D193" s="84">
        <f>Pressure!I193</f>
        <v>1.4801552192482141E-4</v>
      </c>
      <c r="E193" s="40">
        <f>Pressure!H193</f>
        <v>148.0155219248214</v>
      </c>
      <c r="F193" s="10">
        <f t="shared" si="18"/>
        <v>8</v>
      </c>
      <c r="G193" s="4">
        <f t="shared" si="17"/>
        <v>101000</v>
      </c>
      <c r="H193" s="45">
        <f t="shared" si="19"/>
        <v>3.3206482670574311</v>
      </c>
      <c r="I193" s="10">
        <f t="shared" si="20"/>
        <v>1.1707256096314504</v>
      </c>
      <c r="J193" s="4">
        <f t="shared" si="21"/>
        <v>274.01871254314199</v>
      </c>
      <c r="K193" s="4">
        <f t="shared" si="22"/>
        <v>61.60215649996448</v>
      </c>
      <c r="L193" s="45">
        <f>Pressure!Q193</f>
        <v>0.64030157644465779</v>
      </c>
      <c r="M193" s="10">
        <f t="shared" si="24"/>
        <v>0.84200062402200304</v>
      </c>
      <c r="N193" s="10">
        <f t="shared" si="23"/>
        <v>2.9545467240956045</v>
      </c>
    </row>
    <row r="194" spans="3:14">
      <c r="C194" s="4">
        <f>Pressure!AB194*1000000</f>
        <v>1581319.0715519465</v>
      </c>
      <c r="D194" s="84">
        <f>Pressure!I194</f>
        <v>1.4801552192482141E-4</v>
      </c>
      <c r="E194" s="40">
        <f>Pressure!H194</f>
        <v>148.0155219248214</v>
      </c>
      <c r="F194" s="10">
        <f t="shared" si="18"/>
        <v>8</v>
      </c>
      <c r="G194" s="4">
        <f t="shared" si="17"/>
        <v>101000</v>
      </c>
      <c r="H194" s="45">
        <f t="shared" si="19"/>
        <v>3.3206575531922464</v>
      </c>
      <c r="I194" s="10">
        <f t="shared" si="20"/>
        <v>1.1707263015475704</v>
      </c>
      <c r="J194" s="4">
        <f t="shared" si="21"/>
        <v>274.01992618686779</v>
      </c>
      <c r="K194" s="4">
        <f t="shared" si="22"/>
        <v>61.602429339253582</v>
      </c>
      <c r="L194" s="45">
        <f>Pressure!Q194</f>
        <v>0.64337436937399362</v>
      </c>
      <c r="M194" s="10">
        <f t="shared" si="24"/>
        <v>0.84200462704620138</v>
      </c>
      <c r="N194" s="10">
        <f t="shared" si="23"/>
        <v>2.9545467240956045</v>
      </c>
    </row>
    <row r="195" spans="3:14">
      <c r="C195" s="4">
        <f>Pressure!AB195*1000000</f>
        <v>1581315.6436066257</v>
      </c>
      <c r="D195" s="84">
        <f>Pressure!I195</f>
        <v>1.4801552192482141E-4</v>
      </c>
      <c r="E195" s="40">
        <f>Pressure!H195</f>
        <v>148.0155219248214</v>
      </c>
      <c r="F195" s="10">
        <f t="shared" si="18"/>
        <v>8</v>
      </c>
      <c r="G195" s="4">
        <f t="shared" si="17"/>
        <v>101000</v>
      </c>
      <c r="H195" s="45">
        <f t="shared" si="19"/>
        <v>3.320652308236987</v>
      </c>
      <c r="I195" s="10">
        <f t="shared" si="20"/>
        <v>1.1707259107427994</v>
      </c>
      <c r="J195" s="4">
        <f t="shared" si="21"/>
        <v>274.01924070160919</v>
      </c>
      <c r="K195" s="4">
        <f t="shared" si="22"/>
        <v>61.602275235288253</v>
      </c>
      <c r="L195" s="45">
        <f>Pressure!Q195</f>
        <v>0.64644715854121459</v>
      </c>
      <c r="M195" s="10">
        <f t="shared" si="24"/>
        <v>0.84200440761386131</v>
      </c>
      <c r="N195" s="10">
        <f t="shared" si="23"/>
        <v>2.9545467240956045</v>
      </c>
    </row>
    <row r="196" spans="3:14">
      <c r="C196" s="4">
        <f>Pressure!AB196*1000000</f>
        <v>1581302.7185487102</v>
      </c>
      <c r="D196" s="84">
        <f>Pressure!I196</f>
        <v>1.4801552192482141E-4</v>
      </c>
      <c r="E196" s="40">
        <f>Pressure!H196</f>
        <v>148.0155219248214</v>
      </c>
      <c r="F196" s="10">
        <f t="shared" si="18"/>
        <v>8</v>
      </c>
      <c r="G196" s="4">
        <f t="shared" si="17"/>
        <v>101000</v>
      </c>
      <c r="H196" s="45">
        <f t="shared" si="19"/>
        <v>3.3206325321297951</v>
      </c>
      <c r="I196" s="10">
        <f t="shared" si="20"/>
        <v>1.170724437204854</v>
      </c>
      <c r="J196" s="4">
        <f t="shared" si="21"/>
        <v>274.01665608272407</v>
      </c>
      <c r="K196" s="4">
        <f t="shared" si="22"/>
        <v>61.601694187024883</v>
      </c>
      <c r="L196" s="45">
        <f>Pressure!Q196</f>
        <v>0.64951994983333528</v>
      </c>
      <c r="M196" s="10">
        <f t="shared" si="24"/>
        <v>0.84199996570422364</v>
      </c>
      <c r="N196" s="10">
        <f t="shared" si="23"/>
        <v>2.9545467240956045</v>
      </c>
    </row>
    <row r="197" spans="3:14">
      <c r="C197" s="4">
        <f>Pressure!AB197*1000000</f>
        <v>1581280.2964057818</v>
      </c>
      <c r="D197" s="84">
        <f>Pressure!I197</f>
        <v>1.4801552192482141E-4</v>
      </c>
      <c r="E197" s="40">
        <f>Pressure!H197</f>
        <v>148.0155219248214</v>
      </c>
      <c r="F197" s="10">
        <f t="shared" si="18"/>
        <v>8</v>
      </c>
      <c r="G197" s="4">
        <f t="shared" si="17"/>
        <v>101000</v>
      </c>
      <c r="H197" s="45">
        <f t="shared" si="19"/>
        <v>3.320598224848208</v>
      </c>
      <c r="I197" s="10">
        <f t="shared" si="20"/>
        <v>1.1707218809031237</v>
      </c>
      <c r="J197" s="4">
        <f t="shared" si="21"/>
        <v>274.01217234025563</v>
      </c>
      <c r="K197" s="4">
        <f t="shared" si="22"/>
        <v>61.600686196721291</v>
      </c>
      <c r="L197" s="45">
        <f>Pressure!Q197</f>
        <v>0.65259274913743892</v>
      </c>
      <c r="M197" s="10">
        <f t="shared" si="24"/>
        <v>0.84199130130343425</v>
      </c>
      <c r="N197" s="10">
        <f t="shared" si="23"/>
        <v>2.9545467240956045</v>
      </c>
    </row>
    <row r="198" spans="3:14">
      <c r="C198" s="4">
        <f>Pressure!AB198*1000000</f>
        <v>1581248.377261678</v>
      </c>
      <c r="D198" s="84">
        <f>Pressure!I198</f>
        <v>1.4801552192482141E-4</v>
      </c>
      <c r="E198" s="40">
        <f>Pressure!H198</f>
        <v>148.0155219248214</v>
      </c>
      <c r="F198" s="10">
        <f t="shared" si="18"/>
        <v>8</v>
      </c>
      <c r="G198" s="4">
        <f t="shared" si="17"/>
        <v>101000</v>
      </c>
      <c r="H198" s="45">
        <f t="shared" si="19"/>
        <v>3.3205493864083251</v>
      </c>
      <c r="I198" s="10">
        <f t="shared" si="20"/>
        <v>1.1707182417886068</v>
      </c>
      <c r="J198" s="4">
        <f t="shared" si="21"/>
        <v>274.00578949882379</v>
      </c>
      <c r="K198" s="4">
        <f t="shared" si="22"/>
        <v>61.59925126991228</v>
      </c>
      <c r="L198" s="45">
        <f>Pressure!Q198</f>
        <v>0.6556655623407821</v>
      </c>
      <c r="M198" s="10">
        <f t="shared" si="24"/>
        <v>0.84197841440417187</v>
      </c>
      <c r="N198" s="10">
        <f t="shared" si="23"/>
        <v>2.9545467240956045</v>
      </c>
    </row>
    <row r="199" spans="3:14">
      <c r="C199" s="4">
        <f>Pressure!AB199*1000000</f>
        <v>1581206.9612578377</v>
      </c>
      <c r="D199" s="84">
        <f>Pressure!I199</f>
        <v>1.4801552192482141E-4</v>
      </c>
      <c r="E199" s="40">
        <f>Pressure!H199</f>
        <v>148.0155219248214</v>
      </c>
      <c r="F199" s="10">
        <f t="shared" si="18"/>
        <v>8</v>
      </c>
      <c r="G199" s="4">
        <f t="shared" si="17"/>
        <v>101000</v>
      </c>
      <c r="H199" s="45">
        <f t="shared" si="19"/>
        <v>3.320486016866858</v>
      </c>
      <c r="I199" s="10">
        <f t="shared" si="20"/>
        <v>1.1707135197940621</v>
      </c>
      <c r="J199" s="4">
        <f t="shared" si="21"/>
        <v>273.99750759789396</v>
      </c>
      <c r="K199" s="4">
        <f t="shared" si="22"/>
        <v>61.597389415470069</v>
      </c>
      <c r="L199" s="45">
        <f>Pressure!Q199</f>
        <v>0.65873839533089973</v>
      </c>
      <c r="M199" s="10">
        <f t="shared" si="24"/>
        <v>0.84196130500601196</v>
      </c>
      <c r="N199" s="10">
        <f t="shared" si="23"/>
        <v>2.9545467240956045</v>
      </c>
    </row>
    <row r="200" spans="3:14">
      <c r="C200" s="4">
        <f>Pressure!AB200*1000000</f>
        <v>1581156.048592709</v>
      </c>
      <c r="D200" s="84">
        <f>Pressure!I200</f>
        <v>1.4801552192482141E-4</v>
      </c>
      <c r="E200" s="40">
        <f>Pressure!H200</f>
        <v>148.0155219248214</v>
      </c>
      <c r="F200" s="10">
        <f t="shared" si="18"/>
        <v>8</v>
      </c>
      <c r="G200" s="4">
        <f t="shared" si="17"/>
        <v>101000</v>
      </c>
      <c r="H200" s="45">
        <f t="shared" si="19"/>
        <v>3.3204081163202281</v>
      </c>
      <c r="I200" s="10">
        <f t="shared" si="20"/>
        <v>1.1707077148339355</v>
      </c>
      <c r="J200" s="4">
        <f t="shared" si="21"/>
        <v>273.98732669165895</v>
      </c>
      <c r="K200" s="4">
        <f t="shared" si="22"/>
        <v>61.595100645577752</v>
      </c>
      <c r="L200" s="45">
        <f>Pressure!Q200</f>
        <v>0.66181125399570928</v>
      </c>
      <c r="M200" s="10">
        <f t="shared" si="24"/>
        <v>0.84193997311543978</v>
      </c>
      <c r="N200" s="10">
        <f t="shared" si="23"/>
        <v>2.9545467240956045</v>
      </c>
    </row>
    <row r="201" spans="3:14">
      <c r="C201" s="4">
        <f>Pressure!AB201*1000000</f>
        <v>1581095.6395207504</v>
      </c>
      <c r="D201" s="84">
        <f>Pressure!I201</f>
        <v>1.4801552192482141E-4</v>
      </c>
      <c r="E201" s="40">
        <f>Pressure!H201</f>
        <v>148.0155219248214</v>
      </c>
      <c r="F201" s="10">
        <f t="shared" si="18"/>
        <v>8</v>
      </c>
      <c r="G201" s="4">
        <f t="shared" si="17"/>
        <v>101000</v>
      </c>
      <c r="H201" s="45">
        <f t="shared" si="19"/>
        <v>3.3203156849030386</v>
      </c>
      <c r="I201" s="10">
        <f t="shared" si="20"/>
        <v>1.1707008268042438</v>
      </c>
      <c r="J201" s="4">
        <f t="shared" si="21"/>
        <v>273.97524684883945</v>
      </c>
      <c r="K201" s="4">
        <f t="shared" si="22"/>
        <v>61.592384975684425</v>
      </c>
      <c r="L201" s="45">
        <f>Pressure!Q201</f>
        <v>0.66488414422361553</v>
      </c>
      <c r="M201" s="10">
        <f t="shared" si="24"/>
        <v>0.84191441874547712</v>
      </c>
      <c r="N201" s="10">
        <f t="shared" si="23"/>
        <v>2.9545467240956045</v>
      </c>
    </row>
    <row r="202" spans="3:14">
      <c r="C202" s="4">
        <f>Pressure!AB202*1000000</f>
        <v>1581025.7343549086</v>
      </c>
      <c r="D202" s="84">
        <f>Pressure!I202</f>
        <v>1.4801552192482141E-4</v>
      </c>
      <c r="E202" s="40">
        <f>Pressure!H202</f>
        <v>148.0155219248214</v>
      </c>
      <c r="F202" s="10">
        <f t="shared" si="18"/>
        <v>8</v>
      </c>
      <c r="G202" s="4">
        <f t="shared" si="17"/>
        <v>101000</v>
      </c>
      <c r="H202" s="45">
        <f t="shared" si="19"/>
        <v>3.320208722791858</v>
      </c>
      <c r="I202" s="10">
        <f t="shared" si="20"/>
        <v>1.1706928555828495</v>
      </c>
      <c r="J202" s="4">
        <f t="shared" si="21"/>
        <v>273.96126815317945</v>
      </c>
      <c r="K202" s="4">
        <f t="shared" si="22"/>
        <v>61.589242424616579</v>
      </c>
      <c r="L202" s="45">
        <f>Pressure!Q202</f>
        <v>0.66795707190361553</v>
      </c>
      <c r="M202" s="10">
        <f t="shared" si="24"/>
        <v>0.8418846419162207</v>
      </c>
      <c r="N202" s="10">
        <f t="shared" si="23"/>
        <v>2.9545467240956045</v>
      </c>
    </row>
    <row r="203" spans="3:14">
      <c r="C203" s="4">
        <f>Pressure!AB203*1000000</f>
        <v>1580946.3334638141</v>
      </c>
      <c r="D203" s="84">
        <f>Pressure!I203</f>
        <v>1.4801552192482141E-4</v>
      </c>
      <c r="E203" s="40">
        <f>Pressure!H203</f>
        <v>148.0155219248214</v>
      </c>
      <c r="F203" s="10">
        <f t="shared" si="18"/>
        <v>8</v>
      </c>
      <c r="G203" s="4">
        <f t="shared" si="17"/>
        <v>101000</v>
      </c>
      <c r="H203" s="45">
        <f t="shared" si="19"/>
        <v>3.3200872302009321</v>
      </c>
      <c r="I203" s="10">
        <f t="shared" si="20"/>
        <v>1.1706838010291358</v>
      </c>
      <c r="J203" s="4">
        <f t="shared" si="21"/>
        <v>273.94539070288585</v>
      </c>
      <c r="K203" s="4">
        <f t="shared" si="22"/>
        <v>61.585673014452105</v>
      </c>
      <c r="L203" s="45">
        <f>Pressure!Q203</f>
        <v>0.67103004292540269</v>
      </c>
      <c r="M203" s="10">
        <f t="shared" si="24"/>
        <v>0.84185064265445675</v>
      </c>
      <c r="N203" s="10">
        <f t="shared" si="23"/>
        <v>2.9545467240956045</v>
      </c>
    </row>
    <row r="204" spans="3:14">
      <c r="C204" s="4">
        <f>Pressure!AB204*1000000</f>
        <v>1580857.437273718</v>
      </c>
      <c r="D204" s="84">
        <f>Pressure!I204</f>
        <v>1.4801552192482141E-4</v>
      </c>
      <c r="E204" s="40">
        <f>Pressure!H204</f>
        <v>148.0155219248214</v>
      </c>
      <c r="F204" s="10">
        <f t="shared" si="18"/>
        <v>8</v>
      </c>
      <c r="G204" s="4">
        <f t="shared" si="17"/>
        <v>101000</v>
      </c>
      <c r="H204" s="45">
        <f t="shared" si="19"/>
        <v>3.3199512073851487</v>
      </c>
      <c r="I204" s="10">
        <f t="shared" si="20"/>
        <v>1.1706736629842183</v>
      </c>
      <c r="J204" s="4">
        <f t="shared" si="21"/>
        <v>273.9276146110156</v>
      </c>
      <c r="K204" s="4">
        <f t="shared" si="22"/>
        <v>61.581676770607345</v>
      </c>
      <c r="L204" s="45">
        <f>Pressure!Q204</f>
        <v>0.67410306317947233</v>
      </c>
      <c r="M204" s="10">
        <f t="shared" si="24"/>
        <v>0.84181242099381026</v>
      </c>
      <c r="N204" s="10">
        <f t="shared" si="23"/>
        <v>2.9545467240956045</v>
      </c>
    </row>
    <row r="205" spans="3:14">
      <c r="C205" s="4">
        <f>Pressure!AB205*1000000</f>
        <v>1580759.0462673369</v>
      </c>
      <c r="D205" s="84">
        <f>Pressure!I205</f>
        <v>1.4801552192482141E-4</v>
      </c>
      <c r="E205" s="40">
        <f>Pressure!H205</f>
        <v>148.0155219248214</v>
      </c>
      <c r="F205" s="10">
        <f t="shared" si="18"/>
        <v>8</v>
      </c>
      <c r="G205" s="4">
        <f t="shared" si="17"/>
        <v>101000</v>
      </c>
      <c r="H205" s="45">
        <f t="shared" si="19"/>
        <v>3.319800654638251</v>
      </c>
      <c r="I205" s="10">
        <f t="shared" si="20"/>
        <v>1.1706624412708067</v>
      </c>
      <c r="J205" s="4">
        <f t="shared" si="21"/>
        <v>273.90794000524573</v>
      </c>
      <c r="K205" s="4">
        <f t="shared" si="22"/>
        <v>61.577253721785382</v>
      </c>
      <c r="L205" s="45">
        <f>Pressure!Q205</f>
        <v>0.67717613855722558</v>
      </c>
      <c r="M205" s="10">
        <f t="shared" si="24"/>
        <v>0.84176997697451528</v>
      </c>
      <c r="N205" s="10">
        <f t="shared" si="23"/>
        <v>2.9545467240956045</v>
      </c>
    </row>
    <row r="206" spans="3:14">
      <c r="C206" s="4">
        <f>Pressure!AB206*1000000</f>
        <v>1580651.1609850484</v>
      </c>
      <c r="D206" s="84">
        <f>Pressure!I206</f>
        <v>1.4801552192482141E-4</v>
      </c>
      <c r="E206" s="40">
        <f>Pressure!H206</f>
        <v>148.0155219248214</v>
      </c>
      <c r="F206" s="10">
        <f t="shared" si="18"/>
        <v>8</v>
      </c>
      <c r="G206" s="4">
        <f t="shared" si="17"/>
        <v>101000</v>
      </c>
      <c r="H206" s="45">
        <f t="shared" si="19"/>
        <v>3.3196355722946844</v>
      </c>
      <c r="I206" s="10">
        <f t="shared" si="20"/>
        <v>1.1706501356933285</v>
      </c>
      <c r="J206" s="4">
        <f t="shared" si="21"/>
        <v>273.88636702811135</v>
      </c>
      <c r="K206" s="4">
        <f t="shared" si="22"/>
        <v>61.572403900029528</v>
      </c>
      <c r="L206" s="45">
        <f>Pressure!Q206</f>
        <v>0.68024927495107512</v>
      </c>
      <c r="M206" s="10">
        <f t="shared" si="24"/>
        <v>0.84172331064389949</v>
      </c>
      <c r="N206" s="10">
        <f t="shared" si="23"/>
        <v>2.9545467240956045</v>
      </c>
    </row>
    <row r="207" spans="3:14">
      <c r="C207" s="4">
        <f>Pressure!AB207*1000000</f>
        <v>1580533.7820232708</v>
      </c>
      <c r="D207" s="84">
        <f>Pressure!I207</f>
        <v>1.4801552192482141E-4</v>
      </c>
      <c r="E207" s="40">
        <f>Pressure!H207</f>
        <v>148.0155219248214</v>
      </c>
      <c r="F207" s="10">
        <f t="shared" si="18"/>
        <v>8</v>
      </c>
      <c r="G207" s="4">
        <f t="shared" si="17"/>
        <v>101000</v>
      </c>
      <c r="H207" s="45">
        <f t="shared" si="19"/>
        <v>3.3194559607271032</v>
      </c>
      <c r="I207" s="10">
        <f t="shared" si="20"/>
        <v>1.1706367460377369</v>
      </c>
      <c r="J207" s="4">
        <f t="shared" si="21"/>
        <v>273.86289583668326</v>
      </c>
      <c r="K207" s="4">
        <f t="shared" si="22"/>
        <v>61.567127340650885</v>
      </c>
      <c r="L207" s="45">
        <f>Pressure!Q207</f>
        <v>0.68332247825454939</v>
      </c>
      <c r="M207" s="10">
        <f t="shared" si="24"/>
        <v>0.8416724220558417</v>
      </c>
      <c r="N207" s="10">
        <f t="shared" si="23"/>
        <v>2.9545467240956045</v>
      </c>
    </row>
    <row r="208" spans="3:14">
      <c r="C208" s="4">
        <f>Pressure!AB208*1000000</f>
        <v>1580406.9100369303</v>
      </c>
      <c r="D208" s="84">
        <f>Pressure!I208</f>
        <v>1.4801552192482141E-4</v>
      </c>
      <c r="E208" s="40">
        <f>Pressure!H208</f>
        <v>148.0155219248214</v>
      </c>
      <c r="F208" s="10">
        <f t="shared" si="18"/>
        <v>8</v>
      </c>
      <c r="G208" s="4">
        <f t="shared" si="17"/>
        <v>101000</v>
      </c>
      <c r="H208" s="45">
        <f t="shared" si="19"/>
        <v>3.3192618203501452</v>
      </c>
      <c r="I208" s="10">
        <f t="shared" si="20"/>
        <v>1.1706222720717772</v>
      </c>
      <c r="J208" s="4">
        <f t="shared" si="21"/>
        <v>273.8375266030605</v>
      </c>
      <c r="K208" s="4">
        <f t="shared" si="22"/>
        <v>61.561424082339038</v>
      </c>
      <c r="L208" s="45">
        <f>Pressure!Q208</f>
        <v>0.68639575436239786</v>
      </c>
      <c r="M208" s="10">
        <f t="shared" si="24"/>
        <v>0.84161731127128814</v>
      </c>
      <c r="N208" s="10">
        <f t="shared" si="23"/>
        <v>2.9545467240956045</v>
      </c>
    </row>
    <row r="209" spans="3:14">
      <c r="C209" s="4">
        <f>Pressure!AB209*1000000</f>
        <v>1580270.5457359629</v>
      </c>
      <c r="D209" s="84">
        <f>Pressure!I209</f>
        <v>1.4801552192482141E-4</v>
      </c>
      <c r="E209" s="40">
        <f>Pressure!H209</f>
        <v>148.0155219248214</v>
      </c>
      <c r="F209" s="10">
        <f t="shared" si="18"/>
        <v>8</v>
      </c>
      <c r="G209" s="4">
        <f t="shared" si="17"/>
        <v>101000</v>
      </c>
      <c r="H209" s="45">
        <f t="shared" si="19"/>
        <v>3.3190531516150736</v>
      </c>
      <c r="I209" s="10">
        <f t="shared" si="20"/>
        <v>1.1706067135445777</v>
      </c>
      <c r="J209" s="4">
        <f t="shared" si="21"/>
        <v>273.81025951367189</v>
      </c>
      <c r="K209" s="4">
        <f t="shared" si="22"/>
        <v>61.555294167005059</v>
      </c>
      <c r="L209" s="45">
        <f>Pressure!Q209</f>
        <v>0.68946910917069559</v>
      </c>
      <c r="M209" s="10">
        <f t="shared" si="24"/>
        <v>0.84155797835773438</v>
      </c>
      <c r="N209" s="10">
        <f t="shared" si="23"/>
        <v>2.9545467240956045</v>
      </c>
    </row>
    <row r="210" spans="3:14">
      <c r="C210" s="4">
        <f>Pressure!AB210*1000000</f>
        <v>1580124.6898894245</v>
      </c>
      <c r="D210" s="84">
        <f>Pressure!I210</f>
        <v>1.4801552192482141E-4</v>
      </c>
      <c r="E210" s="40">
        <f>Pressure!H210</f>
        <v>148.0155219248214</v>
      </c>
      <c r="F210" s="10">
        <f t="shared" si="18"/>
        <v>8</v>
      </c>
      <c r="G210" s="4">
        <f t="shared" si="17"/>
        <v>101000</v>
      </c>
      <c r="H210" s="45">
        <f t="shared" si="19"/>
        <v>3.3188299550160725</v>
      </c>
      <c r="I210" s="10">
        <f t="shared" si="20"/>
        <v>1.1705900701871035</v>
      </c>
      <c r="J210" s="4">
        <f t="shared" si="21"/>
        <v>273.78109477009764</v>
      </c>
      <c r="K210" s="4">
        <f t="shared" si="22"/>
        <v>61.548737639966198</v>
      </c>
      <c r="L210" s="45">
        <f>Pressure!Q210</f>
        <v>0.69254254857694908</v>
      </c>
      <c r="M210" s="10">
        <f t="shared" si="24"/>
        <v>0.84149442338972558</v>
      </c>
      <c r="N210" s="10">
        <f t="shared" si="23"/>
        <v>2.9545467240956045</v>
      </c>
    </row>
    <row r="211" spans="3:14">
      <c r="C211" s="4">
        <f>Pressure!AB211*1000000</f>
        <v>1579969.3433216976</v>
      </c>
      <c r="D211" s="84">
        <f>Pressure!I211</f>
        <v>1.4801552192482141E-4</v>
      </c>
      <c r="E211" s="40">
        <f>Pressure!H211</f>
        <v>148.0155219248214</v>
      </c>
      <c r="F211" s="10">
        <f t="shared" si="18"/>
        <v>8</v>
      </c>
      <c r="G211" s="4">
        <f t="shared" si="17"/>
        <v>101000</v>
      </c>
      <c r="H211" s="45">
        <f t="shared" si="19"/>
        <v>3.318592231084422</v>
      </c>
      <c r="I211" s="10">
        <f t="shared" si="20"/>
        <v>1.1705723417117098</v>
      </c>
      <c r="J211" s="4">
        <f t="shared" si="21"/>
        <v>273.75003258831157</v>
      </c>
      <c r="K211" s="4">
        <f t="shared" si="22"/>
        <v>61.541754549775547</v>
      </c>
      <c r="L211" s="45">
        <f>Pressure!Q211</f>
        <v>0.69561607848020035</v>
      </c>
      <c r="M211" s="10">
        <f t="shared" si="24"/>
        <v>0.84142664644847531</v>
      </c>
      <c r="N211" s="10">
        <f t="shared" si="23"/>
        <v>2.9545467240956045</v>
      </c>
    </row>
    <row r="212" spans="3:14">
      <c r="C212" s="4">
        <f>Pressure!AB212*1000000</f>
        <v>1579804.5069148077</v>
      </c>
      <c r="D212" s="84">
        <f>Pressure!I212</f>
        <v>1.4801552192482141E-4</v>
      </c>
      <c r="E212" s="40">
        <f>Pressure!H212</f>
        <v>148.0155219248214</v>
      </c>
      <c r="F212" s="10">
        <f t="shared" si="18"/>
        <v>8</v>
      </c>
      <c r="G212" s="4">
        <f t="shared" si="17"/>
        <v>101000</v>
      </c>
      <c r="H212" s="45">
        <f t="shared" si="19"/>
        <v>3.318339980392055</v>
      </c>
      <c r="I212" s="10">
        <f t="shared" si="20"/>
        <v>1.1705535278123902</v>
      </c>
      <c r="J212" s="4">
        <f t="shared" si="21"/>
        <v>273.71707319914452</v>
      </c>
      <c r="K212" s="4">
        <f t="shared" si="22"/>
        <v>61.534344948326179</v>
      </c>
      <c r="L212" s="45">
        <f>Pressure!Q212</f>
        <v>0.69868970478113324</v>
      </c>
      <c r="M212" s="10">
        <f t="shared" si="24"/>
        <v>0.84135464762196588</v>
      </c>
      <c r="N212" s="10">
        <f t="shared" si="23"/>
        <v>2.9545467240956045</v>
      </c>
    </row>
    <row r="213" spans="3:14">
      <c r="C213" s="4">
        <f>Pressure!AB213*1000000</f>
        <v>1579630.1816085209</v>
      </c>
      <c r="D213" s="84">
        <f>Pressure!I213</f>
        <v>1.4801552192482141E-4</v>
      </c>
      <c r="E213" s="40">
        <f>Pressure!H213</f>
        <v>148.0155219248214</v>
      </c>
      <c r="F213" s="10">
        <f t="shared" si="18"/>
        <v>8</v>
      </c>
      <c r="G213" s="4">
        <f t="shared" si="17"/>
        <v>101000</v>
      </c>
      <c r="H213" s="45">
        <f t="shared" si="19"/>
        <v>3.3180732035516884</v>
      </c>
      <c r="I213" s="10">
        <f t="shared" si="20"/>
        <v>1.1705336281647709</v>
      </c>
      <c r="J213" s="4">
        <f t="shared" si="21"/>
        <v>273.68221684830394</v>
      </c>
      <c r="K213" s="4">
        <f t="shared" si="22"/>
        <v>61.526508890855617</v>
      </c>
      <c r="L213" s="45">
        <f>Pressure!Q213</f>
        <v>0.70176343338217795</v>
      </c>
      <c r="M213" s="10">
        <f t="shared" si="24"/>
        <v>0.84127842700520605</v>
      </c>
      <c r="N213" s="10">
        <f t="shared" si="23"/>
        <v>2.9545467240956045</v>
      </c>
    </row>
    <row r="214" spans="3:14">
      <c r="C214" s="4">
        <f>Pressure!AB214*1000000</f>
        <v>1579446.3683985719</v>
      </c>
      <c r="D214" s="84">
        <f>Pressure!I214</f>
        <v>1.4801552192482141E-4</v>
      </c>
      <c r="E214" s="40">
        <f>Pressure!H214</f>
        <v>148.0155219248214</v>
      </c>
      <c r="F214" s="10">
        <f t="shared" si="18"/>
        <v>8</v>
      </c>
      <c r="G214" s="4">
        <f t="shared" si="17"/>
        <v>101000</v>
      </c>
      <c r="H214" s="45">
        <f t="shared" si="19"/>
        <v>3.3177919012141222</v>
      </c>
      <c r="I214" s="10">
        <f t="shared" si="20"/>
        <v>1.170512642425892</v>
      </c>
      <c r="J214" s="4">
        <f t="shared" si="21"/>
        <v>273.64546379602052</v>
      </c>
      <c r="K214" s="4">
        <f t="shared" si="22"/>
        <v>61.51824643586631</v>
      </c>
      <c r="L214" s="45">
        <f>Pressure!Q214</f>
        <v>0.70483727018761655</v>
      </c>
      <c r="M214" s="10">
        <f t="shared" si="24"/>
        <v>0.84119798469993456</v>
      </c>
      <c r="N214" s="10">
        <f t="shared" si="23"/>
        <v>2.9545467240956045</v>
      </c>
    </row>
    <row r="215" spans="3:14">
      <c r="C215" s="4">
        <f>Pressure!AB215*1000000</f>
        <v>1579253.0683385301</v>
      </c>
      <c r="D215" s="84">
        <f>Pressure!I215</f>
        <v>1.4801552192482141E-4</v>
      </c>
      <c r="E215" s="40">
        <f>Pressure!H215</f>
        <v>148.0155219248214</v>
      </c>
      <c r="F215" s="10">
        <f t="shared" si="18"/>
        <v>8</v>
      </c>
      <c r="G215" s="4">
        <f t="shared" si="17"/>
        <v>101000</v>
      </c>
      <c r="H215" s="45">
        <f t="shared" si="19"/>
        <v>3.3174960740710824</v>
      </c>
      <c r="I215" s="10">
        <f t="shared" si="20"/>
        <v>1.1704905702343995</v>
      </c>
      <c r="J215" s="4">
        <f t="shared" si="21"/>
        <v>273.60681431742097</v>
      </c>
      <c r="K215" s="4">
        <f t="shared" si="22"/>
        <v>61.509557645209519</v>
      </c>
      <c r="L215" s="45">
        <f>Pressure!Q215</f>
        <v>0.70791122110368854</v>
      </c>
      <c r="M215" s="10">
        <f t="shared" si="24"/>
        <v>0.84111332081464785</v>
      </c>
      <c r="N215" s="10">
        <f t="shared" si="23"/>
        <v>2.9545467240956045</v>
      </c>
    </row>
    <row r="216" spans="3:14">
      <c r="C216" s="4">
        <f>Pressure!AB216*1000000</f>
        <v>1579050.28253857</v>
      </c>
      <c r="D216" s="84">
        <f>Pressure!I216</f>
        <v>1.4801552192482141E-4</v>
      </c>
      <c r="E216" s="40">
        <f>Pressure!H216</f>
        <v>148.0155219248214</v>
      </c>
      <c r="F216" s="10">
        <f t="shared" si="18"/>
        <v>8</v>
      </c>
      <c r="G216" s="4">
        <f t="shared" si="17"/>
        <v>101000</v>
      </c>
      <c r="H216" s="45">
        <f t="shared" si="19"/>
        <v>3.317185722853329</v>
      </c>
      <c r="I216" s="10">
        <f t="shared" si="20"/>
        <v>1.1704674112103881</v>
      </c>
      <c r="J216" s="4">
        <f t="shared" si="21"/>
        <v>273.56626870228331</v>
      </c>
      <c r="K216" s="4">
        <f t="shared" si="22"/>
        <v>61.500442584030239</v>
      </c>
      <c r="L216" s="45">
        <f>Pressure!Q216</f>
        <v>0.71098529203869643</v>
      </c>
      <c r="M216" s="10">
        <f t="shared" si="24"/>
        <v>0.8410244354647658</v>
      </c>
      <c r="N216" s="10">
        <f t="shared" si="23"/>
        <v>2.9545467240956045</v>
      </c>
    </row>
    <row r="217" spans="3:14">
      <c r="C217" s="4">
        <f>Pressure!AB217*1000000</f>
        <v>1578838.0121667951</v>
      </c>
      <c r="D217" s="84">
        <f>Pressure!I217</f>
        <v>1.4801552192482141E-4</v>
      </c>
      <c r="E217" s="40">
        <f>Pressure!H217</f>
        <v>148.0155219248214</v>
      </c>
      <c r="F217" s="10">
        <f t="shared" si="18"/>
        <v>8</v>
      </c>
      <c r="G217" s="4">
        <f t="shared" si="17"/>
        <v>101000</v>
      </c>
      <c r="H217" s="45">
        <f t="shared" si="19"/>
        <v>3.3168608483326905</v>
      </c>
      <c r="I217" s="10">
        <f t="shared" si="20"/>
        <v>1.1704431649555302</v>
      </c>
      <c r="J217" s="4">
        <f t="shared" si="21"/>
        <v>273.52382725530168</v>
      </c>
      <c r="K217" s="4">
        <f t="shared" si="22"/>
        <v>61.490901320826779</v>
      </c>
      <c r="L217" s="45">
        <f>Pressure!Q217</f>
        <v>0.71405948890311144</v>
      </c>
      <c r="M217" s="10">
        <f t="shared" si="24"/>
        <v>0.84093132877265808</v>
      </c>
      <c r="N217" s="10">
        <f t="shared" si="23"/>
        <v>2.9545467240956045</v>
      </c>
    </row>
    <row r="218" spans="3:14">
      <c r="C218" s="4">
        <f>Pressure!AB218*1000000</f>
        <v>1578616.2584473323</v>
      </c>
      <c r="D218" s="84">
        <f>Pressure!I218</f>
        <v>1.4801552192482141E-4</v>
      </c>
      <c r="E218" s="40">
        <f>Pressure!H218</f>
        <v>148.0155219248214</v>
      </c>
      <c r="F218" s="10">
        <f t="shared" si="18"/>
        <v>8</v>
      </c>
      <c r="G218" s="4">
        <f t="shared" si="17"/>
        <v>101000</v>
      </c>
      <c r="H218" s="45">
        <f t="shared" si="19"/>
        <v>3.3165214513191348</v>
      </c>
      <c r="I218" s="10">
        <f t="shared" si="20"/>
        <v>1.1704178310528361</v>
      </c>
      <c r="J218" s="4">
        <f t="shared" si="21"/>
        <v>273.47949029570555</v>
      </c>
      <c r="K218" s="4">
        <f t="shared" si="22"/>
        <v>61.480933927365122</v>
      </c>
      <c r="L218" s="45">
        <f>Pressure!Q218</f>
        <v>0.71713381760967876</v>
      </c>
      <c r="M218" s="10">
        <f t="shared" si="24"/>
        <v>0.84083400086731053</v>
      </c>
      <c r="N218" s="10">
        <f t="shared" si="23"/>
        <v>2.9545467240956045</v>
      </c>
    </row>
    <row r="219" spans="3:14">
      <c r="C219" s="4">
        <f>Pressure!AB219*1000000</f>
        <v>1578385.0226620953</v>
      </c>
      <c r="D219" s="84">
        <f>Pressure!I219</f>
        <v>1.4801552192482141E-4</v>
      </c>
      <c r="E219" s="40">
        <f>Pressure!H219</f>
        <v>148.0155219248214</v>
      </c>
      <c r="F219" s="10">
        <f t="shared" si="18"/>
        <v>8</v>
      </c>
      <c r="G219" s="4">
        <f t="shared" si="17"/>
        <v>101000</v>
      </c>
      <c r="H219" s="45">
        <f t="shared" si="19"/>
        <v>3.316167532663461</v>
      </c>
      <c r="I219" s="10">
        <f t="shared" si="20"/>
        <v>1.1703914090668341</v>
      </c>
      <c r="J219" s="4">
        <f t="shared" si="21"/>
        <v>273.43325815761318</v>
      </c>
      <c r="K219" s="4">
        <f t="shared" si="22"/>
        <v>61.470540478758416</v>
      </c>
      <c r="L219" s="45">
        <f>Pressure!Q219</f>
        <v>0.72020828407352422</v>
      </c>
      <c r="M219" s="10">
        <f t="shared" si="24"/>
        <v>0.84073245188463819</v>
      </c>
      <c r="N219" s="10">
        <f t="shared" si="23"/>
        <v>2.9545467240956045</v>
      </c>
    </row>
    <row r="220" spans="3:14">
      <c r="C220" s="4">
        <f>Pressure!AB220*1000000</f>
        <v>1578144.306150143</v>
      </c>
      <c r="D220" s="84">
        <f>Pressure!I220</f>
        <v>1.4801552192482141E-4</v>
      </c>
      <c r="E220" s="40">
        <f>Pressure!H220</f>
        <v>148.0155219248214</v>
      </c>
      <c r="F220" s="10">
        <f t="shared" si="18"/>
        <v>8</v>
      </c>
      <c r="G220" s="4">
        <f t="shared" ref="G220:G283" si="25">IF(C220/(1+(k-1)/2*N220^2)^(k/(k-1))&lt;patm*1000000,patm*1000000,C220/(1+(k-1)/2*N220^2)^(k/(k-1)))</f>
        <v>101000</v>
      </c>
      <c r="H220" s="45">
        <f t="shared" si="19"/>
        <v>3.3157990932563184</v>
      </c>
      <c r="I220" s="10">
        <f t="shared" si="20"/>
        <v>1.1703638985434723</v>
      </c>
      <c r="J220" s="4">
        <f t="shared" si="21"/>
        <v>273.38513118990357</v>
      </c>
      <c r="K220" s="4">
        <f t="shared" si="22"/>
        <v>61.459721053438152</v>
      </c>
      <c r="L220" s="45">
        <f>Pressure!Q220</f>
        <v>0.72328289421225977</v>
      </c>
      <c r="M220" s="10">
        <f t="shared" si="24"/>
        <v>0.84062668196746104</v>
      </c>
      <c r="N220" s="10">
        <f t="shared" si="23"/>
        <v>2.9545467240956045</v>
      </c>
    </row>
    <row r="221" spans="3:14">
      <c r="C221" s="4">
        <f>Pressure!AB221*1000000</f>
        <v>1577894.1103082884</v>
      </c>
      <c r="D221" s="84">
        <f>Pressure!I221</f>
        <v>1.4801552192482141E-4</v>
      </c>
      <c r="E221" s="40">
        <f>Pressure!H221</f>
        <v>148.0155219248214</v>
      </c>
      <c r="F221" s="10">
        <f t="shared" ref="F221:F284" si="26">aexit/E221</f>
        <v>8</v>
      </c>
      <c r="G221" s="4">
        <f t="shared" si="25"/>
        <v>101000</v>
      </c>
      <c r="H221" s="45">
        <f t="shared" ref="H221:H284" si="27">1/(((k+1)/2)^(1/(k-1))*(patm*1000000/C221)^(1/k)*SQRT((k+1)/(k-1)*(1-(patm*1000000/C221)^((k-1)/k))))</f>
        <v>3.3154161340291246</v>
      </c>
      <c r="I221" s="10">
        <f t="shared" ref="I221:I284" si="28">etanoz*SQRT(2*k^2/(k-1)*(2/(k+1))^((k+1)/(k-1))*(1-(G221/C221)^((k-1)/k)))+(G221-patm*1000000)/C221*(aexit/E221)</f>
        <v>1.1703352990101641</v>
      </c>
      <c r="J221" s="4">
        <f t="shared" ref="J221:J284" si="29">I221*D221*C221</f>
        <v>273.33510975633885</v>
      </c>
      <c r="K221" s="4">
        <f t="shared" ref="K221:K284" si="30">J221/4.4482</f>
        <v>61.448475733181702</v>
      </c>
      <c r="L221" s="45">
        <f>Pressure!Q221</f>
        <v>0.72635765394608987</v>
      </c>
      <c r="M221" s="10">
        <f t="shared" si="24"/>
        <v>0.84051669126569573</v>
      </c>
      <c r="N221" s="10">
        <f t="shared" si="23"/>
        <v>2.9545467240956045</v>
      </c>
    </row>
    <row r="222" spans="3:14">
      <c r="C222" s="4">
        <f>Pressure!AB222*1000000</f>
        <v>1577634.4365889765</v>
      </c>
      <c r="D222" s="84">
        <f>Pressure!I222</f>
        <v>1.4801552192482141E-4</v>
      </c>
      <c r="E222" s="40">
        <f>Pressure!H222</f>
        <v>148.0155219248214</v>
      </c>
      <c r="F222" s="10">
        <f t="shared" si="26"/>
        <v>8</v>
      </c>
      <c r="G222" s="4">
        <f t="shared" si="25"/>
        <v>101000</v>
      </c>
      <c r="H222" s="45">
        <f t="shared" si="27"/>
        <v>3.3150186559508241</v>
      </c>
      <c r="I222" s="10">
        <f t="shared" si="28"/>
        <v>1.1703056099755205</v>
      </c>
      <c r="J222" s="4">
        <f t="shared" si="29"/>
        <v>273.28319423514046</v>
      </c>
      <c r="K222" s="4">
        <f t="shared" si="30"/>
        <v>61.436804603017052</v>
      </c>
      <c r="L222" s="45">
        <f>Pressure!Q222</f>
        <v>0.72943256919791699</v>
      </c>
      <c r="M222" s="10">
        <f t="shared" si="24"/>
        <v>0.84040247993563799</v>
      </c>
      <c r="N222" s="10">
        <f t="shared" ref="N222:N285" si="31">N221-1/834*(me-mef)</f>
        <v>2.9545467240956045</v>
      </c>
    </row>
    <row r="223" spans="3:14">
      <c r="C223" s="4">
        <f>Pressure!AB223*1000000</f>
        <v>1577365.2865033261</v>
      </c>
      <c r="D223" s="84">
        <f>Pressure!I223</f>
        <v>1.4801552192482141E-4</v>
      </c>
      <c r="E223" s="40">
        <f>Pressure!H223</f>
        <v>148.0155219248214</v>
      </c>
      <c r="F223" s="10">
        <f t="shared" si="26"/>
        <v>8</v>
      </c>
      <c r="G223" s="4">
        <f t="shared" si="25"/>
        <v>101000</v>
      </c>
      <c r="H223" s="45">
        <f t="shared" si="27"/>
        <v>3.3146066600325246</v>
      </c>
      <c r="I223" s="10">
        <f t="shared" si="28"/>
        <v>1.1702748309296693</v>
      </c>
      <c r="J223" s="4">
        <f t="shared" si="29"/>
        <v>273.22938501959771</v>
      </c>
      <c r="K223" s="4">
        <f t="shared" si="30"/>
        <v>61.424707751359591</v>
      </c>
      <c r="L223" s="45">
        <f>Pressure!Q223</f>
        <v>0.73250764589344919</v>
      </c>
      <c r="M223" s="10">
        <f t="shared" si="24"/>
        <v>0.84028404814071922</v>
      </c>
      <c r="N223" s="10">
        <f t="shared" si="31"/>
        <v>2.9545467240956045</v>
      </c>
    </row>
    <row r="224" spans="3:14">
      <c r="C224" s="4">
        <f>Pressure!AB224*1000000</f>
        <v>1577086.6616192679</v>
      </c>
      <c r="D224" s="84">
        <f>Pressure!I224</f>
        <v>1.4801552192482141E-4</v>
      </c>
      <c r="E224" s="40">
        <f>Pressure!H224</f>
        <v>148.0155219248214</v>
      </c>
      <c r="F224" s="10">
        <f t="shared" si="26"/>
        <v>8</v>
      </c>
      <c r="G224" s="4">
        <f t="shared" si="25"/>
        <v>101000</v>
      </c>
      <c r="H224" s="45">
        <f t="shared" si="27"/>
        <v>3.3141801473246515</v>
      </c>
      <c r="I224" s="10">
        <f t="shared" si="28"/>
        <v>1.1702429613440164</v>
      </c>
      <c r="J224" s="4">
        <f t="shared" si="29"/>
        <v>273.17368251769636</v>
      </c>
      <c r="K224" s="4">
        <f t="shared" si="30"/>
        <v>61.412185269928592</v>
      </c>
      <c r="L224" s="45">
        <f>Pressure!Q224</f>
        <v>0.73558288996130583</v>
      </c>
      <c r="M224" s="10">
        <f t="shared" si="24"/>
        <v>0.84016139605136775</v>
      </c>
      <c r="N224" s="10">
        <f t="shared" si="31"/>
        <v>2.9545467240956045</v>
      </c>
    </row>
    <row r="225" spans="3:14">
      <c r="C225" s="4">
        <f>Pressure!AB225*1000000</f>
        <v>1576798.5635618002</v>
      </c>
      <c r="D225" s="84">
        <f>Pressure!I225</f>
        <v>1.4801552192482141E-4</v>
      </c>
      <c r="E225" s="40">
        <f>Pressure!H225</f>
        <v>148.0155219248214</v>
      </c>
      <c r="F225" s="10">
        <f t="shared" si="26"/>
        <v>8</v>
      </c>
      <c r="G225" s="4">
        <f t="shared" si="25"/>
        <v>101000</v>
      </c>
      <c r="H225" s="45">
        <f t="shared" si="27"/>
        <v>3.3137391189173231</v>
      </c>
      <c r="I225" s="10">
        <f t="shared" si="28"/>
        <v>1.1702100006712448</v>
      </c>
      <c r="J225" s="4">
        <f t="shared" si="29"/>
        <v>273.11608715217</v>
      </c>
      <c r="K225" s="4">
        <f t="shared" si="30"/>
        <v>61.399237253758827</v>
      </c>
      <c r="L225" s="45">
        <f>Pressure!Q225</f>
        <v>0.73865830733312421</v>
      </c>
      <c r="M225" s="10">
        <f t="shared" si="24"/>
        <v>0.84003452384468391</v>
      </c>
      <c r="N225" s="10">
        <f t="shared" si="31"/>
        <v>2.9545467240956045</v>
      </c>
    </row>
    <row r="226" spans="3:14">
      <c r="C226" s="4">
        <f>Pressure!AB226*1000000</f>
        <v>1576500.9940140324</v>
      </c>
      <c r="D226" s="84">
        <f>Pressure!I226</f>
        <v>1.4801552192482141E-4</v>
      </c>
      <c r="E226" s="40">
        <f>Pressure!H226</f>
        <v>148.0155219248214</v>
      </c>
      <c r="F226" s="10">
        <f t="shared" si="26"/>
        <v>8</v>
      </c>
      <c r="G226" s="4">
        <f t="shared" si="25"/>
        <v>101000</v>
      </c>
      <c r="H226" s="45">
        <f t="shared" si="27"/>
        <v>3.3132835759419543</v>
      </c>
      <c r="I226" s="10">
        <f t="shared" si="28"/>
        <v>1.1701759483454055</v>
      </c>
      <c r="J226" s="4">
        <f t="shared" si="29"/>
        <v>273.05659936070975</v>
      </c>
      <c r="K226" s="4">
        <f t="shared" si="30"/>
        <v>61.385863801247645</v>
      </c>
      <c r="L226" s="45">
        <f>Pressure!Q226</f>
        <v>0.74173390394366667</v>
      </c>
      <c r="M226" s="10">
        <f t="shared" si="24"/>
        <v>0.8399034317049423</v>
      </c>
      <c r="N226" s="10">
        <f t="shared" si="31"/>
        <v>2.9545467240956045</v>
      </c>
    </row>
    <row r="227" spans="3:14">
      <c r="C227" s="4">
        <f>Pressure!AB227*1000000</f>
        <v>1576193.954714936</v>
      </c>
      <c r="D227" s="84">
        <f>Pressure!I227</f>
        <v>1.4801552192482141E-4</v>
      </c>
      <c r="E227" s="40">
        <f>Pressure!H227</f>
        <v>148.0155219248214</v>
      </c>
      <c r="F227" s="10">
        <f t="shared" si="26"/>
        <v>8</v>
      </c>
      <c r="G227" s="4">
        <f t="shared" si="25"/>
        <v>101000</v>
      </c>
      <c r="H227" s="45">
        <f t="shared" si="27"/>
        <v>3.312813519567793</v>
      </c>
      <c r="I227" s="10">
        <f t="shared" si="28"/>
        <v>1.1701408037816279</v>
      </c>
      <c r="J227" s="4">
        <f t="shared" si="29"/>
        <v>272.99521959551464</v>
      </c>
      <c r="K227" s="4">
        <f t="shared" si="30"/>
        <v>61.372065014053916</v>
      </c>
      <c r="L227" s="45">
        <f>Pressure!Q227</f>
        <v>0.7448096857309271</v>
      </c>
      <c r="M227" s="10">
        <f t="shared" si="24"/>
        <v>0.83976811982299049</v>
      </c>
      <c r="N227" s="10">
        <f t="shared" si="31"/>
        <v>2.9545467240956045</v>
      </c>
    </row>
    <row r="228" spans="3:14">
      <c r="C228" s="4">
        <f>Pressure!AB228*1000000</f>
        <v>1575877.4474621373</v>
      </c>
      <c r="D228" s="84">
        <f>Pressure!I228</f>
        <v>1.4801552192482141E-4</v>
      </c>
      <c r="E228" s="40">
        <f>Pressure!H228</f>
        <v>148.0155219248214</v>
      </c>
      <c r="F228" s="10">
        <f t="shared" si="26"/>
        <v>8</v>
      </c>
      <c r="G228" s="4">
        <f t="shared" si="25"/>
        <v>101000</v>
      </c>
      <c r="H228" s="45">
        <f t="shared" si="27"/>
        <v>3.3123289510062004</v>
      </c>
      <c r="I228" s="10">
        <f t="shared" si="28"/>
        <v>1.170104566376408</v>
      </c>
      <c r="J228" s="4">
        <f t="shared" si="29"/>
        <v>272.93194832385097</v>
      </c>
      <c r="K228" s="4">
        <f t="shared" si="30"/>
        <v>61.357840997223818</v>
      </c>
      <c r="L228" s="45">
        <f>Pressure!Q228</f>
        <v>0.74788565863623879</v>
      </c>
      <c r="M228" s="10">
        <f t="shared" si="24"/>
        <v>0.8396285883967588</v>
      </c>
      <c r="N228" s="10">
        <f t="shared" si="31"/>
        <v>2.9545467240956045</v>
      </c>
    </row>
    <row r="229" spans="3:14">
      <c r="C229" s="4">
        <f>Pressure!AB229*1000000</f>
        <v>1575551.47411036</v>
      </c>
      <c r="D229" s="84">
        <f>Pressure!I229</f>
        <v>1.4801552192482141E-4</v>
      </c>
      <c r="E229" s="40">
        <f>Pressure!H229</f>
        <v>148.0155219248214</v>
      </c>
      <c r="F229" s="10">
        <f t="shared" si="26"/>
        <v>8</v>
      </c>
      <c r="G229" s="4">
        <f t="shared" si="25"/>
        <v>101000</v>
      </c>
      <c r="H229" s="45">
        <f t="shared" si="27"/>
        <v>3.3118298715082513</v>
      </c>
      <c r="I229" s="10">
        <f t="shared" si="28"/>
        <v>1.1700672355073982</v>
      </c>
      <c r="J229" s="4">
        <f t="shared" si="29"/>
        <v>272.86678602774163</v>
      </c>
      <c r="K229" s="4">
        <f t="shared" si="30"/>
        <v>61.343191859120907</v>
      </c>
      <c r="L229" s="45">
        <f>Pressure!Q229</f>
        <v>0.7509618286043811</v>
      </c>
      <c r="M229" s="10">
        <f t="shared" si="24"/>
        <v>0.83948483763122483</v>
      </c>
      <c r="N229" s="10">
        <f t="shared" si="31"/>
        <v>2.9545467240956045</v>
      </c>
    </row>
    <row r="230" spans="3:14">
      <c r="C230" s="4">
        <f>Pressure!AB230*1000000</f>
        <v>1575216.036570983</v>
      </c>
      <c r="D230" s="84">
        <f>Pressure!I230</f>
        <v>1.4801552192482141E-4</v>
      </c>
      <c r="E230" s="40">
        <f>Pressure!H230</f>
        <v>148.0155219248214</v>
      </c>
      <c r="F230" s="10">
        <f t="shared" si="26"/>
        <v>8</v>
      </c>
      <c r="G230" s="4">
        <f t="shared" si="25"/>
        <v>101000</v>
      </c>
      <c r="H230" s="45">
        <f t="shared" si="27"/>
        <v>3.3113162823640554</v>
      </c>
      <c r="I230" s="10">
        <f t="shared" si="28"/>
        <v>1.1700288105333216</v>
      </c>
      <c r="J230" s="4">
        <f t="shared" si="29"/>
        <v>272.79973320387802</v>
      </c>
      <c r="K230" s="4">
        <f t="shared" si="30"/>
        <v>61.328117711406414</v>
      </c>
      <c r="L230" s="45">
        <f>Pressure!Q230</f>
        <v>0.75403820158368684</v>
      </c>
      <c r="M230" s="10">
        <f t="shared" si="24"/>
        <v>0.83933686773798566</v>
      </c>
      <c r="N230" s="10">
        <f t="shared" si="31"/>
        <v>2.9545467240956045</v>
      </c>
    </row>
    <row r="231" spans="3:14">
      <c r="C231" s="4">
        <f>Pressure!AB231*1000000</f>
        <v>1574871.1368136534</v>
      </c>
      <c r="D231" s="84">
        <f>Pressure!I231</f>
        <v>1.4801552192482141E-4</v>
      </c>
      <c r="E231" s="40">
        <f>Pressure!H231</f>
        <v>148.0155219248214</v>
      </c>
      <c r="F231" s="10">
        <f t="shared" si="26"/>
        <v>8</v>
      </c>
      <c r="G231" s="4">
        <f t="shared" si="25"/>
        <v>101000</v>
      </c>
      <c r="H231" s="45">
        <f t="shared" si="27"/>
        <v>3.3107881849052156</v>
      </c>
      <c r="I231" s="10">
        <f t="shared" si="28"/>
        <v>1.1699892907941221</v>
      </c>
      <c r="J231" s="4">
        <f t="shared" si="29"/>
        <v>272.7307903639437</v>
      </c>
      <c r="K231" s="4">
        <f t="shared" si="30"/>
        <v>61.312618669111934</v>
      </c>
      <c r="L231" s="45">
        <f>Pressure!Q231</f>
        <v>0.75711478352615058</v>
      </c>
      <c r="M231" s="10">
        <f t="shared" si="24"/>
        <v>0.83918467893577531</v>
      </c>
      <c r="N231" s="10">
        <f t="shared" si="31"/>
        <v>2.9545467240956045</v>
      </c>
    </row>
    <row r="232" spans="3:14">
      <c r="C232" s="4">
        <f>Pressure!AB232*1000000</f>
        <v>1574516.7768657876</v>
      </c>
      <c r="D232" s="84">
        <f>Pressure!I232</f>
        <v>1.4801552192482141E-4</v>
      </c>
      <c r="E232" s="40">
        <f>Pressure!H232</f>
        <v>148.0155219248214</v>
      </c>
      <c r="F232" s="10">
        <f t="shared" si="26"/>
        <v>8</v>
      </c>
      <c r="G232" s="4">
        <f t="shared" si="25"/>
        <v>101000</v>
      </c>
      <c r="H232" s="45">
        <f t="shared" si="27"/>
        <v>3.3102455805040614</v>
      </c>
      <c r="I232" s="10">
        <f t="shared" si="28"/>
        <v>1.1699486756108706</v>
      </c>
      <c r="J232" s="4">
        <f t="shared" si="29"/>
        <v>272.65995803451472</v>
      </c>
      <c r="K232" s="4">
        <f t="shared" si="30"/>
        <v>61.296694850617044</v>
      </c>
      <c r="L232" s="45">
        <f>Pressure!Q232</f>
        <v>0.76019158038753565</v>
      </c>
      <c r="M232" s="10">
        <f t="shared" ref="M232:M295" si="32">(J232+J231)/2*(L232-L231)</f>
        <v>0.83902827145041481</v>
      </c>
      <c r="N232" s="10">
        <f t="shared" si="31"/>
        <v>2.9545467240956045</v>
      </c>
    </row>
    <row r="233" spans="3:14">
      <c r="C233" s="4">
        <f>Pressure!AB233*1000000</f>
        <v>1574152.9588107392</v>
      </c>
      <c r="D233" s="84">
        <f>Pressure!I233</f>
        <v>1.4801552192482141E-4</v>
      </c>
      <c r="E233" s="40">
        <f>Pressure!H233</f>
        <v>148.0155219248214</v>
      </c>
      <c r="F233" s="10">
        <f t="shared" si="26"/>
        <v>8</v>
      </c>
      <c r="G233" s="4">
        <f t="shared" si="25"/>
        <v>101000</v>
      </c>
      <c r="H233" s="45">
        <f t="shared" si="27"/>
        <v>3.3096884705708298</v>
      </c>
      <c r="I233" s="10">
        <f t="shared" si="28"/>
        <v>1.1699069642855191</v>
      </c>
      <c r="J233" s="4">
        <f t="shared" si="29"/>
        <v>272.58723675669478</v>
      </c>
      <c r="K233" s="4">
        <f t="shared" si="30"/>
        <v>61.280346377567284</v>
      </c>
      <c r="L233" s="45">
        <f>Pressure!Q233</f>
        <v>0.76326859812748227</v>
      </c>
      <c r="M233" s="10">
        <f t="shared" si="32"/>
        <v>0.83886764551434079</v>
      </c>
      <c r="N233" s="10">
        <f t="shared" si="31"/>
        <v>2.9545467240956045</v>
      </c>
    </row>
    <row r="234" spans="3:14">
      <c r="C234" s="4">
        <f>Pressure!AB234*1000000</f>
        <v>1573779.6847911614</v>
      </c>
      <c r="D234" s="84">
        <f>Pressure!I234</f>
        <v>1.4801552192482141E-4</v>
      </c>
      <c r="E234" s="40">
        <f>Pressure!H234</f>
        <v>148.0155219248214</v>
      </c>
      <c r="F234" s="10">
        <f t="shared" si="26"/>
        <v>8</v>
      </c>
      <c r="G234" s="4">
        <f t="shared" si="25"/>
        <v>101000</v>
      </c>
      <c r="H234" s="45">
        <f t="shared" si="27"/>
        <v>3.3091168565588065</v>
      </c>
      <c r="I234" s="10">
        <f t="shared" si="28"/>
        <v>1.1698641561012473</v>
      </c>
      <c r="J234" s="4">
        <f t="shared" si="29"/>
        <v>272.51262708678763</v>
      </c>
      <c r="K234" s="4">
        <f t="shared" si="30"/>
        <v>61.263573375025324</v>
      </c>
      <c r="L234" s="45">
        <f>Pressure!Q234</f>
        <v>0.76634584270961636</v>
      </c>
      <c r="M234" s="10">
        <f t="shared" si="32"/>
        <v>0.83870280136719522</v>
      </c>
      <c r="N234" s="10">
        <f t="shared" si="31"/>
        <v>2.9545467240956045</v>
      </c>
    </row>
    <row r="235" spans="3:14">
      <c r="C235" s="4">
        <f>Pressure!AB235*1000000</f>
        <v>1573396.9570060282</v>
      </c>
      <c r="D235" s="84">
        <f>Pressure!I235</f>
        <v>1.4801552192482141E-4</v>
      </c>
      <c r="E235" s="40">
        <f>Pressure!H235</f>
        <v>148.0155219248214</v>
      </c>
      <c r="F235" s="10">
        <f t="shared" si="26"/>
        <v>8</v>
      </c>
      <c r="G235" s="4">
        <f t="shared" si="25"/>
        <v>101000</v>
      </c>
      <c r="H235" s="45">
        <f t="shared" si="27"/>
        <v>3.308530739959767</v>
      </c>
      <c r="I235" s="10">
        <f t="shared" si="28"/>
        <v>1.1698202503220818</v>
      </c>
      <c r="J235" s="4">
        <f t="shared" si="29"/>
        <v>272.43612959570265</v>
      </c>
      <c r="K235" s="4">
        <f t="shared" si="30"/>
        <v>61.246375971337315</v>
      </c>
      <c r="L235" s="45">
        <f>Pressure!Q235</f>
        <v>0.76942332010165704</v>
      </c>
      <c r="M235" s="10">
        <f t="shared" si="32"/>
        <v>0.83853373925551866</v>
      </c>
      <c r="N235" s="10">
        <f t="shared" si="31"/>
        <v>2.9545467240956045</v>
      </c>
    </row>
    <row r="236" spans="3:14">
      <c r="C236" s="4">
        <f>Pressure!AB236*1000000</f>
        <v>1573004.7777123456</v>
      </c>
      <c r="D236" s="84">
        <f>Pressure!I236</f>
        <v>1.4801552192482141E-4</v>
      </c>
      <c r="E236" s="40">
        <f>Pressure!H236</f>
        <v>148.0155219248214</v>
      </c>
      <c r="F236" s="10">
        <f t="shared" si="26"/>
        <v>8</v>
      </c>
      <c r="G236" s="4">
        <f t="shared" si="25"/>
        <v>101000</v>
      </c>
      <c r="H236" s="45">
        <f t="shared" si="27"/>
        <v>3.3079301223065714</v>
      </c>
      <c r="I236" s="10">
        <f t="shared" si="28"/>
        <v>1.1697752461930524</v>
      </c>
      <c r="J236" s="4">
        <f t="shared" si="29"/>
        <v>272.35774486929751</v>
      </c>
      <c r="K236" s="4">
        <f t="shared" si="30"/>
        <v>61.22875429820995</v>
      </c>
      <c r="L236" s="45">
        <f>Pressure!Q236</f>
        <v>0.77250103627552591</v>
      </c>
      <c r="M236" s="10">
        <f t="shared" si="32"/>
        <v>0.83836045943280935</v>
      </c>
      <c r="N236" s="10">
        <f t="shared" si="31"/>
        <v>2.9545467240956045</v>
      </c>
    </row>
    <row r="237" spans="3:14">
      <c r="C237" s="4">
        <f>Pressure!AB237*1000000</f>
        <v>1572603.1492248145</v>
      </c>
      <c r="D237" s="84">
        <f>Pressure!I237</f>
        <v>1.4801552192482141E-4</v>
      </c>
      <c r="E237" s="40">
        <f>Pressure!H237</f>
        <v>148.0155219248214</v>
      </c>
      <c r="F237" s="10">
        <f t="shared" si="26"/>
        <v>8</v>
      </c>
      <c r="G237" s="4">
        <f t="shared" si="25"/>
        <v>101000</v>
      </c>
      <c r="H237" s="45">
        <f t="shared" si="27"/>
        <v>3.307315005172653</v>
      </c>
      <c r="I237" s="10">
        <f t="shared" si="28"/>
        <v>1.169729142940112</v>
      </c>
      <c r="J237" s="4">
        <f t="shared" si="29"/>
        <v>272.27747350831169</v>
      </c>
      <c r="K237" s="4">
        <f t="shared" si="30"/>
        <v>61.210708490695495</v>
      </c>
      <c r="L237" s="45">
        <f>Pressure!Q237</f>
        <v>0.77557899720745527</v>
      </c>
      <c r="M237" s="10">
        <f t="shared" si="32"/>
        <v>0.83818296215954757</v>
      </c>
      <c r="N237" s="10">
        <f t="shared" si="31"/>
        <v>2.9545467240956045</v>
      </c>
    </row>
    <row r="238" spans="3:14">
      <c r="C238" s="4">
        <f>Pressure!AB238*1000000</f>
        <v>1572192.0739161165</v>
      </c>
      <c r="D238" s="84">
        <f>Pressure!I238</f>
        <v>1.4801552192482141E-4</v>
      </c>
      <c r="E238" s="40">
        <f>Pressure!H238</f>
        <v>148.0155219248214</v>
      </c>
      <c r="F238" s="10">
        <f t="shared" si="26"/>
        <v>8</v>
      </c>
      <c r="G238" s="4">
        <f t="shared" si="25"/>
        <v>101000</v>
      </c>
      <c r="H238" s="45">
        <f t="shared" si="27"/>
        <v>3.3066853901724436</v>
      </c>
      <c r="I238" s="10">
        <f t="shared" si="28"/>
        <v>1.1696819397701268</v>
      </c>
      <c r="J238" s="4">
        <f t="shared" si="29"/>
        <v>272.19531612842451</v>
      </c>
      <c r="K238" s="4">
        <f t="shared" si="30"/>
        <v>61.192238687204828</v>
      </c>
      <c r="L238" s="45">
        <f>Pressure!Q238</f>
        <v>0.77865720887809753</v>
      </c>
      <c r="M238" s="10">
        <f t="shared" si="32"/>
        <v>0.83800124770347517</v>
      </c>
      <c r="N238" s="10">
        <f t="shared" si="31"/>
        <v>2.9545467240956045</v>
      </c>
    </row>
    <row r="239" spans="3:14">
      <c r="C239" s="4">
        <f>Pressure!AB239*1000000</f>
        <v>1571771.5542153756</v>
      </c>
      <c r="D239" s="84">
        <f>Pressure!I239</f>
        <v>1.4801552192482141E-4</v>
      </c>
      <c r="E239" s="40">
        <f>Pressure!H239</f>
        <v>148.0155219248214</v>
      </c>
      <c r="F239" s="10">
        <f t="shared" si="26"/>
        <v>8</v>
      </c>
      <c r="G239" s="4">
        <f t="shared" si="25"/>
        <v>101000</v>
      </c>
      <c r="H239" s="45">
        <f t="shared" si="27"/>
        <v>3.3060412789590052</v>
      </c>
      <c r="I239" s="10">
        <f t="shared" si="28"/>
        <v>1.1696336358706558</v>
      </c>
      <c r="J239" s="4">
        <f t="shared" si="29"/>
        <v>272.11127335994803</v>
      </c>
      <c r="K239" s="4">
        <f t="shared" si="30"/>
        <v>61.17334502943843</v>
      </c>
      <c r="L239" s="45">
        <f>Pressure!Q239</f>
        <v>0.78173567727263382</v>
      </c>
      <c r="M239" s="10">
        <f t="shared" si="32"/>
        <v>0.83781531633889772</v>
      </c>
      <c r="N239" s="10">
        <f t="shared" si="31"/>
        <v>2.9545467240956045</v>
      </c>
    </row>
    <row r="240" spans="3:14">
      <c r="C240" s="4">
        <f>Pressure!AB240*1000000</f>
        <v>1571341.5926106758</v>
      </c>
      <c r="D240" s="84">
        <f>Pressure!I240</f>
        <v>1.4801552192482141E-4</v>
      </c>
      <c r="E240" s="40">
        <f>Pressure!H240</f>
        <v>148.0155219248214</v>
      </c>
      <c r="F240" s="10">
        <f t="shared" si="26"/>
        <v>8</v>
      </c>
      <c r="G240" s="4">
        <f t="shared" si="25"/>
        <v>101000</v>
      </c>
      <c r="H240" s="45">
        <f t="shared" si="27"/>
        <v>3.3053826732278844</v>
      </c>
      <c r="I240" s="10">
        <f t="shared" si="28"/>
        <v>1.1695842304101971</v>
      </c>
      <c r="J240" s="4">
        <f t="shared" si="29"/>
        <v>272.02534584833182</v>
      </c>
      <c r="K240" s="4">
        <f t="shared" si="30"/>
        <v>61.15402766249985</v>
      </c>
      <c r="L240" s="45">
        <f>Pressure!Q240</f>
        <v>0.78481440838088434</v>
      </c>
      <c r="M240" s="10">
        <f t="shared" si="32"/>
        <v>0.83762516834739953</v>
      </c>
      <c r="N240" s="10">
        <f t="shared" si="31"/>
        <v>2.9545467240956045</v>
      </c>
    </row>
    <row r="241" spans="3:14">
      <c r="C241" s="4">
        <f>Pressure!AB241*1000000</f>
        <v>1570902.191647395</v>
      </c>
      <c r="D241" s="84">
        <f>Pressure!I241</f>
        <v>1.4801552192482141E-4</v>
      </c>
      <c r="E241" s="40">
        <f>Pressure!H241</f>
        <v>148.0155219248214</v>
      </c>
      <c r="F241" s="10">
        <f t="shared" si="26"/>
        <v>8</v>
      </c>
      <c r="G241" s="4">
        <f t="shared" si="25"/>
        <v>101000</v>
      </c>
      <c r="H241" s="45">
        <f t="shared" si="27"/>
        <v>3.3047095747145403</v>
      </c>
      <c r="I241" s="10">
        <f t="shared" si="28"/>
        <v>1.1695337225379492</v>
      </c>
      <c r="J241" s="4">
        <f t="shared" si="29"/>
        <v>271.93753425383045</v>
      </c>
      <c r="K241" s="4">
        <f t="shared" si="30"/>
        <v>61.134286734820925</v>
      </c>
      <c r="L241" s="45">
        <f>Pressure!Q241</f>
        <v>0.78789340819741738</v>
      </c>
      <c r="M241" s="10">
        <f t="shared" si="32"/>
        <v>0.83743080401766923</v>
      </c>
      <c r="N241" s="10">
        <f t="shared" si="31"/>
        <v>2.9545467240956045</v>
      </c>
    </row>
    <row r="242" spans="3:14">
      <c r="C242" s="4">
        <f>Pressure!AB242*1000000</f>
        <v>1570453.3539286393</v>
      </c>
      <c r="D242" s="84">
        <f>Pressure!I242</f>
        <v>1.4801552192482141E-4</v>
      </c>
      <c r="E242" s="40">
        <f>Pressure!H242</f>
        <v>148.0155219248214</v>
      </c>
      <c r="F242" s="10">
        <f t="shared" si="26"/>
        <v>8</v>
      </c>
      <c r="G242" s="4">
        <f t="shared" si="25"/>
        <v>101000</v>
      </c>
      <c r="H242" s="45">
        <f t="shared" si="27"/>
        <v>3.3040219851950132</v>
      </c>
      <c r="I242" s="10">
        <f t="shared" si="28"/>
        <v>1.1694821113838141</v>
      </c>
      <c r="J242" s="4">
        <f t="shared" si="29"/>
        <v>271.84783925159093</v>
      </c>
      <c r="K242" s="4">
        <f t="shared" si="30"/>
        <v>61.114122398181493</v>
      </c>
      <c r="L242" s="45">
        <f>Pressure!Q242</f>
        <v>0.7909726827216591</v>
      </c>
      <c r="M242" s="10">
        <f t="shared" si="32"/>
        <v>0.83723222364525796</v>
      </c>
      <c r="N242" s="10">
        <f t="shared" si="31"/>
        <v>2.9545467240956045</v>
      </c>
    </row>
    <row r="243" spans="3:14">
      <c r="C243" s="4">
        <f>Pressure!AB243*1000000</f>
        <v>1569995.0821153647</v>
      </c>
      <c r="D243" s="84">
        <f>Pressure!I243</f>
        <v>1.4801552192482141E-4</v>
      </c>
      <c r="E243" s="40">
        <f>Pressure!H243</f>
        <v>148.0155219248214</v>
      </c>
      <c r="F243" s="10">
        <f t="shared" si="26"/>
        <v>8</v>
      </c>
      <c r="G243" s="4">
        <f t="shared" si="25"/>
        <v>101000</v>
      </c>
      <c r="H243" s="45">
        <f t="shared" si="27"/>
        <v>3.3033199064860921</v>
      </c>
      <c r="I243" s="10">
        <f t="shared" si="28"/>
        <v>1.1694293960583653</v>
      </c>
      <c r="J243" s="4">
        <f t="shared" si="29"/>
        <v>271.75626153167843</v>
      </c>
      <c r="K243" s="4">
        <f t="shared" si="30"/>
        <v>61.09353480771513</v>
      </c>
      <c r="L243" s="45">
        <f>Pressure!Q243</f>
        <v>0.79405223795800406</v>
      </c>
      <c r="M243" s="10">
        <f t="shared" si="32"/>
        <v>0.83702942753285392</v>
      </c>
      <c r="N243" s="10">
        <f t="shared" si="31"/>
        <v>2.9545467240956045</v>
      </c>
    </row>
    <row r="244" spans="3:14">
      <c r="C244" s="4">
        <f>Pressure!AB244*1000000</f>
        <v>1569527.3789268383</v>
      </c>
      <c r="D244" s="84">
        <f>Pressure!I244</f>
        <v>1.4801552192482141E-4</v>
      </c>
      <c r="E244" s="40">
        <f>Pressure!H244</f>
        <v>148.0155219248214</v>
      </c>
      <c r="F244" s="10">
        <f t="shared" si="26"/>
        <v>8</v>
      </c>
      <c r="G244" s="4">
        <f t="shared" si="25"/>
        <v>101000</v>
      </c>
      <c r="H244" s="45">
        <f t="shared" si="27"/>
        <v>3.3026033404460118</v>
      </c>
      <c r="I244" s="10">
        <f t="shared" si="28"/>
        <v>1.1693755756528501</v>
      </c>
      <c r="J244" s="4">
        <f t="shared" si="29"/>
        <v>271.66280179916907</v>
      </c>
      <c r="K244" s="4">
        <f t="shared" si="30"/>
        <v>61.072524121930009</v>
      </c>
      <c r="L244" s="45">
        <f>Pressure!Q244</f>
        <v>0.7971320799159255</v>
      </c>
      <c r="M244" s="10">
        <f t="shared" si="32"/>
        <v>0.83682241599035523</v>
      </c>
      <c r="N244" s="10">
        <f t="shared" si="31"/>
        <v>2.9545467240956045</v>
      </c>
    </row>
    <row r="245" spans="3:14">
      <c r="C245" s="4">
        <f>Pressure!AB245*1000000</f>
        <v>1569050.2471394162</v>
      </c>
      <c r="D245" s="84">
        <f>Pressure!I245</f>
        <v>1.4801552192482141E-4</v>
      </c>
      <c r="E245" s="40">
        <f>Pressure!H245</f>
        <v>148.0155219248214</v>
      </c>
      <c r="F245" s="10">
        <f t="shared" si="26"/>
        <v>8</v>
      </c>
      <c r="G245" s="4">
        <f t="shared" si="25"/>
        <v>101000</v>
      </c>
      <c r="H245" s="45">
        <f t="shared" si="27"/>
        <v>3.301872288972576</v>
      </c>
      <c r="I245" s="10">
        <f t="shared" si="28"/>
        <v>1.1693206492389991</v>
      </c>
      <c r="J245" s="4">
        <f t="shared" si="29"/>
        <v>271.56746077390665</v>
      </c>
      <c r="K245" s="4">
        <f t="shared" si="30"/>
        <v>61.051090502654255</v>
      </c>
      <c r="L245" s="45">
        <f>Pressure!Q245</f>
        <v>0.80021221461008551</v>
      </c>
      <c r="M245" s="10">
        <f t="shared" si="32"/>
        <v>0.83661118933449385</v>
      </c>
      <c r="N245" s="10">
        <f t="shared" si="31"/>
        <v>2.9545467240956045</v>
      </c>
    </row>
    <row r="246" spans="3:14">
      <c r="C246" s="4">
        <f>Pressure!AB246*1000000</f>
        <v>1568563.6895879866</v>
      </c>
      <c r="D246" s="84">
        <f>Pressure!I246</f>
        <v>1.4801552192482141E-4</v>
      </c>
      <c r="E246" s="40">
        <f>Pressure!H246</f>
        <v>148.0155219248214</v>
      </c>
      <c r="F246" s="10">
        <f t="shared" si="26"/>
        <v>8</v>
      </c>
      <c r="G246" s="4">
        <f t="shared" si="25"/>
        <v>101000</v>
      </c>
      <c r="H246" s="45">
        <f t="shared" si="27"/>
        <v>3.3011267540053577</v>
      </c>
      <c r="I246" s="10">
        <f t="shared" si="28"/>
        <v>1.1692646158691433</v>
      </c>
      <c r="J246" s="4">
        <f t="shared" si="29"/>
        <v>271.4702391907922</v>
      </c>
      <c r="K246" s="4">
        <f t="shared" si="30"/>
        <v>61.029234115100984</v>
      </c>
      <c r="L246" s="45">
        <f>Pressure!Q246</f>
        <v>0.80329264806044665</v>
      </c>
      <c r="M246" s="10">
        <f t="shared" si="32"/>
        <v>0.83639574788921489</v>
      </c>
      <c r="N246" s="10">
        <f t="shared" si="31"/>
        <v>2.9545467240956045</v>
      </c>
    </row>
    <row r="247" spans="3:14">
      <c r="C247" s="4">
        <f>Pressure!AB247*1000000</f>
        <v>1568067.709165131</v>
      </c>
      <c r="D247" s="84">
        <f>Pressure!I247</f>
        <v>1.4801552192482141E-4</v>
      </c>
      <c r="E247" s="40">
        <f>Pressure!H247</f>
        <v>148.0155219248214</v>
      </c>
      <c r="F247" s="10">
        <f t="shared" si="26"/>
        <v>8</v>
      </c>
      <c r="G247" s="4">
        <f t="shared" si="25"/>
        <v>101000</v>
      </c>
      <c r="H247" s="45">
        <f t="shared" si="27"/>
        <v>3.3003667375243961</v>
      </c>
      <c r="I247" s="10">
        <f t="shared" si="28"/>
        <v>1.1692074745760626</v>
      </c>
      <c r="J247" s="4">
        <f t="shared" si="29"/>
        <v>271.37113779961732</v>
      </c>
      <c r="K247" s="4">
        <f t="shared" si="30"/>
        <v>61.006955127830878</v>
      </c>
      <c r="L247" s="45">
        <f>Pressure!Q247</f>
        <v>0.80637338629238253</v>
      </c>
      <c r="M247" s="10">
        <f t="shared" si="32"/>
        <v>0.83617609198553822</v>
      </c>
      <c r="N247" s="10">
        <f t="shared" si="31"/>
        <v>2.9545467240956045</v>
      </c>
    </row>
    <row r="248" spans="3:14">
      <c r="C248" s="4">
        <f>Pressure!AB248*1000000</f>
        <v>1567562.3088215964</v>
      </c>
      <c r="D248" s="84">
        <f>Pressure!I248</f>
        <v>1.4801552192482141E-4</v>
      </c>
      <c r="E248" s="40">
        <f>Pressure!H248</f>
        <v>148.0155219248214</v>
      </c>
      <c r="F248" s="10">
        <f t="shared" si="26"/>
        <v>8</v>
      </c>
      <c r="G248" s="4">
        <f t="shared" si="25"/>
        <v>101000</v>
      </c>
      <c r="H248" s="45">
        <f t="shared" si="27"/>
        <v>3.299592241550918</v>
      </c>
      <c r="I248" s="10">
        <f t="shared" si="28"/>
        <v>1.169149224372988</v>
      </c>
      <c r="J248" s="4">
        <f t="shared" si="29"/>
        <v>271.27015736515904</v>
      </c>
      <c r="K248" s="4">
        <f t="shared" si="30"/>
        <v>60.984253712773487</v>
      </c>
      <c r="L248" s="45">
        <f>Pressure!Q248</f>
        <v>0.80945443533678962</v>
      </c>
      <c r="M248" s="10">
        <f t="shared" si="32"/>
        <v>0.83595222196163033</v>
      </c>
      <c r="N248" s="10">
        <f t="shared" si="31"/>
        <v>2.9545467240956045</v>
      </c>
    </row>
    <row r="249" spans="3:14">
      <c r="C249" s="4">
        <f>Pressure!AB249*1000000</f>
        <v>1567047.4915665097</v>
      </c>
      <c r="D249" s="84">
        <f>Pressure!I249</f>
        <v>1.4801552192482141E-4</v>
      </c>
      <c r="E249" s="40">
        <f>Pressure!H249</f>
        <v>148.0155219248214</v>
      </c>
      <c r="F249" s="10">
        <f t="shared" si="26"/>
        <v>8</v>
      </c>
      <c r="G249" s="4">
        <f t="shared" si="25"/>
        <v>101000</v>
      </c>
      <c r="H249" s="45">
        <f t="shared" si="27"/>
        <v>3.2988032681476533</v>
      </c>
      <c r="I249" s="10">
        <f t="shared" si="28"/>
        <v>1.1690898642535725</v>
      </c>
      <c r="J249" s="4">
        <f t="shared" si="29"/>
        <v>271.16729866722443</v>
      </c>
      <c r="K249" s="4">
        <f t="shared" si="30"/>
        <v>60.961130045237269</v>
      </c>
      <c r="L249" s="45">
        <f>Pressure!Q249</f>
        <v>0.81253580123019864</v>
      </c>
      <c r="M249" s="10">
        <f t="shared" si="32"/>
        <v>0.83572413816286961</v>
      </c>
      <c r="N249" s="10">
        <f t="shared" si="31"/>
        <v>2.9545467240956045</v>
      </c>
    </row>
    <row r="250" spans="3:14">
      <c r="C250" s="4">
        <f>Pressure!AB250*1000000</f>
        <v>1566523.2604665854</v>
      </c>
      <c r="D250" s="84">
        <f>Pressure!I250</f>
        <v>1.4801552192482141E-4</v>
      </c>
      <c r="E250" s="40">
        <f>Pressure!H250</f>
        <v>148.0155219248214</v>
      </c>
      <c r="F250" s="10">
        <f t="shared" si="26"/>
        <v>8</v>
      </c>
      <c r="G250" s="4">
        <f t="shared" si="25"/>
        <v>101000</v>
      </c>
      <c r="H250" s="45">
        <f t="shared" si="27"/>
        <v>3.2979998194176097</v>
      </c>
      <c r="I250" s="10">
        <f t="shared" si="28"/>
        <v>1.1690293931917437</v>
      </c>
      <c r="J250" s="4">
        <f t="shared" si="29"/>
        <v>271.06256250049273</v>
      </c>
      <c r="K250" s="4">
        <f t="shared" si="30"/>
        <v>60.93758430387409</v>
      </c>
      <c r="L250" s="45">
        <f>Pressure!Q250</f>
        <v>0.81561749001488637</v>
      </c>
      <c r="M250" s="10">
        <f t="shared" si="32"/>
        <v>0.83549184094166962</v>
      </c>
      <c r="N250" s="10">
        <f t="shared" si="31"/>
        <v>2.9545467240956045</v>
      </c>
    </row>
    <row r="251" spans="3:14">
      <c r="C251" s="4">
        <f>Pressure!AB251*1000000</f>
        <v>1565989.6186463081</v>
      </c>
      <c r="D251" s="84">
        <f>Pressure!I251</f>
        <v>1.4801552192482141E-4</v>
      </c>
      <c r="E251" s="40">
        <f>Pressure!H251</f>
        <v>148.0155219248214</v>
      </c>
      <c r="F251" s="10">
        <f t="shared" si="26"/>
        <v>8</v>
      </c>
      <c r="G251" s="4">
        <f t="shared" si="25"/>
        <v>101000</v>
      </c>
      <c r="H251" s="45">
        <f t="shared" si="27"/>
        <v>3.2971818975043381</v>
      </c>
      <c r="I251" s="10">
        <f t="shared" si="28"/>
        <v>1.1689678101416676</v>
      </c>
      <c r="J251" s="4">
        <f t="shared" si="29"/>
        <v>270.95594967455344</v>
      </c>
      <c r="K251" s="4">
        <f t="shared" si="30"/>
        <v>60.913616670687794</v>
      </c>
      <c r="L251" s="45">
        <f>Pressure!Q251</f>
        <v>0.81869950773898836</v>
      </c>
      <c r="M251" s="10">
        <f t="shared" si="32"/>
        <v>0.83525533065744217</v>
      </c>
      <c r="N251" s="10">
        <f t="shared" si="31"/>
        <v>2.9545467240956045</v>
      </c>
    </row>
    <row r="252" spans="3:14">
      <c r="C252" s="4">
        <f>Pressure!AB252*1000000</f>
        <v>1565446.5692897723</v>
      </c>
      <c r="D252" s="84">
        <f>Pressure!I252</f>
        <v>1.4801552192482141E-4</v>
      </c>
      <c r="E252" s="40">
        <f>Pressure!H252</f>
        <v>148.0155219248214</v>
      </c>
      <c r="F252" s="10">
        <f t="shared" si="26"/>
        <v>8</v>
      </c>
      <c r="G252" s="4">
        <f t="shared" si="25"/>
        <v>101000</v>
      </c>
      <c r="H252" s="45">
        <f t="shared" si="27"/>
        <v>3.296349504594752</v>
      </c>
      <c r="I252" s="10">
        <f t="shared" si="28"/>
        <v>1.1689051140379036</v>
      </c>
      <c r="J252" s="4">
        <f t="shared" si="29"/>
        <v>270.84746101427419</v>
      </c>
      <c r="K252" s="4">
        <f t="shared" si="30"/>
        <v>60.889227331116899</v>
      </c>
      <c r="L252" s="45">
        <f>Pressure!Q252</f>
        <v>0.82178186045661161</v>
      </c>
      <c r="M252" s="10">
        <f t="shared" si="32"/>
        <v>0.83501460767712654</v>
      </c>
      <c r="N252" s="10">
        <f t="shared" si="31"/>
        <v>2.9545467240956045</v>
      </c>
    </row>
    <row r="253" spans="3:14">
      <c r="C253" s="4">
        <f>Pressure!AB253*1000000</f>
        <v>1564894.1156382617</v>
      </c>
      <c r="D253" s="84">
        <f>Pressure!I253</f>
        <v>1.4801552192482141E-4</v>
      </c>
      <c r="E253" s="40">
        <f>Pressure!H253</f>
        <v>148.0155219248214</v>
      </c>
      <c r="F253" s="10">
        <f t="shared" si="26"/>
        <v>8</v>
      </c>
      <c r="G253" s="4">
        <f t="shared" si="25"/>
        <v>101000</v>
      </c>
      <c r="H253" s="45">
        <f t="shared" si="27"/>
        <v>3.2955026429153857</v>
      </c>
      <c r="I253" s="10">
        <f t="shared" si="28"/>
        <v>1.1688413037950669</v>
      </c>
      <c r="J253" s="4">
        <f t="shared" si="29"/>
        <v>270.73709735931914</v>
      </c>
      <c r="K253" s="4">
        <f t="shared" si="30"/>
        <v>60.86441647392634</v>
      </c>
      <c r="L253" s="45">
        <f>Pressure!Q253</f>
        <v>0.82486455422794636</v>
      </c>
      <c r="M253" s="10">
        <f t="shared" si="32"/>
        <v>0.83476967237467703</v>
      </c>
      <c r="N253" s="10">
        <f t="shared" si="31"/>
        <v>2.9545467240956045</v>
      </c>
    </row>
    <row r="254" spans="3:14">
      <c r="C254" s="4">
        <f>Pressure!AB254*1000000</f>
        <v>1564332.2609910821</v>
      </c>
      <c r="D254" s="84">
        <f>Pressure!I254</f>
        <v>1.4801552192482141E-4</v>
      </c>
      <c r="E254" s="40">
        <f>Pressure!H254</f>
        <v>148.0155219248214</v>
      </c>
      <c r="F254" s="10">
        <f t="shared" si="26"/>
        <v>8</v>
      </c>
      <c r="G254" s="4">
        <f t="shared" si="25"/>
        <v>101000</v>
      </c>
      <c r="H254" s="45">
        <f t="shared" si="27"/>
        <v>3.294641314733683</v>
      </c>
      <c r="I254" s="10">
        <f t="shared" si="28"/>
        <v>1.1687763783078626</v>
      </c>
      <c r="J254" s="4">
        <f t="shared" si="29"/>
        <v>270.62485956431573</v>
      </c>
      <c r="K254" s="4">
        <f t="shared" si="30"/>
        <v>60.839184291244941</v>
      </c>
      <c r="L254" s="45">
        <f>Pressure!Q254</f>
        <v>0.82794759511938021</v>
      </c>
      <c r="M254" s="10">
        <f t="shared" si="32"/>
        <v>0.83452052513110897</v>
      </c>
      <c r="N254" s="10">
        <f t="shared" si="31"/>
        <v>2.9545467240956045</v>
      </c>
    </row>
    <row r="255" spans="3:14">
      <c r="C255" s="4">
        <f>Pressure!AB255*1000000</f>
        <v>1563761.0087070228</v>
      </c>
      <c r="D255" s="84">
        <f>Pressure!I255</f>
        <v>1.4801552192482141E-4</v>
      </c>
      <c r="E255" s="40">
        <f>Pressure!H255</f>
        <v>148.0155219248214</v>
      </c>
      <c r="F255" s="10">
        <f t="shared" si="26"/>
        <v>8</v>
      </c>
      <c r="G255" s="4">
        <f t="shared" si="25"/>
        <v>101000</v>
      </c>
      <c r="H255" s="45">
        <f t="shared" si="27"/>
        <v>3.2937655223602138</v>
      </c>
      <c r="I255" s="10">
        <f t="shared" si="28"/>
        <v>1.1687103364511948</v>
      </c>
      <c r="J255" s="4">
        <f t="shared" si="29"/>
        <v>270.51074849914795</v>
      </c>
      <c r="K255" s="4">
        <f t="shared" si="30"/>
        <v>60.813530978631348</v>
      </c>
      <c r="L255" s="45">
        <f>Pressure!Q255</f>
        <v>0.8310309892036114</v>
      </c>
      <c r="M255" s="10">
        <f t="shared" si="32"/>
        <v>0.83426716633486708</v>
      </c>
      <c r="N255" s="10">
        <f t="shared" si="31"/>
        <v>2.9545467240956045</v>
      </c>
    </row>
    <row r="256" spans="3:14">
      <c r="C256" s="4">
        <f>Pressure!AB256*1000000</f>
        <v>1563180.3622021403</v>
      </c>
      <c r="D256" s="84">
        <f>Pressure!I256</f>
        <v>1.4801552192482141E-4</v>
      </c>
      <c r="E256" s="40">
        <f>Pressure!H256</f>
        <v>148.0155219248214</v>
      </c>
      <c r="F256" s="10">
        <f t="shared" si="26"/>
        <v>8</v>
      </c>
      <c r="G256" s="4">
        <f t="shared" si="25"/>
        <v>101000</v>
      </c>
      <c r="H256" s="45">
        <f t="shared" si="27"/>
        <v>3.2928752681452611</v>
      </c>
      <c r="I256" s="10">
        <f t="shared" si="28"/>
        <v>1.1686431770798478</v>
      </c>
      <c r="J256" s="4">
        <f t="shared" si="29"/>
        <v>270.39476504851507</v>
      </c>
      <c r="K256" s="4">
        <f t="shared" si="30"/>
        <v>60.787456734974839</v>
      </c>
      <c r="L256" s="45">
        <f>Pressure!Q256</f>
        <v>0.83411474255976226</v>
      </c>
      <c r="M256" s="10">
        <f t="shared" si="32"/>
        <v>0.83400959638155348</v>
      </c>
      <c r="N256" s="10">
        <f t="shared" si="31"/>
        <v>2.9545467240956045</v>
      </c>
    </row>
    <row r="257" spans="3:14">
      <c r="C257" s="4">
        <f>Pressure!AB257*1000000</f>
        <v>1562590.3249516888</v>
      </c>
      <c r="D257" s="84">
        <f>Pressure!I257</f>
        <v>1.4801552192482141E-4</v>
      </c>
      <c r="E257" s="40">
        <f>Pressure!H257</f>
        <v>148.0155219248214</v>
      </c>
      <c r="F257" s="10">
        <f t="shared" si="26"/>
        <v>8</v>
      </c>
      <c r="G257" s="4">
        <f t="shared" si="25"/>
        <v>101000</v>
      </c>
      <c r="H257" s="45">
        <f t="shared" si="27"/>
        <v>3.2919705544817774</v>
      </c>
      <c r="I257" s="10">
        <f t="shared" si="28"/>
        <v>1.1685748990286455</v>
      </c>
      <c r="J257" s="4">
        <f t="shared" si="29"/>
        <v>270.27691011231815</v>
      </c>
      <c r="K257" s="4">
        <f t="shared" si="30"/>
        <v>60.760961762582205</v>
      </c>
      <c r="L257" s="45">
        <f>Pressure!Q257</f>
        <v>0.83719886127349363</v>
      </c>
      <c r="M257" s="10">
        <f t="shared" si="32"/>
        <v>0.8337478156740088</v>
      </c>
      <c r="N257" s="10">
        <f t="shared" si="31"/>
        <v>2.9545467240956045</v>
      </c>
    </row>
    <row r="258" spans="3:14">
      <c r="C258" s="4">
        <f>Pressure!AB258*1000000</f>
        <v>1561990.900488622</v>
      </c>
      <c r="D258" s="84">
        <f>Pressure!I258</f>
        <v>1.4801552192482141E-4</v>
      </c>
      <c r="E258" s="40">
        <f>Pressure!H258</f>
        <v>148.0155219248214</v>
      </c>
      <c r="F258" s="10">
        <f t="shared" si="26"/>
        <v>8</v>
      </c>
      <c r="G258" s="4">
        <f t="shared" si="25"/>
        <v>101000</v>
      </c>
      <c r="H258" s="45">
        <f t="shared" si="27"/>
        <v>3.2910513838030715</v>
      </c>
      <c r="I258" s="10">
        <f t="shared" si="28"/>
        <v>1.1685055011122127</v>
      </c>
      <c r="J258" s="4">
        <f t="shared" si="29"/>
        <v>270.15718460536181</v>
      </c>
      <c r="K258" s="4">
        <f t="shared" si="30"/>
        <v>60.734046267110699</v>
      </c>
      <c r="L258" s="45">
        <f>Pressure!Q258</f>
        <v>0.84028335143711896</v>
      </c>
      <c r="M258" s="10">
        <f t="shared" si="32"/>
        <v>0.83348182462222209</v>
      </c>
      <c r="N258" s="10">
        <f t="shared" si="31"/>
        <v>2.9545467240956045</v>
      </c>
    </row>
    <row r="259" spans="3:14">
      <c r="C259" s="4">
        <f>Pressure!AB259*1000000</f>
        <v>1561382.0924054964</v>
      </c>
      <c r="D259" s="84">
        <f>Pressure!I259</f>
        <v>1.4801552192482141E-4</v>
      </c>
      <c r="E259" s="40">
        <f>Pressure!H259</f>
        <v>148.0155219248214</v>
      </c>
      <c r="F259" s="10">
        <f t="shared" si="26"/>
        <v>8</v>
      </c>
      <c r="G259" s="4">
        <f t="shared" si="25"/>
        <v>101000</v>
      </c>
      <c r="H259" s="45">
        <f t="shared" si="27"/>
        <v>3.2901177585857142</v>
      </c>
      <c r="I259" s="10">
        <f t="shared" si="28"/>
        <v>1.1684349821251319</v>
      </c>
      <c r="J259" s="4">
        <f t="shared" si="29"/>
        <v>270.03558945773625</v>
      </c>
      <c r="K259" s="4">
        <f t="shared" si="30"/>
        <v>60.706710457653941</v>
      </c>
      <c r="L259" s="45">
        <f>Pressure!Q259</f>
        <v>0.84336821914971938</v>
      </c>
      <c r="M259" s="10">
        <f t="shared" si="32"/>
        <v>0.83321162364365098</v>
      </c>
      <c r="N259" s="10">
        <f t="shared" si="31"/>
        <v>2.9545467240956045</v>
      </c>
    </row>
    <row r="260" spans="3:14">
      <c r="C260" s="4">
        <f>Pressure!AB260*1000000</f>
        <v>1560763.9043525832</v>
      </c>
      <c r="D260" s="84">
        <f>Pressure!I260</f>
        <v>1.4801552192482141E-4</v>
      </c>
      <c r="E260" s="40">
        <f>Pressure!H260</f>
        <v>148.0155219248214</v>
      </c>
      <c r="F260" s="10">
        <f t="shared" si="26"/>
        <v>8</v>
      </c>
      <c r="G260" s="4">
        <f t="shared" si="25"/>
        <v>101000</v>
      </c>
      <c r="H260" s="45">
        <f t="shared" si="27"/>
        <v>3.2891696813466296</v>
      </c>
      <c r="I260" s="10">
        <f t="shared" si="28"/>
        <v>1.1683633408416536</v>
      </c>
      <c r="J260" s="4">
        <f t="shared" si="29"/>
        <v>269.91212561444041</v>
      </c>
      <c r="K260" s="4">
        <f t="shared" si="30"/>
        <v>60.678954546657167</v>
      </c>
      <c r="L260" s="45">
        <f>Pressure!Q260</f>
        <v>0.84645347051725828</v>
      </c>
      <c r="M260" s="10">
        <f t="shared" si="32"/>
        <v>0.83293721316296843</v>
      </c>
      <c r="N260" s="10">
        <f t="shared" si="31"/>
        <v>2.9545467240956045</v>
      </c>
    </row>
    <row r="261" spans="3:14">
      <c r="C261" s="4">
        <f>Pressure!AB261*1000000</f>
        <v>1560136.3400389038</v>
      </c>
      <c r="D261" s="84">
        <f>Pressure!I261</f>
        <v>1.4801552192482141E-4</v>
      </c>
      <c r="E261" s="40">
        <f>Pressure!H261</f>
        <v>148.0155219248214</v>
      </c>
      <c r="F261" s="10">
        <f t="shared" si="26"/>
        <v>8</v>
      </c>
      <c r="G261" s="4">
        <f t="shared" si="25"/>
        <v>101000</v>
      </c>
      <c r="H261" s="45">
        <f t="shared" si="27"/>
        <v>3.2882071546446721</v>
      </c>
      <c r="I261" s="10">
        <f t="shared" si="28"/>
        <v>1.1682905760157516</v>
      </c>
      <c r="J261" s="4">
        <f t="shared" si="29"/>
        <v>269.78679403559084</v>
      </c>
      <c r="K261" s="4">
        <f t="shared" si="30"/>
        <v>60.650778749964218</v>
      </c>
      <c r="L261" s="45">
        <f>Pressure!Q261</f>
        <v>0.84953911165269735</v>
      </c>
      <c r="M261" s="10">
        <f t="shared" si="32"/>
        <v>0.83265859361208272</v>
      </c>
      <c r="N261" s="10">
        <f t="shared" si="31"/>
        <v>2.9545467240956045</v>
      </c>
    </row>
    <row r="262" spans="3:14">
      <c r="C262" s="4">
        <f>Pressure!AB262*1000000</f>
        <v>1559499.4032328171</v>
      </c>
      <c r="D262" s="84">
        <f>Pressure!I262</f>
        <v>1.4801552192482141E-4</v>
      </c>
      <c r="E262" s="40">
        <f>Pressure!H262</f>
        <v>148.0155219248214</v>
      </c>
      <c r="F262" s="10">
        <f t="shared" si="26"/>
        <v>8</v>
      </c>
      <c r="G262" s="4">
        <f t="shared" si="25"/>
        <v>101000</v>
      </c>
      <c r="H262" s="45">
        <f t="shared" si="27"/>
        <v>3.2872301810815232</v>
      </c>
      <c r="I262" s="10">
        <f t="shared" si="28"/>
        <v>1.168216686381119</v>
      </c>
      <c r="J262" s="4">
        <f t="shared" si="29"/>
        <v>269.65959569653972</v>
      </c>
      <c r="K262" s="4">
        <f t="shared" si="30"/>
        <v>60.622183286844056</v>
      </c>
      <c r="L262" s="45">
        <f>Pressure!Q262</f>
        <v>0.85262514867611194</v>
      </c>
      <c r="M262" s="10">
        <f t="shared" si="32"/>
        <v>0.83237576543034542</v>
      </c>
      <c r="N262" s="10">
        <f t="shared" si="31"/>
        <v>2.9545467240956045</v>
      </c>
    </row>
    <row r="263" spans="3:14">
      <c r="C263" s="4">
        <f>Pressure!AB263*1000000</f>
        <v>1558853.0977601176</v>
      </c>
      <c r="D263" s="84">
        <f>Pressure!I263</f>
        <v>1.4801552192482141E-4</v>
      </c>
      <c r="E263" s="40">
        <f>Pressure!H263</f>
        <v>148.0155219248214</v>
      </c>
      <c r="F263" s="10">
        <f t="shared" si="26"/>
        <v>8</v>
      </c>
      <c r="G263" s="4">
        <f t="shared" si="25"/>
        <v>101000</v>
      </c>
      <c r="H263" s="45">
        <f t="shared" si="27"/>
        <v>3.2862387632987411</v>
      </c>
      <c r="I263" s="10">
        <f t="shared" si="28"/>
        <v>1.1681416706508798</v>
      </c>
      <c r="J263" s="4">
        <f t="shared" si="29"/>
        <v>269.53053158749702</v>
      </c>
      <c r="K263" s="4">
        <f t="shared" si="30"/>
        <v>60.593168379905812</v>
      </c>
      <c r="L263" s="45">
        <f>Pressure!Q263</f>
        <v>0.85571158771480726</v>
      </c>
      <c r="M263" s="10">
        <f t="shared" si="32"/>
        <v>0.83208872906427511</v>
      </c>
      <c r="N263" s="10">
        <f t="shared" si="31"/>
        <v>2.9545467240956045</v>
      </c>
    </row>
    <row r="264" spans="3:14">
      <c r="C264" s="4">
        <f>Pressure!AB264*1000000</f>
        <v>1558197.4275072722</v>
      </c>
      <c r="D264" s="84">
        <f>Pressure!I264</f>
        <v>1.4801552192482141E-4</v>
      </c>
      <c r="E264" s="40">
        <f>Pressure!H264</f>
        <v>148.0155219248214</v>
      </c>
      <c r="F264" s="10">
        <f t="shared" si="26"/>
        <v>8</v>
      </c>
      <c r="G264" s="4">
        <f t="shared" si="25"/>
        <v>101000</v>
      </c>
      <c r="H264" s="45">
        <f t="shared" si="27"/>
        <v>3.2852329039827288</v>
      </c>
      <c r="I264" s="10">
        <f t="shared" si="28"/>
        <v>1.1680655275178888</v>
      </c>
      <c r="J264" s="4">
        <f t="shared" si="29"/>
        <v>269.39960271417704</v>
      </c>
      <c r="K264" s="4">
        <f t="shared" si="30"/>
        <v>60.56373425524415</v>
      </c>
      <c r="L264" s="45">
        <f>Pressure!Q264</f>
        <v>0.85879843490343521</v>
      </c>
      <c r="M264" s="10">
        <f t="shared" si="32"/>
        <v>0.83179748496800321</v>
      </c>
      <c r="N264" s="10">
        <f t="shared" si="31"/>
        <v>2.9545467240956045</v>
      </c>
    </row>
    <row r="265" spans="3:14">
      <c r="C265" s="4">
        <f>Pressure!AB265*1000000</f>
        <v>1557532.3964178998</v>
      </c>
      <c r="D265" s="84">
        <f>Pressure!I265</f>
        <v>1.4801552192482141E-4</v>
      </c>
      <c r="E265" s="40">
        <f>Pressure!H265</f>
        <v>148.0155219248214</v>
      </c>
      <c r="F265" s="10">
        <f t="shared" si="26"/>
        <v>8</v>
      </c>
      <c r="G265" s="4">
        <f t="shared" si="25"/>
        <v>101000</v>
      </c>
      <c r="H265" s="45">
        <f t="shared" si="27"/>
        <v>3.2842126058593188</v>
      </c>
      <c r="I265" s="10">
        <f t="shared" si="28"/>
        <v>1.1679882556542525</v>
      </c>
      <c r="J265" s="4">
        <f t="shared" si="29"/>
        <v>269.26681009709768</v>
      </c>
      <c r="K265" s="4">
        <f t="shared" si="30"/>
        <v>60.53388114228175</v>
      </c>
      <c r="L265" s="45">
        <f>Pressure!Q265</f>
        <v>0.86188569638411028</v>
      </c>
      <c r="M265" s="10">
        <f t="shared" si="32"/>
        <v>0.83150203360283048</v>
      </c>
      <c r="N265" s="10">
        <f t="shared" si="31"/>
        <v>2.9545467240956045</v>
      </c>
    </row>
    <row r="266" spans="3:14">
      <c r="C266" s="4">
        <f>Pressure!AB266*1000000</f>
        <v>1556858.0084951143</v>
      </c>
      <c r="D266" s="84">
        <f>Pressure!I266</f>
        <v>1.4801552192482141E-4</v>
      </c>
      <c r="E266" s="40">
        <f>Pressure!H266</f>
        <v>148.0155219248214</v>
      </c>
      <c r="F266" s="10">
        <f t="shared" si="26"/>
        <v>8</v>
      </c>
      <c r="G266" s="4">
        <f t="shared" si="25"/>
        <v>101000</v>
      </c>
      <c r="H266" s="45">
        <f t="shared" si="27"/>
        <v>3.283177871697351</v>
      </c>
      <c r="I266" s="10">
        <f t="shared" si="28"/>
        <v>1.1679098537115269</v>
      </c>
      <c r="J266" s="4">
        <f t="shared" si="29"/>
        <v>269.13215477204949</v>
      </c>
      <c r="K266" s="4">
        <f t="shared" si="30"/>
        <v>60.503609273874709</v>
      </c>
      <c r="L266" s="45">
        <f>Pressure!Q266</f>
        <v>0.86497337830652798</v>
      </c>
      <c r="M266" s="10">
        <f t="shared" si="32"/>
        <v>0.83120237543743591</v>
      </c>
      <c r="N266" s="10">
        <f t="shared" si="31"/>
        <v>2.9545467240956045</v>
      </c>
    </row>
    <row r="267" spans="3:14">
      <c r="C267" s="4">
        <f>Pressure!AB267*1000000</f>
        <v>1556174.2678014706</v>
      </c>
      <c r="D267" s="84">
        <f>Pressure!I267</f>
        <v>1.4801552192482141E-4</v>
      </c>
      <c r="E267" s="40">
        <f>Pressure!H267</f>
        <v>148.0155219248214</v>
      </c>
      <c r="F267" s="10">
        <f t="shared" si="26"/>
        <v>8</v>
      </c>
      <c r="G267" s="4">
        <f t="shared" si="25"/>
        <v>101000</v>
      </c>
      <c r="H267" s="45">
        <f t="shared" si="27"/>
        <v>3.2821287043085752</v>
      </c>
      <c r="I267" s="10">
        <f t="shared" si="28"/>
        <v>1.1678303203206333</v>
      </c>
      <c r="J267" s="4">
        <f t="shared" si="29"/>
        <v>268.99563779008582</v>
      </c>
      <c r="K267" s="4">
        <f t="shared" si="30"/>
        <v>60.472918886310381</v>
      </c>
      <c r="L267" s="45">
        <f>Pressure!Q267</f>
        <v>0.86806148682808193</v>
      </c>
      <c r="M267" s="10">
        <f t="shared" si="32"/>
        <v>0.83089851094807177</v>
      </c>
      <c r="N267" s="10">
        <f t="shared" si="31"/>
        <v>2.9545467240956045</v>
      </c>
    </row>
    <row r="268" spans="3:14">
      <c r="C268" s="4">
        <f>Pressure!AB268*1000000</f>
        <v>1555481.1784581994</v>
      </c>
      <c r="D268" s="84">
        <f>Pressure!I268</f>
        <v>1.4801552192482141E-4</v>
      </c>
      <c r="E268" s="40">
        <f>Pressure!H268</f>
        <v>148.0155219248214</v>
      </c>
      <c r="F268" s="10">
        <f t="shared" si="26"/>
        <v>8</v>
      </c>
      <c r="G268" s="4">
        <f t="shared" si="25"/>
        <v>101000</v>
      </c>
      <c r="H268" s="45">
        <f t="shared" si="27"/>
        <v>3.2810651065464631</v>
      </c>
      <c r="I268" s="10">
        <f t="shared" si="28"/>
        <v>1.1677496540916958</v>
      </c>
      <c r="J268" s="4">
        <f t="shared" si="29"/>
        <v>268.8572602173719</v>
      </c>
      <c r="K268" s="4">
        <f t="shared" si="30"/>
        <v>60.441810219273393</v>
      </c>
      <c r="L268" s="45">
        <f>Pressure!Q268</f>
        <v>0.87115002811398157</v>
      </c>
      <c r="M268" s="10">
        <f t="shared" si="32"/>
        <v>0.83059044061840004</v>
      </c>
      <c r="N268" s="10">
        <f t="shared" si="31"/>
        <v>2.9545467240956045</v>
      </c>
    </row>
    <row r="269" spans="3:14">
      <c r="C269" s="4">
        <f>Pressure!AB269*1000000</f>
        <v>1554778.7446451401</v>
      </c>
      <c r="D269" s="84">
        <f>Pressure!I269</f>
        <v>1.4801552192482141E-4</v>
      </c>
      <c r="E269" s="40">
        <f>Pressure!H269</f>
        <v>148.0155219248214</v>
      </c>
      <c r="F269" s="10">
        <f t="shared" si="26"/>
        <v>8</v>
      </c>
      <c r="G269" s="4">
        <f t="shared" si="25"/>
        <v>101000</v>
      </c>
      <c r="H269" s="45">
        <f t="shared" si="27"/>
        <v>3.2799870813060985</v>
      </c>
      <c r="I269" s="10">
        <f t="shared" si="28"/>
        <v>1.167667853613952</v>
      </c>
      <c r="J269" s="4">
        <f t="shared" si="29"/>
        <v>268.71702313517233</v>
      </c>
      <c r="K269" s="4">
        <f t="shared" si="30"/>
        <v>60.410283515842885</v>
      </c>
      <c r="L269" s="45">
        <f>Pressure!Q269</f>
        <v>0.87423900833737089</v>
      </c>
      <c r="M269" s="10">
        <f t="shared" si="32"/>
        <v>0.83027816493934936</v>
      </c>
      <c r="N269" s="10">
        <f t="shared" si="31"/>
        <v>2.9545467240956045</v>
      </c>
    </row>
    <row r="270" spans="3:14">
      <c r="C270" s="4">
        <f>Pressure!AB270*1000000</f>
        <v>1554066.9706018902</v>
      </c>
      <c r="D270" s="84">
        <f>Pressure!I270</f>
        <v>1.4801552192482141E-4</v>
      </c>
      <c r="E270" s="40">
        <f>Pressure!H270</f>
        <v>148.0155219248214</v>
      </c>
      <c r="F270" s="10">
        <f t="shared" si="26"/>
        <v>8</v>
      </c>
      <c r="G270" s="4">
        <f t="shared" si="25"/>
        <v>101000</v>
      </c>
      <c r="H270" s="45">
        <f t="shared" si="27"/>
        <v>3.2788946315259211</v>
      </c>
      <c r="I270" s="10">
        <f t="shared" si="28"/>
        <v>1.1675849174558102</v>
      </c>
      <c r="J270" s="4">
        <f t="shared" si="29"/>
        <v>268.57492764008242</v>
      </c>
      <c r="K270" s="4">
        <f t="shared" si="30"/>
        <v>60.378339022544495</v>
      </c>
      <c r="L270" s="45">
        <f>Pressure!Q270</f>
        <v>0.87732843367944735</v>
      </c>
      <c r="M270" s="10">
        <f t="shared" si="32"/>
        <v>0.82996168440938412</v>
      </c>
      <c r="N270" s="10">
        <f t="shared" si="31"/>
        <v>2.9545467240956045</v>
      </c>
    </row>
    <row r="271" spans="3:14">
      <c r="C271" s="4">
        <f>Pressure!AB271*1000000</f>
        <v>1553345.8606274819</v>
      </c>
      <c r="D271" s="84">
        <f>Pressure!I271</f>
        <v>1.4801552192482141E-4</v>
      </c>
      <c r="E271" s="40">
        <f>Pressure!H271</f>
        <v>148.0155219248214</v>
      </c>
      <c r="F271" s="10">
        <f t="shared" si="26"/>
        <v>8</v>
      </c>
      <c r="G271" s="4">
        <f t="shared" si="25"/>
        <v>101000</v>
      </c>
      <c r="H271" s="45">
        <f t="shared" si="27"/>
        <v>3.2777877601872167</v>
      </c>
      <c r="I271" s="10">
        <f t="shared" si="28"/>
        <v>1.1675008441647294</v>
      </c>
      <c r="J271" s="4">
        <f t="shared" si="29"/>
        <v>268.43097484396492</v>
      </c>
      <c r="K271" s="4">
        <f t="shared" si="30"/>
        <v>60.345976989336116</v>
      </c>
      <c r="L271" s="45">
        <f>Pressure!Q271</f>
        <v>0.88041831032958096</v>
      </c>
      <c r="M271" s="10">
        <f t="shared" si="32"/>
        <v>0.82964099953469073</v>
      </c>
      <c r="N271" s="10">
        <f t="shared" si="31"/>
        <v>2.9545467240956045</v>
      </c>
    </row>
    <row r="272" spans="3:14">
      <c r="C272" s="4">
        <f>Pressure!AB272*1000000</f>
        <v>1552615.4190792241</v>
      </c>
      <c r="D272" s="84">
        <f>Pressure!I272</f>
        <v>1.4801552192482141E-4</v>
      </c>
      <c r="E272" s="40">
        <f>Pressure!H272</f>
        <v>148.0155219248214</v>
      </c>
      <c r="F272" s="10">
        <f t="shared" si="26"/>
        <v>8</v>
      </c>
      <c r="G272" s="4">
        <f t="shared" si="25"/>
        <v>101000</v>
      </c>
      <c r="H272" s="45">
        <f t="shared" si="27"/>
        <v>3.2766664703123287</v>
      </c>
      <c r="I272" s="10">
        <f t="shared" si="28"/>
        <v>1.167415632267004</v>
      </c>
      <c r="J272" s="4">
        <f t="shared" si="29"/>
        <v>268.28516587372008</v>
      </c>
      <c r="K272" s="4">
        <f t="shared" si="30"/>
        <v>60.313197669556246</v>
      </c>
      <c r="L272" s="45">
        <f>Pressure!Q272</f>
        <v>0.88350864448543343</v>
      </c>
      <c r="M272" s="10">
        <f t="shared" si="32"/>
        <v>0.82931611082859125</v>
      </c>
      <c r="N272" s="10">
        <f t="shared" si="31"/>
        <v>2.9545467240956045</v>
      </c>
    </row>
    <row r="273" spans="3:14">
      <c r="C273" s="4">
        <f>Pressure!AB273*1000000</f>
        <v>1551875.6503750014</v>
      </c>
      <c r="D273" s="84">
        <f>Pressure!I273</f>
        <v>1.4801552192482141E-4</v>
      </c>
      <c r="E273" s="40">
        <f>Pressure!H273</f>
        <v>148.0155219248214</v>
      </c>
      <c r="F273" s="10">
        <f t="shared" si="26"/>
        <v>8</v>
      </c>
      <c r="G273" s="4">
        <f t="shared" si="25"/>
        <v>101000</v>
      </c>
      <c r="H273" s="45">
        <f t="shared" si="27"/>
        <v>3.275530764968166</v>
      </c>
      <c r="I273" s="10">
        <f t="shared" si="28"/>
        <v>1.1673292802679467</v>
      </c>
      <c r="J273" s="4">
        <f t="shared" si="29"/>
        <v>268.13750187174611</v>
      </c>
      <c r="K273" s="4">
        <f t="shared" si="30"/>
        <v>60.280001320027452</v>
      </c>
      <c r="L273" s="45">
        <f>Pressure!Q273</f>
        <v>0.88659944235307908</v>
      </c>
      <c r="M273" s="10">
        <f t="shared" si="32"/>
        <v>0.82898701881224068</v>
      </c>
      <c r="N273" s="10">
        <f t="shared" si="31"/>
        <v>2.9545467240956045</v>
      </c>
    </row>
    <row r="274" spans="3:14">
      <c r="C274" s="4">
        <f>Pressure!AB274*1000000</f>
        <v>1551126.5589908173</v>
      </c>
      <c r="D274" s="84">
        <f>Pressure!I274</f>
        <v>1.4801552192482141E-4</v>
      </c>
      <c r="E274" s="40">
        <f>Pressure!H274</f>
        <v>148.0155219248214</v>
      </c>
      <c r="F274" s="10">
        <f t="shared" si="26"/>
        <v>8</v>
      </c>
      <c r="G274" s="4">
        <f t="shared" si="25"/>
        <v>101000</v>
      </c>
      <c r="H274" s="45">
        <f t="shared" si="27"/>
        <v>3.2743806472624266</v>
      </c>
      <c r="I274" s="10">
        <f t="shared" si="28"/>
        <v>1.1672417866515192</v>
      </c>
      <c r="J274" s="4">
        <f t="shared" si="29"/>
        <v>267.98798399545058</v>
      </c>
      <c r="K274" s="4">
        <f t="shared" si="30"/>
        <v>60.246388200946583</v>
      </c>
      <c r="L274" s="45">
        <f>Pressure!Q274</f>
        <v>0.88969071014712453</v>
      </c>
      <c r="M274" s="10">
        <f t="shared" si="32"/>
        <v>0.82865372401411674</v>
      </c>
      <c r="N274" s="10">
        <f t="shared" si="31"/>
        <v>2.9545467240956045</v>
      </c>
    </row>
    <row r="275" spans="3:14">
      <c r="C275" s="4">
        <f>Pressure!AB275*1000000</f>
        <v>1550368.14946301</v>
      </c>
      <c r="D275" s="84">
        <f>Pressure!I275</f>
        <v>1.4801552192482141E-4</v>
      </c>
      <c r="E275" s="40">
        <f>Pressure!H275</f>
        <v>148.0155219248214</v>
      </c>
      <c r="F275" s="10">
        <f t="shared" si="26"/>
        <v>8</v>
      </c>
      <c r="G275" s="4">
        <f t="shared" si="25"/>
        <v>101000</v>
      </c>
      <c r="H275" s="45">
        <f t="shared" si="27"/>
        <v>3.2732161203469787</v>
      </c>
      <c r="I275" s="10">
        <f t="shared" si="28"/>
        <v>1.1671531498805043</v>
      </c>
      <c r="J275" s="4">
        <f t="shared" si="29"/>
        <v>267.83661341769368</v>
      </c>
      <c r="K275" s="4">
        <f t="shared" si="30"/>
        <v>60.212358575984375</v>
      </c>
      <c r="L275" s="45">
        <f>Pressure!Q275</f>
        <v>0.89278245409083024</v>
      </c>
      <c r="M275" s="10">
        <f t="shared" si="32"/>
        <v>0.82831622697031815</v>
      </c>
      <c r="N275" s="10">
        <f t="shared" si="31"/>
        <v>2.9545467240956045</v>
      </c>
    </row>
    <row r="276" spans="3:14">
      <c r="C276" s="4">
        <f>Pressure!AB276*1000000</f>
        <v>1549600.4263876784</v>
      </c>
      <c r="D276" s="84">
        <f>Pressure!I276</f>
        <v>1.4801552192482141E-4</v>
      </c>
      <c r="E276" s="40">
        <f>Pressure!H276</f>
        <v>148.0155219248214</v>
      </c>
      <c r="F276" s="10">
        <f t="shared" si="26"/>
        <v>8</v>
      </c>
      <c r="G276" s="4">
        <f t="shared" si="25"/>
        <v>101000</v>
      </c>
      <c r="H276" s="45">
        <f t="shared" si="27"/>
        <v>3.2720371874169638</v>
      </c>
      <c r="I276" s="10">
        <f t="shared" si="28"/>
        <v>1.1670633683963525</v>
      </c>
      <c r="J276" s="4">
        <f t="shared" si="29"/>
        <v>267.6833913266758</v>
      </c>
      <c r="K276" s="4">
        <f t="shared" si="30"/>
        <v>60.177912712260195</v>
      </c>
      <c r="L276" s="45">
        <f>Pressure!Q276</f>
        <v>0.89587468041623131</v>
      </c>
      <c r="M276" s="10">
        <f t="shared" si="32"/>
        <v>0.82797452822472284</v>
      </c>
      <c r="N276" s="10">
        <f t="shared" si="31"/>
        <v>2.9545467240956045</v>
      </c>
    </row>
    <row r="277" spans="3:14">
      <c r="C277" s="4">
        <f>Pressure!AB277*1000000</f>
        <v>1548823.3944192529</v>
      </c>
      <c r="D277" s="84">
        <f>Pressure!I277</f>
        <v>1.4801552192482141E-4</v>
      </c>
      <c r="E277" s="40">
        <f>Pressure!H277</f>
        <v>148.0155219248214</v>
      </c>
      <c r="F277" s="10">
        <f t="shared" si="26"/>
        <v>8</v>
      </c>
      <c r="G277" s="4">
        <f t="shared" si="25"/>
        <v>101000</v>
      </c>
      <c r="H277" s="45">
        <f t="shared" si="27"/>
        <v>3.2708438517085923</v>
      </c>
      <c r="I277" s="10">
        <f t="shared" si="28"/>
        <v>1.1669724406189252</v>
      </c>
      <c r="J277" s="4">
        <f t="shared" si="29"/>
        <v>267.52831892565314</v>
      </c>
      <c r="K277" s="4">
        <f t="shared" si="30"/>
        <v>60.143050880278125</v>
      </c>
      <c r="L277" s="45">
        <f>Pressure!Q277</f>
        <v>0.8989673953642594</v>
      </c>
      <c r="M277" s="10">
        <f t="shared" si="32"/>
        <v>0.82762862832853012</v>
      </c>
      <c r="N277" s="10">
        <f t="shared" si="31"/>
        <v>2.9545467240956045</v>
      </c>
    </row>
    <row r="278" spans="3:14">
      <c r="C278" s="4">
        <f>Pressure!AB278*1000000</f>
        <v>1548037.058273271</v>
      </c>
      <c r="D278" s="84">
        <f>Pressure!I278</f>
        <v>1.4801552192482141E-4</v>
      </c>
      <c r="E278" s="40">
        <f>Pressure!H278</f>
        <v>148.0155219248214</v>
      </c>
      <c r="F278" s="10">
        <f t="shared" si="26"/>
        <v>8</v>
      </c>
      <c r="G278" s="4">
        <f t="shared" si="25"/>
        <v>101000</v>
      </c>
      <c r="H278" s="45">
        <f t="shared" si="27"/>
        <v>3.2696361165033871</v>
      </c>
      <c r="I278" s="10">
        <f t="shared" si="28"/>
        <v>1.166880364946731</v>
      </c>
      <c r="J278" s="4">
        <f t="shared" si="29"/>
        <v>267.37139743349354</v>
      </c>
      <c r="K278" s="4">
        <f t="shared" si="30"/>
        <v>60.107773354051872</v>
      </c>
      <c r="L278" s="45">
        <f>Pressure!Q278</f>
        <v>0.90206060518486531</v>
      </c>
      <c r="M278" s="10">
        <f t="shared" si="32"/>
        <v>0.82727852784071199</v>
      </c>
      <c r="N278" s="10">
        <f t="shared" si="31"/>
        <v>2.9545467240956045</v>
      </c>
    </row>
    <row r="279" spans="3:14">
      <c r="C279" s="4">
        <f>Pressure!AB279*1000000</f>
        <v>1547241.4227238523</v>
      </c>
      <c r="D279" s="84">
        <f>Pressure!I279</f>
        <v>1.4801552192482141E-4</v>
      </c>
      <c r="E279" s="40">
        <f>Pressure!H279</f>
        <v>148.0155219248214</v>
      </c>
      <c r="F279" s="10">
        <f t="shared" si="26"/>
        <v>8</v>
      </c>
      <c r="G279" s="4">
        <f t="shared" si="25"/>
        <v>101000</v>
      </c>
      <c r="H279" s="45">
        <f t="shared" si="27"/>
        <v>3.2684139851242899</v>
      </c>
      <c r="I279" s="10">
        <f t="shared" si="28"/>
        <v>1.1667871397565392</v>
      </c>
      <c r="J279" s="4">
        <f t="shared" si="29"/>
        <v>267.21262808417441</v>
      </c>
      <c r="K279" s="4">
        <f t="shared" si="30"/>
        <v>60.072080410991958</v>
      </c>
      <c r="L279" s="45">
        <f>Pressure!Q279</f>
        <v>0.90515431613714104</v>
      </c>
      <c r="M279" s="10">
        <f t="shared" si="32"/>
        <v>0.82692422732782878</v>
      </c>
      <c r="N279" s="10">
        <f t="shared" si="31"/>
        <v>2.9545467240956045</v>
      </c>
    </row>
    <row r="280" spans="3:14">
      <c r="C280" s="4">
        <f>Pressure!AB280*1000000</f>
        <v>1546436.4926059553</v>
      </c>
      <c r="D280" s="84">
        <f>Pressure!I280</f>
        <v>1.4801552192482141E-4</v>
      </c>
      <c r="E280" s="40">
        <f>Pressure!H280</f>
        <v>148.0155219248214</v>
      </c>
      <c r="F280" s="10">
        <f t="shared" si="26"/>
        <v>8</v>
      </c>
      <c r="G280" s="4">
        <f t="shared" si="25"/>
        <v>101000</v>
      </c>
      <c r="H280" s="45">
        <f t="shared" si="27"/>
        <v>3.2671774609391147</v>
      </c>
      <c r="I280" s="10">
        <f t="shared" si="28"/>
        <v>1.16669276340355</v>
      </c>
      <c r="J280" s="4">
        <f t="shared" si="29"/>
        <v>267.05201212723392</v>
      </c>
      <c r="K280" s="4">
        <f t="shared" si="30"/>
        <v>60.035972332007084</v>
      </c>
      <c r="L280" s="45">
        <f>Pressure!Q280</f>
        <v>0.90824853448944376</v>
      </c>
      <c r="M280" s="10">
        <f t="shared" si="32"/>
        <v>0.8265657273642758</v>
      </c>
      <c r="N280" s="10">
        <f t="shared" si="31"/>
        <v>2.9545467240956045</v>
      </c>
    </row>
    <row r="281" spans="3:14">
      <c r="C281" s="4">
        <f>Pressure!AB281*1000000</f>
        <v>1545622.272813261</v>
      </c>
      <c r="D281" s="84">
        <f>Pressure!I281</f>
        <v>1.4801552192482141E-4</v>
      </c>
      <c r="E281" s="40">
        <f>Pressure!H281</f>
        <v>148.0155219248214</v>
      </c>
      <c r="F281" s="10">
        <f t="shared" si="26"/>
        <v>8</v>
      </c>
      <c r="G281" s="4">
        <f t="shared" si="25"/>
        <v>101000</v>
      </c>
      <c r="H281" s="45">
        <f t="shared" si="27"/>
        <v>3.2659265473572865</v>
      </c>
      <c r="I281" s="10">
        <f t="shared" si="28"/>
        <v>1.1665972342210553</v>
      </c>
      <c r="J281" s="4">
        <f t="shared" si="29"/>
        <v>266.88955082735123</v>
      </c>
      <c r="K281" s="4">
        <f t="shared" si="30"/>
        <v>59.999449401409834</v>
      </c>
      <c r="L281" s="45">
        <f>Pressure!Q281</f>
        <v>0.91134326651951858</v>
      </c>
      <c r="M281" s="10">
        <f t="shared" si="32"/>
        <v>0.82620302853188288</v>
      </c>
      <c r="N281" s="10">
        <f t="shared" si="31"/>
        <v>2.9545467240956045</v>
      </c>
    </row>
    <row r="282" spans="3:14">
      <c r="C282" s="4">
        <f>Pressure!AB282*1000000</f>
        <v>1544798.768300653</v>
      </c>
      <c r="D282" s="84">
        <f>Pressure!I282</f>
        <v>1.4801552192482141E-4</v>
      </c>
      <c r="E282" s="40">
        <f>Pressure!H282</f>
        <v>148.0155219248214</v>
      </c>
      <c r="F282" s="10">
        <f t="shared" si="26"/>
        <v>8</v>
      </c>
      <c r="G282" s="4">
        <f t="shared" si="25"/>
        <v>101000</v>
      </c>
      <c r="H282" s="45">
        <f t="shared" si="27"/>
        <v>3.264661247833621</v>
      </c>
      <c r="I282" s="10">
        <f t="shared" si="28"/>
        <v>1.1665005505206325</v>
      </c>
      <c r="J282" s="4">
        <f t="shared" si="29"/>
        <v>266.72524546484226</v>
      </c>
      <c r="K282" s="4">
        <f t="shared" si="30"/>
        <v>59.962511907028073</v>
      </c>
      <c r="L282" s="45">
        <f>Pressure!Q282</f>
        <v>0.91443851851462354</v>
      </c>
      <c r="M282" s="10">
        <f t="shared" si="32"/>
        <v>0.8258361314204703</v>
      </c>
      <c r="N282" s="10">
        <f t="shared" si="31"/>
        <v>2.9545467240956045</v>
      </c>
    </row>
    <row r="283" spans="3:14">
      <c r="C283" s="4">
        <f>Pressure!AB283*1000000</f>
        <v>1543965.9840816245</v>
      </c>
      <c r="D283" s="84">
        <f>Pressure!I283</f>
        <v>1.4801552192482141E-4</v>
      </c>
      <c r="E283" s="40">
        <f>Pressure!H283</f>
        <v>148.0155219248214</v>
      </c>
      <c r="F283" s="10">
        <f t="shared" si="26"/>
        <v>8</v>
      </c>
      <c r="G283" s="4">
        <f t="shared" si="25"/>
        <v>101000</v>
      </c>
      <c r="H283" s="45">
        <f t="shared" si="27"/>
        <v>3.2633815658643397</v>
      </c>
      <c r="I283" s="10">
        <f t="shared" si="28"/>
        <v>1.1664027105917441</v>
      </c>
      <c r="J283" s="4">
        <f t="shared" si="29"/>
        <v>266.55909733514409</v>
      </c>
      <c r="K283" s="4">
        <f t="shared" si="30"/>
        <v>59.925160140089048</v>
      </c>
      <c r="L283" s="45">
        <f>Pressure!Q283</f>
        <v>0.91753429677165321</v>
      </c>
      <c r="M283" s="10">
        <f t="shared" si="32"/>
        <v>0.8254650366272771</v>
      </c>
      <c r="N283" s="10">
        <f t="shared" si="31"/>
        <v>2.9545467240956045</v>
      </c>
    </row>
    <row r="284" spans="3:14">
      <c r="C284" s="4">
        <f>Pressure!AB284*1000000</f>
        <v>1543123.9252312549</v>
      </c>
      <c r="D284" s="84">
        <f>Pressure!I284</f>
        <v>1.4801552192482141E-4</v>
      </c>
      <c r="E284" s="40">
        <f>Pressure!H284</f>
        <v>148.0155219248214</v>
      </c>
      <c r="F284" s="10">
        <f t="shared" si="26"/>
        <v>8</v>
      </c>
      <c r="G284" s="4">
        <f t="shared" ref="G284:G347" si="33">IF(C284/(1+(k-1)/2*N284^2)^(k/(k-1))&lt;patm*1000000,patm*1000000,C284/(1+(k-1)/2*N284^2)^(k/(k-1)))</f>
        <v>101000</v>
      </c>
      <c r="H284" s="45">
        <f t="shared" si="27"/>
        <v>3.2620875049916243</v>
      </c>
      <c r="I284" s="10">
        <f t="shared" si="28"/>
        <v>1.1663037127019908</v>
      </c>
      <c r="J284" s="4">
        <f t="shared" si="29"/>
        <v>266.39110774941111</v>
      </c>
      <c r="K284" s="4">
        <f t="shared" si="30"/>
        <v>59.887394395353425</v>
      </c>
      <c r="L284" s="45">
        <f>Pressure!Q284</f>
        <v>0.92063060759726489</v>
      </c>
      <c r="M284" s="10">
        <f t="shared" si="32"/>
        <v>0.82508974475763686</v>
      </c>
      <c r="N284" s="10">
        <f t="shared" si="31"/>
        <v>2.9545467240956045</v>
      </c>
    </row>
    <row r="285" spans="3:14">
      <c r="C285" s="4">
        <f>Pressure!AB285*1000000</f>
        <v>1542272.5968834644</v>
      </c>
      <c r="D285" s="84">
        <f>Pressure!I285</f>
        <v>1.4801552192482141E-4</v>
      </c>
      <c r="E285" s="40">
        <f>Pressure!H285</f>
        <v>148.0155219248214</v>
      </c>
      <c r="F285" s="10">
        <f t="shared" ref="F285:F348" si="34">aexit/E285</f>
        <v>8</v>
      </c>
      <c r="G285" s="4">
        <f t="shared" si="33"/>
        <v>101000</v>
      </c>
      <c r="H285" s="45">
        <f t="shared" ref="H285:H348" si="35">1/(((k+1)/2)^(1/(k-1))*(patm*1000000/C285)^(1/k)*SQRT((k+1)/(k-1)*(1-(patm*1000000/C285)^((k-1)/k))))</f>
        <v>3.260779068799375</v>
      </c>
      <c r="I285" s="10">
        <f t="shared" ref="I285:I348" si="36">etanoz*SQRT(2*k^2/(k-1)*(2/(k+1))^((k+1)/(k-1))*(1-(G285/C285)^((k-1)/k)))+(G285-patm*1000000)/C285*(aexit/E285)</f>
        <v>1.166203555096688</v>
      </c>
      <c r="J285" s="4">
        <f t="shared" ref="J285:J348" si="37">I285*D285*C285</f>
        <v>266.22127803396791</v>
      </c>
      <c r="K285" s="4">
        <f t="shared" ref="K285:K348" si="38">J285/4.4482</f>
        <v>59.849214970992293</v>
      </c>
      <c r="L285" s="45">
        <f>Pressure!Q285</f>
        <v>0.92372745730800321</v>
      </c>
      <c r="M285" s="10">
        <f t="shared" si="32"/>
        <v>0.82471025642445039</v>
      </c>
      <c r="N285" s="10">
        <f t="shared" si="31"/>
        <v>2.9545467240956045</v>
      </c>
    </row>
    <row r="286" spans="3:14">
      <c r="C286" s="4">
        <f>Pressure!AB286*1000000</f>
        <v>1541412.0042331575</v>
      </c>
      <c r="D286" s="84">
        <f>Pressure!I286</f>
        <v>1.4801552192482141E-4</v>
      </c>
      <c r="E286" s="40">
        <f>Pressure!H286</f>
        <v>148.0155219248214</v>
      </c>
      <c r="F286" s="10">
        <f t="shared" si="34"/>
        <v>8</v>
      </c>
      <c r="G286" s="4">
        <f t="shared" si="33"/>
        <v>101000</v>
      </c>
      <c r="H286" s="45">
        <f t="shared" si="35"/>
        <v>3.2594562609164983</v>
      </c>
      <c r="I286" s="10">
        <f t="shared" si="36"/>
        <v>1.1661022359990181</v>
      </c>
      <c r="J286" s="4">
        <f t="shared" si="37"/>
        <v>266.04960953073959</v>
      </c>
      <c r="K286" s="4">
        <f t="shared" si="38"/>
        <v>59.810622168683871</v>
      </c>
      <c r="L286" s="45">
        <f>Pressure!Q286</f>
        <v>0.92682485223042699</v>
      </c>
      <c r="M286" s="10">
        <f t="shared" si="32"/>
        <v>0.82432657224846162</v>
      </c>
      <c r="N286" s="10">
        <f t="shared" ref="N286:N349" si="39">N285-1/834*(me-mef)</f>
        <v>2.9545467240956045</v>
      </c>
    </row>
    <row r="287" spans="3:14">
      <c r="C287" s="4">
        <f>Pressure!AB287*1000000</f>
        <v>1540542.1525354686</v>
      </c>
      <c r="D287" s="84">
        <f>Pressure!I287</f>
        <v>1.4801552192482141E-4</v>
      </c>
      <c r="E287" s="40">
        <f>Pressure!H287</f>
        <v>148.0155219248214</v>
      </c>
      <c r="F287" s="10">
        <f t="shared" si="34"/>
        <v>8</v>
      </c>
      <c r="G287" s="4">
        <f t="shared" si="33"/>
        <v>101000</v>
      </c>
      <c r="H287" s="45">
        <f t="shared" si="35"/>
        <v>3.2581190850157284</v>
      </c>
      <c r="I287" s="10">
        <f t="shared" si="36"/>
        <v>1.1659997536098399</v>
      </c>
      <c r="J287" s="4">
        <f t="shared" si="37"/>
        <v>265.8761035971026</v>
      </c>
      <c r="K287" s="4">
        <f t="shared" si="38"/>
        <v>59.77161629358001</v>
      </c>
      <c r="L287" s="45">
        <f>Pressure!Q287</f>
        <v>0.9299227987012354</v>
      </c>
      <c r="M287" s="10">
        <f t="shared" si="32"/>
        <v>0.82393869285832277</v>
      </c>
      <c r="N287" s="10">
        <f t="shared" si="39"/>
        <v>2.9545467240956045</v>
      </c>
    </row>
    <row r="288" spans="3:14">
      <c r="C288" s="4">
        <f>Pressure!AB288*1000000</f>
        <v>1539663.0471055012</v>
      </c>
      <c r="D288" s="84">
        <f>Pressure!I288</f>
        <v>1.4801552192482141E-4</v>
      </c>
      <c r="E288" s="40">
        <f>Pressure!H288</f>
        <v>148.0155219248214</v>
      </c>
      <c r="F288" s="10">
        <f t="shared" si="34"/>
        <v>8</v>
      </c>
      <c r="G288" s="4">
        <f t="shared" si="33"/>
        <v>101000</v>
      </c>
      <c r="H288" s="45">
        <f t="shared" si="35"/>
        <v>3.2567675448132034</v>
      </c>
      <c r="I288" s="10">
        <f t="shared" si="36"/>
        <v>1.165896106107553</v>
      </c>
      <c r="J288" s="4">
        <f t="shared" si="37"/>
        <v>265.70076160583403</v>
      </c>
      <c r="K288" s="4">
        <f t="shared" si="38"/>
        <v>59.732197654294779</v>
      </c>
      <c r="L288" s="45">
        <f>Pressure!Q288</f>
        <v>0.93302130306739528</v>
      </c>
      <c r="M288" s="10">
        <f t="shared" si="32"/>
        <v>0.82354661889044123</v>
      </c>
      <c r="N288" s="10">
        <f t="shared" si="39"/>
        <v>2.9545467240956045</v>
      </c>
    </row>
    <row r="289" spans="3:14">
      <c r="C289" s="4">
        <f>Pressure!AB289*1000000</f>
        <v>1538774.6933194855</v>
      </c>
      <c r="D289" s="84">
        <f>Pressure!I289</f>
        <v>1.4801552192482141E-4</v>
      </c>
      <c r="E289" s="40">
        <f>Pressure!H289</f>
        <v>148.0155219248214</v>
      </c>
      <c r="F289" s="10">
        <f t="shared" si="34"/>
        <v>8</v>
      </c>
      <c r="G289" s="4">
        <f t="shared" si="33"/>
        <v>101000</v>
      </c>
      <c r="H289" s="45">
        <f t="shared" si="35"/>
        <v>3.2554016440702433</v>
      </c>
      <c r="I289" s="10">
        <f t="shared" si="36"/>
        <v>1.1657912916481319</v>
      </c>
      <c r="J289" s="4">
        <f t="shared" si="37"/>
        <v>265.52358494534514</v>
      </c>
      <c r="K289" s="4">
        <f t="shared" si="38"/>
        <v>59.692366562956956</v>
      </c>
      <c r="L289" s="45">
        <f>Pressure!Q289</f>
        <v>0.93612037168626883</v>
      </c>
      <c r="M289" s="10">
        <f t="shared" si="32"/>
        <v>0.82315035098918254</v>
      </c>
      <c r="N289" s="10">
        <f t="shared" si="39"/>
        <v>2.9545467240956045</v>
      </c>
    </row>
    <row r="290" spans="3:14">
      <c r="C290" s="4">
        <f>Pressure!AB290*1000000</f>
        <v>1537877.096613592</v>
      </c>
      <c r="D290" s="84">
        <f>Pressure!I290</f>
        <v>1.4801552192482141E-4</v>
      </c>
      <c r="E290" s="40">
        <f>Pressure!H290</f>
        <v>148.0155219248214</v>
      </c>
      <c r="F290" s="10">
        <f t="shared" si="34"/>
        <v>8</v>
      </c>
      <c r="G290" s="4">
        <f t="shared" si="33"/>
        <v>101000</v>
      </c>
      <c r="H290" s="45">
        <f t="shared" si="35"/>
        <v>3.2540213865914902</v>
      </c>
      <c r="I290" s="10">
        <f t="shared" si="36"/>
        <v>1.165685308364877</v>
      </c>
      <c r="J290" s="4">
        <f t="shared" si="37"/>
        <v>265.34457501944564</v>
      </c>
      <c r="K290" s="4">
        <f t="shared" si="38"/>
        <v>59.652123335157064</v>
      </c>
      <c r="L290" s="45">
        <f>Pressure!Q290</f>
        <v>0.9392200109257417</v>
      </c>
      <c r="M290" s="10">
        <f t="shared" si="32"/>
        <v>0.82274988980681374</v>
      </c>
      <c r="N290" s="10">
        <f t="shared" si="39"/>
        <v>2.9545467240956045</v>
      </c>
    </row>
    <row r="291" spans="3:14">
      <c r="C291" s="4">
        <f>Pressure!AB291*1000000</f>
        <v>1536970.2624847146</v>
      </c>
      <c r="D291" s="84">
        <f>Pressure!I291</f>
        <v>1.4801552192482141E-4</v>
      </c>
      <c r="E291" s="40">
        <f>Pressure!H291</f>
        <v>148.0155219248214</v>
      </c>
      <c r="F291" s="10">
        <f t="shared" si="34"/>
        <v>8</v>
      </c>
      <c r="G291" s="4">
        <f t="shared" si="33"/>
        <v>101000</v>
      </c>
      <c r="H291" s="45">
        <f t="shared" si="35"/>
        <v>3.2526267762261178</v>
      </c>
      <c r="I291" s="10">
        <f t="shared" si="36"/>
        <v>1.1655781543684014</v>
      </c>
      <c r="J291" s="4">
        <f t="shared" si="37"/>
        <v>265.16373324750231</v>
      </c>
      <c r="K291" s="4">
        <f t="shared" si="38"/>
        <v>59.611468289982987</v>
      </c>
      <c r="L291" s="45">
        <f>Pressure!Q291</f>
        <v>0.94232022716435193</v>
      </c>
      <c r="M291" s="10">
        <f t="shared" si="32"/>
        <v>0.82234523600341736</v>
      </c>
      <c r="N291" s="10">
        <f t="shared" si="39"/>
        <v>2.9545467240956045</v>
      </c>
    </row>
    <row r="292" spans="3:14">
      <c r="C292" s="4">
        <f>Pressure!AB292*1000000</f>
        <v>1536054.1964908575</v>
      </c>
      <c r="D292" s="84">
        <f>Pressure!I292</f>
        <v>1.4801552192482141E-4</v>
      </c>
      <c r="E292" s="40">
        <f>Pressure!H292</f>
        <v>148.0155219248214</v>
      </c>
      <c r="F292" s="10">
        <f t="shared" si="34"/>
        <v>8</v>
      </c>
      <c r="G292" s="4">
        <f t="shared" si="33"/>
        <v>101000</v>
      </c>
      <c r="H292" s="45">
        <f t="shared" si="35"/>
        <v>3.2512178168683894</v>
      </c>
      <c r="I292" s="10">
        <f t="shared" si="36"/>
        <v>1.165469827746566</v>
      </c>
      <c r="J292" s="4">
        <f t="shared" si="37"/>
        <v>264.98106106451752</v>
      </c>
      <c r="K292" s="4">
        <f t="shared" si="38"/>
        <v>59.570401750037661</v>
      </c>
      <c r="L292" s="45">
        <f>Pressure!Q292</f>
        <v>0.94542102679141926</v>
      </c>
      <c r="M292" s="10">
        <f t="shared" si="32"/>
        <v>0.82193639024719867</v>
      </c>
      <c r="N292" s="10">
        <f t="shared" si="39"/>
        <v>2.9545467240956045</v>
      </c>
    </row>
    <row r="293" spans="3:14">
      <c r="C293" s="4">
        <f>Pressure!AB293*1000000</f>
        <v>1535128.9042504427</v>
      </c>
      <c r="D293" s="84">
        <f>Pressure!I293</f>
        <v>1.4801552192482141E-4</v>
      </c>
      <c r="E293" s="40">
        <f>Pressure!H293</f>
        <v>148.0155219248214</v>
      </c>
      <c r="F293" s="10">
        <f t="shared" si="34"/>
        <v>8</v>
      </c>
      <c r="G293" s="4">
        <f t="shared" si="33"/>
        <v>101000</v>
      </c>
      <c r="H293" s="45">
        <f t="shared" si="35"/>
        <v>3.249794512456595</v>
      </c>
      <c r="I293" s="10">
        <f t="shared" si="36"/>
        <v>1.1653603265642882</v>
      </c>
      <c r="J293" s="4">
        <f t="shared" si="37"/>
        <v>264.79655992099339</v>
      </c>
      <c r="K293" s="4">
        <f t="shared" si="38"/>
        <v>59.528924041408523</v>
      </c>
      <c r="L293" s="45">
        <f>Pressure!Q293</f>
        <v>0.94852241620717459</v>
      </c>
      <c r="M293" s="10">
        <f t="shared" si="32"/>
        <v>0.82152335321425085</v>
      </c>
      <c r="N293" s="10">
        <f t="shared" si="39"/>
        <v>2.9545467240956045</v>
      </c>
    </row>
    <row r="294" spans="3:14">
      <c r="C294" s="4">
        <f>Pressure!AB294*1000000</f>
        <v>1534194.3914426386</v>
      </c>
      <c r="D294" s="84">
        <f>Pressure!I294</f>
        <v>1.4801552192482141E-4</v>
      </c>
      <c r="E294" s="40">
        <f>Pressure!H294</f>
        <v>148.0155219248214</v>
      </c>
      <c r="F294" s="10">
        <f t="shared" si="34"/>
        <v>8</v>
      </c>
      <c r="G294" s="4">
        <f t="shared" si="33"/>
        <v>101000</v>
      </c>
      <c r="H294" s="45">
        <f t="shared" si="35"/>
        <v>3.2483568669735212</v>
      </c>
      <c r="I294" s="10">
        <f t="shared" si="36"/>
        <v>1.1652496488634667</v>
      </c>
      <c r="J294" s="4">
        <f t="shared" si="37"/>
        <v>264.61023128299848</v>
      </c>
      <c r="K294" s="4">
        <f t="shared" si="38"/>
        <v>59.487035493682498</v>
      </c>
      <c r="L294" s="45">
        <f>Pressure!Q294</f>
        <v>0.95162440182289099</v>
      </c>
      <c r="M294" s="10">
        <f t="shared" si="32"/>
        <v>0.82110612558867802</v>
      </c>
      <c r="N294" s="10">
        <f t="shared" si="39"/>
        <v>2.9545467240956045</v>
      </c>
    </row>
    <row r="295" spans="3:14">
      <c r="C295" s="4">
        <f>Pressure!AB295*1000000</f>
        <v>1533250.6638081428</v>
      </c>
      <c r="D295" s="84">
        <f>Pressure!I295</f>
        <v>1.4801552192482141E-4</v>
      </c>
      <c r="E295" s="40">
        <f>Pressure!H295</f>
        <v>148.0155219248214</v>
      </c>
      <c r="F295" s="10">
        <f t="shared" si="34"/>
        <v>8</v>
      </c>
      <c r="G295" s="4">
        <f t="shared" si="33"/>
        <v>101000</v>
      </c>
      <c r="H295" s="45">
        <f t="shared" si="35"/>
        <v>3.2469048844476545</v>
      </c>
      <c r="I295" s="10">
        <f t="shared" si="36"/>
        <v>1.1651377926629629</v>
      </c>
      <c r="J295" s="4">
        <f t="shared" si="37"/>
        <v>264.42207663232665</v>
      </c>
      <c r="K295" s="4">
        <f t="shared" si="38"/>
        <v>59.44473643998171</v>
      </c>
      <c r="L295" s="45">
        <f>Pressure!Q295</f>
        <v>0.95472699006101436</v>
      </c>
      <c r="M295" s="10">
        <f t="shared" si="32"/>
        <v>0.82068470806267491</v>
      </c>
      <c r="N295" s="10">
        <f t="shared" si="39"/>
        <v>2.9545467240956045</v>
      </c>
    </row>
    <row r="296" spans="3:14">
      <c r="C296" s="4">
        <f>Pressure!AB296*1000000</f>
        <v>1532297.7271479582</v>
      </c>
      <c r="D296" s="84">
        <f>Pressure!I296</f>
        <v>1.4801552192482141E-4</v>
      </c>
      <c r="E296" s="40">
        <f>Pressure!H296</f>
        <v>148.0155219248214</v>
      </c>
      <c r="F296" s="10">
        <f t="shared" si="34"/>
        <v>8</v>
      </c>
      <c r="G296" s="4">
        <f t="shared" si="33"/>
        <v>101000</v>
      </c>
      <c r="H296" s="45">
        <f t="shared" si="35"/>
        <v>3.2454385689512733</v>
      </c>
      <c r="I296" s="10">
        <f t="shared" si="36"/>
        <v>1.1650247559583384</v>
      </c>
      <c r="J296" s="4">
        <f t="shared" si="37"/>
        <v>264.23209746625417</v>
      </c>
      <c r="K296" s="4">
        <f t="shared" si="38"/>
        <v>59.402027216908905</v>
      </c>
      <c r="L296" s="45">
        <f>Pressure!Q296</f>
        <v>0.9578301873552949</v>
      </c>
      <c r="M296" s="10">
        <f t="shared" ref="M296:M359" si="40">(J296+J295)/2*(L296-L295)</f>
        <v>0.82025910133641644</v>
      </c>
      <c r="N296" s="10">
        <f t="shared" si="39"/>
        <v>2.9545467240956045</v>
      </c>
    </row>
    <row r="297" spans="3:14">
      <c r="C297" s="4">
        <f>Pressure!AB297*1000000</f>
        <v>1531335.5873244484</v>
      </c>
      <c r="D297" s="84">
        <f>Pressure!I297</f>
        <v>1.4801552192482141E-4</v>
      </c>
      <c r="E297" s="40">
        <f>Pressure!H297</f>
        <v>148.0155219248214</v>
      </c>
      <c r="F297" s="10">
        <f t="shared" si="34"/>
        <v>8</v>
      </c>
      <c r="G297" s="4">
        <f t="shared" si="33"/>
        <v>101000</v>
      </c>
      <c r="H297" s="45">
        <f t="shared" si="35"/>
        <v>3.2439579246020585</v>
      </c>
      <c r="I297" s="10">
        <f t="shared" si="36"/>
        <v>1.1649105367218648</v>
      </c>
      <c r="J297" s="4">
        <f t="shared" si="37"/>
        <v>264.04029529775232</v>
      </c>
      <c r="K297" s="4">
        <f t="shared" si="38"/>
        <v>59.358908164595192</v>
      </c>
      <c r="L297" s="45">
        <f>Pressure!Q297</f>
        <v>0.9609340001509199</v>
      </c>
      <c r="M297" s="10">
        <f t="shared" si="40"/>
        <v>0.81982930611817795</v>
      </c>
      <c r="N297" s="10">
        <f t="shared" si="39"/>
        <v>2.9545467240956045</v>
      </c>
    </row>
    <row r="298" spans="3:14">
      <c r="C298" s="4">
        <f>Pressure!AB298*1000000</f>
        <v>1530364.2502616802</v>
      </c>
      <c r="D298" s="84">
        <f>Pressure!I298</f>
        <v>1.4801552192482141E-4</v>
      </c>
      <c r="E298" s="40">
        <f>Pressure!H298</f>
        <v>148.0155219248214</v>
      </c>
      <c r="F298" s="10">
        <f t="shared" si="34"/>
        <v>8</v>
      </c>
      <c r="G298" s="4">
        <f t="shared" si="33"/>
        <v>101000</v>
      </c>
      <c r="H298" s="45">
        <f t="shared" si="35"/>
        <v>3.2424629555635951</v>
      </c>
      <c r="I298" s="10">
        <f t="shared" si="36"/>
        <v>1.1647951329024462</v>
      </c>
      <c r="J298" s="4">
        <f t="shared" si="37"/>
        <v>263.8466716555576</v>
      </c>
      <c r="K298" s="4">
        <f t="shared" si="38"/>
        <v>59.315379626715888</v>
      </c>
      <c r="L298" s="45">
        <f>Pressure!Q298</f>
        <v>0.96403843490464591</v>
      </c>
      <c r="M298" s="10">
        <f t="shared" si="40"/>
        <v>0.81939532312443586</v>
      </c>
      <c r="N298" s="10">
        <f t="shared" si="39"/>
        <v>2.9545467240956045</v>
      </c>
    </row>
    <row r="299" spans="3:14">
      <c r="C299" s="4">
        <f>Pressure!AB299*1000000</f>
        <v>1529383.7219441971</v>
      </c>
      <c r="D299" s="84">
        <f>Pressure!I299</f>
        <v>1.4801552192482141E-4</v>
      </c>
      <c r="E299" s="40">
        <f>Pressure!H299</f>
        <v>148.0155219248214</v>
      </c>
      <c r="F299" s="10">
        <f t="shared" si="34"/>
        <v>8</v>
      </c>
      <c r="G299" s="4">
        <f t="shared" si="33"/>
        <v>101000</v>
      </c>
      <c r="H299" s="45">
        <f t="shared" si="35"/>
        <v>3.2409536660434841</v>
      </c>
      <c r="I299" s="10">
        <f t="shared" si="36"/>
        <v>1.1646785424253527</v>
      </c>
      <c r="J299" s="4">
        <f t="shared" si="37"/>
        <v>263.65122808392925</v>
      </c>
      <c r="K299" s="4">
        <f t="shared" si="38"/>
        <v>59.271441950435964</v>
      </c>
      <c r="L299" s="45">
        <f>Pressure!Q299</f>
        <v>0.96714349808493216</v>
      </c>
      <c r="M299" s="10">
        <f t="shared" si="40"/>
        <v>0.81895715307970418</v>
      </c>
      <c r="N299" s="10">
        <f t="shared" si="39"/>
        <v>2.9545467240956045</v>
      </c>
    </row>
    <row r="300" spans="3:14">
      <c r="C300" s="4">
        <f>Pressure!AB300*1000000</f>
        <v>1528394.0084185658</v>
      </c>
      <c r="D300" s="84">
        <f>Pressure!I300</f>
        <v>1.4801552192482141E-4</v>
      </c>
      <c r="E300" s="40">
        <f>Pressure!H300</f>
        <v>148.0155219248214</v>
      </c>
      <c r="F300" s="10">
        <f t="shared" si="34"/>
        <v>8</v>
      </c>
      <c r="G300" s="4">
        <f t="shared" si="33"/>
        <v>101000</v>
      </c>
      <c r="H300" s="45">
        <f t="shared" si="35"/>
        <v>3.2394300602956898</v>
      </c>
      <c r="I300" s="10">
        <f t="shared" si="36"/>
        <v>1.1645607631922827</v>
      </c>
      <c r="J300" s="4">
        <f t="shared" si="37"/>
        <v>263.45396614295902</v>
      </c>
      <c r="K300" s="4">
        <f t="shared" si="38"/>
        <v>59.227095486479705</v>
      </c>
      <c r="L300" s="45">
        <f>Pressure!Q300</f>
        <v>0.97024919617207506</v>
      </c>
      <c r="M300" s="10">
        <f t="shared" si="40"/>
        <v>0.81851479671676519</v>
      </c>
      <c r="N300" s="10">
        <f t="shared" si="39"/>
        <v>2.9545467240956045</v>
      </c>
    </row>
    <row r="301" spans="3:14">
      <c r="C301" s="4">
        <f>Pressure!AB301*1000000</f>
        <v>1527395.1157925401</v>
      </c>
      <c r="D301" s="84">
        <f>Pressure!I301</f>
        <v>1.4801552192482141E-4</v>
      </c>
      <c r="E301" s="40">
        <f>Pressure!H301</f>
        <v>148.0155219248214</v>
      </c>
      <c r="F301" s="10">
        <f t="shared" si="34"/>
        <v>8</v>
      </c>
      <c r="G301" s="4">
        <f t="shared" si="33"/>
        <v>101000</v>
      </c>
      <c r="H301" s="45">
        <f t="shared" si="35"/>
        <v>3.2378921426192413</v>
      </c>
      <c r="I301" s="10">
        <f t="shared" si="36"/>
        <v>1.164441793081143</v>
      </c>
      <c r="J301" s="4">
        <f t="shared" si="37"/>
        <v>263.25488740840723</v>
      </c>
      <c r="K301" s="4">
        <f t="shared" si="38"/>
        <v>59.18234058909384</v>
      </c>
      <c r="L301" s="45">
        <f>Pressure!Q301</f>
        <v>0.97335553565834221</v>
      </c>
      <c r="M301" s="10">
        <f t="shared" si="40"/>
        <v>0.81806825477655565</v>
      </c>
      <c r="N301" s="10">
        <f t="shared" si="39"/>
        <v>2.9545467240956045</v>
      </c>
    </row>
    <row r="302" spans="3:14">
      <c r="C302" s="4">
        <f>Pressure!AB302*1000000</f>
        <v>1526387.0502352498</v>
      </c>
      <c r="D302" s="84">
        <f>Pressure!I302</f>
        <v>1.4801552192482141E-4</v>
      </c>
      <c r="E302" s="40">
        <f>Pressure!H302</f>
        <v>148.0155219248214</v>
      </c>
      <c r="F302" s="10">
        <f t="shared" si="34"/>
        <v>8</v>
      </c>
      <c r="G302" s="4">
        <f t="shared" si="33"/>
        <v>101000</v>
      </c>
      <c r="H302" s="45">
        <f t="shared" si="35"/>
        <v>3.2363399173585101</v>
      </c>
      <c r="I302" s="10">
        <f t="shared" si="36"/>
        <v>1.1643216299459438</v>
      </c>
      <c r="J302" s="4">
        <f t="shared" si="37"/>
        <v>263.05399347174176</v>
      </c>
      <c r="K302" s="4">
        <f t="shared" si="38"/>
        <v>59.137177616056327</v>
      </c>
      <c r="L302" s="45">
        <f>Pressure!Q302</f>
        <v>0.9764625230481081</v>
      </c>
      <c r="M302" s="10">
        <f t="shared" si="40"/>
        <v>0.81761752800821086</v>
      </c>
      <c r="N302" s="10">
        <f t="shared" si="39"/>
        <v>2.9545467240956045</v>
      </c>
    </row>
    <row r="303" spans="3:14">
      <c r="C303" s="4">
        <f>Pressure!AB303*1000000</f>
        <v>1525369.8179777968</v>
      </c>
      <c r="D303" s="84">
        <f>Pressure!I303</f>
        <v>1.4801552192482141E-4</v>
      </c>
      <c r="E303" s="40">
        <f>Pressure!H303</f>
        <v>148.0155219248214</v>
      </c>
      <c r="F303" s="10">
        <f t="shared" si="34"/>
        <v>8</v>
      </c>
      <c r="G303" s="4">
        <f t="shared" si="33"/>
        <v>101000</v>
      </c>
      <c r="H303" s="45">
        <f t="shared" si="35"/>
        <v>3.234773388904101</v>
      </c>
      <c r="I303" s="10">
        <f t="shared" si="36"/>
        <v>1.1642002716167439</v>
      </c>
      <c r="J303" s="4">
        <f t="shared" si="37"/>
        <v>262.85128594025917</v>
      </c>
      <c r="K303" s="4">
        <f t="shared" si="38"/>
        <v>59.091606928703563</v>
      </c>
      <c r="L303" s="45">
        <f>Pressure!Q303</f>
        <v>0.97957016485798976</v>
      </c>
      <c r="M303" s="10">
        <f t="shared" si="40"/>
        <v>0.81716261716911431</v>
      </c>
      <c r="N303" s="10">
        <f t="shared" si="39"/>
        <v>2.9545467240956045</v>
      </c>
    </row>
    <row r="304" spans="3:14">
      <c r="C304" s="4">
        <f>Pressure!AB304*1000000</f>
        <v>1524343.4253129631</v>
      </c>
      <c r="D304" s="84">
        <f>Pressure!I304</f>
        <v>1.4801552192482141E-4</v>
      </c>
      <c r="E304" s="40">
        <f>Pressure!H304</f>
        <v>148.0155219248214</v>
      </c>
      <c r="F304" s="10">
        <f t="shared" si="34"/>
        <v>8</v>
      </c>
      <c r="G304" s="4">
        <f t="shared" si="33"/>
        <v>101000</v>
      </c>
      <c r="H304" s="45">
        <f t="shared" si="35"/>
        <v>3.2331925616923964</v>
      </c>
      <c r="I304" s="10">
        <f t="shared" si="36"/>
        <v>1.1640777158994906</v>
      </c>
      <c r="J304" s="4">
        <f t="shared" si="37"/>
        <v>262.64676643702842</v>
      </c>
      <c r="K304" s="4">
        <f t="shared" si="38"/>
        <v>59.045628891917723</v>
      </c>
      <c r="L304" s="45">
        <f>Pressure!Q304</f>
        <v>0.98267846761698341</v>
      </c>
      <c r="M304" s="10">
        <f t="shared" si="40"/>
        <v>0.81670352302505722</v>
      </c>
      <c r="N304" s="10">
        <f t="shared" si="39"/>
        <v>2.9545467240956045</v>
      </c>
    </row>
    <row r="305" spans="3:14">
      <c r="C305" s="4">
        <f>Pressure!AB305*1000000</f>
        <v>1523307.8785951524</v>
      </c>
      <c r="D305" s="84">
        <f>Pressure!I305</f>
        <v>1.4801552192482141E-4</v>
      </c>
      <c r="E305" s="40">
        <f>Pressure!H305</f>
        <v>148.0155219248214</v>
      </c>
      <c r="F305" s="10">
        <f t="shared" si="34"/>
        <v>8</v>
      </c>
      <c r="G305" s="4">
        <f t="shared" si="33"/>
        <v>101000</v>
      </c>
      <c r="H305" s="45">
        <f t="shared" si="35"/>
        <v>3.231597440205443</v>
      </c>
      <c r="I305" s="10">
        <f t="shared" si="36"/>
        <v>1.1639539605758811</v>
      </c>
      <c r="J305" s="4">
        <f t="shared" si="37"/>
        <v>262.44043660088141</v>
      </c>
      <c r="K305" s="4">
        <f t="shared" si="38"/>
        <v>58.99924387412468</v>
      </c>
      <c r="L305" s="45">
        <f>Pressure!Q305</f>
        <v>0.9857874378666015</v>
      </c>
      <c r="M305" s="10">
        <f t="shared" si="40"/>
        <v>0.81624024635001835</v>
      </c>
      <c r="N305" s="10">
        <f t="shared" si="39"/>
        <v>2.9545467240956045</v>
      </c>
    </row>
    <row r="306" spans="3:14">
      <c r="C306" s="4">
        <f>Pressure!AB306*1000000</f>
        <v>1522263.184240838</v>
      </c>
      <c r="D306" s="84">
        <f>Pressure!I306</f>
        <v>1.4801552192482141E-4</v>
      </c>
      <c r="E306" s="40">
        <f>Pressure!H306</f>
        <v>148.0155219248214</v>
      </c>
      <c r="F306" s="10">
        <f t="shared" si="34"/>
        <v>8</v>
      </c>
      <c r="G306" s="4">
        <f t="shared" si="33"/>
        <v>101000</v>
      </c>
      <c r="H306" s="45">
        <f t="shared" si="35"/>
        <v>3.2299880289716194</v>
      </c>
      <c r="I306" s="10">
        <f t="shared" si="36"/>
        <v>1.1638290034032857</v>
      </c>
      <c r="J306" s="4">
        <f t="shared" si="37"/>
        <v>262.23229808650427</v>
      </c>
      <c r="K306" s="4">
        <f t="shared" si="38"/>
        <v>58.952452247314483</v>
      </c>
      <c r="L306" s="45">
        <f>Pressure!Q306</f>
        <v>0.98889708216101091</v>
      </c>
      <c r="M306" s="10">
        <f t="shared" si="40"/>
        <v>0.81577278792640495</v>
      </c>
      <c r="N306" s="10">
        <f t="shared" si="39"/>
        <v>2.9545467240956045</v>
      </c>
    </row>
    <row r="307" spans="3:14">
      <c r="C307" s="4">
        <f>Pressure!AB307*1000000</f>
        <v>1521209.3487286989</v>
      </c>
      <c r="D307" s="84">
        <f>Pressure!I307</f>
        <v>1.4801552192482141E-4</v>
      </c>
      <c r="E307" s="40">
        <f>Pressure!H307</f>
        <v>148.0155219248214</v>
      </c>
      <c r="F307" s="10">
        <f t="shared" si="34"/>
        <v>8</v>
      </c>
      <c r="G307" s="4">
        <f t="shared" si="33"/>
        <v>101000</v>
      </c>
      <c r="H307" s="45">
        <f t="shared" si="35"/>
        <v>3.228364332565838</v>
      </c>
      <c r="I307" s="10">
        <f t="shared" si="36"/>
        <v>1.1637028421146307</v>
      </c>
      <c r="J307" s="4">
        <f t="shared" si="37"/>
        <v>262.02235256446625</v>
      </c>
      <c r="K307" s="4">
        <f t="shared" si="38"/>
        <v>58.905254387047847</v>
      </c>
      <c r="L307" s="45">
        <f>Pressure!Q307</f>
        <v>0.99200740706717094</v>
      </c>
      <c r="M307" s="10">
        <f t="shared" si="40"/>
        <v>0.81530114854497049</v>
      </c>
      <c r="N307" s="10">
        <f t="shared" si="39"/>
        <v>2.9545467240956045</v>
      </c>
    </row>
    <row r="308" spans="3:14">
      <c r="C308" s="4">
        <f>Pressure!AB308*1000000</f>
        <v>1520146.3785990649</v>
      </c>
      <c r="D308" s="84">
        <f>Pressure!I308</f>
        <v>1.4801552192482141E-4</v>
      </c>
      <c r="E308" s="40">
        <f>Pressure!H308</f>
        <v>148.0155219248214</v>
      </c>
      <c r="F308" s="10">
        <f t="shared" si="34"/>
        <v>8</v>
      </c>
      <c r="G308" s="4">
        <f t="shared" si="33"/>
        <v>101000</v>
      </c>
      <c r="H308" s="45">
        <f t="shared" si="35"/>
        <v>3.2267263556086672</v>
      </c>
      <c r="I308" s="10">
        <f t="shared" si="36"/>
        <v>1.163575474418199</v>
      </c>
      <c r="J308" s="4">
        <f t="shared" si="37"/>
        <v>261.81060172111154</v>
      </c>
      <c r="K308" s="4">
        <f t="shared" si="38"/>
        <v>58.857650672431895</v>
      </c>
      <c r="L308" s="45">
        <f>Pressure!Q308</f>
        <v>0.99511841916497279</v>
      </c>
      <c r="M308" s="10">
        <f t="shared" si="40"/>
        <v>0.81482532900485705</v>
      </c>
      <c r="N308" s="10">
        <f t="shared" si="39"/>
        <v>2.9545467240956045</v>
      </c>
    </row>
    <row r="309" spans="3:14">
      <c r="C309" s="4">
        <f>Pressure!AB309*1000000</f>
        <v>1519074.2804548598</v>
      </c>
      <c r="D309" s="84">
        <f>Pressure!I309</f>
        <v>1.4801552192482141E-4</v>
      </c>
      <c r="E309" s="40">
        <f>Pressure!H309</f>
        <v>148.0155219248214</v>
      </c>
      <c r="F309" s="10">
        <f t="shared" si="34"/>
        <v>8</v>
      </c>
      <c r="G309" s="4">
        <f t="shared" si="33"/>
        <v>101000</v>
      </c>
      <c r="H309" s="45">
        <f t="shared" si="35"/>
        <v>3.2250741027677656</v>
      </c>
      <c r="I309" s="10">
        <f t="shared" si="36"/>
        <v>1.1634468979976063</v>
      </c>
      <c r="J309" s="4">
        <f t="shared" si="37"/>
        <v>261.59704725874951</v>
      </c>
      <c r="K309" s="4">
        <f t="shared" si="38"/>
        <v>58.809641486162832</v>
      </c>
      <c r="L309" s="45">
        <f>Pressure!Q309</f>
        <v>0.99823012504737973</v>
      </c>
      <c r="M309" s="10">
        <f t="shared" si="40"/>
        <v>0.81434533011371169</v>
      </c>
      <c r="N309" s="10">
        <f t="shared" si="39"/>
        <v>2.9545467240956045</v>
      </c>
    </row>
    <row r="310" spans="3:14">
      <c r="C310" s="4">
        <f>Pressure!AB310*1000000</f>
        <v>1517993.0609612532</v>
      </c>
      <c r="D310" s="84">
        <f>Pressure!I310</f>
        <v>1.4801552192482141E-4</v>
      </c>
      <c r="E310" s="40">
        <f>Pressure!H310</f>
        <v>148.0155219248214</v>
      </c>
      <c r="F310" s="10">
        <f t="shared" si="34"/>
        <v>8</v>
      </c>
      <c r="G310" s="4">
        <f t="shared" si="33"/>
        <v>101000</v>
      </c>
      <c r="H310" s="45">
        <f t="shared" si="35"/>
        <v>3.2234075787573304</v>
      </c>
      <c r="I310" s="10">
        <f t="shared" si="36"/>
        <v>1.1633171105116216</v>
      </c>
      <c r="J310" s="4">
        <f t="shared" si="37"/>
        <v>261.38169089558704</v>
      </c>
      <c r="K310" s="4">
        <f t="shared" si="38"/>
        <v>58.761227214510825</v>
      </c>
      <c r="L310" s="45">
        <f>Pressure!Q310</f>
        <v>1.0013425313205671</v>
      </c>
      <c r="M310" s="10">
        <f t="shared" si="40"/>
        <v>0.81386115268757242</v>
      </c>
      <c r="N310" s="10">
        <f t="shared" si="39"/>
        <v>2.9545467240956045</v>
      </c>
    </row>
    <row r="311" spans="3:14">
      <c r="C311" s="4">
        <f>Pressure!AB311*1000000</f>
        <v>1516902.7268456498</v>
      </c>
      <c r="D311" s="84">
        <f>Pressure!I311</f>
        <v>1.4801552192482141E-4</v>
      </c>
      <c r="E311" s="40">
        <f>Pressure!H311</f>
        <v>148.0155219248214</v>
      </c>
      <c r="F311" s="10">
        <f t="shared" si="34"/>
        <v>8</v>
      </c>
      <c r="G311" s="4">
        <f t="shared" si="33"/>
        <v>101000</v>
      </c>
      <c r="H311" s="45">
        <f t="shared" si="35"/>
        <v>3.2217267883380654</v>
      </c>
      <c r="I311" s="10">
        <f t="shared" si="36"/>
        <v>1.1631861095940261</v>
      </c>
      <c r="J311" s="4">
        <f t="shared" si="37"/>
        <v>261.16453436572851</v>
      </c>
      <c r="K311" s="4">
        <f t="shared" si="38"/>
        <v>58.712408247319928</v>
      </c>
      <c r="L311" s="45">
        <f>Pressure!Q311</f>
        <v>1.004455644604064</v>
      </c>
      <c r="M311" s="10">
        <f t="shared" si="40"/>
        <v>0.81337279755109526</v>
      </c>
      <c r="N311" s="10">
        <f t="shared" si="39"/>
        <v>2.9545467240956045</v>
      </c>
    </row>
    <row r="312" spans="3:14">
      <c r="C312" s="4">
        <f>Pressure!AB312*1000000</f>
        <v>1515803.2848981512</v>
      </c>
      <c r="D312" s="84">
        <f>Pressure!I312</f>
        <v>1.4801552192482141E-4</v>
      </c>
      <c r="E312" s="40">
        <f>Pressure!H312</f>
        <v>148.0155219248214</v>
      </c>
      <c r="F312" s="10">
        <f t="shared" si="34"/>
        <v>8</v>
      </c>
      <c r="G312" s="4">
        <f t="shared" si="33"/>
        <v>101000</v>
      </c>
      <c r="H312" s="45">
        <f t="shared" si="35"/>
        <v>3.2200317363178681</v>
      </c>
      <c r="I312" s="10">
        <f t="shared" si="36"/>
        <v>1.1630538928535292</v>
      </c>
      <c r="J312" s="4">
        <f t="shared" si="37"/>
        <v>260.94557941927064</v>
      </c>
      <c r="K312" s="4">
        <f t="shared" si="38"/>
        <v>58.663184978029463</v>
      </c>
      <c r="L312" s="45">
        <f>Pressure!Q312</f>
        <v>1.0075694715308954</v>
      </c>
      <c r="M312" s="10">
        <f t="shared" si="40"/>
        <v>0.81288026553736192</v>
      </c>
      <c r="N312" s="10">
        <f t="shared" si="39"/>
        <v>2.9545467240956045</v>
      </c>
    </row>
    <row r="313" spans="3:14">
      <c r="C313" s="4">
        <f>Pressure!AB313*1000000</f>
        <v>1514694.7419713519</v>
      </c>
      <c r="D313" s="84">
        <f>Pressure!I313</f>
        <v>1.4801552192482141E-4</v>
      </c>
      <c r="E313" s="40">
        <f>Pressure!H313</f>
        <v>148.0155219248214</v>
      </c>
      <c r="F313" s="10">
        <f t="shared" si="34"/>
        <v>8</v>
      </c>
      <c r="G313" s="4">
        <f t="shared" si="33"/>
        <v>101000</v>
      </c>
      <c r="H313" s="45">
        <f t="shared" si="35"/>
        <v>3.2183224275515041</v>
      </c>
      <c r="I313" s="10">
        <f t="shared" si="36"/>
        <v>1.162920457873599</v>
      </c>
      <c r="J313" s="4">
        <f t="shared" si="37"/>
        <v>260.72482782226325</v>
      </c>
      <c r="K313" s="4">
        <f t="shared" si="38"/>
        <v>58.613557803665138</v>
      </c>
      <c r="L313" s="45">
        <f>Pressure!Q313</f>
        <v>1.0106840187477242</v>
      </c>
      <c r="M313" s="10">
        <f t="shared" si="40"/>
        <v>0.81238355748803304</v>
      </c>
      <c r="N313" s="10">
        <f t="shared" si="39"/>
        <v>2.9545467240956045</v>
      </c>
    </row>
    <row r="314" spans="3:14">
      <c r="C314" s="4">
        <f>Pressure!AB314*1000000</f>
        <v>1513577.1049805358</v>
      </c>
      <c r="D314" s="84">
        <f>Pressure!I314</f>
        <v>1.4801552192482141E-4</v>
      </c>
      <c r="E314" s="40">
        <f>Pressure!H314</f>
        <v>148.0155219248214</v>
      </c>
      <c r="F314" s="10">
        <f t="shared" si="34"/>
        <v>8</v>
      </c>
      <c r="G314" s="4">
        <f t="shared" si="33"/>
        <v>101000</v>
      </c>
      <c r="H314" s="45">
        <f t="shared" si="35"/>
        <v>3.2165988669408909</v>
      </c>
      <c r="I314" s="10">
        <f t="shared" si="36"/>
        <v>1.1627858022123418</v>
      </c>
      <c r="J314" s="4">
        <f t="shared" si="37"/>
        <v>260.50228135675093</v>
      </c>
      <c r="K314" s="4">
        <f t="shared" si="38"/>
        <v>58.563527124848463</v>
      </c>
      <c r="L314" s="45">
        <f>Pressure!Q314</f>
        <v>1.0137992929149955</v>
      </c>
      <c r="M314" s="10">
        <f t="shared" si="40"/>
        <v>0.81188267425344252</v>
      </c>
      <c r="N314" s="10">
        <f t="shared" si="39"/>
        <v>2.9545467240956045</v>
      </c>
    </row>
    <row r="315" spans="3:14">
      <c r="C315" s="4">
        <f>Pressure!AB315*1000000</f>
        <v>1512450.3809040757</v>
      </c>
      <c r="D315" s="84">
        <f>Pressure!I315</f>
        <v>1.4801552192482141E-4</v>
      </c>
      <c r="E315" s="40">
        <f>Pressure!H315</f>
        <v>148.0155219248214</v>
      </c>
      <c r="F315" s="10">
        <f t="shared" si="34"/>
        <v>8</v>
      </c>
      <c r="G315" s="4">
        <f t="shared" si="33"/>
        <v>101000</v>
      </c>
      <c r="H315" s="45">
        <f t="shared" si="35"/>
        <v>3.2148610594356914</v>
      </c>
      <c r="I315" s="10">
        <f t="shared" si="36"/>
        <v>1.1626499234024052</v>
      </c>
      <c r="J315" s="4">
        <f t="shared" si="37"/>
        <v>260.27794182085478</v>
      </c>
      <c r="K315" s="4">
        <f t="shared" si="38"/>
        <v>58.513093345815115</v>
      </c>
      <c r="L315" s="45">
        <f>Pressure!Q315</f>
        <v>1.0169153007070804</v>
      </c>
      <c r="M315" s="10">
        <f t="shared" si="40"/>
        <v>0.81137761669255937</v>
      </c>
      <c r="N315" s="10">
        <f t="shared" si="39"/>
        <v>2.9545467240956045</v>
      </c>
    </row>
    <row r="316" spans="3:14">
      <c r="C316" s="4">
        <f>Pressure!AB316*1000000</f>
        <v>1511314.5767828973</v>
      </c>
      <c r="D316" s="84">
        <f>Pressure!I316</f>
        <v>1.4801552192482141E-4</v>
      </c>
      <c r="E316" s="40">
        <f>Pressure!H316</f>
        <v>148.0155219248214</v>
      </c>
      <c r="F316" s="10">
        <f t="shared" si="34"/>
        <v>8</v>
      </c>
      <c r="G316" s="4">
        <f t="shared" si="33"/>
        <v>101000</v>
      </c>
      <c r="H316" s="45">
        <f t="shared" si="35"/>
        <v>3.2131090100324746</v>
      </c>
      <c r="I316" s="10">
        <f t="shared" si="36"/>
        <v>1.1625128189507634</v>
      </c>
      <c r="J316" s="4">
        <f t="shared" si="37"/>
        <v>260.05181102866806</v>
      </c>
      <c r="K316" s="4">
        <f t="shared" si="38"/>
        <v>58.46225687439145</v>
      </c>
      <c r="L316" s="45">
        <f>Pressure!Q316</f>
        <v>1.0200320488124206</v>
      </c>
      <c r="M316" s="10">
        <f t="shared" si="40"/>
        <v>0.81086838567295261</v>
      </c>
      <c r="N316" s="10">
        <f t="shared" si="39"/>
        <v>2.9545467240956045</v>
      </c>
    </row>
    <row r="317" spans="3:14">
      <c r="C317" s="4">
        <f>Pressure!AB317*1000000</f>
        <v>1510169.6997209748</v>
      </c>
      <c r="D317" s="84">
        <f>Pressure!I317</f>
        <v>1.4801552192482141E-4</v>
      </c>
      <c r="E317" s="40">
        <f>Pressure!H317</f>
        <v>148.0155219248214</v>
      </c>
      <c r="F317" s="10">
        <f t="shared" si="34"/>
        <v>8</v>
      </c>
      <c r="G317" s="4">
        <f t="shared" si="33"/>
        <v>101000</v>
      </c>
      <c r="H317" s="45">
        <f t="shared" si="35"/>
        <v>3.2113427237754633</v>
      </c>
      <c r="I317" s="10">
        <f t="shared" si="36"/>
        <v>1.1623744863386283</v>
      </c>
      <c r="J317" s="4">
        <f t="shared" si="37"/>
        <v>259.82389081035694</v>
      </c>
      <c r="K317" s="4">
        <f t="shared" si="38"/>
        <v>58.411018122017211</v>
      </c>
      <c r="L317" s="45">
        <f>Pressure!Q317</f>
        <v>1.0231495439336751</v>
      </c>
      <c r="M317" s="10">
        <f t="shared" si="40"/>
        <v>0.81035498207095358</v>
      </c>
      <c r="N317" s="10">
        <f t="shared" si="39"/>
        <v>2.9545467240956045</v>
      </c>
    </row>
    <row r="318" spans="3:14">
      <c r="C318" s="4">
        <f>Pressure!AB318*1000000</f>
        <v>1509015.7568858219</v>
      </c>
      <c r="D318" s="84">
        <f>Pressure!I318</f>
        <v>1.4801552192482141E-4</v>
      </c>
      <c r="E318" s="40">
        <f>Pressure!H318</f>
        <v>148.0155219248214</v>
      </c>
      <c r="F318" s="10">
        <f t="shared" si="34"/>
        <v>8</v>
      </c>
      <c r="G318" s="4">
        <f t="shared" si="33"/>
        <v>101000</v>
      </c>
      <c r="H318" s="45">
        <f t="shared" si="35"/>
        <v>3.2095622057572677</v>
      </c>
      <c r="I318" s="10">
        <f t="shared" si="36"/>
        <v>1.1622349230213564</v>
      </c>
      <c r="J318" s="4">
        <f t="shared" si="37"/>
        <v>259.59418301226066</v>
      </c>
      <c r="K318" s="4">
        <f t="shared" si="38"/>
        <v>58.359377503767966</v>
      </c>
      <c r="L318" s="45">
        <f>Pressure!Q318</f>
        <v>1.0262677927878656</v>
      </c>
      <c r="M318" s="10">
        <f t="shared" si="40"/>
        <v>0.80983740677161764</v>
      </c>
      <c r="N318" s="10">
        <f t="shared" si="39"/>
        <v>2.9545467240956045</v>
      </c>
    </row>
    <row r="319" spans="3:14">
      <c r="C319" s="4">
        <f>Pressure!AB319*1000000</f>
        <v>1507852.7555076214</v>
      </c>
      <c r="D319" s="84">
        <f>Pressure!I319</f>
        <v>1.4801552192482141E-4</v>
      </c>
      <c r="E319" s="40">
        <f>Pressure!H319</f>
        <v>148.0155219248214</v>
      </c>
      <c r="F319" s="10">
        <f t="shared" si="34"/>
        <v>8</v>
      </c>
      <c r="G319" s="4">
        <f t="shared" si="33"/>
        <v>101000</v>
      </c>
      <c r="H319" s="45">
        <f t="shared" si="35"/>
        <v>3.2077674611175273</v>
      </c>
      <c r="I319" s="10">
        <f t="shared" si="36"/>
        <v>1.1620941264281897</v>
      </c>
      <c r="J319" s="4">
        <f t="shared" si="37"/>
        <v>259.36268949672035</v>
      </c>
      <c r="K319" s="4">
        <f t="shared" si="38"/>
        <v>58.307335438316699</v>
      </c>
      <c r="L319" s="45">
        <f>Pressure!Q319</f>
        <v>1.0293868021065242</v>
      </c>
      <c r="M319" s="10">
        <f t="shared" si="40"/>
        <v>0.80931566066871874</v>
      </c>
      <c r="N319" s="10">
        <f t="shared" si="39"/>
        <v>2.9545467240956045</v>
      </c>
    </row>
    <row r="320" spans="3:14">
      <c r="C320" s="4">
        <f>Pressure!AB320*1000000</f>
        <v>1506680.7028803052</v>
      </c>
      <c r="D320" s="84">
        <f>Pressure!I320</f>
        <v>1.4801552192482141E-4</v>
      </c>
      <c r="E320" s="40">
        <f>Pressure!H320</f>
        <v>148.0155219248214</v>
      </c>
      <c r="F320" s="10">
        <f t="shared" si="34"/>
        <v>8</v>
      </c>
      <c r="G320" s="4">
        <f t="shared" si="33"/>
        <v>101000</v>
      </c>
      <c r="H320" s="45">
        <f t="shared" si="35"/>
        <v>3.2059584950445652</v>
      </c>
      <c r="I320" s="10">
        <f t="shared" si="36"/>
        <v>1.1619520939622312</v>
      </c>
      <c r="J320" s="4">
        <f t="shared" si="37"/>
        <v>259.12941214229659</v>
      </c>
      <c r="K320" s="4">
        <f t="shared" si="38"/>
        <v>58.25489234798269</v>
      </c>
      <c r="L320" s="45">
        <f>Pressure!Q320</f>
        <v>1.0325065786358418</v>
      </c>
      <c r="M320" s="10">
        <f t="shared" si="40"/>
        <v>0.80878974466498244</v>
      </c>
      <c r="N320" s="10">
        <f t="shared" si="39"/>
        <v>2.9545467240956045</v>
      </c>
    </row>
    <row r="321" spans="3:14">
      <c r="C321" s="4">
        <f>Pressure!AB321*1000000</f>
        <v>1505499.6063611475</v>
      </c>
      <c r="D321" s="84">
        <f>Pressure!I321</f>
        <v>1.4801552192482141E-4</v>
      </c>
      <c r="E321" s="40">
        <f>Pressure!H321</f>
        <v>148.0155219248214</v>
      </c>
      <c r="F321" s="10">
        <f t="shared" si="34"/>
        <v>8</v>
      </c>
      <c r="G321" s="4">
        <f t="shared" si="33"/>
        <v>101000</v>
      </c>
      <c r="H321" s="45">
        <f t="shared" si="35"/>
        <v>3.2041353127747301</v>
      </c>
      <c r="I321" s="10">
        <f t="shared" si="36"/>
        <v>1.1618088230002379</v>
      </c>
      <c r="J321" s="4">
        <f t="shared" si="37"/>
        <v>258.89435284369057</v>
      </c>
      <c r="K321" s="4">
        <f t="shared" si="38"/>
        <v>58.202048658713764</v>
      </c>
      <c r="L321" s="45">
        <f>Pressure!Q321</f>
        <v>1.035627129136816</v>
      </c>
      <c r="M321" s="10">
        <f t="shared" si="40"/>
        <v>0.80825965967176894</v>
      </c>
      <c r="N321" s="10">
        <f t="shared" si="39"/>
        <v>2.9545467240956045</v>
      </c>
    </row>
    <row r="322" spans="3:14">
      <c r="C322" s="4">
        <f>Pressure!AB322*1000000</f>
        <v>1504309.4733709714</v>
      </c>
      <c r="D322" s="84">
        <f>Pressure!I322</f>
        <v>1.4801552192482141E-4</v>
      </c>
      <c r="E322" s="40">
        <f>Pressure!H322</f>
        <v>148.0155219248214</v>
      </c>
      <c r="F322" s="10">
        <f t="shared" si="34"/>
        <v>8</v>
      </c>
      <c r="G322" s="4">
        <f t="shared" si="33"/>
        <v>101000</v>
      </c>
      <c r="H322" s="45">
        <f t="shared" si="35"/>
        <v>3.2022979195927146</v>
      </c>
      <c r="I322" s="10">
        <f t="shared" si="36"/>
        <v>1.1616643108924871</v>
      </c>
      <c r="J322" s="4">
        <f t="shared" si="37"/>
        <v>258.65751351178756</v>
      </c>
      <c r="K322" s="4">
        <f t="shared" si="38"/>
        <v>58.148804800096123</v>
      </c>
      <c r="L322" s="45">
        <f>Pressure!Q322</f>
        <v>1.0387484603854018</v>
      </c>
      <c r="M322" s="10">
        <f t="shared" si="40"/>
        <v>0.80772540660963388</v>
      </c>
      <c r="N322" s="10">
        <f t="shared" si="39"/>
        <v>2.9545467240956045</v>
      </c>
    </row>
    <row r="323" spans="3:14">
      <c r="C323" s="4">
        <f>Pressure!AB323*1000000</f>
        <v>1503110.3113941241</v>
      </c>
      <c r="D323" s="84">
        <f>Pressure!I323</f>
        <v>1.4801552192482141E-4</v>
      </c>
      <c r="E323" s="40">
        <f>Pressure!H323</f>
        <v>148.0155219248214</v>
      </c>
      <c r="F323" s="10">
        <f t="shared" si="34"/>
        <v>8</v>
      </c>
      <c r="G323" s="4">
        <f t="shared" si="33"/>
        <v>101000</v>
      </c>
      <c r="H323" s="45">
        <f t="shared" si="35"/>
        <v>3.2004463208314786</v>
      </c>
      <c r="I323" s="10">
        <f t="shared" si="36"/>
        <v>1.1615185549626124</v>
      </c>
      <c r="J323" s="4">
        <f t="shared" si="37"/>
        <v>258.41889607365476</v>
      </c>
      <c r="K323" s="4">
        <f t="shared" si="38"/>
        <v>58.095161205353797</v>
      </c>
      <c r="L323" s="45">
        <f>Pressure!Q323</f>
        <v>1.0418705791726612</v>
      </c>
      <c r="M323" s="10">
        <f t="shared" si="40"/>
        <v>0.80718698640768105</v>
      </c>
      <c r="N323" s="10">
        <f t="shared" si="39"/>
        <v>2.9545467240956045</v>
      </c>
    </row>
    <row r="324" spans="3:14">
      <c r="C324" s="4">
        <f>Pressure!AB324*1000000</f>
        <v>1501902.127979333</v>
      </c>
      <c r="D324" s="84">
        <f>Pressure!I324</f>
        <v>1.4801552192482141E-4</v>
      </c>
      <c r="E324" s="40">
        <f>Pressure!H324</f>
        <v>148.0155219248214</v>
      </c>
      <c r="F324" s="10">
        <f t="shared" si="34"/>
        <v>8</v>
      </c>
      <c r="G324" s="4">
        <f t="shared" si="33"/>
        <v>101000</v>
      </c>
      <c r="H324" s="45">
        <f t="shared" si="35"/>
        <v>3.1985805218735703</v>
      </c>
      <c r="I324" s="10">
        <f t="shared" si="36"/>
        <v>1.1613715525075419</v>
      </c>
      <c r="J324" s="4">
        <f t="shared" si="37"/>
        <v>258.17850247271309</v>
      </c>
      <c r="K324" s="4">
        <f t="shared" si="38"/>
        <v>58.041118311387322</v>
      </c>
      <c r="L324" s="45">
        <f>Pressure!Q324</f>
        <v>1.0449934923049149</v>
      </c>
      <c r="M324" s="10">
        <f t="shared" si="40"/>
        <v>0.80664440000426441</v>
      </c>
      <c r="N324" s="10">
        <f t="shared" si="39"/>
        <v>2.9545467240956045</v>
      </c>
    </row>
    <row r="325" spans="3:14">
      <c r="C325" s="4">
        <f>Pressure!AB325*1000000</f>
        <v>1500684.9307380663</v>
      </c>
      <c r="D325" s="84">
        <f>Pressure!I325</f>
        <v>1.4801552192482141E-4</v>
      </c>
      <c r="E325" s="40">
        <f>Pressure!H325</f>
        <v>148.0155219248214</v>
      </c>
      <c r="F325" s="10">
        <f t="shared" si="34"/>
        <v>8</v>
      </c>
      <c r="G325" s="4">
        <f t="shared" si="33"/>
        <v>101000</v>
      </c>
      <c r="H325" s="45">
        <f t="shared" si="35"/>
        <v>3.1967005281485714</v>
      </c>
      <c r="I325" s="10">
        <f t="shared" si="36"/>
        <v>1.161223300797138</v>
      </c>
      <c r="J325" s="4">
        <f t="shared" si="37"/>
        <v>257.93633466841447</v>
      </c>
      <c r="K325" s="4">
        <f t="shared" si="38"/>
        <v>57.986676558701156</v>
      </c>
      <c r="L325" s="45">
        <f>Pressure!Q325</f>
        <v>1.0481172066038942</v>
      </c>
      <c r="M325" s="10">
        <f t="shared" si="40"/>
        <v>0.80609764834655262</v>
      </c>
      <c r="N325" s="10">
        <f t="shared" si="39"/>
        <v>2.9545467240956045</v>
      </c>
    </row>
    <row r="326" spans="3:14">
      <c r="C326" s="4">
        <f>Pressure!AB326*1000000</f>
        <v>1499458.7273472939</v>
      </c>
      <c r="D326" s="84">
        <f>Pressure!I326</f>
        <v>1.4801552192482141E-4</v>
      </c>
      <c r="E326" s="40">
        <f>Pressure!H326</f>
        <v>148.0155219248214</v>
      </c>
      <c r="F326" s="10">
        <f t="shared" si="34"/>
        <v>8</v>
      </c>
      <c r="G326" s="4">
        <f t="shared" si="33"/>
        <v>101000</v>
      </c>
      <c r="H326" s="45">
        <f t="shared" si="35"/>
        <v>3.1948063451373376</v>
      </c>
      <c r="I326" s="10">
        <f t="shared" si="36"/>
        <v>1.1610737970743636</v>
      </c>
      <c r="J326" s="4">
        <f t="shared" si="37"/>
        <v>257.69239463679298</v>
      </c>
      <c r="K326" s="4">
        <f t="shared" si="38"/>
        <v>57.931836391527582</v>
      </c>
      <c r="L326" s="45">
        <f>Pressure!Q326</f>
        <v>1.0512417289068943</v>
      </c>
      <c r="M326" s="10">
        <f t="shared" si="40"/>
        <v>0.80554673239085783</v>
      </c>
      <c r="N326" s="10">
        <f t="shared" si="39"/>
        <v>2.9545467240956045</v>
      </c>
    </row>
    <row r="327" spans="3:14">
      <c r="C327" s="4">
        <f>Pressure!AB327*1000000</f>
        <v>1498223.5255467722</v>
      </c>
      <c r="D327" s="84">
        <f>Pressure!I327</f>
        <v>1.4801552192482141E-4</v>
      </c>
      <c r="E327" s="40">
        <f>Pressure!H327</f>
        <v>148.0155219248214</v>
      </c>
      <c r="F327" s="10">
        <f t="shared" si="34"/>
        <v>8</v>
      </c>
      <c r="G327" s="4">
        <f t="shared" si="33"/>
        <v>101000</v>
      </c>
      <c r="H327" s="45">
        <f t="shared" si="35"/>
        <v>3.1928979783677964</v>
      </c>
      <c r="I327" s="10">
        <f t="shared" si="36"/>
        <v>1.1609230385547824</v>
      </c>
      <c r="J327" s="4">
        <f t="shared" si="37"/>
        <v>257.44668436992691</v>
      </c>
      <c r="K327" s="4">
        <f t="shared" si="38"/>
        <v>57.876598257705794</v>
      </c>
      <c r="L327" s="45">
        <f>Pressure!Q327</f>
        <v>1.0543670660669275</v>
      </c>
      <c r="M327" s="10">
        <f t="shared" si="40"/>
        <v>0.80499165310250809</v>
      </c>
      <c r="N327" s="10">
        <f t="shared" si="39"/>
        <v>2.9545467240956045</v>
      </c>
    </row>
    <row r="328" spans="3:14">
      <c r="C328" s="4">
        <f>Pressure!AB328*1000000</f>
        <v>1496979.3331414033</v>
      </c>
      <c r="D328" s="84">
        <f>Pressure!I328</f>
        <v>1.4801552192482141E-4</v>
      </c>
      <c r="E328" s="40">
        <f>Pressure!H328</f>
        <v>148.0155219248214</v>
      </c>
      <c r="F328" s="10">
        <f t="shared" si="34"/>
        <v>8</v>
      </c>
      <c r="G328" s="4">
        <f t="shared" si="33"/>
        <v>101000</v>
      </c>
      <c r="H328" s="45">
        <f t="shared" si="35"/>
        <v>3.1909754334185685</v>
      </c>
      <c r="I328" s="10">
        <f t="shared" si="36"/>
        <v>1.1607710224266765</v>
      </c>
      <c r="J328" s="4">
        <f t="shared" si="37"/>
        <v>257.19920587641116</v>
      </c>
      <c r="K328" s="4">
        <f t="shared" si="38"/>
        <v>57.820962608788086</v>
      </c>
      <c r="L328" s="45">
        <f>Pressure!Q328</f>
        <v>1.0574932249528788</v>
      </c>
      <c r="M328" s="10">
        <f t="shared" si="40"/>
        <v>0.8044324114559398</v>
      </c>
      <c r="N328" s="10">
        <f t="shared" si="39"/>
        <v>2.9545467240956045</v>
      </c>
    </row>
    <row r="329" spans="3:14">
      <c r="C329" s="4">
        <f>Pressure!AB329*1000000</f>
        <v>1495726.1579999069</v>
      </c>
      <c r="D329" s="84">
        <f>Pressure!I329</f>
        <v>1.4801552192482141E-4</v>
      </c>
      <c r="E329" s="40">
        <f>Pressure!H329</f>
        <v>148.0155219248214</v>
      </c>
      <c r="F329" s="10">
        <f t="shared" si="34"/>
        <v>8</v>
      </c>
      <c r="G329" s="4">
        <f t="shared" si="33"/>
        <v>101000</v>
      </c>
      <c r="H329" s="45">
        <f t="shared" si="35"/>
        <v>3.1890387159168965</v>
      </c>
      <c r="I329" s="10">
        <f t="shared" si="36"/>
        <v>1.1606177458507105</v>
      </c>
      <c r="J329" s="4">
        <f t="shared" si="37"/>
        <v>256.94996118109492</v>
      </c>
      <c r="K329" s="4">
        <f t="shared" si="38"/>
        <v>57.764929899980871</v>
      </c>
      <c r="L329" s="45">
        <f>Pressure!Q329</f>
        <v>1.0606202124496604</v>
      </c>
      <c r="M329" s="10">
        <f t="shared" si="40"/>
        <v>0.80386900843475839</v>
      </c>
      <c r="N329" s="10">
        <f t="shared" si="39"/>
        <v>2.9545467240956045</v>
      </c>
    </row>
    <row r="330" spans="3:14">
      <c r="C330" s="4">
        <f>Pressure!AB330*1000000</f>
        <v>1494464.0080558762</v>
      </c>
      <c r="D330" s="84">
        <f>Pressure!I330</f>
        <v>1.4801552192482141E-4</v>
      </c>
      <c r="E330" s="40">
        <f>Pressure!H330</f>
        <v>148.0155219248214</v>
      </c>
      <c r="F330" s="10">
        <f t="shared" si="34"/>
        <v>8</v>
      </c>
      <c r="G330" s="4">
        <f t="shared" si="33"/>
        <v>101000</v>
      </c>
      <c r="H330" s="45">
        <f t="shared" si="35"/>
        <v>3.1870878315402633</v>
      </c>
      <c r="I330" s="10">
        <f t="shared" si="36"/>
        <v>1.1604632059598863</v>
      </c>
      <c r="J330" s="4">
        <f t="shared" si="37"/>
        <v>256.69895232529467</v>
      </c>
      <c r="K330" s="4">
        <f t="shared" si="38"/>
        <v>57.708500590192585</v>
      </c>
      <c r="L330" s="45">
        <f>Pressure!Q330</f>
        <v>1.0637480354583688</v>
      </c>
      <c r="M330" s="10">
        <f t="shared" si="40"/>
        <v>0.80330144503167733</v>
      </c>
      <c r="N330" s="10">
        <f t="shared" si="39"/>
        <v>2.9545467240956045</v>
      </c>
    </row>
    <row r="331" spans="3:14">
      <c r="C331" s="4">
        <f>Pressure!AB331*1000000</f>
        <v>1493192.891307598</v>
      </c>
      <c r="D331" s="84">
        <f>Pressure!I331</f>
        <v>1.4801552192482141E-4</v>
      </c>
      <c r="E331" s="40">
        <f>Pressure!H331</f>
        <v>148.0155219248214</v>
      </c>
      <c r="F331" s="10">
        <f t="shared" si="34"/>
        <v>8</v>
      </c>
      <c r="G331" s="4">
        <f t="shared" si="33"/>
        <v>101000</v>
      </c>
      <c r="H331" s="45">
        <f t="shared" si="35"/>
        <v>3.1851227860160973</v>
      </c>
      <c r="I331" s="10">
        <f t="shared" si="36"/>
        <v>1.1603073998593427</v>
      </c>
      <c r="J331" s="4">
        <f t="shared" si="37"/>
        <v>256.44618136676058</v>
      </c>
      <c r="K331" s="4">
        <f t="shared" si="38"/>
        <v>57.651675142026122</v>
      </c>
      <c r="L331" s="45">
        <f>Pressure!Q331</f>
        <v>1.0668767008964417</v>
      </c>
      <c r="M331" s="10">
        <f t="shared" si="40"/>
        <v>0.80272972224881178</v>
      </c>
      <c r="N331" s="10">
        <f t="shared" si="39"/>
        <v>2.9545467240956045</v>
      </c>
    </row>
    <row r="332" spans="3:14">
      <c r="C332" s="4">
        <f>Pressure!AB332*1000000</f>
        <v>1491912.815817408</v>
      </c>
      <c r="D332" s="84">
        <f>Pressure!I332</f>
        <v>1.4801552192482141E-4</v>
      </c>
      <c r="E332" s="40">
        <f>Pressure!H332</f>
        <v>148.0155219248214</v>
      </c>
      <c r="F332" s="10">
        <f t="shared" si="34"/>
        <v>8</v>
      </c>
      <c r="G332" s="4">
        <f t="shared" si="33"/>
        <v>101000</v>
      </c>
      <c r="H332" s="45">
        <f t="shared" si="35"/>
        <v>3.1831435851207508</v>
      </c>
      <c r="I332" s="10">
        <f t="shared" si="36"/>
        <v>1.1601503246260991</v>
      </c>
      <c r="J332" s="4">
        <f t="shared" si="37"/>
        <v>256.19165037955099</v>
      </c>
      <c r="K332" s="4">
        <f t="shared" si="38"/>
        <v>57.594454021750593</v>
      </c>
      <c r="L332" s="45">
        <f>Pressure!Q332</f>
        <v>1.0700062156978165</v>
      </c>
      <c r="M332" s="10">
        <f t="shared" si="40"/>
        <v>0.80215384109738319</v>
      </c>
      <c r="N332" s="10">
        <f t="shared" si="39"/>
        <v>2.9545467240956045</v>
      </c>
    </row>
    <row r="333" spans="3:14">
      <c r="C333" s="4">
        <f>Pressure!AB333*1000000</f>
        <v>1490623.7897131462</v>
      </c>
      <c r="D333" s="84">
        <f>Pressure!I333</f>
        <v>1.4801552192482141E-4</v>
      </c>
      <c r="E333" s="40">
        <f>Pressure!H333</f>
        <v>148.0155219248214</v>
      </c>
      <c r="F333" s="10">
        <f t="shared" si="34"/>
        <v>8</v>
      </c>
      <c r="G333" s="4">
        <f t="shared" si="33"/>
        <v>101000</v>
      </c>
      <c r="H333" s="45">
        <f t="shared" si="35"/>
        <v>3.1811502346817453</v>
      </c>
      <c r="I333" s="10">
        <f t="shared" si="36"/>
        <v>1.1599919773090499</v>
      </c>
      <c r="J333" s="4">
        <f t="shared" si="37"/>
        <v>255.93536145432404</v>
      </c>
      <c r="K333" s="4">
        <f t="shared" si="38"/>
        <v>57.536837699366941</v>
      </c>
      <c r="L333" s="45">
        <f>Pressure!Q333</f>
        <v>1.0731365868130895</v>
      </c>
      <c r="M333" s="10">
        <f t="shared" si="40"/>
        <v>0.80157380259792688</v>
      </c>
      <c r="N333" s="10">
        <f t="shared" si="39"/>
        <v>2.9545467240956045</v>
      </c>
    </row>
    <row r="334" spans="3:14">
      <c r="C334" s="4">
        <f>Pressure!AB334*1000000</f>
        <v>1489325.8211875565</v>
      </c>
      <c r="D334" s="84">
        <f>Pressure!I334</f>
        <v>1.4801552192482141E-4</v>
      </c>
      <c r="E334" s="40">
        <f>Pressure!H334</f>
        <v>148.0155219248214</v>
      </c>
      <c r="F334" s="10">
        <f t="shared" si="34"/>
        <v>8</v>
      </c>
      <c r="G334" s="4">
        <f t="shared" si="33"/>
        <v>101000</v>
      </c>
      <c r="H334" s="45">
        <f t="shared" si="35"/>
        <v>3.1791427405768116</v>
      </c>
      <c r="I334" s="10">
        <f t="shared" si="36"/>
        <v>1.1598323549287097</v>
      </c>
      <c r="J334" s="4">
        <f t="shared" si="37"/>
        <v>255.67731669822135</v>
      </c>
      <c r="K334" s="4">
        <f t="shared" si="38"/>
        <v>57.478826648581752</v>
      </c>
      <c r="L334" s="45">
        <f>Pressure!Q334</f>
        <v>1.0762678212096759</v>
      </c>
      <c r="M334" s="10">
        <f t="shared" si="40"/>
        <v>0.80098960778045791</v>
      </c>
      <c r="N334" s="10">
        <f t="shared" si="39"/>
        <v>2.9545467240956045</v>
      </c>
    </row>
    <row r="335" spans="3:14">
      <c r="C335" s="4">
        <f>Pressure!AB335*1000000</f>
        <v>1488018.9184979408</v>
      </c>
      <c r="D335" s="84">
        <f>Pressure!I335</f>
        <v>1.4801552192482141E-4</v>
      </c>
      <c r="E335" s="40">
        <f>Pressure!H335</f>
        <v>148.0155219248214</v>
      </c>
      <c r="F335" s="10">
        <f t="shared" si="34"/>
        <v>8</v>
      </c>
      <c r="G335" s="4">
        <f t="shared" si="33"/>
        <v>101000</v>
      </c>
      <c r="H335" s="45">
        <f t="shared" si="35"/>
        <v>3.1771211087333495</v>
      </c>
      <c r="I335" s="10">
        <f t="shared" si="36"/>
        <v>1.1596714544769846</v>
      </c>
      <c r="J335" s="4">
        <f t="shared" si="37"/>
        <v>255.41751823480149</v>
      </c>
      <c r="K335" s="4">
        <f t="shared" si="38"/>
        <v>57.420421346792295</v>
      </c>
      <c r="L335" s="45">
        <f>Pressure!Q335</f>
        <v>1.0793999258719706</v>
      </c>
      <c r="M335" s="10">
        <f t="shared" si="40"/>
        <v>0.80040125768424164</v>
      </c>
      <c r="N335" s="10">
        <f t="shared" si="39"/>
        <v>2.9545467240956045</v>
      </c>
    </row>
    <row r="336" spans="3:14">
      <c r="C336" s="4">
        <f>Pressure!AB336*1000000</f>
        <v>1486703.0899675742</v>
      </c>
      <c r="D336" s="84">
        <f>Pressure!I336</f>
        <v>1.4801552192482141E-4</v>
      </c>
      <c r="E336" s="40">
        <f>Pressure!H336</f>
        <v>148.0155219248214</v>
      </c>
      <c r="F336" s="10">
        <f t="shared" si="34"/>
        <v>8</v>
      </c>
      <c r="G336" s="4">
        <f t="shared" si="33"/>
        <v>101000</v>
      </c>
      <c r="H336" s="45">
        <f t="shared" si="35"/>
        <v>3.1750853451305909</v>
      </c>
      <c r="I336" s="10">
        <f t="shared" si="36"/>
        <v>1.1595092729171572</v>
      </c>
      <c r="J336" s="4">
        <f t="shared" si="37"/>
        <v>255.15596820432387</v>
      </c>
      <c r="K336" s="4">
        <f t="shared" si="38"/>
        <v>57.361622275150367</v>
      </c>
      <c r="L336" s="45">
        <f>Pressure!Q336</f>
        <v>1.0825329078015105</v>
      </c>
      <c r="M336" s="10">
        <f t="shared" si="40"/>
        <v>0.79980875335796031</v>
      </c>
      <c r="N336" s="10">
        <f t="shared" si="39"/>
        <v>2.9545467240956045</v>
      </c>
    </row>
    <row r="337" spans="3:14">
      <c r="C337" s="4">
        <f>Pressure!AB337*1000000</f>
        <v>1485378.3439846293</v>
      </c>
      <c r="D337" s="84">
        <f>Pressure!I337</f>
        <v>1.4801552192482141E-4</v>
      </c>
      <c r="E337" s="40">
        <f>Pressure!H337</f>
        <v>148.0155219248214</v>
      </c>
      <c r="F337" s="10">
        <f t="shared" si="34"/>
        <v>8</v>
      </c>
      <c r="G337" s="4">
        <f t="shared" si="33"/>
        <v>101000</v>
      </c>
      <c r="H337" s="45">
        <f t="shared" si="35"/>
        <v>3.173035455797927</v>
      </c>
      <c r="I337" s="10">
        <f t="shared" si="36"/>
        <v>1.1593458071835669</v>
      </c>
      <c r="J337" s="4">
        <f t="shared" si="37"/>
        <v>254.89266876353793</v>
      </c>
      <c r="K337" s="4">
        <f t="shared" si="38"/>
        <v>57.302429918514889</v>
      </c>
      <c r="L337" s="45">
        <f>Pressure!Q337</f>
        <v>1.0856667740171371</v>
      </c>
      <c r="M337" s="10">
        <f t="shared" si="40"/>
        <v>0.79921209585999253</v>
      </c>
      <c r="N337" s="10">
        <f t="shared" si="39"/>
        <v>2.9545467240956045</v>
      </c>
    </row>
    <row r="338" spans="3:14">
      <c r="C338" s="4">
        <f>Pressure!AB338*1000000</f>
        <v>1484044.6890030943</v>
      </c>
      <c r="D338" s="84">
        <f>Pressure!I338</f>
        <v>1.4801552192482141E-4</v>
      </c>
      <c r="E338" s="40">
        <f>Pressure!H338</f>
        <v>148.0155219248214</v>
      </c>
      <c r="F338" s="10">
        <f t="shared" si="34"/>
        <v>8</v>
      </c>
      <c r="G338" s="4">
        <f t="shared" si="33"/>
        <v>101000</v>
      </c>
      <c r="H338" s="45">
        <f t="shared" si="35"/>
        <v>3.1709714468163015</v>
      </c>
      <c r="I338" s="10">
        <f t="shared" si="36"/>
        <v>1.1591810541815284</v>
      </c>
      <c r="J338" s="4">
        <f t="shared" si="37"/>
        <v>254.62762208586761</v>
      </c>
      <c r="K338" s="4">
        <f t="shared" si="38"/>
        <v>57.242844765493373</v>
      </c>
      <c r="L338" s="45">
        <f>Pressure!Q338</f>
        <v>1.0888015315551602</v>
      </c>
      <c r="M338" s="10">
        <f t="shared" si="40"/>
        <v>0.79861128625796596</v>
      </c>
      <c r="N338" s="10">
        <f t="shared" si="39"/>
        <v>2.9545467240956045</v>
      </c>
    </row>
    <row r="339" spans="3:14">
      <c r="C339" s="4">
        <f>Pressure!AB339*1000000</f>
        <v>1482702.1335420306</v>
      </c>
      <c r="D339" s="84">
        <f>Pressure!I339</f>
        <v>1.4801552192482141E-4</v>
      </c>
      <c r="E339" s="40">
        <f>Pressure!H339</f>
        <v>148.0155219248214</v>
      </c>
      <c r="F339" s="10">
        <f t="shared" si="34"/>
        <v>8</v>
      </c>
      <c r="G339" s="4">
        <f t="shared" si="33"/>
        <v>101000</v>
      </c>
      <c r="H339" s="45">
        <f t="shared" si="35"/>
        <v>3.1688933243170538</v>
      </c>
      <c r="I339" s="10">
        <f t="shared" si="36"/>
        <v>1.1590150107870463</v>
      </c>
      <c r="J339" s="4">
        <f t="shared" si="37"/>
        <v>254.36083036126695</v>
      </c>
      <c r="K339" s="4">
        <f t="shared" si="38"/>
        <v>57.182867308409456</v>
      </c>
      <c r="L339" s="45">
        <f>Pressure!Q339</f>
        <v>1.0919371874695236</v>
      </c>
      <c r="M339" s="10">
        <f t="shared" si="40"/>
        <v>0.79800632562926022</v>
      </c>
      <c r="N339" s="10">
        <f t="shared" si="39"/>
        <v>2.9545467240956045</v>
      </c>
    </row>
    <row r="340" spans="3:14">
      <c r="C340" s="4">
        <f>Pressure!AB340*1000000</f>
        <v>1481350.6861866962</v>
      </c>
      <c r="D340" s="84">
        <f>Pressure!I340</f>
        <v>1.4801552192482141E-4</v>
      </c>
      <c r="E340" s="40">
        <f>Pressure!H340</f>
        <v>148.0155219248214</v>
      </c>
      <c r="F340" s="10">
        <f t="shared" si="34"/>
        <v>8</v>
      </c>
      <c r="G340" s="4">
        <f t="shared" si="33"/>
        <v>101000</v>
      </c>
      <c r="H340" s="45">
        <f t="shared" si="35"/>
        <v>3.1668010944836396</v>
      </c>
      <c r="I340" s="10">
        <f t="shared" si="36"/>
        <v>1.1588476738467584</v>
      </c>
      <c r="J340" s="4">
        <f t="shared" si="37"/>
        <v>254.09229579644577</v>
      </c>
      <c r="K340" s="4">
        <f t="shared" si="38"/>
        <v>57.122498043353666</v>
      </c>
      <c r="L340" s="45">
        <f>Pressure!Q340</f>
        <v>1.0950737488319702</v>
      </c>
      <c r="M340" s="10">
        <f t="shared" si="40"/>
        <v>0.79739721506072281</v>
      </c>
      <c r="N340" s="10">
        <f t="shared" si="39"/>
        <v>2.9545467240956045</v>
      </c>
    </row>
    <row r="341" spans="3:14">
      <c r="C341" s="4">
        <f>Pressure!AB341*1000000</f>
        <v>1479990.355588136</v>
      </c>
      <c r="D341" s="84">
        <f>Pressure!I341</f>
        <v>1.4801552192482141E-4</v>
      </c>
      <c r="E341" s="40">
        <f>Pressure!H341</f>
        <v>148.0155219248214</v>
      </c>
      <c r="F341" s="10">
        <f t="shared" si="34"/>
        <v>8</v>
      </c>
      <c r="G341" s="4">
        <f t="shared" si="33"/>
        <v>101000</v>
      </c>
      <c r="H341" s="45">
        <f t="shared" si="35"/>
        <v>3.1646947635509775</v>
      </c>
      <c r="I341" s="10">
        <f t="shared" si="36"/>
        <v>1.158679040177685</v>
      </c>
      <c r="J341" s="4">
        <f t="shared" si="37"/>
        <v>253.82202061479114</v>
      </c>
      <c r="K341" s="4">
        <f t="shared" si="38"/>
        <v>57.061737470165717</v>
      </c>
      <c r="L341" s="45">
        <f>Pressure!Q341</f>
        <v>1.0982112227322089</v>
      </c>
      <c r="M341" s="10">
        <f t="shared" si="40"/>
        <v>0.79678395564893711</v>
      </c>
      <c r="N341" s="10">
        <f t="shared" si="39"/>
        <v>2.9545467240956045</v>
      </c>
    </row>
    <row r="342" spans="3:14">
      <c r="C342" s="4">
        <f>Pressure!AB342*1000000</f>
        <v>1478621.1504632551</v>
      </c>
      <c r="D342" s="84">
        <f>Pressure!I342</f>
        <v>1.4801552192482141E-4</v>
      </c>
      <c r="E342" s="40">
        <f>Pressure!H342</f>
        <v>148.0155219248214</v>
      </c>
      <c r="F342" s="10">
        <f t="shared" si="34"/>
        <v>8</v>
      </c>
      <c r="G342" s="4">
        <f t="shared" si="33"/>
        <v>101000</v>
      </c>
      <c r="H342" s="45">
        <f t="shared" si="35"/>
        <v>3.1625743378055478</v>
      </c>
      <c r="I342" s="10">
        <f t="shared" si="36"/>
        <v>1.1585091065670372</v>
      </c>
      <c r="J342" s="4">
        <f t="shared" si="37"/>
        <v>253.55000705638443</v>
      </c>
      <c r="K342" s="4">
        <f t="shared" si="38"/>
        <v>57.00058609243839</v>
      </c>
      <c r="L342" s="45">
        <f>Pressure!Q342</f>
        <v>1.1013496162780831</v>
      </c>
      <c r="M342" s="10">
        <f t="shared" si="40"/>
        <v>0.79616654850016078</v>
      </c>
      <c r="N342" s="10">
        <f t="shared" si="39"/>
        <v>2.9545467240956045</v>
      </c>
    </row>
    <row r="343" spans="3:14">
      <c r="C343" s="4">
        <f>Pressure!AB343*1000000</f>
        <v>1477243.0795953344</v>
      </c>
      <c r="D343" s="84">
        <f>Pressure!I343</f>
        <v>1.4801552192482141E-4</v>
      </c>
      <c r="E343" s="40">
        <f>Pressure!H343</f>
        <v>148.0155219248214</v>
      </c>
      <c r="F343" s="10">
        <f t="shared" si="34"/>
        <v>8</v>
      </c>
      <c r="G343" s="4">
        <f t="shared" si="33"/>
        <v>101000</v>
      </c>
      <c r="H343" s="45">
        <f t="shared" si="35"/>
        <v>3.160439823586167</v>
      </c>
      <c r="I343" s="10">
        <f t="shared" si="36"/>
        <v>1.1583378697720768</v>
      </c>
      <c r="J343" s="4">
        <f t="shared" si="37"/>
        <v>253.27625737810624</v>
      </c>
      <c r="K343" s="4">
        <f t="shared" si="38"/>
        <v>56.939044417541083</v>
      </c>
      <c r="L343" s="45">
        <f>Pressure!Q343</f>
        <v>1.1044889365957387</v>
      </c>
      <c r="M343" s="10">
        <f t="shared" si="40"/>
        <v>0.79554499473032136</v>
      </c>
      <c r="N343" s="10">
        <f t="shared" si="39"/>
        <v>2.9545467240956045</v>
      </c>
    </row>
    <row r="344" spans="3:14">
      <c r="C344" s="4">
        <f>Pressure!AB344*1000000</f>
        <v>1475856.1518337063</v>
      </c>
      <c r="D344" s="84">
        <f>Pressure!I344</f>
        <v>1.4801552192482141E-4</v>
      </c>
      <c r="E344" s="40">
        <f>Pressure!H344</f>
        <v>148.0155219248214</v>
      </c>
      <c r="F344" s="10">
        <f t="shared" si="34"/>
        <v>8</v>
      </c>
      <c r="G344" s="4">
        <f t="shared" si="33"/>
        <v>101000</v>
      </c>
      <c r="H344" s="45">
        <f t="shared" si="35"/>
        <v>3.1582912272834878</v>
      </c>
      <c r="I344" s="10">
        <f t="shared" si="36"/>
        <v>1.158165326519871</v>
      </c>
      <c r="J344" s="4">
        <f t="shared" si="37"/>
        <v>253.00077385357542</v>
      </c>
      <c r="K344" s="4">
        <f t="shared" si="38"/>
        <v>56.87711295660614</v>
      </c>
      <c r="L344" s="45">
        <f>Pressure!Q344</f>
        <v>1.1076291908297946</v>
      </c>
      <c r="M344" s="10">
        <f t="shared" si="40"/>
        <v>0.7949192954652825</v>
      </c>
      <c r="N344" s="10">
        <f t="shared" si="39"/>
        <v>2.9545467240956045</v>
      </c>
    </row>
    <row r="345" spans="3:14">
      <c r="C345" s="4">
        <f>Pressure!AB345*1000000</f>
        <v>1474460.3760943413</v>
      </c>
      <c r="D345" s="84">
        <f>Pressure!I345</f>
        <v>1.4801552192482141E-4</v>
      </c>
      <c r="E345" s="40">
        <f>Pressure!H345</f>
        <v>148.0155219248214</v>
      </c>
      <c r="F345" s="10">
        <f t="shared" si="34"/>
        <v>8</v>
      </c>
      <c r="G345" s="4">
        <f t="shared" si="33"/>
        <v>101000</v>
      </c>
      <c r="H345" s="45">
        <f t="shared" si="35"/>
        <v>3.1561285553408696</v>
      </c>
      <c r="I345" s="10">
        <f t="shared" si="36"/>
        <v>1.1579914735071566</v>
      </c>
      <c r="J345" s="4">
        <f t="shared" si="37"/>
        <v>252.72355877326754</v>
      </c>
      <c r="K345" s="4">
        <f t="shared" si="38"/>
        <v>56.814792224555447</v>
      </c>
      <c r="L345" s="45">
        <f>Pressure!Q345</f>
        <v>1.1107703861435139</v>
      </c>
      <c r="M345" s="10">
        <f t="shared" si="40"/>
        <v>0.79428945184061928</v>
      </c>
      <c r="N345" s="10">
        <f t="shared" si="39"/>
        <v>2.9545467240956045</v>
      </c>
    </row>
    <row r="346" spans="3:14">
      <c r="C346" s="4">
        <f>Pressure!AB346*1000000</f>
        <v>1473055.7613594085</v>
      </c>
      <c r="D346" s="84">
        <f>Pressure!I346</f>
        <v>1.4801552192482141E-4</v>
      </c>
      <c r="E346" s="40">
        <f>Pressure!H346</f>
        <v>148.0155219248214</v>
      </c>
      <c r="F346" s="10">
        <f t="shared" si="34"/>
        <v>8</v>
      </c>
      <c r="G346" s="4">
        <f t="shared" si="33"/>
        <v>101000</v>
      </c>
      <c r="H346" s="45">
        <f t="shared" si="35"/>
        <v>3.1539518142536975</v>
      </c>
      <c r="I346" s="10">
        <f t="shared" si="36"/>
        <v>1.1578163074000751</v>
      </c>
      <c r="J346" s="4">
        <f t="shared" si="37"/>
        <v>252.44461444443107</v>
      </c>
      <c r="K346" s="4">
        <f t="shared" si="38"/>
        <v>56.752082740081619</v>
      </c>
      <c r="L346" s="45">
        <f>Pressure!Q346</f>
        <v>1.1139125297189751</v>
      </c>
      <c r="M346" s="10">
        <f t="shared" si="40"/>
        <v>0.79365546500175033</v>
      </c>
      <c r="N346" s="10">
        <f t="shared" si="39"/>
        <v>2.9545467240956045</v>
      </c>
    </row>
    <row r="347" spans="3:14">
      <c r="C347" s="4">
        <f>Pressure!AB347*1000000</f>
        <v>1471642.3166782595</v>
      </c>
      <c r="D347" s="84">
        <f>Pressure!I347</f>
        <v>1.4801552192482141E-4</v>
      </c>
      <c r="E347" s="40">
        <f>Pressure!H347</f>
        <v>148.0155219248214</v>
      </c>
      <c r="F347" s="10">
        <f t="shared" si="34"/>
        <v>8</v>
      </c>
      <c r="G347" s="4">
        <f t="shared" si="33"/>
        <v>101000</v>
      </c>
      <c r="H347" s="45">
        <f t="shared" si="35"/>
        <v>3.151761010570886</v>
      </c>
      <c r="I347" s="10">
        <f t="shared" si="36"/>
        <v>1.1576398248340809</v>
      </c>
      <c r="J347" s="4">
        <f t="shared" si="37"/>
        <v>252.16394319128477</v>
      </c>
      <c r="K347" s="4">
        <f t="shared" si="38"/>
        <v>56.688985025692368</v>
      </c>
      <c r="L347" s="45">
        <f>Pressure!Q347</f>
        <v>1.1170556287572464</v>
      </c>
      <c r="M347" s="10">
        <f t="shared" si="40"/>
        <v>0.7930173361041325</v>
      </c>
      <c r="N347" s="10">
        <f t="shared" si="39"/>
        <v>2.9545467240956045</v>
      </c>
    </row>
    <row r="348" spans="3:14">
      <c r="C348" s="4">
        <f>Pressure!AB348*1000000</f>
        <v>1470220.0511667798</v>
      </c>
      <c r="D348" s="84">
        <f>Pressure!I348</f>
        <v>1.4801552192482141E-4</v>
      </c>
      <c r="E348" s="40">
        <f>Pressure!H348</f>
        <v>148.0155219248214</v>
      </c>
      <c r="F348" s="10">
        <f t="shared" si="34"/>
        <v>8</v>
      </c>
      <c r="G348" s="4">
        <f t="shared" ref="G348:G411" si="41">IF(C348/(1+(k-1)/2*N348^2)^(k/(k-1))&lt;patm*1000000,patm*1000000,C348/(1+(k-1)/2*N348^2)^(k/(k-1)))</f>
        <v>101000</v>
      </c>
      <c r="H348" s="45">
        <f t="shared" si="35"/>
        <v>3.1495561508938543</v>
      </c>
      <c r="I348" s="10">
        <f t="shared" si="36"/>
        <v>1.1574620224136472</v>
      </c>
      <c r="J348" s="4">
        <f t="shared" si="37"/>
        <v>251.88154735489249</v>
      </c>
      <c r="K348" s="4">
        <f t="shared" si="38"/>
        <v>56.625499607682322</v>
      </c>
      <c r="L348" s="45">
        <f>Pressure!Q348</f>
        <v>1.1201996904785587</v>
      </c>
      <c r="M348" s="10">
        <f t="shared" si="40"/>
        <v>0.79237506631316312</v>
      </c>
      <c r="N348" s="10">
        <f t="shared" si="39"/>
        <v>2.9545467240956045</v>
      </c>
    </row>
    <row r="349" spans="3:14">
      <c r="C349" s="4">
        <f>Pressure!AB349*1000000</f>
        <v>1468788.9740076431</v>
      </c>
      <c r="D349" s="84">
        <f>Pressure!I349</f>
        <v>1.4801552192482141E-4</v>
      </c>
      <c r="E349" s="40">
        <f>Pressure!H349</f>
        <v>148.0155219248214</v>
      </c>
      <c r="F349" s="10">
        <f t="shared" ref="F349:F412" si="42">aexit/E349</f>
        <v>8</v>
      </c>
      <c r="G349" s="4">
        <f t="shared" si="41"/>
        <v>101000</v>
      </c>
      <c r="H349" s="45">
        <f t="shared" ref="H349:H412" si="43">1/(((k+1)/2)^(1/(k-1))*(patm*1000000/C349)^(1/k)*SQRT((k+1)/(k-1)*(1-(patm*1000000/C349)^((k-1)/k))))</f>
        <v>3.1473372418769103</v>
      </c>
      <c r="I349" s="10">
        <f t="shared" ref="I349:I412" si="44">etanoz*SQRT(2*k^2/(k-1)*(2/(k+1))^((k+1)/(k-1))*(1-(G349/C349)^((k-1)/k)))+(G349-patm*1000000)/C349*(aexit/E349)</f>
        <v>1.157282896712077</v>
      </c>
      <c r="J349" s="4">
        <f t="shared" ref="J349:J412" si="45">I349*D349*C349</f>
        <v>251.59742929321575</v>
      </c>
      <c r="K349" s="4">
        <f t="shared" ref="K349:K412" si="46">J349/4.4482</f>
        <v>56.561627016144904</v>
      </c>
      <c r="L349" s="45">
        <f>Pressure!Q349</f>
        <v>1.1233447221224819</v>
      </c>
      <c r="M349" s="10">
        <f t="shared" si="40"/>
        <v>0.79172865680418836</v>
      </c>
      <c r="N349" s="10">
        <f t="shared" si="39"/>
        <v>2.9545467240956045</v>
      </c>
    </row>
    <row r="350" spans="3:14">
      <c r="C350" s="4">
        <f>Pressure!AB350*1000000</f>
        <v>1467349.0944510852</v>
      </c>
      <c r="D350" s="84">
        <f>Pressure!I350</f>
        <v>1.4801552192482141E-4</v>
      </c>
      <c r="E350" s="40">
        <f>Pressure!H350</f>
        <v>148.0155219248214</v>
      </c>
      <c r="F350" s="10">
        <f t="shared" si="42"/>
        <v>8</v>
      </c>
      <c r="G350" s="4">
        <f t="shared" si="41"/>
        <v>101000</v>
      </c>
      <c r="H350" s="45">
        <f t="shared" si="43"/>
        <v>3.1451042902284367</v>
      </c>
      <c r="I350" s="10">
        <f t="shared" si="44"/>
        <v>1.157102444271382</v>
      </c>
      <c r="J350" s="4">
        <f t="shared" si="45"/>
        <v>251.31159138127086</v>
      </c>
      <c r="K350" s="4">
        <f t="shared" si="46"/>
        <v>56.497367785007611</v>
      </c>
      <c r="L350" s="45">
        <f>Pressure!Q350</f>
        <v>1.1264907309481009</v>
      </c>
      <c r="M350" s="10">
        <f t="shared" si="40"/>
        <v>0.79107810876267037</v>
      </c>
      <c r="N350" s="10">
        <f t="shared" ref="N350:N413" si="47">N349-1/834*(me-mef)</f>
        <v>2.9545467240956045</v>
      </c>
    </row>
    <row r="351" spans="3:14">
      <c r="C351" s="4">
        <f>Pressure!AB351*1000000</f>
        <v>1465900.4218145313</v>
      </c>
      <c r="D351" s="84">
        <f>Pressure!I351</f>
        <v>1.4801552192482141E-4</v>
      </c>
      <c r="E351" s="40">
        <f>Pressure!H351</f>
        <v>148.0155219248214</v>
      </c>
      <c r="F351" s="10">
        <f t="shared" si="42"/>
        <v>8</v>
      </c>
      <c r="G351" s="4">
        <f t="shared" si="41"/>
        <v>101000</v>
      </c>
      <c r="H351" s="45">
        <f t="shared" si="43"/>
        <v>3.1428573027102895</v>
      </c>
      <c r="I351" s="10">
        <f t="shared" si="44"/>
        <v>1.1569206616020113</v>
      </c>
      <c r="J351" s="4">
        <f t="shared" si="45"/>
        <v>251.02403601105726</v>
      </c>
      <c r="K351" s="4">
        <f t="shared" si="46"/>
        <v>56.432722452015931</v>
      </c>
      <c r="L351" s="45">
        <f>Pressure!Q351</f>
        <v>1.1296377242341928</v>
      </c>
      <c r="M351" s="10">
        <f t="shared" si="40"/>
        <v>0.79042342338421312</v>
      </c>
      <c r="N351" s="10">
        <f t="shared" si="47"/>
        <v>2.9545467240956045</v>
      </c>
    </row>
    <row r="352" spans="3:14">
      <c r="C352" s="4">
        <f>Pressure!AB352*1000000</f>
        <v>1464442.9654822797</v>
      </c>
      <c r="D352" s="84">
        <f>Pressure!I352</f>
        <v>1.4801552192482141E-4</v>
      </c>
      <c r="E352" s="40">
        <f>Pressure!H352</f>
        <v>148.0155219248214</v>
      </c>
      <c r="F352" s="10">
        <f t="shared" si="42"/>
        <v>8</v>
      </c>
      <c r="G352" s="4">
        <f t="shared" si="41"/>
        <v>101000</v>
      </c>
      <c r="H352" s="45">
        <f t="shared" si="43"/>
        <v>3.140596286137304</v>
      </c>
      <c r="I352" s="10">
        <f t="shared" si="44"/>
        <v>1.1567375451825872</v>
      </c>
      <c r="J352" s="4">
        <f t="shared" si="45"/>
        <v>250.73476559149785</v>
      </c>
      <c r="K352" s="4">
        <f t="shared" si="46"/>
        <v>56.367691558719898</v>
      </c>
      <c r="L352" s="45">
        <f>Pressure!Q352</f>
        <v>1.1327857092794065</v>
      </c>
      <c r="M352" s="10">
        <f t="shared" si="40"/>
        <v>0.7897646018745782</v>
      </c>
      <c r="N352" s="10">
        <f t="shared" si="47"/>
        <v>2.9545467240956045</v>
      </c>
    </row>
    <row r="353" spans="3:14">
      <c r="C353" s="4">
        <f>Pressure!AB353*1000000</f>
        <v>1462976.7349068646</v>
      </c>
      <c r="D353" s="84">
        <f>Pressure!I353</f>
        <v>1.4801552192482141E-4</v>
      </c>
      <c r="E353" s="40">
        <f>Pressure!H353</f>
        <v>148.0155219248214</v>
      </c>
      <c r="F353" s="10">
        <f t="shared" si="42"/>
        <v>8</v>
      </c>
      <c r="G353" s="4">
        <f t="shared" si="41"/>
        <v>101000</v>
      </c>
      <c r="H353" s="45">
        <f t="shared" si="43"/>
        <v>3.1383212473793827</v>
      </c>
      <c r="I353" s="10">
        <f t="shared" si="44"/>
        <v>1.1565530914598474</v>
      </c>
      <c r="J353" s="4">
        <f t="shared" si="45"/>
        <v>250.44378254871245</v>
      </c>
      <c r="K353" s="4">
        <f t="shared" si="46"/>
        <v>56.302275650535599</v>
      </c>
      <c r="L353" s="45">
        <f>Pressure!Q353</f>
        <v>1.1359346934024415</v>
      </c>
      <c r="M353" s="10">
        <f t="shared" si="40"/>
        <v>0.78910164544962547</v>
      </c>
      <c r="N353" s="10">
        <f t="shared" si="47"/>
        <v>2.9545467240956045</v>
      </c>
    </row>
    <row r="354" spans="3:14">
      <c r="C354" s="4">
        <f>Pressure!AB354*1000000</f>
        <v>1461501.7396082168</v>
      </c>
      <c r="D354" s="84">
        <f>Pressure!I354</f>
        <v>1.4801552192482141E-4</v>
      </c>
      <c r="E354" s="40">
        <f>Pressure!H354</f>
        <v>148.0155219248214</v>
      </c>
      <c r="F354" s="10">
        <f t="shared" si="42"/>
        <v>8</v>
      </c>
      <c r="G354" s="4">
        <f t="shared" si="41"/>
        <v>101000</v>
      </c>
      <c r="H354" s="45">
        <f t="shared" si="43"/>
        <v>3.1360321933601849</v>
      </c>
      <c r="I354" s="10">
        <f t="shared" si="44"/>
        <v>1.1563672968483092</v>
      </c>
      <c r="J354" s="4">
        <f t="shared" si="45"/>
        <v>250.15108932585375</v>
      </c>
      <c r="K354" s="4">
        <f t="shared" si="46"/>
        <v>56.236475276708276</v>
      </c>
      <c r="L354" s="45">
        <f>Pressure!Q354</f>
        <v>1.1390846839422297</v>
      </c>
      <c r="M354" s="10">
        <f t="shared" si="40"/>
        <v>0.78843455533570006</v>
      </c>
      <c r="N354" s="10">
        <f t="shared" si="47"/>
        <v>2.9545467240956045</v>
      </c>
    </row>
    <row r="355" spans="3:14">
      <c r="C355" s="4">
        <f>Pressure!AB355*1000000</f>
        <v>1460017.9891740528</v>
      </c>
      <c r="D355" s="84">
        <f>Pressure!I355</f>
        <v>1.4801552192482141E-4</v>
      </c>
      <c r="E355" s="40">
        <f>Pressure!H355</f>
        <v>148.0155219248214</v>
      </c>
      <c r="F355" s="10">
        <f t="shared" si="42"/>
        <v>8</v>
      </c>
      <c r="G355" s="4">
        <f t="shared" si="41"/>
        <v>101000</v>
      </c>
      <c r="H355" s="45">
        <f t="shared" si="43"/>
        <v>3.1337291310577213</v>
      </c>
      <c r="I355" s="10">
        <f t="shared" si="44"/>
        <v>1.1561801577300848</v>
      </c>
      <c r="J355" s="4">
        <f t="shared" si="45"/>
        <v>249.85668838318779</v>
      </c>
      <c r="K355" s="4">
        <f t="shared" si="46"/>
        <v>56.170290990330422</v>
      </c>
      <c r="L355" s="45">
        <f>Pressure!Q355</f>
        <v>1.1422356882581173</v>
      </c>
      <c r="M355" s="10">
        <f t="shared" si="40"/>
        <v>0.78776333276926658</v>
      </c>
      <c r="N355" s="10">
        <f t="shared" si="47"/>
        <v>2.9545467240956045</v>
      </c>
    </row>
    <row r="356" spans="3:14">
      <c r="C356" s="4">
        <f>Pressure!AB356*1000000</f>
        <v>1458525.4932600982</v>
      </c>
      <c r="D356" s="84">
        <f>Pressure!I356</f>
        <v>1.4801552192482141E-4</v>
      </c>
      <c r="E356" s="40">
        <f>Pressure!H356</f>
        <v>148.0155219248214</v>
      </c>
      <c r="F356" s="10">
        <f t="shared" si="42"/>
        <v>8</v>
      </c>
      <c r="G356" s="4">
        <f t="shared" si="41"/>
        <v>101000</v>
      </c>
      <c r="H356" s="45">
        <f t="shared" si="43"/>
        <v>3.1314120675046748</v>
      </c>
      <c r="I356" s="10">
        <f t="shared" si="44"/>
        <v>1.1559916704546738</v>
      </c>
      <c r="J356" s="4">
        <f t="shared" si="45"/>
        <v>249.56058219814096</v>
      </c>
      <c r="K356" s="4">
        <f t="shared" si="46"/>
        <v>56.103723348352361</v>
      </c>
      <c r="L356" s="45">
        <f>Pressure!Q356</f>
        <v>1.1453877137300481</v>
      </c>
      <c r="M356" s="10">
        <f t="shared" si="40"/>
        <v>0.78708797899726002</v>
      </c>
      <c r="N356" s="10">
        <f t="shared" si="47"/>
        <v>2.9545467240956045</v>
      </c>
    </row>
    <row r="357" spans="3:14">
      <c r="C357" s="4">
        <f>Pressure!AB357*1000000</f>
        <v>1457024.2615905986</v>
      </c>
      <c r="D357" s="84">
        <f>Pressure!I357</f>
        <v>1.4801552192482141E-4</v>
      </c>
      <c r="E357" s="40">
        <f>Pressure!H357</f>
        <v>148.0155219248214</v>
      </c>
      <c r="F357" s="10">
        <f t="shared" si="42"/>
        <v>8</v>
      </c>
      <c r="G357" s="4">
        <f t="shared" si="41"/>
        <v>101000</v>
      </c>
      <c r="H357" s="45">
        <f t="shared" si="43"/>
        <v>3.1290810097891879</v>
      </c>
      <c r="I357" s="10">
        <f t="shared" si="44"/>
        <v>1.155801831338789</v>
      </c>
      <c r="J357" s="4">
        <f t="shared" si="45"/>
        <v>249.2627732654046</v>
      </c>
      <c r="K357" s="4">
        <f t="shared" si="46"/>
        <v>56.03677291160573</v>
      </c>
      <c r="L357" s="45">
        <f>Pressure!Q357</f>
        <v>1.148540767758748</v>
      </c>
      <c r="M357" s="10">
        <f t="shared" si="40"/>
        <v>0.78640849527697221</v>
      </c>
      <c r="N357" s="10">
        <f t="shared" si="47"/>
        <v>2.9545467240956045</v>
      </c>
    </row>
    <row r="358" spans="3:14">
      <c r="C358" s="4">
        <f>Pressure!AB358*1000000</f>
        <v>1455514.3039577182</v>
      </c>
      <c r="D358" s="84">
        <f>Pressure!I358</f>
        <v>1.4801552192482141E-4</v>
      </c>
      <c r="E358" s="40">
        <f>Pressure!H358</f>
        <v>148.0155219248214</v>
      </c>
      <c r="F358" s="10">
        <f t="shared" si="42"/>
        <v>8</v>
      </c>
      <c r="G358" s="4">
        <f t="shared" si="41"/>
        <v>101000</v>
      </c>
      <c r="H358" s="45">
        <f t="shared" si="43"/>
        <v>3.1267359650539146</v>
      </c>
      <c r="I358" s="10">
        <f t="shared" si="44"/>
        <v>1.155610636666039</v>
      </c>
      <c r="J358" s="4">
        <f t="shared" si="45"/>
        <v>248.96326409681831</v>
      </c>
      <c r="K358" s="4">
        <f t="shared" si="46"/>
        <v>55.969440244777282</v>
      </c>
      <c r="L358" s="45">
        <f>Pressure!Q358</f>
        <v>1.151694857765911</v>
      </c>
      <c r="M358" s="10">
        <f t="shared" si="40"/>
        <v>0.78572488287628717</v>
      </c>
      <c r="N358" s="10">
        <f t="shared" si="47"/>
        <v>2.9545467240956045</v>
      </c>
    </row>
    <row r="359" spans="3:14">
      <c r="C359" s="4">
        <f>Pressure!AB359*1000000</f>
        <v>1453995.6302220102</v>
      </c>
      <c r="D359" s="84">
        <f>Pressure!I359</f>
        <v>1.4801552192482141E-4</v>
      </c>
      <c r="E359" s="40">
        <f>Pressure!H359</f>
        <v>148.0155219248214</v>
      </c>
      <c r="F359" s="10">
        <f t="shared" si="42"/>
        <v>8</v>
      </c>
      <c r="G359" s="4">
        <f t="shared" si="41"/>
        <v>101000</v>
      </c>
      <c r="H359" s="45">
        <f t="shared" si="43"/>
        <v>3.1243769404967363</v>
      </c>
      <c r="I359" s="10">
        <f t="shared" si="44"/>
        <v>1.1554180826867428</v>
      </c>
      <c r="J359" s="4">
        <f t="shared" si="45"/>
        <v>248.66205722146637</v>
      </c>
      <c r="K359" s="4">
        <f t="shared" si="46"/>
        <v>55.90172591643055</v>
      </c>
      <c r="L359" s="45">
        <f>Pressure!Q359</f>
        <v>1.1548499911943859</v>
      </c>
      <c r="M359" s="10">
        <f t="shared" si="40"/>
        <v>0.78503714307345518</v>
      </c>
      <c r="N359" s="10">
        <f t="shared" si="47"/>
        <v>2.9545467240956045</v>
      </c>
    </row>
    <row r="360" spans="3:14">
      <c r="C360" s="4">
        <f>Pressure!AB360*1000000</f>
        <v>1452468.250313032</v>
      </c>
      <c r="D360" s="84">
        <f>Pressure!I360</f>
        <v>1.4801552192482141E-4</v>
      </c>
      <c r="E360" s="40">
        <f>Pressure!H360</f>
        <v>148.0155219248214</v>
      </c>
      <c r="F360" s="10">
        <f t="shared" si="42"/>
        <v>8</v>
      </c>
      <c r="G360" s="4">
        <f t="shared" si="41"/>
        <v>101000</v>
      </c>
      <c r="H360" s="45">
        <f t="shared" si="43"/>
        <v>3.1220039433717051</v>
      </c>
      <c r="I360" s="10">
        <f t="shared" si="44"/>
        <v>1.1552241656177618</v>
      </c>
      <c r="J360" s="4">
        <f t="shared" si="45"/>
        <v>248.35915518580282</v>
      </c>
      <c r="K360" s="4">
        <f t="shared" si="46"/>
        <v>55.833630499033951</v>
      </c>
      <c r="L360" s="45">
        <f>Pressure!Q360</f>
        <v>1.1580061755083653</v>
      </c>
      <c r="M360" s="10">
        <f t="shared" ref="M360:M423" si="48">(J360+J359)/2*(L360-L359)</f>
        <v>0.78434527715741065</v>
      </c>
      <c r="N360" s="10">
        <f t="shared" si="47"/>
        <v>2.9545467240956045</v>
      </c>
    </row>
    <row r="361" spans="3:14">
      <c r="C361" s="4">
        <f>Pressure!AB361*1000000</f>
        <v>1450932.1742287909</v>
      </c>
      <c r="D361" s="84">
        <f>Pressure!I361</f>
        <v>1.4801552192482141E-4</v>
      </c>
      <c r="E361" s="40">
        <f>Pressure!H361</f>
        <v>148.0155219248214</v>
      </c>
      <c r="F361" s="10">
        <f t="shared" si="42"/>
        <v>8</v>
      </c>
      <c r="G361" s="4">
        <f t="shared" si="41"/>
        <v>101000</v>
      </c>
      <c r="H361" s="45">
        <f t="shared" si="43"/>
        <v>3.1196169809881678</v>
      </c>
      <c r="I361" s="10">
        <f t="shared" si="44"/>
        <v>1.1550288816421799</v>
      </c>
      <c r="J361" s="4">
        <f t="shared" si="45"/>
        <v>248.0545605535446</v>
      </c>
      <c r="K361" s="4">
        <f t="shared" si="46"/>
        <v>55.765154568936786</v>
      </c>
      <c r="L361" s="45">
        <f>Pressure!Q361</f>
        <v>1.1611634181935742</v>
      </c>
      <c r="M361" s="10">
        <f t="shared" si="48"/>
        <v>0.78364928642771092</v>
      </c>
      <c r="N361" s="10">
        <f t="shared" si="47"/>
        <v>2.9545467240956045</v>
      </c>
    </row>
    <row r="362" spans="3:14">
      <c r="C362" s="4">
        <f>Pressure!AB362*1000000</f>
        <v>1449387.412036482</v>
      </c>
      <c r="D362" s="84">
        <f>Pressure!I362</f>
        <v>1.4801552192482141E-4</v>
      </c>
      <c r="E362" s="40">
        <f>Pressure!H362</f>
        <v>148.0155219248214</v>
      </c>
      <c r="F362" s="10">
        <f t="shared" si="42"/>
        <v>8</v>
      </c>
      <c r="G362" s="4">
        <f t="shared" si="41"/>
        <v>101000</v>
      </c>
      <c r="H362" s="45">
        <f t="shared" si="43"/>
        <v>3.1172160607119053</v>
      </c>
      <c r="I362" s="10">
        <f t="shared" si="44"/>
        <v>1.1548322269091427</v>
      </c>
      <c r="J362" s="4">
        <f t="shared" si="45"/>
        <v>247.74827590582049</v>
      </c>
      <c r="K362" s="4">
        <f t="shared" si="46"/>
        <v>55.6962987064027</v>
      </c>
      <c r="L362" s="45">
        <f>Pressure!Q362</f>
        <v>1.164321726757461</v>
      </c>
      <c r="M362" s="10">
        <f t="shared" si="48"/>
        <v>0.78294917219450955</v>
      </c>
      <c r="N362" s="10">
        <f t="shared" si="47"/>
        <v>2.9545467240956045</v>
      </c>
    </row>
    <row r="363" spans="3:14">
      <c r="C363" s="4">
        <f>Pressure!AB363*1000000</f>
        <v>1447833.9738721661</v>
      </c>
      <c r="D363" s="84">
        <f>Pressure!I363</f>
        <v>1.4801552192482141E-4</v>
      </c>
      <c r="E363" s="40">
        <f>Pressure!H363</f>
        <v>148.0155219248214</v>
      </c>
      <c r="F363" s="10">
        <f t="shared" si="42"/>
        <v>8</v>
      </c>
      <c r="G363" s="4">
        <f t="shared" si="41"/>
        <v>101000</v>
      </c>
      <c r="H363" s="45">
        <f t="shared" si="43"/>
        <v>3.1148011899646146</v>
      </c>
      <c r="I363" s="10">
        <f t="shared" si="44"/>
        <v>1.154634197533563</v>
      </c>
      <c r="J363" s="4">
        <f t="shared" si="45"/>
        <v>247.44030384111051</v>
      </c>
      <c r="K363" s="4">
        <f t="shared" si="46"/>
        <v>55.627063495596083</v>
      </c>
      <c r="L363" s="45">
        <f>Pressure!Q363</f>
        <v>1.1674811087293904</v>
      </c>
      <c r="M363" s="10">
        <f t="shared" si="48"/>
        <v>0.78224493577887189</v>
      </c>
      <c r="N363" s="10">
        <f t="shared" si="47"/>
        <v>2.9545467240956045</v>
      </c>
    </row>
    <row r="364" spans="3:14">
      <c r="C364" s="4">
        <f>Pressure!AB364*1000000</f>
        <v>1446271.8699413834</v>
      </c>
      <c r="D364" s="84">
        <f>Pressure!I364</f>
        <v>1.4801552192482141E-4</v>
      </c>
      <c r="E364" s="40">
        <f>Pressure!H364</f>
        <v>148.0155219248214</v>
      </c>
      <c r="F364" s="10">
        <f t="shared" si="42"/>
        <v>8</v>
      </c>
      <c r="G364" s="4">
        <f t="shared" si="41"/>
        <v>101000</v>
      </c>
      <c r="H364" s="45">
        <f t="shared" si="43"/>
        <v>3.1123723762248523</v>
      </c>
      <c r="I364" s="10">
        <f t="shared" si="44"/>
        <v>1.1544347895959413</v>
      </c>
      <c r="J364" s="4">
        <f t="shared" si="45"/>
        <v>247.13064697537104</v>
      </c>
      <c r="K364" s="4">
        <f t="shared" si="46"/>
        <v>55.557449524610192</v>
      </c>
      <c r="L364" s="45">
        <f>Pressure!Q364</f>
        <v>1.1706415716608354</v>
      </c>
      <c r="M364" s="10">
        <f t="shared" si="48"/>
        <v>0.7815365785125008</v>
      </c>
      <c r="N364" s="10">
        <f t="shared" si="47"/>
        <v>2.9545467240956045</v>
      </c>
    </row>
    <row r="365" spans="3:14">
      <c r="C365" s="4">
        <f>Pressure!AB365*1000000</f>
        <v>1444701.1105187803</v>
      </c>
      <c r="D365" s="84">
        <f>Pressure!I365</f>
        <v>1.4801552192482141E-4</v>
      </c>
      <c r="E365" s="40">
        <f>Pressure!H365</f>
        <v>148.0155219248214</v>
      </c>
      <c r="F365" s="10">
        <f t="shared" si="42"/>
        <v>8</v>
      </c>
      <c r="G365" s="4">
        <f t="shared" si="41"/>
        <v>101000</v>
      </c>
      <c r="H365" s="45">
        <f t="shared" si="43"/>
        <v>3.1099296270274439</v>
      </c>
      <c r="I365" s="10">
        <f t="shared" si="44"/>
        <v>1.154233999142054</v>
      </c>
      <c r="J365" s="4">
        <f t="shared" si="45"/>
        <v>246.81930794196325</v>
      </c>
      <c r="K365" s="4">
        <f t="shared" si="46"/>
        <v>55.487457385451023</v>
      </c>
      <c r="L365" s="45">
        <f>Pressure!Q365</f>
        <v>1.1738031231255732</v>
      </c>
      <c r="M365" s="10">
        <f t="shared" si="48"/>
        <v>0.78082410173804506</v>
      </c>
      <c r="N365" s="10">
        <f t="shared" si="47"/>
        <v>2.9545467240956045</v>
      </c>
    </row>
    <row r="366" spans="3:14">
      <c r="C366" s="4">
        <f>Pressure!AB366*1000000</f>
        <v>1443121.7059490208</v>
      </c>
      <c r="D366" s="84">
        <f>Pressure!I366</f>
        <v>1.4801552192482141E-4</v>
      </c>
      <c r="E366" s="40">
        <f>Pressure!H366</f>
        <v>148.0155219248214</v>
      </c>
      <c r="F366" s="10">
        <f t="shared" si="42"/>
        <v>8</v>
      </c>
      <c r="G366" s="4">
        <f t="shared" si="41"/>
        <v>101000</v>
      </c>
      <c r="H366" s="45">
        <f t="shared" si="43"/>
        <v>3.1074729499648917</v>
      </c>
      <c r="I366" s="10">
        <f t="shared" si="44"/>
        <v>1.1540318221828076</v>
      </c>
      <c r="J366" s="4">
        <f t="shared" si="45"/>
        <v>246.50628939183707</v>
      </c>
      <c r="K366" s="4">
        <f t="shared" si="46"/>
        <v>55.417087674078743</v>
      </c>
      <c r="L366" s="45">
        <f>Pressure!Q366</f>
        <v>1.1769657707198806</v>
      </c>
      <c r="M366" s="10">
        <f t="shared" si="48"/>
        <v>0.7801075068090022</v>
      </c>
      <c r="N366" s="10">
        <f t="shared" si="47"/>
        <v>2.9545467240956045</v>
      </c>
    </row>
    <row r="367" spans="3:14">
      <c r="C367" s="4">
        <f>Pressure!AB367*1000000</f>
        <v>1441533.6666460976</v>
      </c>
      <c r="D367" s="84">
        <f>Pressure!I367</f>
        <v>1.4801552192482141E-4</v>
      </c>
      <c r="E367" s="40">
        <f>Pressure!H367</f>
        <v>148.0155219248214</v>
      </c>
      <c r="F367" s="10">
        <f t="shared" si="42"/>
        <v>8</v>
      </c>
      <c r="G367" s="4">
        <f t="shared" si="41"/>
        <v>101000</v>
      </c>
      <c r="H367" s="45">
        <f t="shared" si="43"/>
        <v>3.1050023526862898</v>
      </c>
      <c r="I367" s="10">
        <f t="shared" si="44"/>
        <v>1.1538282546938834</v>
      </c>
      <c r="J367" s="4">
        <f t="shared" si="45"/>
        <v>246.19159399339787</v>
      </c>
      <c r="K367" s="4">
        <f t="shared" si="46"/>
        <v>55.346340990377655</v>
      </c>
      <c r="L367" s="45">
        <f>Pressure!Q367</f>
        <v>1.1801295220627315</v>
      </c>
      <c r="M367" s="10">
        <f t="shared" si="48"/>
        <v>0.7793867950899046</v>
      </c>
      <c r="N367" s="10">
        <f t="shared" si="47"/>
        <v>2.9545467240956045</v>
      </c>
    </row>
    <row r="368" spans="3:14">
      <c r="C368" s="4">
        <f>Pressure!AB368*1000000</f>
        <v>1439937.0030942298</v>
      </c>
      <c r="D368" s="84">
        <f>Pressure!I368</f>
        <v>1.4801552192482141E-4</v>
      </c>
      <c r="E368" s="40">
        <f>Pressure!H368</f>
        <v>148.0155219248214</v>
      </c>
      <c r="F368" s="10">
        <f t="shared" si="42"/>
        <v>8</v>
      </c>
      <c r="G368" s="4">
        <f t="shared" si="41"/>
        <v>101000</v>
      </c>
      <c r="H368" s="45">
        <f t="shared" si="43"/>
        <v>3.1025178428987084</v>
      </c>
      <c r="I368" s="10">
        <f t="shared" si="44"/>
        <v>1.1536232926155816</v>
      </c>
      <c r="J368" s="4">
        <f t="shared" si="45"/>
        <v>245.8752244326875</v>
      </c>
      <c r="K368" s="4">
        <f t="shared" si="46"/>
        <v>55.27521793819691</v>
      </c>
      <c r="L368" s="45">
        <f>Pressure!Q368</f>
        <v>1.1832943847959956</v>
      </c>
      <c r="M368" s="10">
        <f t="shared" si="48"/>
        <v>0.77866196795627673</v>
      </c>
      <c r="N368" s="10">
        <f t="shared" si="47"/>
        <v>2.9545467240956045</v>
      </c>
    </row>
    <row r="369" spans="3:14">
      <c r="C369" s="4">
        <f>Pressure!AB369*1000000</f>
        <v>1438331.7258475476</v>
      </c>
      <c r="D369" s="84">
        <f>Pressure!I369</f>
        <v>1.4801552192482141E-4</v>
      </c>
      <c r="E369" s="40">
        <f>Pressure!H369</f>
        <v>148.0155219248214</v>
      </c>
      <c r="F369" s="10">
        <f t="shared" si="42"/>
        <v>8</v>
      </c>
      <c r="G369" s="4">
        <f t="shared" si="41"/>
        <v>101000</v>
      </c>
      <c r="H369" s="45">
        <f t="shared" si="43"/>
        <v>3.100019428366696</v>
      </c>
      <c r="I369" s="10">
        <f t="shared" si="44"/>
        <v>1.1534169318525069</v>
      </c>
      <c r="J369" s="4">
        <f t="shared" si="45"/>
        <v>245.55718341332448</v>
      </c>
      <c r="K369" s="4">
        <f t="shared" si="46"/>
        <v>55.203719125337102</v>
      </c>
      <c r="L369" s="45">
        <f>Pressure!Q369</f>
        <v>1.1864603665846385</v>
      </c>
      <c r="M369" s="10">
        <f t="shared" si="48"/>
        <v>0.77793302679470533</v>
      </c>
      <c r="N369" s="10">
        <f t="shared" si="47"/>
        <v>2.9545467240956045</v>
      </c>
    </row>
    <row r="370" spans="3:14">
      <c r="C370" s="4">
        <f>Pressure!AB370*1000000</f>
        <v>1436717.845530523</v>
      </c>
      <c r="D370" s="84">
        <f>Pressure!I370</f>
        <v>1.4801552192482141E-4</v>
      </c>
      <c r="E370" s="40">
        <f>Pressure!H370</f>
        <v>148.0155219248214</v>
      </c>
      <c r="F370" s="10">
        <f t="shared" si="42"/>
        <v>8</v>
      </c>
      <c r="G370" s="4">
        <f t="shared" si="41"/>
        <v>101000</v>
      </c>
      <c r="H370" s="45">
        <f t="shared" si="43"/>
        <v>3.0975071169129418</v>
      </c>
      <c r="I370" s="10">
        <f t="shared" si="44"/>
        <v>1.1532091682733492</v>
      </c>
      <c r="J370" s="4">
        <f t="shared" si="45"/>
        <v>245.23747365659318</v>
      </c>
      <c r="K370" s="4">
        <f t="shared" si="46"/>
        <v>55.131845163570247</v>
      </c>
      <c r="L370" s="45">
        <f>Pressure!Q370</f>
        <v>1.1896274751169233</v>
      </c>
      <c r="M370" s="10">
        <f t="shared" si="48"/>
        <v>0.77719997300297827</v>
      </c>
      <c r="N370" s="10">
        <f t="shared" si="47"/>
        <v>2.9545467240956045</v>
      </c>
    </row>
    <row r="371" spans="3:14">
      <c r="C371" s="4">
        <f>Pressure!AB371*1000000</f>
        <v>1435095.3728379332</v>
      </c>
      <c r="D371" s="84">
        <f>Pressure!I371</f>
        <v>1.4801552192482141E-4</v>
      </c>
      <c r="E371" s="40">
        <f>Pressure!H371</f>
        <v>148.0155219248214</v>
      </c>
      <c r="F371" s="10">
        <f t="shared" si="42"/>
        <v>8</v>
      </c>
      <c r="G371" s="4">
        <f t="shared" si="41"/>
        <v>101000</v>
      </c>
      <c r="H371" s="45">
        <f t="shared" si="43"/>
        <v>3.0949809164182063</v>
      </c>
      <c r="I371" s="10">
        <f t="shared" si="44"/>
        <v>1.1529999977105967</v>
      </c>
      <c r="J371" s="4">
        <f t="shared" si="45"/>
        <v>244.916097901439</v>
      </c>
      <c r="K371" s="4">
        <f t="shared" si="46"/>
        <v>55.059596668638775</v>
      </c>
      <c r="L371" s="45">
        <f>Pressure!Q371</f>
        <v>1.1927957181046134</v>
      </c>
      <c r="M371" s="10">
        <f t="shared" si="48"/>
        <v>0.77646280798997902</v>
      </c>
      <c r="N371" s="10">
        <f t="shared" si="47"/>
        <v>2.9545467240956045</v>
      </c>
    </row>
    <row r="372" spans="3:14">
      <c r="C372" s="4">
        <f>Pressure!AB372*1000000</f>
        <v>1433464.3185354639</v>
      </c>
      <c r="D372" s="84">
        <f>Pressure!I372</f>
        <v>1.4801552192482141E-4</v>
      </c>
      <c r="E372" s="40">
        <f>Pressure!H372</f>
        <v>148.0155219248214</v>
      </c>
      <c r="F372" s="10">
        <f t="shared" si="42"/>
        <v>8</v>
      </c>
      <c r="G372" s="4">
        <f t="shared" si="41"/>
        <v>101000</v>
      </c>
      <c r="H372" s="45">
        <f t="shared" si="43"/>
        <v>3.0924408348222485</v>
      </c>
      <c r="I372" s="10">
        <f t="shared" si="44"/>
        <v>1.1527894159603338</v>
      </c>
      <c r="J372" s="4">
        <f t="shared" si="45"/>
        <v>244.59305890459166</v>
      </c>
      <c r="K372" s="4">
        <f t="shared" si="46"/>
        <v>54.986974260283183</v>
      </c>
      <c r="L372" s="45">
        <f>Pressure!Q372</f>
        <v>1.1959651032831768</v>
      </c>
      <c r="M372" s="10">
        <f t="shared" si="48"/>
        <v>0.77572153317606662</v>
      </c>
      <c r="N372" s="10">
        <f t="shared" si="47"/>
        <v>2.9545467240956045</v>
      </c>
    </row>
    <row r="373" spans="3:14">
      <c r="C373" s="4">
        <f>Pressure!AB373*1000000</f>
        <v>1431824.6934588887</v>
      </c>
      <c r="D373" s="84">
        <f>Pressure!I373</f>
        <v>1.4801552192482141E-4</v>
      </c>
      <c r="E373" s="40">
        <f>Pressure!H373</f>
        <v>148.0155219248214</v>
      </c>
      <c r="F373" s="10">
        <f t="shared" si="42"/>
        <v>8</v>
      </c>
      <c r="G373" s="4">
        <f t="shared" si="41"/>
        <v>101000</v>
      </c>
      <c r="H373" s="45">
        <f t="shared" si="43"/>
        <v>3.089886880122549</v>
      </c>
      <c r="I373" s="10">
        <f t="shared" si="44"/>
        <v>1.1525774187818469</v>
      </c>
      <c r="J373" s="4">
        <f t="shared" si="45"/>
        <v>244.26835944040548</v>
      </c>
      <c r="K373" s="4">
        <f t="shared" si="46"/>
        <v>54.913978562206168</v>
      </c>
      <c r="L373" s="45">
        <f>Pressure!Q373</f>
        <v>1.1991356384119922</v>
      </c>
      <c r="M373" s="10">
        <f t="shared" si="48"/>
        <v>0.77497614999266173</v>
      </c>
      <c r="N373" s="10">
        <f t="shared" si="47"/>
        <v>2.9545467240956045</v>
      </c>
    </row>
    <row r="374" spans="3:14">
      <c r="C374" s="4">
        <f>Pressure!AB374*1000000</f>
        <v>1430176.5085157785</v>
      </c>
      <c r="D374" s="84">
        <f>Pressure!I374</f>
        <v>1.4801552192482141E-4</v>
      </c>
      <c r="E374" s="40">
        <f>Pressure!H374</f>
        <v>148.0155219248214</v>
      </c>
      <c r="F374" s="10">
        <f t="shared" si="42"/>
        <v>8</v>
      </c>
      <c r="G374" s="4">
        <f t="shared" si="41"/>
        <v>101000</v>
      </c>
      <c r="H374" s="45">
        <f t="shared" si="43"/>
        <v>3.087319060376954</v>
      </c>
      <c r="I374" s="10">
        <f t="shared" si="44"/>
        <v>1.1523640018975561</v>
      </c>
      <c r="J374" s="4">
        <f t="shared" si="45"/>
        <v>243.94200230120097</v>
      </c>
      <c r="K374" s="4">
        <f t="shared" si="46"/>
        <v>54.840610202149406</v>
      </c>
      <c r="L374" s="45">
        <f>Pressure!Q374</f>
        <v>1.2023073312745556</v>
      </c>
      <c r="M374" s="10">
        <f t="shared" si="48"/>
        <v>0.77422665988266404</v>
      </c>
      <c r="N374" s="10">
        <f t="shared" si="47"/>
        <v>2.9545467240956045</v>
      </c>
    </row>
    <row r="375" spans="3:14">
      <c r="C375" s="4">
        <f>Pressure!AB375*1000000</f>
        <v>1428519.7746844115</v>
      </c>
      <c r="D375" s="84">
        <f>Pressure!I375</f>
        <v>1.4801552192482141E-4</v>
      </c>
      <c r="E375" s="40">
        <f>Pressure!H375</f>
        <v>148.0155219248214</v>
      </c>
      <c r="F375" s="10">
        <f t="shared" si="42"/>
        <v>8</v>
      </c>
      <c r="G375" s="4">
        <f t="shared" si="41"/>
        <v>101000</v>
      </c>
      <c r="H375" s="45">
        <f t="shared" si="43"/>
        <v>3.0847373837019769</v>
      </c>
      <c r="I375" s="10">
        <f t="shared" si="44"/>
        <v>1.1521491609925836</v>
      </c>
      <c r="J375" s="4">
        <f t="shared" si="45"/>
        <v>243.61399029705277</v>
      </c>
      <c r="K375" s="4">
        <f t="shared" si="46"/>
        <v>54.766869811845865</v>
      </c>
      <c r="L375" s="45">
        <f>Pressure!Q375</f>
        <v>1.2054801896786893</v>
      </c>
      <c r="M375" s="10">
        <f t="shared" si="48"/>
        <v>0.77347306430056528</v>
      </c>
      <c r="N375" s="10">
        <f t="shared" si="47"/>
        <v>2.9545467240956045</v>
      </c>
    </row>
    <row r="376" spans="3:14">
      <c r="C376" s="4">
        <f>Pressure!AB376*1000000</f>
        <v>1426854.5030142574</v>
      </c>
      <c r="D376" s="84">
        <f>Pressure!I376</f>
        <v>1.4801552192482141E-4</v>
      </c>
      <c r="E376" s="40">
        <f>Pressure!H376</f>
        <v>148.0155219248214</v>
      </c>
      <c r="F376" s="10">
        <f t="shared" si="42"/>
        <v>8</v>
      </c>
      <c r="G376" s="4">
        <f t="shared" si="41"/>
        <v>101000</v>
      </c>
      <c r="H376" s="45">
        <f t="shared" si="43"/>
        <v>3.0821418582735398</v>
      </c>
      <c r="I376" s="10">
        <f t="shared" si="44"/>
        <v>1.1519328917145188</v>
      </c>
      <c r="J376" s="4">
        <f t="shared" si="45"/>
        <v>243.28432625588815</v>
      </c>
      <c r="K376" s="4">
        <f t="shared" si="46"/>
        <v>54.692758027041982</v>
      </c>
      <c r="L376" s="45">
        <f>Pressure!Q376</f>
        <v>1.2086542214567522</v>
      </c>
      <c r="M376" s="10">
        <f t="shared" si="48"/>
        <v>0.77271536471217162</v>
      </c>
      <c r="N376" s="10">
        <f t="shared" si="47"/>
        <v>2.9545467240956045</v>
      </c>
    </row>
    <row r="377" spans="3:14">
      <c r="C377" s="4">
        <f>Pressure!AB377*1000000</f>
        <v>1425180.7046265882</v>
      </c>
      <c r="D377" s="84">
        <f>Pressure!I377</f>
        <v>1.4801552192482141E-4</v>
      </c>
      <c r="E377" s="40">
        <f>Pressure!H377</f>
        <v>148.0155219248214</v>
      </c>
      <c r="F377" s="10">
        <f t="shared" si="42"/>
        <v>8</v>
      </c>
      <c r="G377" s="4">
        <f t="shared" si="41"/>
        <v>101000</v>
      </c>
      <c r="H377" s="45">
        <f t="shared" si="43"/>
        <v>3.0795324923279286</v>
      </c>
      <c r="I377" s="10">
        <f t="shared" si="44"/>
        <v>1.1517151896731981</v>
      </c>
      <c r="J377" s="4">
        <f t="shared" si="45"/>
        <v>242.95301302361131</v>
      </c>
      <c r="K377" s="4">
        <f t="shared" si="46"/>
        <v>54.618275487525587</v>
      </c>
      <c r="L377" s="45">
        <f>Pressure!Q377</f>
        <v>1.2118294344658511</v>
      </c>
      <c r="M377" s="10">
        <f t="shared" si="48"/>
        <v>0.77195356259496417</v>
      </c>
      <c r="N377" s="10">
        <f t="shared" si="47"/>
        <v>2.9545467240956045</v>
      </c>
    </row>
    <row r="378" spans="3:14">
      <c r="C378" s="4">
        <f>Pressure!AB378*1000000</f>
        <v>1423498.3907139739</v>
      </c>
      <c r="D378" s="84">
        <f>Pressure!I378</f>
        <v>1.4801552192482141E-4</v>
      </c>
      <c r="E378" s="40">
        <f>Pressure!H378</f>
        <v>148.0155219248214</v>
      </c>
      <c r="F378" s="10">
        <f t="shared" si="42"/>
        <v>8</v>
      </c>
      <c r="G378" s="4">
        <f t="shared" si="41"/>
        <v>101000</v>
      </c>
      <c r="H378" s="45">
        <f t="shared" si="43"/>
        <v>3.0769092941609819</v>
      </c>
      <c r="I378" s="10">
        <f t="shared" si="44"/>
        <v>1.1514960504403393</v>
      </c>
      <c r="J378" s="4">
        <f t="shared" si="45"/>
        <v>242.6200534640073</v>
      </c>
      <c r="K378" s="4">
        <f t="shared" si="46"/>
        <v>54.543422837104288</v>
      </c>
      <c r="L378" s="45">
        <f>Pressure!Q378</f>
        <v>1.2150058365880545</v>
      </c>
      <c r="M378" s="10">
        <f t="shared" si="48"/>
        <v>0.77118765943803758</v>
      </c>
      <c r="N378" s="10">
        <f t="shared" si="47"/>
        <v>2.9545467240956045</v>
      </c>
    </row>
    <row r="379" spans="3:14">
      <c r="C379" s="4">
        <f>Pressure!AB379*1000000</f>
        <v>1421807.572541089</v>
      </c>
      <c r="D379" s="84">
        <f>Pressure!I379</f>
        <v>1.4801552192482141E-4</v>
      </c>
      <c r="E379" s="40">
        <f>Pressure!H379</f>
        <v>148.0155219248214</v>
      </c>
      <c r="F379" s="10">
        <f t="shared" si="42"/>
        <v>8</v>
      </c>
      <c r="G379" s="4">
        <f t="shared" si="41"/>
        <v>101000</v>
      </c>
      <c r="H379" s="45">
        <f t="shared" si="43"/>
        <v>3.0742722721293654</v>
      </c>
      <c r="I379" s="10">
        <f t="shared" si="44"/>
        <v>1.1512754695493372</v>
      </c>
      <c r="J379" s="4">
        <f t="shared" si="45"/>
        <v>242.28545045890414</v>
      </c>
      <c r="K379" s="4">
        <f t="shared" si="46"/>
        <v>54.468200723641957</v>
      </c>
      <c r="L379" s="45">
        <f>Pressure!Q379</f>
        <v>1.2181834357306067</v>
      </c>
      <c r="M379" s="10">
        <f t="shared" si="48"/>
        <v>0.77041765674214846</v>
      </c>
      <c r="N379" s="10">
        <f t="shared" si="47"/>
        <v>2.9545467240956045</v>
      </c>
    </row>
    <row r="380" spans="3:14">
      <c r="C380" s="4">
        <f>Pressure!AB380*1000000</f>
        <v>1420108.2614445488</v>
      </c>
      <c r="D380" s="84">
        <f>Pressure!I380</f>
        <v>1.4801552192482141E-4</v>
      </c>
      <c r="E380" s="40">
        <f>Pressure!H380</f>
        <v>148.0155219248214</v>
      </c>
      <c r="F380" s="10">
        <f t="shared" si="42"/>
        <v>8</v>
      </c>
      <c r="G380" s="4">
        <f t="shared" si="41"/>
        <v>101000</v>
      </c>
      <c r="H380" s="45">
        <f t="shared" si="43"/>
        <v>3.0716214346502921</v>
      </c>
      <c r="I380" s="10">
        <f t="shared" si="44"/>
        <v>1.1510534424949348</v>
      </c>
      <c r="J380" s="4">
        <f t="shared" si="45"/>
        <v>241.94920690814413</v>
      </c>
      <c r="K380" s="4">
        <f t="shared" si="46"/>
        <v>54.392609799052231</v>
      </c>
      <c r="L380" s="45">
        <f>Pressure!Q380</f>
        <v>1.2213622398261446</v>
      </c>
      <c r="M380" s="10">
        <f t="shared" si="48"/>
        <v>0.76964355601986667</v>
      </c>
      <c r="N380" s="10">
        <f t="shared" si="47"/>
        <v>2.9545467240956045</v>
      </c>
    </row>
    <row r="381" spans="3:14">
      <c r="C381" s="4">
        <f>Pressure!AB381*1000000</f>
        <v>1418400.468833297</v>
      </c>
      <c r="D381" s="84">
        <f>Pressure!I381</f>
        <v>1.4801552192482141E-4</v>
      </c>
      <c r="E381" s="40">
        <f>Pressure!H381</f>
        <v>148.0155219248214</v>
      </c>
      <c r="F381" s="10">
        <f t="shared" si="42"/>
        <v>8</v>
      </c>
      <c r="G381" s="4">
        <f t="shared" si="41"/>
        <v>101000</v>
      </c>
      <c r="H381" s="45">
        <f t="shared" si="43"/>
        <v>3.0689567902021366</v>
      </c>
      <c r="I381" s="10">
        <f t="shared" si="44"/>
        <v>1.1508299647329605</v>
      </c>
      <c r="J381" s="4">
        <f t="shared" si="45"/>
        <v>241.61132572966392</v>
      </c>
      <c r="K381" s="4">
        <f t="shared" si="46"/>
        <v>54.316650719316563</v>
      </c>
      <c r="L381" s="45">
        <f>Pressure!Q381</f>
        <v>1.224542256832915</v>
      </c>
      <c r="M381" s="10">
        <f t="shared" si="48"/>
        <v>0.76886535879559059</v>
      </c>
      <c r="N381" s="10">
        <f t="shared" si="47"/>
        <v>2.9545467240956045</v>
      </c>
    </row>
    <row r="382" spans="3:14">
      <c r="C382" s="4">
        <f>Pressure!AB382*1000000</f>
        <v>1416684.2061885893</v>
      </c>
      <c r="D382" s="84">
        <f>Pressure!I382</f>
        <v>1.4801552192482141E-4</v>
      </c>
      <c r="E382" s="40">
        <f>Pressure!H382</f>
        <v>148.0155219248214</v>
      </c>
      <c r="F382" s="10">
        <f t="shared" si="42"/>
        <v>8</v>
      </c>
      <c r="G382" s="4">
        <f t="shared" si="41"/>
        <v>101000</v>
      </c>
      <c r="H382" s="45">
        <f t="shared" si="43"/>
        <v>3.0662783473243942</v>
      </c>
      <c r="I382" s="10">
        <f t="shared" si="44"/>
        <v>1.1506050316800085</v>
      </c>
      <c r="J382" s="4">
        <f t="shared" si="45"/>
        <v>241.2718098594942</v>
      </c>
      <c r="K382" s="4">
        <f t="shared" si="46"/>
        <v>54.240324144484106</v>
      </c>
      <c r="L382" s="45">
        <f>Pressure!Q382</f>
        <v>1.2277234947349944</v>
      </c>
      <c r="M382" s="10">
        <f t="shared" si="48"/>
        <v>0.76808306660560477</v>
      </c>
      <c r="N382" s="10">
        <f t="shared" si="47"/>
        <v>2.9545467240956045</v>
      </c>
    </row>
    <row r="383" spans="3:14">
      <c r="C383" s="4">
        <f>Pressure!AB383*1000000</f>
        <v>1414959.4850642821</v>
      </c>
      <c r="D383" s="84">
        <f>Pressure!I383</f>
        <v>1.4801552192482141E-4</v>
      </c>
      <c r="E383" s="40">
        <f>Pressure!H383</f>
        <v>148.0155219248214</v>
      </c>
      <c r="F383" s="10">
        <f t="shared" si="42"/>
        <v>8</v>
      </c>
      <c r="G383" s="4">
        <f t="shared" si="41"/>
        <v>101000</v>
      </c>
      <c r="H383" s="45">
        <f t="shared" si="43"/>
        <v>3.0635861146181291</v>
      </c>
      <c r="I383" s="10">
        <f t="shared" si="44"/>
        <v>1.1503786387131578</v>
      </c>
      <c r="J383" s="4">
        <f t="shared" si="45"/>
        <v>240.93066225182048</v>
      </c>
      <c r="K383" s="4">
        <f t="shared" si="46"/>
        <v>54.16363073868542</v>
      </c>
      <c r="L383" s="45">
        <f>Pressure!Q383</f>
        <v>1.2309059615425102</v>
      </c>
      <c r="M383" s="10">
        <f t="shared" si="48"/>
        <v>0.76729668099815429</v>
      </c>
      <c r="N383" s="10">
        <f t="shared" si="47"/>
        <v>2.9545467240956045</v>
      </c>
    </row>
    <row r="384" spans="3:14">
      <c r="C384" s="4">
        <f>Pressure!AB384*1000000</f>
        <v>1413226.3170869413</v>
      </c>
      <c r="D384" s="84">
        <f>Pressure!I384</f>
        <v>1.4801552192482141E-4</v>
      </c>
      <c r="E384" s="40">
        <f>Pressure!H384</f>
        <v>148.0155219248214</v>
      </c>
      <c r="F384" s="10">
        <f t="shared" si="42"/>
        <v>8</v>
      </c>
      <c r="G384" s="4">
        <f t="shared" si="41"/>
        <v>101000</v>
      </c>
      <c r="H384" s="45">
        <f t="shared" si="43"/>
        <v>3.0608801007461524</v>
      </c>
      <c r="I384" s="10">
        <f t="shared" si="44"/>
        <v>1.1501507811696612</v>
      </c>
      <c r="J384" s="4">
        <f t="shared" si="45"/>
        <v>240.5878858790077</v>
      </c>
      <c r="K384" s="4">
        <f t="shared" si="46"/>
        <v>54.086571170137965</v>
      </c>
      <c r="L384" s="45">
        <f>Pressure!Q384</f>
        <v>1.2340896652918631</v>
      </c>
      <c r="M384" s="10">
        <f t="shared" si="48"/>
        <v>0.76650620353355348</v>
      </c>
      <c r="N384" s="10">
        <f t="shared" si="47"/>
        <v>2.9545467240956045</v>
      </c>
    </row>
    <row r="385" spans="3:14">
      <c r="C385" s="4">
        <f>Pressure!AB385*1000000</f>
        <v>1411484.7139562217</v>
      </c>
      <c r="D385" s="84">
        <f>Pressure!I385</f>
        <v>1.4801552192482141E-4</v>
      </c>
      <c r="E385" s="40">
        <f>Pressure!H385</f>
        <v>148.0155219248214</v>
      </c>
      <c r="F385" s="10">
        <f t="shared" si="42"/>
        <v>8</v>
      </c>
      <c r="G385" s="4">
        <f t="shared" si="41"/>
        <v>101000</v>
      </c>
      <c r="H385" s="45">
        <f t="shared" si="43"/>
        <v>3.0581603144335965</v>
      </c>
      <c r="I385" s="10">
        <f t="shared" si="44"/>
        <v>1.1499214543466694</v>
      </c>
      <c r="J385" s="4">
        <f t="shared" si="45"/>
        <v>240.24348373167896</v>
      </c>
      <c r="K385" s="4">
        <f t="shared" si="46"/>
        <v>54.009146111163837</v>
      </c>
      <c r="L385" s="45">
        <f>Pressure!Q385</f>
        <v>1.2372746140459514</v>
      </c>
      <c r="M385" s="10">
        <f t="shared" si="48"/>
        <v>0.76571163578405343</v>
      </c>
      <c r="N385" s="10">
        <f t="shared" si="47"/>
        <v>2.9545467240956045</v>
      </c>
    </row>
    <row r="386" spans="3:14">
      <c r="C386" s="4">
        <f>Pressure!AB386*1000000</f>
        <v>1409734.6874450683</v>
      </c>
      <c r="D386" s="84">
        <f>Pressure!I386</f>
        <v>1.4801552192482141E-4</v>
      </c>
      <c r="E386" s="40">
        <f>Pressure!H386</f>
        <v>148.0155219248214</v>
      </c>
      <c r="F386" s="10">
        <f t="shared" si="42"/>
        <v>8</v>
      </c>
      <c r="G386" s="4">
        <f t="shared" si="41"/>
        <v>101000</v>
      </c>
      <c r="H386" s="45">
        <f t="shared" si="43"/>
        <v>3.0554267644682365</v>
      </c>
      <c r="I386" s="10">
        <f t="shared" si="44"/>
        <v>1.1496906535009233</v>
      </c>
      <c r="J386" s="4">
        <f t="shared" si="45"/>
        <v>239.89745881875797</v>
      </c>
      <c r="K386" s="4">
        <f t="shared" si="46"/>
        <v>53.931356238199264</v>
      </c>
      <c r="L386" s="45">
        <f>Pressure!Q386</f>
        <v>1.2404608158943971</v>
      </c>
      <c r="M386" s="10">
        <f t="shared" si="48"/>
        <v>0.76491297933431857</v>
      </c>
      <c r="N386" s="10">
        <f t="shared" si="47"/>
        <v>2.9545467240956045</v>
      </c>
    </row>
    <row r="387" spans="3:14">
      <c r="C387" s="4">
        <f>Pressure!AB387*1000000</f>
        <v>1407976.2493994839</v>
      </c>
      <c r="D387" s="84">
        <f>Pressure!I387</f>
        <v>1.4801552192482141E-4</v>
      </c>
      <c r="E387" s="40">
        <f>Pressure!H387</f>
        <v>148.0155219248214</v>
      </c>
      <c r="F387" s="10">
        <f t="shared" si="42"/>
        <v>8</v>
      </c>
      <c r="G387" s="4">
        <f t="shared" si="41"/>
        <v>101000</v>
      </c>
      <c r="H387" s="45">
        <f t="shared" si="43"/>
        <v>3.052679459700121</v>
      </c>
      <c r="I387" s="10">
        <f t="shared" si="44"/>
        <v>1.1494583738483919</v>
      </c>
      <c r="J387" s="4">
        <f t="shared" si="45"/>
        <v>239.54981416742751</v>
      </c>
      <c r="K387" s="4">
        <f t="shared" si="46"/>
        <v>53.853202231785332</v>
      </c>
      <c r="L387" s="45">
        <f>Pressure!Q387</f>
        <v>1.2436482789537735</v>
      </c>
      <c r="M387" s="10">
        <f t="shared" si="48"/>
        <v>0.76411023578112125</v>
      </c>
      <c r="N387" s="10">
        <f t="shared" si="47"/>
        <v>2.9545467240956045</v>
      </c>
    </row>
    <row r="388" spans="3:14">
      <c r="C388" s="4">
        <f>Pressure!AB388*1000000</f>
        <v>1406209.4117393265</v>
      </c>
      <c r="D388" s="84">
        <f>Pressure!I388</f>
        <v>1.4801552192482141E-4</v>
      </c>
      <c r="E388" s="40">
        <f>Pressure!H388</f>
        <v>148.0155219248214</v>
      </c>
      <c r="F388" s="10">
        <f t="shared" si="42"/>
        <v>8</v>
      </c>
      <c r="G388" s="4">
        <f t="shared" si="41"/>
        <v>101000</v>
      </c>
      <c r="H388" s="45">
        <f t="shared" si="43"/>
        <v>3.0499184090428226</v>
      </c>
      <c r="I388" s="10">
        <f t="shared" si="44"/>
        <v>1.1492246105640351</v>
      </c>
      <c r="J388" s="4">
        <f t="shared" si="45"/>
        <v>239.20055282328929</v>
      </c>
      <c r="K388" s="4">
        <f t="shared" si="46"/>
        <v>53.774684776603863</v>
      </c>
      <c r="L388" s="45">
        <f>Pressure!Q388</f>
        <v>1.2468370113678349</v>
      </c>
      <c r="M388" s="10">
        <f t="shared" si="48"/>
        <v>0.76330340673353714</v>
      </c>
      <c r="N388" s="10">
        <f t="shared" si="47"/>
        <v>2.9545467240956045</v>
      </c>
    </row>
    <row r="389" spans="3:14">
      <c r="C389" s="4">
        <f>Pressure!AB389*1000000</f>
        <v>1404434.1864578228</v>
      </c>
      <c r="D389" s="84">
        <f>Pressure!I389</f>
        <v>1.4801552192482141E-4</v>
      </c>
      <c r="E389" s="40">
        <f>Pressure!H389</f>
        <v>148.0155219248214</v>
      </c>
      <c r="F389" s="10">
        <f t="shared" si="42"/>
        <v>8</v>
      </c>
      <c r="G389" s="4">
        <f t="shared" si="41"/>
        <v>101000</v>
      </c>
      <c r="H389" s="45">
        <f t="shared" si="43"/>
        <v>3.0471436214726748</v>
      </c>
      <c r="I389" s="10">
        <f t="shared" si="44"/>
        <v>1.1489893587813997</v>
      </c>
      <c r="J389" s="4">
        <f t="shared" si="45"/>
        <v>238.8496778502722</v>
      </c>
      <c r="K389" s="4">
        <f t="shared" si="46"/>
        <v>53.695804561456818</v>
      </c>
      <c r="L389" s="45">
        <f>Pressure!Q389</f>
        <v>1.2500270213077471</v>
      </c>
      <c r="M389" s="10">
        <f t="shared" si="48"/>
        <v>0.76249249381300321</v>
      </c>
      <c r="N389" s="10">
        <f t="shared" si="47"/>
        <v>2.9545467240956045</v>
      </c>
    </row>
    <row r="390" spans="3:14">
      <c r="C390" s="4">
        <f>Pressure!AB390*1000000</f>
        <v>1402650.5856227947</v>
      </c>
      <c r="D390" s="84">
        <f>Pressure!I390</f>
        <v>1.4801552192482141E-4</v>
      </c>
      <c r="E390" s="40">
        <f>Pressure!H390</f>
        <v>148.0155219248214</v>
      </c>
      <c r="F390" s="10">
        <f t="shared" si="42"/>
        <v>8</v>
      </c>
      <c r="G390" s="4">
        <f t="shared" si="41"/>
        <v>101000</v>
      </c>
      <c r="H390" s="45">
        <f t="shared" si="43"/>
        <v>3.044355106030681</v>
      </c>
      <c r="I390" s="10">
        <f t="shared" si="44"/>
        <v>1.1487526135924329</v>
      </c>
      <c r="J390" s="4">
        <f t="shared" si="45"/>
        <v>238.4971923308774</v>
      </c>
      <c r="K390" s="4">
        <f t="shared" si="46"/>
        <v>53.616562279321386</v>
      </c>
      <c r="L390" s="45">
        <f>Pressure!Q390</f>
        <v>1.2532183169723208</v>
      </c>
      <c r="M390" s="10">
        <f t="shared" si="48"/>
        <v>0.76167749865345347</v>
      </c>
      <c r="N390" s="10">
        <f t="shared" si="47"/>
        <v>2.9545467240956045</v>
      </c>
    </row>
    <row r="391" spans="3:14">
      <c r="C391" s="4">
        <f>Pressure!AB391*1000000</f>
        <v>1400858.6213756814</v>
      </c>
      <c r="D391" s="84">
        <f>Pressure!I391</f>
        <v>1.4801552192482141E-4</v>
      </c>
      <c r="E391" s="40">
        <f>Pressure!H391</f>
        <v>148.0155219248214</v>
      </c>
      <c r="F391" s="10">
        <f t="shared" si="42"/>
        <v>8</v>
      </c>
      <c r="G391" s="4">
        <f t="shared" si="41"/>
        <v>101000</v>
      </c>
      <c r="H391" s="45">
        <f t="shared" si="43"/>
        <v>3.0415528718210028</v>
      </c>
      <c r="I391" s="10">
        <f t="shared" si="44"/>
        <v>1.1485143700470033</v>
      </c>
      <c r="J391" s="4">
        <f t="shared" si="45"/>
        <v>238.14309936598892</v>
      </c>
      <c r="K391" s="4">
        <f t="shared" si="46"/>
        <v>53.536958627307435</v>
      </c>
      <c r="L391" s="45">
        <f>Pressure!Q391</f>
        <v>1.2564109065882456</v>
      </c>
      <c r="M391" s="10">
        <f t="shared" si="48"/>
        <v>0.76085842290139982</v>
      </c>
      <c r="N391" s="10">
        <f t="shared" si="47"/>
        <v>2.9545467240956045</v>
      </c>
    </row>
    <row r="392" spans="3:14">
      <c r="C392" s="4">
        <f>Pressure!AB392*1000000</f>
        <v>1399058.3059324189</v>
      </c>
      <c r="D392" s="84">
        <f>Pressure!I392</f>
        <v>1.4801552192482141E-4</v>
      </c>
      <c r="E392" s="40">
        <f>Pressure!H392</f>
        <v>148.0155219248214</v>
      </c>
      <c r="F392" s="10">
        <f t="shared" si="42"/>
        <v>8</v>
      </c>
      <c r="G392" s="4">
        <f t="shared" si="41"/>
        <v>101000</v>
      </c>
      <c r="H392" s="45">
        <f t="shared" si="43"/>
        <v>3.0387369280123253</v>
      </c>
      <c r="I392" s="10">
        <f t="shared" si="44"/>
        <v>1.1482746231526628</v>
      </c>
      <c r="J392" s="4">
        <f t="shared" si="45"/>
        <v>237.78740207505072</v>
      </c>
      <c r="K392" s="4">
        <f t="shared" si="46"/>
        <v>53.456994306697254</v>
      </c>
      <c r="L392" s="45">
        <f>Pressure!Q392</f>
        <v>1.2596047984103267</v>
      </c>
      <c r="M392" s="10">
        <f t="shared" si="48"/>
        <v>0.76003526821574063</v>
      </c>
      <c r="N392" s="10">
        <f t="shared" si="47"/>
        <v>2.9545467240956045</v>
      </c>
    </row>
    <row r="393" spans="3:14">
      <c r="C393" s="4">
        <f>Pressure!AB393*1000000</f>
        <v>1397249.6515837063</v>
      </c>
      <c r="D393" s="84">
        <f>Pressure!I393</f>
        <v>1.4801552192482141E-4</v>
      </c>
      <c r="E393" s="40">
        <f>Pressure!H393</f>
        <v>148.0155219248214</v>
      </c>
      <c r="F393" s="10">
        <f t="shared" si="42"/>
        <v>8</v>
      </c>
      <c r="G393" s="4">
        <f t="shared" si="41"/>
        <v>101000</v>
      </c>
      <c r="H393" s="45">
        <f t="shared" si="43"/>
        <v>3.0359072838382763</v>
      </c>
      <c r="I393" s="10">
        <f t="shared" si="44"/>
        <v>1.1480333678743222</v>
      </c>
      <c r="J393" s="4">
        <f t="shared" si="45"/>
        <v>237.43010359612251</v>
      </c>
      <c r="K393" s="4">
        <f t="shared" si="46"/>
        <v>53.376670022958166</v>
      </c>
      <c r="L393" s="45">
        <f>Pressure!Q393</f>
        <v>1.262800000721723</v>
      </c>
      <c r="M393" s="10">
        <f t="shared" si="48"/>
        <v>0.75920803626827305</v>
      </c>
      <c r="N393" s="10">
        <f t="shared" si="47"/>
        <v>2.9545467240956045</v>
      </c>
    </row>
    <row r="394" spans="3:14">
      <c r="C394" s="4">
        <f>Pressure!AB394*1000000</f>
        <v>1395432.6706947244</v>
      </c>
      <c r="D394" s="84">
        <f>Pressure!I394</f>
        <v>1.4801552192482141E-4</v>
      </c>
      <c r="E394" s="40">
        <f>Pressure!H394</f>
        <v>148.0155219248214</v>
      </c>
      <c r="F394" s="10">
        <f t="shared" si="42"/>
        <v>8</v>
      </c>
      <c r="G394" s="4">
        <f t="shared" si="41"/>
        <v>101000</v>
      </c>
      <c r="H394" s="45">
        <f t="shared" si="43"/>
        <v>3.0330639485969999</v>
      </c>
      <c r="I394" s="10">
        <f t="shared" si="44"/>
        <v>1.1477905991338524</v>
      </c>
      <c r="J394" s="4">
        <f t="shared" si="45"/>
        <v>237.07120708582804</v>
      </c>
      <c r="K394" s="4">
        <f t="shared" si="46"/>
        <v>53.295986485730865</v>
      </c>
      <c r="L394" s="45">
        <f>Pressure!Q394</f>
        <v>1.2659965218341875</v>
      </c>
      <c r="M394" s="10">
        <f t="shared" si="48"/>
        <v>0.75837672874346351</v>
      </c>
      <c r="N394" s="10">
        <f t="shared" si="47"/>
        <v>2.9545467240956045</v>
      </c>
    </row>
    <row r="395" spans="3:14">
      <c r="C395" s="4">
        <f>Pressure!AB395*1000000</f>
        <v>1393607.3757059691</v>
      </c>
      <c r="D395" s="84">
        <f>Pressure!I395</f>
        <v>1.4801552192482141E-4</v>
      </c>
      <c r="E395" s="40">
        <f>Pressure!H395</f>
        <v>148.0155219248214</v>
      </c>
      <c r="F395" s="10">
        <f t="shared" si="42"/>
        <v>8</v>
      </c>
      <c r="G395" s="4">
        <f t="shared" si="41"/>
        <v>101000</v>
      </c>
      <c r="H395" s="45">
        <f t="shared" si="43"/>
        <v>3.0302069316524469</v>
      </c>
      <c r="I395" s="10">
        <f t="shared" si="44"/>
        <v>1.1475463118098292</v>
      </c>
      <c r="J395" s="4">
        <f t="shared" si="45"/>
        <v>236.71071571952314</v>
      </c>
      <c r="K395" s="4">
        <f t="shared" si="46"/>
        <v>53.214944408867211</v>
      </c>
      <c r="L395" s="45">
        <f>Pressure!Q395</f>
        <v>1.2691943700883082</v>
      </c>
      <c r="M395" s="10">
        <f t="shared" si="48"/>
        <v>0.75754134733850054</v>
      </c>
      <c r="N395" s="10">
        <f t="shared" si="47"/>
        <v>2.9545467240956045</v>
      </c>
    </row>
    <row r="396" spans="3:14">
      <c r="C396" s="4">
        <f>Pressure!AB396*1000000</f>
        <v>1391773.7791328321</v>
      </c>
      <c r="D396" s="84">
        <f>Pressure!I396</f>
        <v>1.4801552192482141E-4</v>
      </c>
      <c r="E396" s="40">
        <f>Pressure!H396</f>
        <v>148.0155219248214</v>
      </c>
      <c r="F396" s="10">
        <f t="shared" si="42"/>
        <v>8</v>
      </c>
      <c r="G396" s="4">
        <f t="shared" si="41"/>
        <v>101000</v>
      </c>
      <c r="H396" s="45">
        <f t="shared" si="43"/>
        <v>3.0273362424337424</v>
      </c>
      <c r="I396" s="10">
        <f t="shared" si="44"/>
        <v>1.1473005007371031</v>
      </c>
      <c r="J396" s="4">
        <f t="shared" si="45"/>
        <v>236.34863269121581</v>
      </c>
      <c r="K396" s="4">
        <f t="shared" si="46"/>
        <v>53.133544510412257</v>
      </c>
      <c r="L396" s="45">
        <f>Pressure!Q396</f>
        <v>1.2723935538537523</v>
      </c>
      <c r="M396" s="10">
        <f t="shared" si="48"/>
        <v>0.75670189376361119</v>
      </c>
      <c r="N396" s="10">
        <f t="shared" si="47"/>
        <v>2.9545467240956045</v>
      </c>
    </row>
    <row r="397" spans="3:14">
      <c r="C397" s="4">
        <f>Pressure!AB397*1000000</f>
        <v>1389931.8935664352</v>
      </c>
      <c r="D397" s="84">
        <f>Pressure!I397</f>
        <v>1.4801552192482141E-4</v>
      </c>
      <c r="E397" s="40">
        <f>Pressure!H397</f>
        <v>148.0155219248214</v>
      </c>
      <c r="F397" s="10">
        <f t="shared" si="42"/>
        <v>8</v>
      </c>
      <c r="G397" s="4">
        <f t="shared" si="41"/>
        <v>101000</v>
      </c>
      <c r="H397" s="45">
        <f t="shared" si="43"/>
        <v>3.0244518904364788</v>
      </c>
      <c r="I397" s="10">
        <f t="shared" si="44"/>
        <v>1.1470531607065388</v>
      </c>
      <c r="J397" s="4">
        <f t="shared" si="45"/>
        <v>235.98496121373506</v>
      </c>
      <c r="K397" s="4">
        <f t="shared" si="46"/>
        <v>53.051787512642207</v>
      </c>
      <c r="L397" s="45">
        <f>Pressure!Q397</f>
        <v>1.2755940815295117</v>
      </c>
      <c r="M397" s="10">
        <f t="shared" si="48"/>
        <v>0.75585836974184872</v>
      </c>
      <c r="N397" s="10">
        <f t="shared" si="47"/>
        <v>2.9545467240956045</v>
      </c>
    </row>
    <row r="398" spans="3:14">
      <c r="C398" s="4">
        <f>Pressure!AB398*1000000</f>
        <v>1388081.7316731184</v>
      </c>
      <c r="D398" s="84">
        <f>Pressure!I398</f>
        <v>1.4801552192482141E-4</v>
      </c>
      <c r="E398" s="40">
        <f>Pressure!H398</f>
        <v>148.0155219248214</v>
      </c>
      <c r="F398" s="10">
        <f t="shared" si="42"/>
        <v>8</v>
      </c>
      <c r="G398" s="4">
        <f t="shared" si="41"/>
        <v>101000</v>
      </c>
      <c r="H398" s="45">
        <f t="shared" si="43"/>
        <v>3.021553885221937</v>
      </c>
      <c r="I398" s="10">
        <f t="shared" si="44"/>
        <v>1.1468042864645649</v>
      </c>
      <c r="J398" s="4">
        <f t="shared" si="45"/>
        <v>235.61970451863314</v>
      </c>
      <c r="K398" s="4">
        <f t="shared" si="46"/>
        <v>52.969674142042429</v>
      </c>
      <c r="L398" s="45">
        <f>Pressure!Q398</f>
        <v>1.2787959615441507</v>
      </c>
      <c r="M398" s="10">
        <f t="shared" si="48"/>
        <v>0.75501077700947539</v>
      </c>
      <c r="N398" s="10">
        <f t="shared" si="47"/>
        <v>2.9545467240956045</v>
      </c>
    </row>
    <row r="399" spans="3:14">
      <c r="C399" s="4">
        <f>Pressure!AB399*1000000</f>
        <v>1386223.3061954873</v>
      </c>
      <c r="D399" s="84">
        <f>Pressure!I399</f>
        <v>1.4801552192482141E-4</v>
      </c>
      <c r="E399" s="40">
        <f>Pressure!H399</f>
        <v>148.0155219248214</v>
      </c>
      <c r="F399" s="10">
        <f t="shared" si="42"/>
        <v>8</v>
      </c>
      <c r="G399" s="4">
        <f t="shared" si="41"/>
        <v>101000</v>
      </c>
      <c r="H399" s="45">
        <f t="shared" si="43"/>
        <v>3.0186422364187213</v>
      </c>
      <c r="I399" s="10">
        <f t="shared" si="44"/>
        <v>1.1465538727129314</v>
      </c>
      <c r="J399" s="4">
        <f t="shared" si="45"/>
        <v>235.25286585639586</v>
      </c>
      <c r="K399" s="4">
        <f t="shared" si="46"/>
        <v>52.887205129354761</v>
      </c>
      <c r="L399" s="45">
        <f>Pressure!Q399</f>
        <v>1.2819992023560547</v>
      </c>
      <c r="M399" s="10">
        <f t="shared" si="48"/>
        <v>0.75415911731572505</v>
      </c>
      <c r="N399" s="10">
        <f t="shared" si="47"/>
        <v>2.9545467240956045</v>
      </c>
    </row>
    <row r="400" spans="3:14">
      <c r="C400" s="4">
        <f>Pressure!AB400*1000000</f>
        <v>1384356.6299518852</v>
      </c>
      <c r="D400" s="84">
        <f>Pressure!I400</f>
        <v>1.4801552192482141E-4</v>
      </c>
      <c r="E400" s="40">
        <f>Pressure!H400</f>
        <v>148.0155219248214</v>
      </c>
      <c r="F400" s="10">
        <f t="shared" si="42"/>
        <v>8</v>
      </c>
      <c r="G400" s="4">
        <f t="shared" si="41"/>
        <v>101000</v>
      </c>
      <c r="H400" s="45">
        <f t="shared" si="43"/>
        <v>3.0157169537219515</v>
      </c>
      <c r="I400" s="10">
        <f t="shared" si="44"/>
        <v>1.1463019141082491</v>
      </c>
      <c r="J400" s="4">
        <f t="shared" si="45"/>
        <v>234.88444849634149</v>
      </c>
      <c r="K400" s="4">
        <f t="shared" si="46"/>
        <v>52.804381209554762</v>
      </c>
      <c r="L400" s="45">
        <f>Pressure!Q400</f>
        <v>1.2852038124536822</v>
      </c>
      <c r="M400" s="10">
        <f t="shared" si="48"/>
        <v>0.75330339242313138</v>
      </c>
      <c r="N400" s="10">
        <f t="shared" si="47"/>
        <v>2.9545467240956045</v>
      </c>
    </row>
    <row r="401" spans="3:14">
      <c r="C401" s="4">
        <f>Pressure!AB401*1000000</f>
        <v>1382481.71583703</v>
      </c>
      <c r="D401" s="84">
        <f>Pressure!I401</f>
        <v>1.4801552192482141E-4</v>
      </c>
      <c r="E401" s="40">
        <f>Pressure!H401</f>
        <v>148.0155219248214</v>
      </c>
      <c r="F401" s="10">
        <f t="shared" si="42"/>
        <v>8</v>
      </c>
      <c r="G401" s="4">
        <f t="shared" si="41"/>
        <v>101000</v>
      </c>
      <c r="H401" s="45">
        <f t="shared" si="43"/>
        <v>3.012778046894252</v>
      </c>
      <c r="I401" s="10">
        <f t="shared" si="44"/>
        <v>1.1460484052616848</v>
      </c>
      <c r="J401" s="4">
        <f t="shared" si="45"/>
        <v>234.5144557267509</v>
      </c>
      <c r="K401" s="4">
        <f t="shared" si="46"/>
        <v>52.721203121880961</v>
      </c>
      <c r="L401" s="45">
        <f>Pressure!Q401</f>
        <v>1.2884098003558178</v>
      </c>
      <c r="M401" s="10">
        <f t="shared" si="48"/>
        <v>0.75244360410745992</v>
      </c>
      <c r="N401" s="10">
        <f t="shared" si="47"/>
        <v>2.9545467240956045</v>
      </c>
    </row>
    <row r="402" spans="3:14">
      <c r="C402" s="4">
        <f>Pressure!AB402*1000000</f>
        <v>1380598.5768223209</v>
      </c>
      <c r="D402" s="84">
        <f>Pressure!I402</f>
        <v>1.4801552192482141E-4</v>
      </c>
      <c r="E402" s="40">
        <f>Pressure!H402</f>
        <v>148.0155219248214</v>
      </c>
      <c r="F402" s="10">
        <f t="shared" si="42"/>
        <v>8</v>
      </c>
      <c r="G402" s="4">
        <f t="shared" si="41"/>
        <v>101000</v>
      </c>
      <c r="H402" s="45">
        <f t="shared" si="43"/>
        <v>3.0098255257662654</v>
      </c>
      <c r="I402" s="10">
        <f t="shared" si="44"/>
        <v>1.1457933407386018</v>
      </c>
      <c r="J402" s="4">
        <f t="shared" si="45"/>
        <v>234.14289085493053</v>
      </c>
      <c r="K402" s="4">
        <f t="shared" si="46"/>
        <v>52.63767160984905</v>
      </c>
      <c r="L402" s="45">
        <f>Pressure!Q402</f>
        <v>1.291617174611827</v>
      </c>
      <c r="M402" s="10">
        <f t="shared" si="48"/>
        <v>0.75157975415784584</v>
      </c>
      <c r="N402" s="10">
        <f t="shared" si="47"/>
        <v>2.9545467240956045</v>
      </c>
    </row>
    <row r="403" spans="3:14">
      <c r="C403" s="4">
        <f>Pressure!AB403*1000000</f>
        <v>1378707.2259555499</v>
      </c>
      <c r="D403" s="84">
        <f>Pressure!I403</f>
        <v>1.4801552192482141E-4</v>
      </c>
      <c r="E403" s="40">
        <f>Pressure!H403</f>
        <v>148.0155219248214</v>
      </c>
      <c r="F403" s="10">
        <f t="shared" si="42"/>
        <v>8</v>
      </c>
      <c r="G403" s="4">
        <f t="shared" si="41"/>
        <v>101000</v>
      </c>
      <c r="H403" s="45">
        <f t="shared" si="43"/>
        <v>3.0068594002361904</v>
      </c>
      <c r="I403" s="10">
        <f t="shared" si="44"/>
        <v>1.1455367150581213</v>
      </c>
      <c r="J403" s="4">
        <f t="shared" si="45"/>
        <v>233.76975720715973</v>
      </c>
      <c r="K403" s="4">
        <f t="shared" si="46"/>
        <v>52.553787421239988</v>
      </c>
      <c r="L403" s="45">
        <f>Pressure!Q403</f>
        <v>1.2948259438019145</v>
      </c>
      <c r="M403" s="10">
        <f t="shared" si="48"/>
        <v>0.75071184437694582</v>
      </c>
      <c r="N403" s="10">
        <f t="shared" si="47"/>
        <v>2.9545467240956045</v>
      </c>
    </row>
    <row r="404" spans="3:14">
      <c r="C404" s="4">
        <f>Pressure!AB404*1000000</f>
        <v>1376807.6763616421</v>
      </c>
      <c r="D404" s="84">
        <f>Pressure!I404</f>
        <v>1.4801552192482141E-4</v>
      </c>
      <c r="E404" s="40">
        <f>Pressure!H404</f>
        <v>148.0155219248214</v>
      </c>
      <c r="F404" s="10">
        <f t="shared" si="42"/>
        <v>8</v>
      </c>
      <c r="G404" s="4">
        <f t="shared" si="41"/>
        <v>101000</v>
      </c>
      <c r="H404" s="45">
        <f t="shared" si="43"/>
        <v>3.0038796802709662</v>
      </c>
      <c r="I404" s="10">
        <f t="shared" si="44"/>
        <v>1.145278522692815</v>
      </c>
      <c r="J404" s="4">
        <f t="shared" si="45"/>
        <v>233.39505812884022</v>
      </c>
      <c r="K404" s="4">
        <f t="shared" si="46"/>
        <v>52.469551308133674</v>
      </c>
      <c r="L404" s="45">
        <f>Pressure!Q404</f>
        <v>1.2980361165373828</v>
      </c>
      <c r="M404" s="10">
        <f t="shared" si="48"/>
        <v>0.74983987658085705</v>
      </c>
      <c r="N404" s="10">
        <f t="shared" si="47"/>
        <v>2.9545467240956045</v>
      </c>
    </row>
    <row r="405" spans="3:14">
      <c r="C405" s="4">
        <f>Pressure!AB405*1000000</f>
        <v>1374899.9412427046</v>
      </c>
      <c r="D405" s="84">
        <f>Pressure!I405</f>
        <v>1.4801552192482141E-4</v>
      </c>
      <c r="E405" s="40">
        <f>Pressure!H405</f>
        <v>148.0155219248214</v>
      </c>
      <c r="F405" s="10">
        <f t="shared" si="42"/>
        <v>8</v>
      </c>
      <c r="G405" s="4">
        <f t="shared" si="41"/>
        <v>101000</v>
      </c>
      <c r="H405" s="45">
        <f t="shared" si="43"/>
        <v>3.0008863759063558</v>
      </c>
      <c r="I405" s="10">
        <f t="shared" si="44"/>
        <v>1.1450187580683004</v>
      </c>
      <c r="J405" s="4">
        <f t="shared" si="45"/>
        <v>233.01879698450907</v>
      </c>
      <c r="K405" s="4">
        <f t="shared" si="46"/>
        <v>52.384964026911803</v>
      </c>
      <c r="L405" s="45">
        <f>Pressure!Q405</f>
        <v>1.3012477014608934</v>
      </c>
      <c r="M405" s="10">
        <f t="shared" si="48"/>
        <v>0.74896385259924292</v>
      </c>
      <c r="N405" s="10">
        <f t="shared" si="47"/>
        <v>2.9545467240956045</v>
      </c>
    </row>
    <row r="406" spans="3:14">
      <c r="C406" s="4">
        <f>Pressure!AB406*1000000</f>
        <v>1372984.0338781266</v>
      </c>
      <c r="D406" s="84">
        <f>Pressure!I406</f>
        <v>1.4801552192482141E-4</v>
      </c>
      <c r="E406" s="40">
        <f>Pressure!H406</f>
        <v>148.0155219248214</v>
      </c>
      <c r="F406" s="10">
        <f t="shared" si="42"/>
        <v>8</v>
      </c>
      <c r="G406" s="4">
        <f t="shared" si="41"/>
        <v>101000</v>
      </c>
      <c r="H406" s="45">
        <f t="shared" si="43"/>
        <v>2.9978794972471183</v>
      </c>
      <c r="I406" s="10">
        <f t="shared" si="44"/>
        <v>1.1447574155628386</v>
      </c>
      <c r="J406" s="4">
        <f t="shared" si="45"/>
        <v>232.6409771578623</v>
      </c>
      <c r="K406" s="4">
        <f t="shared" si="46"/>
        <v>52.300026338263187</v>
      </c>
      <c r="L406" s="45">
        <f>Pressure!Q406</f>
        <v>1.3044607072467307</v>
      </c>
      <c r="M406" s="10">
        <f t="shared" si="48"/>
        <v>0.74808377427555894</v>
      </c>
      <c r="N406" s="10">
        <f t="shared" si="47"/>
        <v>2.9545467240956045</v>
      </c>
    </row>
    <row r="407" spans="3:14">
      <c r="C407" s="4">
        <f>Pressure!AB407*1000000</f>
        <v>1371059.9676250301</v>
      </c>
      <c r="D407" s="84">
        <f>Pressure!I407</f>
        <v>1.4801552192482141E-4</v>
      </c>
      <c r="E407" s="40">
        <f>Pressure!H407</f>
        <v>148.0155219248214</v>
      </c>
      <c r="F407" s="10">
        <f t="shared" si="42"/>
        <v>8</v>
      </c>
      <c r="G407" s="4">
        <f t="shared" si="41"/>
        <v>101000</v>
      </c>
      <c r="H407" s="45">
        <f t="shared" si="43"/>
        <v>2.9948590544677289</v>
      </c>
      <c r="I407" s="10">
        <f t="shared" si="44"/>
        <v>1.1444944895069733</v>
      </c>
      <c r="J407" s="4">
        <f t="shared" si="45"/>
        <v>232.26160205184701</v>
      </c>
      <c r="K407" s="4">
        <f t="shared" si="46"/>
        <v>52.214739007204493</v>
      </c>
      <c r="L407" s="45">
        <f>Pressure!Q407</f>
        <v>1.3076751426010675</v>
      </c>
      <c r="M407" s="10">
        <f t="shared" si="48"/>
        <v>0.74719964346703938</v>
      </c>
      <c r="N407" s="10">
        <f t="shared" si="47"/>
        <v>2.9545467240956045</v>
      </c>
    </row>
    <row r="408" spans="3:14">
      <c r="C408" s="4">
        <f>Pressure!AB408*1000000</f>
        <v>1369127.7559183866</v>
      </c>
      <c r="D408" s="84">
        <f>Pressure!I408</f>
        <v>1.4801552192482141E-4</v>
      </c>
      <c r="E408" s="40">
        <f>Pressure!H408</f>
        <v>148.0155219248214</v>
      </c>
      <c r="F408" s="10">
        <f t="shared" si="42"/>
        <v>8</v>
      </c>
      <c r="G408" s="4">
        <f t="shared" si="41"/>
        <v>101000</v>
      </c>
      <c r="H408" s="45">
        <f t="shared" si="43"/>
        <v>2.99182505781258</v>
      </c>
      <c r="I408" s="10">
        <f t="shared" si="44"/>
        <v>1.144229974183123</v>
      </c>
      <c r="J408" s="4">
        <f t="shared" si="45"/>
        <v>231.88067508868846</v>
      </c>
      <c r="K408" s="4">
        <f t="shared" si="46"/>
        <v>52.129102803086298</v>
      </c>
      <c r="L408" s="45">
        <f>Pressure!Q408</f>
        <v>1.3108910162622325</v>
      </c>
      <c r="M408" s="10">
        <f t="shared" si="48"/>
        <v>0.74631146204468224</v>
      </c>
      <c r="N408" s="10">
        <f t="shared" si="47"/>
        <v>2.9545467240956045</v>
      </c>
    </row>
    <row r="409" spans="3:14">
      <c r="C409" s="4">
        <f>Pressure!AB409*1000000</f>
        <v>1367187.4122712514</v>
      </c>
      <c r="D409" s="84">
        <f>Pressure!I409</f>
        <v>1.4801552192482141E-4</v>
      </c>
      <c r="E409" s="40">
        <f>Pressure!H409</f>
        <v>148.0155219248214</v>
      </c>
      <c r="F409" s="10">
        <f t="shared" si="42"/>
        <v>8</v>
      </c>
      <c r="G409" s="4">
        <f t="shared" si="41"/>
        <v>101000</v>
      </c>
      <c r="H409" s="45">
        <f t="shared" si="43"/>
        <v>2.9887775175963625</v>
      </c>
      <c r="I409" s="10">
        <f t="shared" si="44"/>
        <v>1.1439638638251797</v>
      </c>
      <c r="J409" s="4">
        <f t="shared" si="45"/>
        <v>231.49819970993917</v>
      </c>
      <c r="K409" s="4">
        <f t="shared" si="46"/>
        <v>52.043118499604148</v>
      </c>
      <c r="L409" s="45">
        <f>Pressure!Q409</f>
        <v>1.3141083370009798</v>
      </c>
      <c r="M409" s="10">
        <f t="shared" si="48"/>
        <v>0.74541923189352166</v>
      </c>
      <c r="N409" s="10">
        <f t="shared" si="47"/>
        <v>2.9545467240956045</v>
      </c>
    </row>
    <row r="410" spans="3:14">
      <c r="C410" s="4">
        <f>Pressure!AB410*1000000</f>
        <v>1365238.9502748603</v>
      </c>
      <c r="D410" s="84">
        <f>Pressure!I410</f>
        <v>1.4801552192482141E-4</v>
      </c>
      <c r="E410" s="40">
        <f>Pressure!H410</f>
        <v>148.0155219248214</v>
      </c>
      <c r="F410" s="10">
        <f t="shared" si="42"/>
        <v>8</v>
      </c>
      <c r="G410" s="4">
        <f t="shared" si="41"/>
        <v>101000</v>
      </c>
      <c r="H410" s="45">
        <f t="shared" si="43"/>
        <v>2.9857164442042348</v>
      </c>
      <c r="I410" s="10">
        <f t="shared" si="44"/>
        <v>1.143696152618088</v>
      </c>
      <c r="J410" s="4">
        <f t="shared" si="45"/>
        <v>231.11417937650222</v>
      </c>
      <c r="K410" s="4">
        <f t="shared" si="46"/>
        <v>51.95678687480379</v>
      </c>
      <c r="L410" s="45">
        <f>Pressure!Q410</f>
        <v>1.3173271136207618</v>
      </c>
      <c r="M410" s="10">
        <f t="shared" si="48"/>
        <v>0.74452295491257836</v>
      </c>
      <c r="N410" s="10">
        <f t="shared" si="47"/>
        <v>2.9545467240956045</v>
      </c>
    </row>
    <row r="411" spans="3:14">
      <c r="C411" s="4">
        <f>Pressure!AB411*1000000</f>
        <v>1363282.3835993009</v>
      </c>
      <c r="D411" s="84">
        <f>Pressure!I411</f>
        <v>1.4801552192482141E-4</v>
      </c>
      <c r="E411" s="40">
        <f>Pressure!H411</f>
        <v>148.0155219248214</v>
      </c>
      <c r="F411" s="10">
        <f t="shared" si="42"/>
        <v>8</v>
      </c>
      <c r="G411" s="4">
        <f t="shared" si="41"/>
        <v>101000</v>
      </c>
      <c r="H411" s="45">
        <f t="shared" si="43"/>
        <v>2.9826418480928973</v>
      </c>
      <c r="I411" s="10">
        <f t="shared" si="44"/>
        <v>1.1434268346974961</v>
      </c>
      <c r="J411" s="4">
        <f t="shared" si="45"/>
        <v>230.72861756876694</v>
      </c>
      <c r="K411" s="4">
        <f t="shared" si="46"/>
        <v>51.870108711111669</v>
      </c>
      <c r="L411" s="45">
        <f>Pressure!Q411</f>
        <v>1.3205473549580027</v>
      </c>
      <c r="M411" s="10">
        <f t="shared" si="48"/>
        <v>0.74362263301504594</v>
      </c>
      <c r="N411" s="10">
        <f t="shared" si="47"/>
        <v>2.9545467240956045</v>
      </c>
    </row>
    <row r="412" spans="3:14">
      <c r="C412" s="4">
        <f>Pressure!AB412*1000000</f>
        <v>1361317.7259930326</v>
      </c>
      <c r="D412" s="84">
        <f>Pressure!I412</f>
        <v>1.4801552192482141E-4</v>
      </c>
      <c r="E412" s="40">
        <f>Pressure!H412</f>
        <v>148.0155219248214</v>
      </c>
      <c r="F412" s="10">
        <f t="shared" si="42"/>
        <v>8</v>
      </c>
      <c r="G412" s="4">
        <f t="shared" ref="G412:G475" si="49">IF(C412/(1+(k-1)/2*N412^2)^(k/(k-1))&lt;patm*1000000,patm*1000000,C412/(1+(k-1)/2*N412^2)^(k/(k-1)))</f>
        <v>101000</v>
      </c>
      <c r="H412" s="45">
        <f t="shared" si="43"/>
        <v>2.9795537397898606</v>
      </c>
      <c r="I412" s="10">
        <f t="shared" si="44"/>
        <v>1.1431559041492425</v>
      </c>
      <c r="J412" s="4">
        <f t="shared" si="45"/>
        <v>230.3415177865177</v>
      </c>
      <c r="K412" s="4">
        <f t="shared" si="46"/>
        <v>51.783084795314444</v>
      </c>
      <c r="L412" s="45">
        <f>Pressure!Q412</f>
        <v>1.323769069882375</v>
      </c>
      <c r="M412" s="10">
        <f t="shared" si="48"/>
        <v>0.7427182681282356</v>
      </c>
      <c r="N412" s="10">
        <f t="shared" si="47"/>
        <v>2.9545467240956045</v>
      </c>
    </row>
    <row r="413" spans="3:14">
      <c r="C413" s="4">
        <f>Pressure!AB413*1000000</f>
        <v>1359344.9912841199</v>
      </c>
      <c r="D413" s="84">
        <f>Pressure!I413</f>
        <v>1.4801552192482141E-4</v>
      </c>
      <c r="E413" s="40">
        <f>Pressure!H413</f>
        <v>148.0155219248214</v>
      </c>
      <c r="F413" s="10">
        <f t="shared" ref="F413:F476" si="50">aexit/E413</f>
        <v>8</v>
      </c>
      <c r="G413" s="4">
        <f t="shared" si="49"/>
        <v>101000</v>
      </c>
      <c r="H413" s="45">
        <f t="shared" ref="H413:H476" si="51">1/(((k+1)/2)^(1/(k-1))*(patm*1000000/C413)^(1/k)*SQRT((k+1)/(k-1)*(1-(patm*1000000/C413)^((k-1)/k))))</f>
        <v>2.9764521298953963</v>
      </c>
      <c r="I413" s="10">
        <f t="shared" ref="I413:I476" si="52">etanoz*SQRT(2*k^2/(k-1)*(2/(k+1))^((k+1)/(k-1))*(1-(G413/C413)^((k-1)/k)))+(G413-patm*1000000)/C413*(aexit/E413)</f>
        <v>1.1428833550090756</v>
      </c>
      <c r="J413" s="4">
        <f t="shared" ref="J413:J476" si="53">I413*D413*C413</f>
        <v>229.9528835491808</v>
      </c>
      <c r="K413" s="4">
        <f t="shared" ref="K413:K474" si="54">J413/4.4482</f>
        <v>51.695715918614454</v>
      </c>
      <c r="L413" s="45">
        <f>Pressure!Q413</f>
        <v>1.3269922672970782</v>
      </c>
      <c r="M413" s="10">
        <f t="shared" si="48"/>
        <v>0.74180986219379652</v>
      </c>
      <c r="N413" s="10">
        <f t="shared" si="47"/>
        <v>2.9545467240956045</v>
      </c>
    </row>
    <row r="414" spans="3:14">
      <c r="C414" s="4">
        <f>Pressure!AB414*1000000</f>
        <v>1357364.1933794233</v>
      </c>
      <c r="D414" s="84">
        <f>Pressure!I414</f>
        <v>1.4801552192482141E-4</v>
      </c>
      <c r="E414" s="40">
        <f>Pressure!H414</f>
        <v>148.0155219248214</v>
      </c>
      <c r="F414" s="10">
        <f t="shared" si="50"/>
        <v>8</v>
      </c>
      <c r="G414" s="4">
        <f t="shared" si="49"/>
        <v>101000</v>
      </c>
      <c r="H414" s="45">
        <f t="shared" si="51"/>
        <v>2.973337029081291</v>
      </c>
      <c r="I414" s="10">
        <f t="shared" si="52"/>
        <v>1.1426091812620858</v>
      </c>
      <c r="J414" s="4">
        <f t="shared" si="53"/>
        <v>229.56271839566872</v>
      </c>
      <c r="K414" s="4">
        <f t="shared" si="54"/>
        <v>51.608002876594739</v>
      </c>
      <c r="L414" s="45">
        <f>Pressure!Q414</f>
        <v>1.3302169561391199</v>
      </c>
      <c r="M414" s="10">
        <f t="shared" si="48"/>
        <v>0.7408974171678262</v>
      </c>
      <c r="N414" s="10">
        <f t="shared" ref="N414:N477" si="55">N413-1/834*(me-mef)</f>
        <v>2.9545467240956045</v>
      </c>
    </row>
    <row r="415" spans="3:14">
      <c r="C415" s="4">
        <f>Pressure!AB415*1000000</f>
        <v>1355375.3462655784</v>
      </c>
      <c r="D415" s="84">
        <f>Pressure!I415</f>
        <v>1.4801552192482141E-4</v>
      </c>
      <c r="E415" s="40">
        <f>Pressure!H415</f>
        <v>148.0155219248214</v>
      </c>
      <c r="F415" s="10">
        <f t="shared" si="50"/>
        <v>8</v>
      </c>
      <c r="G415" s="4">
        <f t="shared" si="49"/>
        <v>101000</v>
      </c>
      <c r="H415" s="45">
        <f t="shared" si="51"/>
        <v>2.9702084480924134</v>
      </c>
      <c r="I415" s="10">
        <f t="shared" si="52"/>
        <v>1.1423333768423773</v>
      </c>
      <c r="J415" s="4">
        <f t="shared" si="53"/>
        <v>229.1710258845763</v>
      </c>
      <c r="K415" s="4">
        <f t="shared" si="54"/>
        <v>51.519946469263139</v>
      </c>
      <c r="L415" s="45">
        <f>Pressure!Q415</f>
        <v>1.3334431453795992</v>
      </c>
      <c r="M415" s="10">
        <f t="shared" si="48"/>
        <v>0.73998093502084028</v>
      </c>
      <c r="N415" s="10">
        <f t="shared" si="55"/>
        <v>2.9545467240956045</v>
      </c>
    </row>
    <row r="416" spans="3:14">
      <c r="C416" s="4">
        <f>Pressure!AB416*1000000</f>
        <v>1353378.4640089704</v>
      </c>
      <c r="D416" s="84">
        <f>Pressure!I416</f>
        <v>1.4801552192482141E-4</v>
      </c>
      <c r="E416" s="40">
        <f>Pressure!H416</f>
        <v>148.0155219248214</v>
      </c>
      <c r="F416" s="10">
        <f t="shared" si="50"/>
        <v>8</v>
      </c>
      <c r="G416" s="4">
        <f t="shared" si="49"/>
        <v>101000</v>
      </c>
      <c r="H416" s="45">
        <f t="shared" si="51"/>
        <v>2.9670663977466902</v>
      </c>
      <c r="I416" s="10">
        <f t="shared" si="52"/>
        <v>1.1420559356325994</v>
      </c>
      <c r="J416" s="4">
        <f t="shared" si="53"/>
        <v>228.77780959417976</v>
      </c>
      <c r="K416" s="4">
        <f t="shared" si="54"/>
        <v>51.431547501052059</v>
      </c>
      <c r="L416" s="45">
        <f>Pressure!Q416</f>
        <v>1.3366708440239914</v>
      </c>
      <c r="M416" s="10">
        <f t="shared" si="48"/>
        <v>0.73906041773788544</v>
      </c>
      <c r="N416" s="10">
        <f t="shared" si="55"/>
        <v>2.9545467240956045</v>
      </c>
    </row>
    <row r="417" spans="3:14">
      <c r="C417" s="4">
        <f>Pressure!AB417*1000000</f>
        <v>1351373.5607559157</v>
      </c>
      <c r="D417" s="84">
        <f>Pressure!I417</f>
        <v>1.4801552192482141E-4</v>
      </c>
      <c r="E417" s="40">
        <f>Pressure!H417</f>
        <v>148.0155219248214</v>
      </c>
      <c r="F417" s="10">
        <f t="shared" si="50"/>
        <v>8</v>
      </c>
      <c r="G417" s="4">
        <f t="shared" si="49"/>
        <v>101000</v>
      </c>
      <c r="H417" s="45">
        <f t="shared" si="51"/>
        <v>2.9639108889354251</v>
      </c>
      <c r="I417" s="10">
        <f t="shared" si="52"/>
        <v>1.1417768514634981</v>
      </c>
      <c r="J417" s="4">
        <f t="shared" si="53"/>
        <v>228.38307312247599</v>
      </c>
      <c r="K417" s="4">
        <f t="shared" si="54"/>
        <v>51.342806780827303</v>
      </c>
      <c r="L417" s="45">
        <f>Pressure!Q417</f>
        <v>1.3399000611124372</v>
      </c>
      <c r="M417" s="10">
        <f t="shared" si="48"/>
        <v>0.73813586731879832</v>
      </c>
      <c r="N417" s="10">
        <f t="shared" si="55"/>
        <v>2.9545467240956045</v>
      </c>
    </row>
    <row r="418" spans="3:14">
      <c r="C418" s="4">
        <f>Pressure!AB418*1000000</f>
        <v>1349360.6507331242</v>
      </c>
      <c r="D418" s="84">
        <f>Pressure!I418</f>
        <v>1.4801552192482141E-4</v>
      </c>
      <c r="E418" s="40">
        <f>Pressure!H418</f>
        <v>148.0155219248214</v>
      </c>
      <c r="F418" s="10">
        <f t="shared" si="50"/>
        <v>8</v>
      </c>
      <c r="G418" s="4">
        <f t="shared" si="49"/>
        <v>101000</v>
      </c>
      <c r="H418" s="45">
        <f t="shared" si="51"/>
        <v>2.9607419326240434</v>
      </c>
      <c r="I418" s="10">
        <f t="shared" si="52"/>
        <v>1.1414961181134999</v>
      </c>
      <c r="J418" s="4">
        <f t="shared" si="53"/>
        <v>227.9868200872767</v>
      </c>
      <c r="K418" s="4">
        <f t="shared" si="54"/>
        <v>51.253725121909241</v>
      </c>
      <c r="L418" s="45">
        <f>Pressure!Q418</f>
        <v>1.3431308057200322</v>
      </c>
      <c r="M418" s="10">
        <f t="shared" si="48"/>
        <v>0.73720728577805317</v>
      </c>
      <c r="N418" s="10">
        <f t="shared" si="55"/>
        <v>2.9545467240956045</v>
      </c>
    </row>
    <row r="419" spans="3:14">
      <c r="C419" s="4">
        <f>Pressure!AB419*1000000</f>
        <v>1347339.7482477906</v>
      </c>
      <c r="D419" s="84">
        <f>Pressure!I419</f>
        <v>1.4801552192482141E-4</v>
      </c>
      <c r="E419" s="40">
        <f>Pressure!H419</f>
        <v>148.0155219248214</v>
      </c>
      <c r="F419" s="10">
        <f t="shared" si="50"/>
        <v>8</v>
      </c>
      <c r="G419" s="4">
        <f t="shared" si="49"/>
        <v>101000</v>
      </c>
      <c r="H419" s="45">
        <f t="shared" si="51"/>
        <v>2.9575595398522734</v>
      </c>
      <c r="I419" s="10">
        <f t="shared" si="52"/>
        <v>1.1412137293082445</v>
      </c>
      <c r="J419" s="4">
        <f t="shared" si="53"/>
        <v>227.58905412623099</v>
      </c>
      <c r="K419" s="4">
        <f t="shared" si="54"/>
        <v>51.164303342077915</v>
      </c>
      <c r="L419" s="45">
        <f>Pressure!Q419</f>
        <v>1.3463630869571197</v>
      </c>
      <c r="M419" s="10">
        <f t="shared" si="48"/>
        <v>0.73627467514503242</v>
      </c>
      <c r="N419" s="10">
        <f t="shared" si="55"/>
        <v>2.9545467240956045</v>
      </c>
    </row>
    <row r="420" spans="3:14">
      <c r="C420" s="4">
        <f>Pressure!AB420*1000000</f>
        <v>1345310.8676877464</v>
      </c>
      <c r="D420" s="84">
        <f>Pressure!I420</f>
        <v>1.4801552192482141E-4</v>
      </c>
      <c r="E420" s="40">
        <f>Pressure!H420</f>
        <v>148.0155219248214</v>
      </c>
      <c r="F420" s="10">
        <f t="shared" si="50"/>
        <v>8</v>
      </c>
      <c r="G420" s="4">
        <f t="shared" si="49"/>
        <v>101000</v>
      </c>
      <c r="H420" s="45">
        <f t="shared" si="51"/>
        <v>2.9543637217344045</v>
      </c>
      <c r="I420" s="10">
        <f t="shared" si="52"/>
        <v>1.1409296787201135</v>
      </c>
      <c r="J420" s="4">
        <f t="shared" si="53"/>
        <v>227.1897788968582</v>
      </c>
      <c r="K420" s="4">
        <f t="shared" si="54"/>
        <v>51.074542263580369</v>
      </c>
      <c r="L420" s="45">
        <f>Pressure!Q420</f>
        <v>1.349596913969586</v>
      </c>
      <c r="M420" s="10">
        <f t="shared" si="48"/>
        <v>0.73533803746398985</v>
      </c>
      <c r="N420" s="10">
        <f t="shared" si="55"/>
        <v>2.9545467240956045</v>
      </c>
    </row>
    <row r="421" spans="3:14">
      <c r="C421" s="4">
        <f>Pressure!AB421*1000000</f>
        <v>1343274.0235221742</v>
      </c>
      <c r="D421" s="84">
        <f>Pressure!I421</f>
        <v>1.4801552192482141E-4</v>
      </c>
      <c r="E421" s="40">
        <f>Pressure!H421</f>
        <v>148.0155219248214</v>
      </c>
      <c r="F421" s="10">
        <f t="shared" si="50"/>
        <v>8</v>
      </c>
      <c r="G421" s="4">
        <f t="shared" si="49"/>
        <v>101000</v>
      </c>
      <c r="H421" s="45">
        <f t="shared" si="51"/>
        <v>2.9511544894604587</v>
      </c>
      <c r="I421" s="10">
        <f t="shared" si="52"/>
        <v>1.1406439599678355</v>
      </c>
      <c r="J421" s="4">
        <f t="shared" si="53"/>
        <v>226.78899807669234</v>
      </c>
      <c r="K421" s="4">
        <f t="shared" si="54"/>
        <v>50.984442713163155</v>
      </c>
      <c r="L421" s="45">
        <f>Pressure!Q421</f>
        <v>1.3528322959391583</v>
      </c>
      <c r="M421" s="10">
        <f t="shared" si="48"/>
        <v>0.73439737479435341</v>
      </c>
      <c r="N421" s="10">
        <f t="shared" si="55"/>
        <v>2.9545467240956045</v>
      </c>
    </row>
    <row r="422" spans="3:14">
      <c r="C422" s="4">
        <f>Pressure!AB422*1000000</f>
        <v>1341229.230301315</v>
      </c>
      <c r="D422" s="84">
        <f>Pressure!I422</f>
        <v>1.4801552192482141E-4</v>
      </c>
      <c r="E422" s="40">
        <f>Pressure!H422</f>
        <v>148.0155219248214</v>
      </c>
      <c r="F422" s="10">
        <f t="shared" si="50"/>
        <v>8</v>
      </c>
      <c r="G422" s="4">
        <f t="shared" si="49"/>
        <v>101000</v>
      </c>
      <c r="H422" s="45">
        <f t="shared" si="51"/>
        <v>2.9479318542957365</v>
      </c>
      <c r="I422" s="10">
        <f t="shared" si="52"/>
        <v>1.1403565666159445</v>
      </c>
      <c r="J422" s="4">
        <f t="shared" si="53"/>
        <v>226.38671536322823</v>
      </c>
      <c r="K422" s="4">
        <f t="shared" si="54"/>
        <v>50.894005522060212</v>
      </c>
      <c r="L422" s="45">
        <f>Pressure!Q422</f>
        <v>1.3560692420837042</v>
      </c>
      <c r="M422" s="10">
        <f t="shared" si="48"/>
        <v>0.73345268921058027</v>
      </c>
      <c r="N422" s="10">
        <f t="shared" si="55"/>
        <v>2.9545467240956045</v>
      </c>
    </row>
    <row r="423" spans="3:14">
      <c r="C423" s="4">
        <f>Pressure!AB423*1000000</f>
        <v>1339176.5026570284</v>
      </c>
      <c r="D423" s="84">
        <f>Pressure!I423</f>
        <v>1.4801552192482141E-4</v>
      </c>
      <c r="E423" s="40">
        <f>Pressure!H423</f>
        <v>148.0155219248214</v>
      </c>
      <c r="F423" s="10">
        <f t="shared" si="50"/>
        <v>8</v>
      </c>
      <c r="G423" s="4">
        <f t="shared" si="49"/>
        <v>101000</v>
      </c>
      <c r="H423" s="45">
        <f t="shared" si="51"/>
        <v>2.9446958275817638</v>
      </c>
      <c r="I423" s="10">
        <f t="shared" si="52"/>
        <v>1.1400674921743503</v>
      </c>
      <c r="J423" s="4">
        <f t="shared" si="53"/>
        <v>225.98293447403532</v>
      </c>
      <c r="K423" s="4">
        <f t="shared" si="54"/>
        <v>50.803231526018465</v>
      </c>
      <c r="L423" s="45">
        <f>Pressure!Q423</f>
        <v>1.3593077616575346</v>
      </c>
      <c r="M423" s="10">
        <f t="shared" si="48"/>
        <v>0.73250398280240869</v>
      </c>
      <c r="N423" s="10">
        <f t="shared" si="55"/>
        <v>2.9545467240956045</v>
      </c>
    </row>
    <row r="424" spans="3:14">
      <c r="C424" s="4">
        <f>Pressure!AB424*1000000</f>
        <v>1337115.855302992</v>
      </c>
      <c r="D424" s="84">
        <f>Pressure!I424</f>
        <v>1.4801552192482141E-4</v>
      </c>
      <c r="E424" s="40">
        <f>Pressure!H424</f>
        <v>148.0155219248214</v>
      </c>
      <c r="F424" s="10">
        <f t="shared" si="50"/>
        <v>8</v>
      </c>
      <c r="G424" s="4">
        <f t="shared" si="49"/>
        <v>101000</v>
      </c>
      <c r="H424" s="45">
        <f t="shared" si="51"/>
        <v>2.9414464207366136</v>
      </c>
      <c r="I424" s="10">
        <f t="shared" si="52"/>
        <v>1.1397767300978543</v>
      </c>
      <c r="J424" s="4">
        <f t="shared" si="53"/>
        <v>225.57765914680061</v>
      </c>
      <c r="K424" s="4">
        <f t="shared" si="54"/>
        <v>50.712121565307456</v>
      </c>
      <c r="L424" s="45">
        <f>Pressure!Q424</f>
        <v>1.3625478639517095</v>
      </c>
      <c r="M424" s="10">
        <f t="shared" ref="M424:M473" si="56">(J424+J423)/2*(L424-L423)</f>
        <v>0.73155125767490659</v>
      </c>
      <c r="N424" s="10">
        <f t="shared" si="55"/>
        <v>2.9545467240956045</v>
      </c>
    </row>
    <row r="425" spans="3:14">
      <c r="C425" s="4">
        <f>Pressure!AB425*1000000</f>
        <v>1335047.3030350762</v>
      </c>
      <c r="D425" s="84">
        <f>Pressure!I425</f>
        <v>1.4801552192482141E-4</v>
      </c>
      <c r="E425" s="40">
        <f>Pressure!H425</f>
        <v>148.0155219248214</v>
      </c>
      <c r="F425" s="10">
        <f t="shared" si="50"/>
        <v>8</v>
      </c>
      <c r="G425" s="4">
        <f t="shared" si="49"/>
        <v>101000</v>
      </c>
      <c r="H425" s="45">
        <f t="shared" si="51"/>
        <v>2.9381836452555476</v>
      </c>
      <c r="I425" s="10">
        <f t="shared" si="52"/>
        <v>1.1394842737856823</v>
      </c>
      <c r="J425" s="4">
        <f t="shared" si="53"/>
        <v>225.17089313940591</v>
      </c>
      <c r="K425" s="4">
        <f t="shared" si="54"/>
        <v>50.620676484736727</v>
      </c>
      <c r="L425" s="45">
        <f>Pressure!Q425</f>
        <v>1.3657895582943445</v>
      </c>
      <c r="M425" s="10">
        <f t="shared" si="56"/>
        <v>0.73059451594855451</v>
      </c>
      <c r="N425" s="10">
        <f t="shared" si="55"/>
        <v>2.9545467240956045</v>
      </c>
    </row>
    <row r="426" spans="3:14">
      <c r="C426" s="4">
        <f>Pressure!AB426*1000000</f>
        <v>1332970.8607312615</v>
      </c>
      <c r="D426" s="84">
        <f>Pressure!I426</f>
        <v>1.4801552192482141E-4</v>
      </c>
      <c r="E426" s="40">
        <f>Pressure!H426</f>
        <v>148.0155219248214</v>
      </c>
      <c r="F426" s="10">
        <f t="shared" si="50"/>
        <v>8</v>
      </c>
      <c r="G426" s="4">
        <f t="shared" si="49"/>
        <v>101000</v>
      </c>
      <c r="H426" s="45">
        <f t="shared" si="51"/>
        <v>2.9349075127109234</v>
      </c>
      <c r="I426" s="10">
        <f t="shared" si="52"/>
        <v>1.139190116580949</v>
      </c>
      <c r="J426" s="4">
        <f t="shared" si="53"/>
        <v>224.76264022991563</v>
      </c>
      <c r="K426" s="4">
        <f t="shared" si="54"/>
        <v>50.528897133653082</v>
      </c>
      <c r="L426" s="45">
        <f>Pressure!Q426</f>
        <v>1.3690328540509225</v>
      </c>
      <c r="M426" s="10">
        <f t="shared" si="56"/>
        <v>0.72963375975943368</v>
      </c>
      <c r="N426" s="10">
        <f t="shared" si="55"/>
        <v>2.9545467240956045</v>
      </c>
    </row>
    <row r="427" spans="3:14">
      <c r="C427" s="4">
        <f>Pressure!AB427*1000000</f>
        <v>1330886.5433524002</v>
      </c>
      <c r="D427" s="84">
        <f>Pressure!I427</f>
        <v>1.4801552192482141E-4</v>
      </c>
      <c r="E427" s="40">
        <f>Pressure!H427</f>
        <v>148.0155219248214</v>
      </c>
      <c r="F427" s="10">
        <f t="shared" si="50"/>
        <v>8</v>
      </c>
      <c r="G427" s="4">
        <f t="shared" si="49"/>
        <v>101000</v>
      </c>
      <c r="H427" s="45">
        <f t="shared" si="51"/>
        <v>2.9316180347534266</v>
      </c>
      <c r="I427" s="10">
        <f t="shared" si="52"/>
        <v>1.1388942517702316</v>
      </c>
      <c r="J427" s="4">
        <f t="shared" si="53"/>
        <v>224.3529042167298</v>
      </c>
      <c r="K427" s="4">
        <f t="shared" si="54"/>
        <v>50.436784365974958</v>
      </c>
      <c r="L427" s="45">
        <f>Pressure!Q427</f>
        <v>1.3722777606246059</v>
      </c>
      <c r="M427" s="10">
        <f t="shared" si="56"/>
        <v>0.72866899125917783</v>
      </c>
      <c r="N427" s="10">
        <f t="shared" si="55"/>
        <v>2.9545467240956045</v>
      </c>
    </row>
    <row r="428" spans="3:14">
      <c r="C428" s="4">
        <f>Pressure!AB428*1000000</f>
        <v>1328794.3659421077</v>
      </c>
      <c r="D428" s="84">
        <f>Pressure!I428</f>
        <v>1.4801552192482141E-4</v>
      </c>
      <c r="E428" s="40">
        <f>Pressure!H428</f>
        <v>148.0155219248214</v>
      </c>
      <c r="F428" s="10">
        <f t="shared" si="50"/>
        <v>8</v>
      </c>
      <c r="G428" s="4">
        <f t="shared" si="49"/>
        <v>101000</v>
      </c>
      <c r="H428" s="45">
        <f t="shared" si="51"/>
        <v>2.9283152231119485</v>
      </c>
      <c r="I428" s="10">
        <f t="shared" si="52"/>
        <v>1.1385966725830181</v>
      </c>
      <c r="J428" s="4">
        <f t="shared" si="53"/>
        <v>223.94168891856651</v>
      </c>
      <c r="K428" s="4">
        <f t="shared" si="54"/>
        <v>50.344339040188508</v>
      </c>
      <c r="L428" s="45">
        <f>Pressure!Q428</f>
        <v>1.3755242874565528</v>
      </c>
      <c r="M428" s="10">
        <f t="shared" si="56"/>
        <v>0.72770021261521023</v>
      </c>
      <c r="N428" s="10">
        <f t="shared" si="55"/>
        <v>2.9545467240956045</v>
      </c>
    </row>
    <row r="429" spans="3:14">
      <c r="C429" s="4">
        <f>Pressure!AB429*1000000</f>
        <v>1326694.3436273837</v>
      </c>
      <c r="D429" s="84">
        <f>Pressure!I429</f>
        <v>1.4801552192482141E-4</v>
      </c>
      <c r="E429" s="40">
        <f>Pressure!H429</f>
        <v>148.0155219248214</v>
      </c>
      <c r="F429" s="10">
        <f t="shared" si="50"/>
        <v>8</v>
      </c>
      <c r="G429" s="4">
        <f t="shared" si="49"/>
        <v>101000</v>
      </c>
      <c r="H429" s="45">
        <f t="shared" si="51"/>
        <v>2.9249990895946087</v>
      </c>
      <c r="I429" s="10">
        <f t="shared" si="52"/>
        <v>1.1382973721912515</v>
      </c>
      <c r="J429" s="4">
        <f t="shared" si="53"/>
        <v>223.52899817458783</v>
      </c>
      <c r="K429" s="4">
        <f t="shared" si="54"/>
        <v>50.251562019375889</v>
      </c>
      <c r="L429" s="45">
        <f>Pressure!Q429</f>
        <v>1.3787724440262346</v>
      </c>
      <c r="M429" s="10">
        <f t="shared" si="56"/>
        <v>0.72672742601082996</v>
      </c>
      <c r="N429" s="10">
        <f t="shared" si="55"/>
        <v>2.9545467240956045</v>
      </c>
    </row>
    <row r="430" spans="3:14">
      <c r="C430" s="4">
        <f>Pressure!AB430*1000000</f>
        <v>1324586.4916182682</v>
      </c>
      <c r="D430" s="84">
        <f>Pressure!I430</f>
        <v>1.4801552192482141E-4</v>
      </c>
      <c r="E430" s="40">
        <f>Pressure!H430</f>
        <v>148.0155219248214</v>
      </c>
      <c r="F430" s="10">
        <f t="shared" si="50"/>
        <v>8</v>
      </c>
      <c r="G430" s="4">
        <f t="shared" si="49"/>
        <v>101000</v>
      </c>
      <c r="H430" s="45">
        <f t="shared" si="51"/>
        <v>2.9216696460882488</v>
      </c>
      <c r="I430" s="10">
        <f t="shared" si="52"/>
        <v>1.1379963437087284</v>
      </c>
      <c r="J430" s="4">
        <f t="shared" si="53"/>
        <v>223.11483584433563</v>
      </c>
      <c r="K430" s="4">
        <f t="shared" si="54"/>
        <v>50.158454171200852</v>
      </c>
      <c r="L430" s="45">
        <f>Pressure!Q430</f>
        <v>1.3820222398517581</v>
      </c>
      <c r="M430" s="10">
        <f t="shared" si="56"/>
        <v>0.72575063364526282</v>
      </c>
      <c r="N430" s="10">
        <f t="shared" si="55"/>
        <v>2.9545467240956045</v>
      </c>
    </row>
    <row r="431" spans="3:14">
      <c r="C431" s="4">
        <f>Pressure!AB431*1000000</f>
        <v>1322470.8252088602</v>
      </c>
      <c r="D431" s="84">
        <f>Pressure!I431</f>
        <v>1.4801552192482141E-4</v>
      </c>
      <c r="E431" s="40">
        <f>Pressure!H431</f>
        <v>148.0155219248214</v>
      </c>
      <c r="F431" s="10">
        <f t="shared" si="50"/>
        <v>8</v>
      </c>
      <c r="G431" s="4">
        <f t="shared" si="49"/>
        <v>101000</v>
      </c>
      <c r="H431" s="45">
        <f t="shared" si="51"/>
        <v>2.9183269045600944</v>
      </c>
      <c r="I431" s="10">
        <f t="shared" si="52"/>
        <v>1.1376935801906889</v>
      </c>
      <c r="J431" s="4">
        <f t="shared" si="53"/>
        <v>222.69920580793587</v>
      </c>
      <c r="K431" s="4">
        <f t="shared" si="54"/>
        <v>50.065016367954648</v>
      </c>
      <c r="L431" s="45">
        <f>Pressure!Q431</f>
        <v>1.385273684490189</v>
      </c>
      <c r="M431" s="10">
        <f t="shared" si="56"/>
        <v>0.72476983773373427</v>
      </c>
      <c r="N431" s="10">
        <f t="shared" si="55"/>
        <v>2.9545467240956045</v>
      </c>
    </row>
    <row r="432" spans="3:14">
      <c r="C432" s="4">
        <f>Pressure!AB432*1000000</f>
        <v>1320347.3597771809</v>
      </c>
      <c r="D432" s="84">
        <f>Pressure!I432</f>
        <v>1.4801552192482141E-4</v>
      </c>
      <c r="E432" s="40">
        <f>Pressure!H432</f>
        <v>148.0155219248214</v>
      </c>
      <c r="F432" s="10">
        <f t="shared" si="50"/>
        <v>8</v>
      </c>
      <c r="G432" s="4">
        <f t="shared" si="49"/>
        <v>101000</v>
      </c>
      <c r="H432" s="45">
        <f t="shared" si="51"/>
        <v>2.9149708770575864</v>
      </c>
      <c r="I432" s="10">
        <f t="shared" si="52"/>
        <v>1.13738907463323</v>
      </c>
      <c r="J432" s="4">
        <f t="shared" si="53"/>
        <v>222.28211196607467</v>
      </c>
      <c r="K432" s="4">
        <f t="shared" si="54"/>
        <v>49.971249486550668</v>
      </c>
      <c r="L432" s="45">
        <f>Pressure!Q432</f>
        <v>1.3885267875378782</v>
      </c>
      <c r="M432" s="10">
        <f t="shared" si="56"/>
        <v>0.72378504050769976</v>
      </c>
      <c r="N432" s="10">
        <f t="shared" si="55"/>
        <v>2.9545467240956045</v>
      </c>
    </row>
    <row r="433" spans="3:14">
      <c r="C433" s="4">
        <f>Pressure!AB433*1000000</f>
        <v>1318216.1107853618</v>
      </c>
      <c r="D433" s="84">
        <f>Pressure!I433</f>
        <v>1.4801552192482141E-4</v>
      </c>
      <c r="E433" s="40">
        <f>Pressure!H433</f>
        <v>148.0155219248214</v>
      </c>
      <c r="F433" s="10">
        <f t="shared" si="50"/>
        <v>8</v>
      </c>
      <c r="G433" s="4">
        <f t="shared" si="49"/>
        <v>101000</v>
      </c>
      <c r="H433" s="45">
        <f t="shared" si="51"/>
        <v>2.9116015757087181</v>
      </c>
      <c r="I433" s="10">
        <f t="shared" si="52"/>
        <v>1.1370828199727658</v>
      </c>
      <c r="J433" s="4">
        <f t="shared" si="53"/>
        <v>221.86355824003991</v>
      </c>
      <c r="K433" s="4">
        <f t="shared" si="54"/>
        <v>49.877154408533769</v>
      </c>
      <c r="L433" s="45">
        <f>Pressure!Q433</f>
        <v>1.3917815586307922</v>
      </c>
      <c r="M433" s="10">
        <f t="shared" si="56"/>
        <v>0.72279624421490052</v>
      </c>
      <c r="N433" s="10">
        <f t="shared" si="55"/>
        <v>2.9545467240956045</v>
      </c>
    </row>
    <row r="434" spans="3:14">
      <c r="C434" s="4">
        <f>Pressure!AB434*1000000</f>
        <v>1316077.0937804645</v>
      </c>
      <c r="D434" s="84">
        <f>Pressure!I434</f>
        <v>1.4801552192482141E-4</v>
      </c>
      <c r="E434" s="40">
        <f>Pressure!H434</f>
        <v>148.0155219248214</v>
      </c>
      <c r="F434" s="10">
        <f t="shared" si="50"/>
        <v>8</v>
      </c>
      <c r="G434" s="4">
        <f t="shared" si="49"/>
        <v>101000</v>
      </c>
      <c r="H434" s="45">
        <f t="shared" si="51"/>
        <v>2.9082190127233956</v>
      </c>
      <c r="I434" s="10">
        <f t="shared" si="52"/>
        <v>1.1367748090855629</v>
      </c>
      <c r="J434" s="4">
        <f t="shared" si="53"/>
        <v>221.44354857188492</v>
      </c>
      <c r="K434" s="4">
        <f t="shared" si="54"/>
        <v>49.782732020117109</v>
      </c>
      <c r="L434" s="45">
        <f>Pressure!Q434</f>
        <v>1.3950380074448447</v>
      </c>
      <c r="M434" s="10">
        <f t="shared" si="56"/>
        <v>0.72180345111937205</v>
      </c>
      <c r="N434" s="10">
        <f t="shared" si="55"/>
        <v>2.9545467240956045</v>
      </c>
    </row>
    <row r="435" spans="3:14">
      <c r="C435" s="4">
        <f>Pressure!AB435*1000000</f>
        <v>1313930.32439419</v>
      </c>
      <c r="D435" s="84">
        <f>Pressure!I435</f>
        <v>1.4801552192482141E-4</v>
      </c>
      <c r="E435" s="40">
        <f>Pressure!H435</f>
        <v>148.0155219248214</v>
      </c>
      <c r="F435" s="10">
        <f t="shared" si="50"/>
        <v>8</v>
      </c>
      <c r="G435" s="4">
        <f t="shared" si="49"/>
        <v>101000</v>
      </c>
      <c r="H435" s="45">
        <f t="shared" si="51"/>
        <v>2.9048232003930208</v>
      </c>
      <c r="I435" s="10">
        <f t="shared" si="52"/>
        <v>1.136465034787117</v>
      </c>
      <c r="J435" s="4">
        <f t="shared" si="53"/>
        <v>221.02208692437571</v>
      </c>
      <c r="K435" s="4">
        <f t="shared" si="54"/>
        <v>49.687983212170252</v>
      </c>
      <c r="L435" s="45">
        <f>Pressure!Q435</f>
        <v>1.398296143696232</v>
      </c>
      <c r="M435" s="10">
        <f t="shared" si="56"/>
        <v>0.72080666350173572</v>
      </c>
      <c r="N435" s="10">
        <f t="shared" si="55"/>
        <v>2.9545467240956045</v>
      </c>
    </row>
    <row r="436" spans="3:14">
      <c r="C436" s="4">
        <f>Pressure!AB436*1000000</f>
        <v>1311775.818343251</v>
      </c>
      <c r="D436" s="84">
        <f>Pressure!I436</f>
        <v>1.4801552192482141E-4</v>
      </c>
      <c r="E436" s="40">
        <f>Pressure!H436</f>
        <v>148.0155219248214</v>
      </c>
      <c r="F436" s="10">
        <f t="shared" si="50"/>
        <v>8</v>
      </c>
      <c r="G436" s="4">
        <f t="shared" si="49"/>
        <v>101000</v>
      </c>
      <c r="H436" s="45">
        <f t="shared" si="51"/>
        <v>2.9014141510911355</v>
      </c>
      <c r="I436" s="10">
        <f t="shared" si="52"/>
        <v>1.1361534898316148</v>
      </c>
      <c r="J436" s="4">
        <f t="shared" si="53"/>
        <v>220.59917728106774</v>
      </c>
      <c r="K436" s="4">
        <f t="shared" si="54"/>
        <v>49.592908880236443</v>
      </c>
      <c r="L436" s="45">
        <f>Pressure!Q436</f>
        <v>1.4015559771417716</v>
      </c>
      <c r="M436" s="10">
        <f t="shared" si="56"/>
        <v>0.71980588365919129</v>
      </c>
      <c r="N436" s="10">
        <f t="shared" si="55"/>
        <v>2.9545467240956045</v>
      </c>
    </row>
    <row r="437" spans="3:14">
      <c r="C437" s="4">
        <f>Pressure!AB437*1000000</f>
        <v>1309613.5914300145</v>
      </c>
      <c r="D437" s="84">
        <f>Pressure!I437</f>
        <v>1.4801552192482141E-4</v>
      </c>
      <c r="E437" s="40">
        <f>Pressure!H437</f>
        <v>148.0155219248214</v>
      </c>
      <c r="F437" s="10">
        <f t="shared" si="50"/>
        <v>8</v>
      </c>
      <c r="G437" s="4">
        <f t="shared" si="49"/>
        <v>101000</v>
      </c>
      <c r="H437" s="45">
        <f t="shared" si="51"/>
        <v>2.8979918772745061</v>
      </c>
      <c r="I437" s="10">
        <f t="shared" si="52"/>
        <v>1.1358401669114255</v>
      </c>
      <c r="J437" s="4">
        <f t="shared" si="53"/>
        <v>220.1748236464353</v>
      </c>
      <c r="K437" s="4">
        <f t="shared" si="54"/>
        <v>49.49750992456169</v>
      </c>
      <c r="L437" s="45">
        <f>Pressure!Q437</f>
        <v>1.4048175175792432</v>
      </c>
      <c r="M437" s="10">
        <f t="shared" si="56"/>
        <v>0.71880111390560264</v>
      </c>
      <c r="N437" s="10">
        <f t="shared" si="55"/>
        <v>2.9545467240956045</v>
      </c>
    </row>
    <row r="438" spans="3:14">
      <c r="C438" s="4">
        <f>Pressure!AB438*1000000</f>
        <v>1307443.6595425631</v>
      </c>
      <c r="D438" s="84">
        <f>Pressure!I438</f>
        <v>1.4801552192482141E-4</v>
      </c>
      <c r="E438" s="40">
        <f>Pressure!H438</f>
        <v>148.0155219248214</v>
      </c>
      <c r="F438" s="10">
        <f t="shared" si="50"/>
        <v>8</v>
      </c>
      <c r="G438" s="4">
        <f t="shared" si="49"/>
        <v>101000</v>
      </c>
      <c r="H438" s="45">
        <f t="shared" si="51"/>
        <v>2.8945563914832637</v>
      </c>
      <c r="I438" s="10">
        <f t="shared" si="52"/>
        <v>1.1355250586565067</v>
      </c>
      <c r="J438" s="4">
        <f t="shared" si="53"/>
        <v>219.74903004588776</v>
      </c>
      <c r="K438" s="4">
        <f t="shared" si="54"/>
        <v>49.401787250098415</v>
      </c>
      <c r="L438" s="45">
        <f>Pressure!Q438</f>
        <v>1.4080807748477326</v>
      </c>
      <c r="M438" s="10">
        <f t="shared" si="56"/>
        <v>0.71779235657167395</v>
      </c>
      <c r="N438" s="10">
        <f t="shared" si="55"/>
        <v>2.9545467240956045</v>
      </c>
    </row>
    <row r="439" spans="3:14">
      <c r="C439" s="4">
        <f>Pressure!AB439*1000000</f>
        <v>1305266.0386549558</v>
      </c>
      <c r="D439" s="84">
        <f>Pressure!I439</f>
        <v>1.4801552192482141E-4</v>
      </c>
      <c r="E439" s="40">
        <f>Pressure!H439</f>
        <v>148.0155219248214</v>
      </c>
      <c r="F439" s="10">
        <f t="shared" si="50"/>
        <v>8</v>
      </c>
      <c r="G439" s="4">
        <f t="shared" si="49"/>
        <v>101000</v>
      </c>
      <c r="H439" s="45">
        <f t="shared" si="51"/>
        <v>2.8911077063413808</v>
      </c>
      <c r="I439" s="10">
        <f t="shared" si="52"/>
        <v>1.1352081576338267</v>
      </c>
      <c r="J439" s="4">
        <f t="shared" si="53"/>
        <v>219.32180052582393</v>
      </c>
      <c r="K439" s="4">
        <f t="shared" si="54"/>
        <v>49.305741766517677</v>
      </c>
      <c r="L439" s="45">
        <f>Pressure!Q439</f>
        <v>1.4113457588279794</v>
      </c>
      <c r="M439" s="10">
        <f t="shared" si="56"/>
        <v>0.71677961400514156</v>
      </c>
      <c r="N439" s="10">
        <f t="shared" si="55"/>
        <v>2.9545467240956045</v>
      </c>
    </row>
    <row r="440" spans="3:14">
      <c r="C440" s="4">
        <f>Pressure!AB440*1000000</f>
        <v>1303080.7448275269</v>
      </c>
      <c r="D440" s="84">
        <f>Pressure!I440</f>
        <v>1.4801552192482141E-4</v>
      </c>
      <c r="E440" s="40">
        <f>Pressure!H440</f>
        <v>148.0155219248214</v>
      </c>
      <c r="F440" s="10">
        <f t="shared" si="50"/>
        <v>8</v>
      </c>
      <c r="G440" s="4">
        <f t="shared" si="49"/>
        <v>101000</v>
      </c>
      <c r="H440" s="45">
        <f t="shared" si="51"/>
        <v>2.8876458345572247</v>
      </c>
      <c r="I440" s="10">
        <f t="shared" si="52"/>
        <v>1.1348894563467873</v>
      </c>
      <c r="J440" s="4">
        <f t="shared" si="53"/>
        <v>218.89313915369448</v>
      </c>
      <c r="K440" s="4">
        <f t="shared" si="54"/>
        <v>49.20937438822321</v>
      </c>
      <c r="L440" s="45">
        <f>Pressure!Q440</f>
        <v>1.4146124794427268</v>
      </c>
      <c r="M440" s="10">
        <f t="shared" si="56"/>
        <v>0.71576288857069004</v>
      </c>
      <c r="N440" s="10">
        <f t="shared" si="55"/>
        <v>2.9545467240956045</v>
      </c>
    </row>
    <row r="441" spans="3:14">
      <c r="C441" s="4">
        <f>Pressure!AB441*1000000</f>
        <v>1300887.7942074521</v>
      </c>
      <c r="D441" s="84">
        <f>Pressure!I441</f>
        <v>1.4801552192482141E-4</v>
      </c>
      <c r="E441" s="40">
        <f>Pressure!H441</f>
        <v>148.0155219248214</v>
      </c>
      <c r="F441" s="10">
        <f t="shared" si="50"/>
        <v>8</v>
      </c>
      <c r="G441" s="4">
        <f t="shared" si="49"/>
        <v>101000</v>
      </c>
      <c r="H441" s="45">
        <f t="shared" si="51"/>
        <v>2.884170788924489</v>
      </c>
      <c r="I441" s="10">
        <f t="shared" si="52"/>
        <v>1.1345689472346798</v>
      </c>
      <c r="J441" s="4">
        <f t="shared" si="53"/>
        <v>218.46305001811709</v>
      </c>
      <c r="K441" s="4">
        <f t="shared" si="54"/>
        <v>49.112686034377298</v>
      </c>
      <c r="L441" s="45">
        <f>Pressure!Q441</f>
        <v>1.4178809466570752</v>
      </c>
      <c r="M441" s="10">
        <f t="shared" si="56"/>
        <v>0.71474218265020484</v>
      </c>
      <c r="N441" s="10">
        <f t="shared" si="55"/>
        <v>2.9545467240956045</v>
      </c>
    </row>
    <row r="442" spans="3:14">
      <c r="C442" s="4">
        <f>Pressure!AB442*1000000</f>
        <v>1298687.2030284954</v>
      </c>
      <c r="D442" s="84">
        <f>Pressure!I442</f>
        <v>1.4801552192482141E-4</v>
      </c>
      <c r="E442" s="40">
        <f>Pressure!H442</f>
        <v>148.0155219248214</v>
      </c>
      <c r="F442" s="10">
        <f t="shared" si="50"/>
        <v>8</v>
      </c>
      <c r="G442" s="4">
        <f t="shared" si="49"/>
        <v>101000</v>
      </c>
      <c r="H442" s="45">
        <f t="shared" si="51"/>
        <v>2.8806825823218869</v>
      </c>
      <c r="I442" s="10">
        <f t="shared" si="52"/>
        <v>1.1342466226720094</v>
      </c>
      <c r="J442" s="4">
        <f t="shared" si="53"/>
        <v>218.03153722882979</v>
      </c>
      <c r="K442" s="4">
        <f t="shared" si="54"/>
        <v>49.015677628890295</v>
      </c>
      <c r="L442" s="45">
        <f>Pressure!Q442</f>
        <v>1.4211511704788389</v>
      </c>
      <c r="M442" s="10">
        <f t="shared" si="56"/>
        <v>0.71371749864293399</v>
      </c>
      <c r="N442" s="10">
        <f t="shared" si="55"/>
        <v>2.9545467240956045</v>
      </c>
    </row>
    <row r="443" spans="3:14">
      <c r="C443" s="4">
        <f>Pressure!AB443*1000000</f>
        <v>1296478.9876120342</v>
      </c>
      <c r="D443" s="84">
        <f>Pressure!I443</f>
        <v>1.4801552192482141E-4</v>
      </c>
      <c r="E443" s="40">
        <f>Pressure!H443</f>
        <v>148.0155219248214</v>
      </c>
      <c r="F443" s="10">
        <f t="shared" si="50"/>
        <v>8</v>
      </c>
      <c r="G443" s="4">
        <f t="shared" si="49"/>
        <v>101000</v>
      </c>
      <c r="H443" s="45">
        <f t="shared" si="51"/>
        <v>2.8771812277148259</v>
      </c>
      <c r="I443" s="10">
        <f t="shared" si="52"/>
        <v>1.1339224749680032</v>
      </c>
      <c r="J443" s="4">
        <f t="shared" si="53"/>
        <v>217.59860491689614</v>
      </c>
      <c r="K443" s="4">
        <f t="shared" si="54"/>
        <v>48.918350100466739</v>
      </c>
      <c r="L443" s="45">
        <f>Pressure!Q443</f>
        <v>1.4244231609589055</v>
      </c>
      <c r="M443" s="10">
        <f t="shared" si="56"/>
        <v>0.71268883896544954</v>
      </c>
      <c r="N443" s="10">
        <f t="shared" si="55"/>
        <v>2.9545467240956045</v>
      </c>
    </row>
    <row r="444" spans="3:14">
      <c r="C444" s="4">
        <f>Pressure!AB444*1000000</f>
        <v>1294263.1643667119</v>
      </c>
      <c r="D444" s="84">
        <f>Pressure!I444</f>
        <v>1.4801552192482141E-4</v>
      </c>
      <c r="E444" s="40">
        <f>Pressure!H444</f>
        <v>148.0155219248214</v>
      </c>
      <c r="F444" s="10">
        <f t="shared" si="50"/>
        <v>8</v>
      </c>
      <c r="G444" s="4">
        <f t="shared" si="49"/>
        <v>101000</v>
      </c>
      <c r="H444" s="45">
        <f t="shared" si="51"/>
        <v>2.8736667381549408</v>
      </c>
      <c r="I444" s="10">
        <f t="shared" si="52"/>
        <v>1.1335964963659075</v>
      </c>
      <c r="J444" s="4">
        <f t="shared" si="53"/>
        <v>217.16425723464047</v>
      </c>
      <c r="K444" s="4">
        <f t="shared" si="54"/>
        <v>48.820704382590819</v>
      </c>
      <c r="L444" s="45">
        <f>Pressure!Q444</f>
        <v>1.427696928191599</v>
      </c>
      <c r="M444" s="10">
        <f t="shared" si="56"/>
        <v>0.71165620605186186</v>
      </c>
      <c r="N444" s="10">
        <f t="shared" si="55"/>
        <v>2.9545467240956045</v>
      </c>
    </row>
    <row r="445" spans="3:14">
      <c r="C445" s="4">
        <f>Pressure!AB445*1000000</f>
        <v>1292039.7497892214</v>
      </c>
      <c r="D445" s="84">
        <f>Pressure!I445</f>
        <v>1.4801552192482141E-4</v>
      </c>
      <c r="E445" s="40">
        <f>Pressure!H445</f>
        <v>148.0155219248214</v>
      </c>
      <c r="F445" s="10">
        <f t="shared" si="50"/>
        <v>8</v>
      </c>
      <c r="G445" s="4">
        <f t="shared" si="49"/>
        <v>101000</v>
      </c>
      <c r="H445" s="45">
        <f t="shared" si="51"/>
        <v>2.8701391267814009</v>
      </c>
      <c r="I445" s="10">
        <f t="shared" si="52"/>
        <v>1.1332686790424424</v>
      </c>
      <c r="J445" s="4">
        <f t="shared" si="53"/>
        <v>216.72849835580521</v>
      </c>
      <c r="K445" s="4">
        <f t="shared" si="54"/>
        <v>48.722741413561714</v>
      </c>
      <c r="L445" s="45">
        <f>Pressure!Q445</f>
        <v>1.430972482315046</v>
      </c>
      <c r="M445" s="10">
        <f t="shared" si="56"/>
        <v>0.71061960235404242</v>
      </c>
      <c r="N445" s="10">
        <f t="shared" si="55"/>
        <v>2.9545467240956045</v>
      </c>
    </row>
    <row r="446" spans="3:14">
      <c r="C446" s="4">
        <f>Pressure!AB446*1000000</f>
        <v>1289808.7604643099</v>
      </c>
      <c r="D446" s="84">
        <f>Pressure!I446</f>
        <v>1.4801552192482141E-4</v>
      </c>
      <c r="E446" s="40">
        <f>Pressure!H446</f>
        <v>148.0155219248214</v>
      </c>
      <c r="F446" s="10">
        <f t="shared" si="50"/>
        <v>8</v>
      </c>
      <c r="G446" s="4">
        <f t="shared" si="49"/>
        <v>101000</v>
      </c>
      <c r="H446" s="45">
        <f t="shared" si="51"/>
        <v>2.8665984068209966</v>
      </c>
      <c r="I446" s="10">
        <f t="shared" si="52"/>
        <v>1.1329390151071363</v>
      </c>
      <c r="J446" s="4">
        <f t="shared" si="53"/>
        <v>216.29133247555561</v>
      </c>
      <c r="K446" s="4">
        <f t="shared" si="54"/>
        <v>48.624462136494671</v>
      </c>
      <c r="L446" s="45">
        <f>Pressure!Q446</f>
        <v>1.434249833511545</v>
      </c>
      <c r="M446" s="10">
        <f t="shared" si="56"/>
        <v>0.70957903034147052</v>
      </c>
      <c r="N446" s="10">
        <f t="shared" si="55"/>
        <v>2.9545467240956045</v>
      </c>
    </row>
    <row r="447" spans="3:14">
      <c r="C447" s="4">
        <f>Pressure!AB447*1000000</f>
        <v>1287570.2130652268</v>
      </c>
      <c r="D447" s="84">
        <f>Pressure!I447</f>
        <v>1.4801552192482141E-4</v>
      </c>
      <c r="E447" s="40">
        <f>Pressure!H447</f>
        <v>148.0155219248214</v>
      </c>
      <c r="F447" s="10">
        <f t="shared" si="50"/>
        <v>8</v>
      </c>
      <c r="G447" s="4">
        <f t="shared" si="49"/>
        <v>101000</v>
      </c>
      <c r="H447" s="45">
        <f t="shared" si="51"/>
        <v>2.8630445915889338</v>
      </c>
      <c r="I447" s="10">
        <f t="shared" si="52"/>
        <v>1.1326074966017148</v>
      </c>
      <c r="J447" s="4">
        <f t="shared" si="53"/>
        <v>215.85276381057065</v>
      </c>
      <c r="K447" s="4">
        <f t="shared" si="54"/>
        <v>48.525867499341452</v>
      </c>
      <c r="L447" s="45">
        <f>Pressure!Q447</f>
        <v>1.4375289920079395</v>
      </c>
      <c r="M447" s="10">
        <f t="shared" si="56"/>
        <v>0.70853449250168365</v>
      </c>
      <c r="N447" s="10">
        <f t="shared" si="55"/>
        <v>2.9545467240956045</v>
      </c>
    </row>
    <row r="448" spans="3:14">
      <c r="C448" s="4">
        <f>Pressure!AB448*1000000</f>
        <v>1285324.1243541408</v>
      </c>
      <c r="D448" s="84">
        <f>Pressure!I448</f>
        <v>1.4801552192482141E-4</v>
      </c>
      <c r="E448" s="40">
        <f>Pressure!H448</f>
        <v>148.0155219248214</v>
      </c>
      <c r="F448" s="10">
        <f t="shared" si="50"/>
        <v>8</v>
      </c>
      <c r="G448" s="4">
        <f t="shared" si="49"/>
        <v>101000</v>
      </c>
      <c r="H448" s="45">
        <f t="shared" si="51"/>
        <v>2.8594776944895659</v>
      </c>
      <c r="I448" s="10">
        <f t="shared" si="52"/>
        <v>1.1322741154994793</v>
      </c>
      <c r="J448" s="4">
        <f t="shared" si="53"/>
        <v>215.41279659912905</v>
      </c>
      <c r="K448" s="4">
        <f t="shared" si="54"/>
        <v>48.426958454909638</v>
      </c>
      <c r="L448" s="45">
        <f>Pressure!Q448</f>
        <v>1.440809968075994</v>
      </c>
      <c r="M448" s="10">
        <f t="shared" si="56"/>
        <v>0.70748599134017987</v>
      </c>
      <c r="N448" s="10">
        <f t="shared" si="55"/>
        <v>2.9545467240956045</v>
      </c>
    </row>
    <row r="449" spans="3:14">
      <c r="C449" s="4">
        <f>Pressure!AB449*1000000</f>
        <v>1283070.511182114</v>
      </c>
      <c r="D449" s="84">
        <f>Pressure!I449</f>
        <v>1.4801552192482141E-4</v>
      </c>
      <c r="E449" s="40">
        <f>Pressure!H449</f>
        <v>148.0155219248214</v>
      </c>
      <c r="F449" s="10">
        <f t="shared" si="50"/>
        <v>8</v>
      </c>
      <c r="G449" s="4">
        <f t="shared" si="49"/>
        <v>101000</v>
      </c>
      <c r="H449" s="45">
        <f t="shared" si="51"/>
        <v>2.8558977290164451</v>
      </c>
      <c r="I449" s="10">
        <f t="shared" si="52"/>
        <v>1.1319388637046111</v>
      </c>
      <c r="J449" s="4">
        <f t="shared" si="53"/>
        <v>214.97143510110726</v>
      </c>
      <c r="K449" s="4">
        <f t="shared" si="54"/>
        <v>48.327735960862206</v>
      </c>
      <c r="L449" s="45">
        <f>Pressure!Q449</f>
        <v>1.4440927720327736</v>
      </c>
      <c r="M449" s="10">
        <f t="shared" si="56"/>
        <v>0.70643352938054216</v>
      </c>
      <c r="N449" s="10">
        <f t="shared" si="55"/>
        <v>2.9545467240956045</v>
      </c>
    </row>
    <row r="450" spans="3:14">
      <c r="C450" s="4">
        <f>Pressure!AB450*1000000</f>
        <v>1280809.3904900234</v>
      </c>
      <c r="D450" s="84">
        <f>Pressure!I450</f>
        <v>1.4801552192482141E-4</v>
      </c>
      <c r="E450" s="40">
        <f>Pressure!H450</f>
        <v>148.0155219248214</v>
      </c>
      <c r="F450" s="10">
        <f t="shared" si="50"/>
        <v>8</v>
      </c>
      <c r="G450" s="4">
        <f t="shared" si="49"/>
        <v>101000</v>
      </c>
      <c r="H450" s="45">
        <f t="shared" si="51"/>
        <v>2.8523047087538655</v>
      </c>
      <c r="I450" s="10">
        <f t="shared" si="52"/>
        <v>1.1316017330516048</v>
      </c>
      <c r="J450" s="4">
        <f t="shared" si="53"/>
        <v>214.52868359816372</v>
      </c>
      <c r="K450" s="4">
        <f t="shared" si="54"/>
        <v>48.228200979758945</v>
      </c>
      <c r="L450" s="45">
        <f>Pressure!Q450</f>
        <v>1.4473774142410269</v>
      </c>
      <c r="M450" s="10">
        <f t="shared" si="56"/>
        <v>0.70537710916471563</v>
      </c>
      <c r="N450" s="10">
        <f t="shared" si="55"/>
        <v>2.9545467240956045</v>
      </c>
    </row>
    <row r="451" spans="3:14">
      <c r="C451" s="4">
        <f>Pressure!AB451*1000000</f>
        <v>1278540.7793081275</v>
      </c>
      <c r="D451" s="84">
        <f>Pressure!I451</f>
        <v>1.4801552192482141E-4</v>
      </c>
      <c r="E451" s="40">
        <f>Pressure!H451</f>
        <v>148.0155219248214</v>
      </c>
      <c r="F451" s="10">
        <f t="shared" si="50"/>
        <v>8</v>
      </c>
      <c r="G451" s="4">
        <f t="shared" si="49"/>
        <v>101000</v>
      </c>
      <c r="H451" s="45">
        <f t="shared" si="51"/>
        <v>2.8486986473762657</v>
      </c>
      <c r="I451" s="10">
        <f t="shared" si="52"/>
        <v>1.1312627153044981</v>
      </c>
      <c r="J451" s="4">
        <f t="shared" si="53"/>
        <v>214.08454639365772</v>
      </c>
      <c r="K451" s="4">
        <f t="shared" si="54"/>
        <v>48.128354479038201</v>
      </c>
      <c r="L451" s="45">
        <f>Pressure!Q451</f>
        <v>1.4506639051095729</v>
      </c>
      <c r="M451" s="10">
        <f t="shared" si="56"/>
        <v>0.70431673325304933</v>
      </c>
      <c r="N451" s="10">
        <f t="shared" si="55"/>
        <v>2.9545467240956045</v>
      </c>
    </row>
    <row r="452" spans="3:14">
      <c r="C452" s="4">
        <f>Pressure!AB452*1000000</f>
        <v>1276264.6947571484</v>
      </c>
      <c r="D452" s="84">
        <f>Pressure!I452</f>
        <v>1.4801552192482141E-4</v>
      </c>
      <c r="E452" s="40">
        <f>Pressure!H452</f>
        <v>148.0155219248214</v>
      </c>
      <c r="F452" s="10">
        <f t="shared" si="50"/>
        <v>8</v>
      </c>
      <c r="G452" s="4">
        <f t="shared" si="49"/>
        <v>101000</v>
      </c>
      <c r="H452" s="45">
        <f t="shared" si="51"/>
        <v>2.8450795586500415</v>
      </c>
      <c r="I452" s="10">
        <f t="shared" si="52"/>
        <v>1.1309218021563106</v>
      </c>
      <c r="J452" s="4">
        <f t="shared" si="53"/>
        <v>213.63902781286444</v>
      </c>
      <c r="K452" s="4">
        <f t="shared" si="54"/>
        <v>48.028197431065252</v>
      </c>
      <c r="L452" s="45">
        <f>Pressure!Q452</f>
        <v>1.4539522550936907</v>
      </c>
      <c r="M452" s="10">
        <f t="shared" si="56"/>
        <v>0.70325240422442703</v>
      </c>
      <c r="N452" s="10">
        <f t="shared" si="55"/>
        <v>2.9545467240956045</v>
      </c>
    </row>
    <row r="453" spans="3:14">
      <c r="C453" s="4">
        <f>Pressure!AB453*1000000</f>
        <v>1273981.1540479457</v>
      </c>
      <c r="D453" s="84">
        <f>Pressure!I453</f>
        <v>1.4801552192482141E-4</v>
      </c>
      <c r="E453" s="40">
        <f>Pressure!H453</f>
        <v>148.0155219248214</v>
      </c>
      <c r="F453" s="10">
        <f t="shared" si="50"/>
        <v>8</v>
      </c>
      <c r="G453" s="4">
        <f t="shared" si="49"/>
        <v>101000</v>
      </c>
      <c r="H453" s="45">
        <f t="shared" si="51"/>
        <v>2.8414474564331127</v>
      </c>
      <c r="I453" s="10">
        <f t="shared" si="52"/>
        <v>1.1305789852282708</v>
      </c>
      <c r="J453" s="4">
        <f t="shared" si="53"/>
        <v>213.19213220291516</v>
      </c>
      <c r="K453" s="4">
        <f t="shared" si="54"/>
        <v>47.927730813118828</v>
      </c>
      <c r="L453" s="45">
        <f>Pressure!Q453</f>
        <v>1.4572424746955137</v>
      </c>
      <c r="M453" s="10">
        <f t="shared" si="56"/>
        <v>0.70218412467637592</v>
      </c>
      <c r="N453" s="10">
        <f t="shared" si="55"/>
        <v>2.9545467240956045</v>
      </c>
    </row>
    <row r="454" spans="3:14">
      <c r="C454" s="4">
        <f>Pressure!AB454*1000000</f>
        <v>1271690.1744823619</v>
      </c>
      <c r="D454" s="84">
        <f>Pressure!I454</f>
        <v>1.4801552192482141E-4</v>
      </c>
      <c r="E454" s="40">
        <f>Pressure!H454</f>
        <v>148.0155219248214</v>
      </c>
      <c r="F454" s="10">
        <f t="shared" si="50"/>
        <v>8</v>
      </c>
      <c r="G454" s="4">
        <f t="shared" si="49"/>
        <v>101000</v>
      </c>
      <c r="H454" s="45">
        <f t="shared" si="51"/>
        <v>2.8378023546763731</v>
      </c>
      <c r="I454" s="10">
        <f t="shared" si="52"/>
        <v>1.1302342560692051</v>
      </c>
      <c r="J454" s="4">
        <f t="shared" si="53"/>
        <v>212.74386393296587</v>
      </c>
      <c r="K454" s="4">
        <f t="shared" si="54"/>
        <v>47.826955607429042</v>
      </c>
      <c r="L454" s="45">
        <f>Pressure!Q454</f>
        <v>1.460534574464426</v>
      </c>
      <c r="M454" s="10">
        <f t="shared" si="56"/>
        <v>0.70111189722518541</v>
      </c>
      <c r="N454" s="10">
        <f t="shared" si="55"/>
        <v>2.9545467240956045</v>
      </c>
    </row>
    <row r="455" spans="3:14">
      <c r="C455" s="4">
        <f>Pressure!AB455*1000000</f>
        <v>1269391.7734532168</v>
      </c>
      <c r="D455" s="84">
        <f>Pressure!I455</f>
        <v>1.4801552192482141E-4</v>
      </c>
      <c r="E455" s="40">
        <f>Pressure!H455</f>
        <v>148.0155219248214</v>
      </c>
      <c r="F455" s="10">
        <f t="shared" si="50"/>
        <v>8</v>
      </c>
      <c r="G455" s="4">
        <f t="shared" si="49"/>
        <v>101000</v>
      </c>
      <c r="H455" s="45">
        <f t="shared" si="51"/>
        <v>2.8341442674237776</v>
      </c>
      <c r="I455" s="10">
        <f t="shared" si="52"/>
        <v>1.1298876061547913</v>
      </c>
      <c r="J455" s="4">
        <f t="shared" si="53"/>
        <v>212.29422739419982</v>
      </c>
      <c r="K455" s="4">
        <f t="shared" si="54"/>
        <v>47.725872801177964</v>
      </c>
      <c r="L455" s="45">
        <f>Pressure!Q455</f>
        <v>1.4638285649974645</v>
      </c>
      <c r="M455" s="10">
        <f t="shared" si="56"/>
        <v>0.70003572450621243</v>
      </c>
      <c r="N455" s="10">
        <f t="shared" si="55"/>
        <v>2.9545467240956045</v>
      </c>
    </row>
    <row r="456" spans="3:14">
      <c r="C456" s="4">
        <f>Pressure!AB456*1000000</f>
        <v>1267085.9684449488</v>
      </c>
      <c r="D456" s="84">
        <f>Pressure!I456</f>
        <v>1.4801552192482141E-4</v>
      </c>
      <c r="E456" s="40">
        <f>Pressure!H456</f>
        <v>148.0155219248214</v>
      </c>
      <c r="F456" s="10">
        <f t="shared" si="50"/>
        <v>8</v>
      </c>
      <c r="G456" s="4">
        <f t="shared" si="49"/>
        <v>101000</v>
      </c>
      <c r="H456" s="45">
        <f t="shared" si="51"/>
        <v>2.8304732088134616</v>
      </c>
      <c r="I456" s="10">
        <f t="shared" si="52"/>
        <v>1.1295390268869017</v>
      </c>
      <c r="J456" s="4">
        <f t="shared" si="53"/>
        <v>211.8432269999569</v>
      </c>
      <c r="K456" s="4">
        <f t="shared" si="54"/>
        <v>47.624483386528688</v>
      </c>
      <c r="L456" s="45">
        <f>Pressure!Q456</f>
        <v>1.4671244569397224</v>
      </c>
      <c r="M456" s="10">
        <f t="shared" si="56"/>
        <v>0.69895560917373478</v>
      </c>
      <c r="N456" s="10">
        <f t="shared" si="55"/>
        <v>2.9545467240956045</v>
      </c>
    </row>
    <row r="457" spans="3:14">
      <c r="C457" s="4">
        <f>Pressure!AB457*1000000</f>
        <v>1264772.7770336701</v>
      </c>
      <c r="D457" s="84">
        <f>Pressure!I457</f>
        <v>1.4801552192482141E-4</v>
      </c>
      <c r="E457" s="40">
        <f>Pressure!H457</f>
        <v>148.0155219248214</v>
      </c>
      <c r="F457" s="10">
        <f t="shared" si="50"/>
        <v>8</v>
      </c>
      <c r="G457" s="4">
        <f t="shared" si="49"/>
        <v>101000</v>
      </c>
      <c r="H457" s="45">
        <f t="shared" si="51"/>
        <v>2.8267891930779379</v>
      </c>
      <c r="I457" s="10">
        <f t="shared" si="52"/>
        <v>1.1291885095928451</v>
      </c>
      <c r="J457" s="4">
        <f t="shared" si="53"/>
        <v>211.39086718574711</v>
      </c>
      <c r="K457" s="4">
        <f t="shared" si="54"/>
        <v>47.522788360628368</v>
      </c>
      <c r="L457" s="45">
        <f>Pressure!Q457</f>
        <v>1.4704222609847581</v>
      </c>
      <c r="M457" s="10">
        <f t="shared" si="56"/>
        <v>0.69787155390133204</v>
      </c>
      <c r="N457" s="10">
        <f t="shared" si="55"/>
        <v>2.9545467240956045</v>
      </c>
    </row>
    <row r="458" spans="3:14">
      <c r="C458" s="4">
        <f>Pressure!AB458*1000000</f>
        <v>1262452.2168876799</v>
      </c>
      <c r="D458" s="84">
        <f>Pressure!I458</f>
        <v>1.4801552192482141E-4</v>
      </c>
      <c r="E458" s="40">
        <f>Pressure!H458</f>
        <v>148.0155219248214</v>
      </c>
      <c r="F458" s="10">
        <f t="shared" si="50"/>
        <v>8</v>
      </c>
      <c r="G458" s="4">
        <f t="shared" si="49"/>
        <v>101000</v>
      </c>
      <c r="H458" s="45">
        <f t="shared" si="51"/>
        <v>2.8230922345450207</v>
      </c>
      <c r="I458" s="10">
        <f t="shared" si="52"/>
        <v>1.1288360455246726</v>
      </c>
      <c r="J458" s="4">
        <f t="shared" si="53"/>
        <v>210.93715240935512</v>
      </c>
      <c r="K458" s="4">
        <f t="shared" si="54"/>
        <v>47.420788725631745</v>
      </c>
      <c r="L458" s="45">
        <f>Pressure!Q458</f>
        <v>1.4737219878750079</v>
      </c>
      <c r="M458" s="10">
        <f t="shared" si="56"/>
        <v>0.69678356138193265</v>
      </c>
      <c r="N458" s="10">
        <f t="shared" si="55"/>
        <v>2.9545467240956045</v>
      </c>
    </row>
    <row r="459" spans="3:14">
      <c r="C459" s="4">
        <f>Pressure!AB459*1000000</f>
        <v>1260124.3057675995</v>
      </c>
      <c r="D459" s="84">
        <f>Pressure!I459</f>
        <v>1.4801552192482141E-4</v>
      </c>
      <c r="E459" s="40">
        <f>Pressure!H459</f>
        <v>148.0155219248214</v>
      </c>
      <c r="F459" s="10">
        <f t="shared" si="50"/>
        <v>8</v>
      </c>
      <c r="G459" s="4">
        <f t="shared" si="49"/>
        <v>101000</v>
      </c>
      <c r="H459" s="45">
        <f t="shared" si="51"/>
        <v>2.8193823476381463</v>
      </c>
      <c r="I459" s="10">
        <f t="shared" si="52"/>
        <v>1.1284816258584147</v>
      </c>
      <c r="J459" s="4">
        <f t="shared" si="53"/>
        <v>210.48208715087014</v>
      </c>
      <c r="K459" s="4">
        <f t="shared" si="54"/>
        <v>47.318485488707822</v>
      </c>
      <c r="L459" s="45">
        <f>Pressure!Q459</f>
        <v>1.4770236484022012</v>
      </c>
      <c r="M459" s="10">
        <f t="shared" si="56"/>
        <v>0.69569163432792414</v>
      </c>
      <c r="N459" s="10">
        <f t="shared" si="55"/>
        <v>2.9545467240956045</v>
      </c>
    </row>
    <row r="460" spans="3:14">
      <c r="C460" s="4">
        <f>Pressure!AB460*1000000</f>
        <v>1257789.0615271542</v>
      </c>
      <c r="D460" s="84">
        <f>Pressure!I460</f>
        <v>1.4801552192482141E-4</v>
      </c>
      <c r="E460" s="40">
        <f>Pressure!H460</f>
        <v>148.0155219248214</v>
      </c>
      <c r="F460" s="10">
        <f t="shared" si="50"/>
        <v>8</v>
      </c>
      <c r="G460" s="4">
        <f t="shared" si="49"/>
        <v>101000</v>
      </c>
      <c r="H460" s="45">
        <f t="shared" si="51"/>
        <v>2.8156595468777423</v>
      </c>
      <c r="I460" s="10">
        <f t="shared" si="52"/>
        <v>1.1281252416934038</v>
      </c>
      <c r="J460" s="4">
        <f t="shared" si="53"/>
        <v>210.02567591284159</v>
      </c>
      <c r="K460" s="4">
        <f t="shared" si="54"/>
        <v>47.215879662074904</v>
      </c>
      <c r="L460" s="45">
        <f>Pressure!Q460</f>
        <v>1.4803272534077812</v>
      </c>
      <c r="M460" s="10">
        <f t="shared" si="56"/>
        <v>0.69459577547124507</v>
      </c>
      <c r="N460" s="10">
        <f t="shared" si="55"/>
        <v>2.9545467240956045</v>
      </c>
    </row>
    <row r="461" spans="3:14">
      <c r="C461" s="4">
        <f>Pressure!AB461*1000000</f>
        <v>1255446.5021131076</v>
      </c>
      <c r="D461" s="84">
        <f>Pressure!I461</f>
        <v>1.4801552192482141E-4</v>
      </c>
      <c r="E461" s="40">
        <f>Pressure!H461</f>
        <v>148.0155219248214</v>
      </c>
      <c r="F461" s="10">
        <f t="shared" si="50"/>
        <v>8</v>
      </c>
      <c r="G461" s="4">
        <f t="shared" si="49"/>
        <v>101000</v>
      </c>
      <c r="H461" s="45">
        <f t="shared" si="51"/>
        <v>2.8119238468812369</v>
      </c>
      <c r="I461" s="10">
        <f t="shared" si="52"/>
        <v>1.1277668840514652</v>
      </c>
      <c r="J461" s="4">
        <f t="shared" si="53"/>
        <v>209.56792322027047</v>
      </c>
      <c r="K461" s="4">
        <f t="shared" si="54"/>
        <v>47.112972262998625</v>
      </c>
      <c r="L461" s="45">
        <f>Pressure!Q461</f>
        <v>1.4836328137833279</v>
      </c>
      <c r="M461" s="10">
        <f t="shared" si="56"/>
        <v>0.69349598756373032</v>
      </c>
      <c r="N461" s="10">
        <f t="shared" si="55"/>
        <v>2.9545467240956045</v>
      </c>
    </row>
    <row r="462" spans="3:14">
      <c r="C462" s="4">
        <f>Pressure!AB462*1000000</f>
        <v>1253096.6455659042</v>
      </c>
      <c r="D462" s="84">
        <f>Pressure!I462</f>
        <v>1.4801552192482141E-4</v>
      </c>
      <c r="E462" s="40">
        <f>Pressure!H462</f>
        <v>148.0155219248214</v>
      </c>
      <c r="F462" s="10">
        <f t="shared" si="50"/>
        <v>8</v>
      </c>
      <c r="G462" s="4">
        <f t="shared" si="49"/>
        <v>101000</v>
      </c>
      <c r="H462" s="45">
        <f t="shared" si="51"/>
        <v>2.8081752623641996</v>
      </c>
      <c r="I462" s="10">
        <f t="shared" si="52"/>
        <v>1.1274065438761993</v>
      </c>
      <c r="J462" s="4">
        <f t="shared" si="53"/>
        <v>209.10883362073793</v>
      </c>
      <c r="K462" s="4">
        <f t="shared" si="54"/>
        <v>47.009764313820853</v>
      </c>
      <c r="L462" s="45">
        <f>Pressure!Q462</f>
        <v>1.4869403404709869</v>
      </c>
      <c r="M462" s="10">
        <f t="shared" si="56"/>
        <v>0.69239227337707454</v>
      </c>
      <c r="N462" s="10">
        <f t="shared" si="55"/>
        <v>2.9545467240956045</v>
      </c>
    </row>
    <row r="463" spans="3:14">
      <c r="C463" s="4">
        <f>Pressure!AB463*1000000</f>
        <v>1250739.5100196637</v>
      </c>
      <c r="D463" s="84">
        <f>Pressure!I463</f>
        <v>1.4801552192482141E-4</v>
      </c>
      <c r="E463" s="40">
        <f>Pressure!H463</f>
        <v>148.0155219248214</v>
      </c>
      <c r="F463" s="10">
        <f t="shared" si="50"/>
        <v>8</v>
      </c>
      <c r="G463" s="4">
        <f t="shared" si="49"/>
        <v>101000</v>
      </c>
      <c r="H463" s="45">
        <f t="shared" si="51"/>
        <v>2.804413808140457</v>
      </c>
      <c r="I463" s="10">
        <f t="shared" si="52"/>
        <v>1.1270442120321575</v>
      </c>
      <c r="J463" s="4">
        <f t="shared" si="53"/>
        <v>208.64841168440759</v>
      </c>
      <c r="K463" s="4">
        <f t="shared" si="54"/>
        <v>46.90625684196025</v>
      </c>
      <c r="L463" s="45">
        <f>Pressure!Q463</f>
        <v>1.4902498444639007</v>
      </c>
      <c r="M463" s="10">
        <f t="shared" si="56"/>
        <v>0.69128463570303567</v>
      </c>
      <c r="N463" s="10">
        <f t="shared" si="55"/>
        <v>2.9545467240956045</v>
      </c>
    </row>
    <row r="464" spans="3:14">
      <c r="C464" s="4">
        <f>Pressure!AB464*1000000</f>
        <v>1248375.1137028884</v>
      </c>
      <c r="D464" s="84">
        <f>Pressure!I464</f>
        <v>1.4801552192482141E-4</v>
      </c>
      <c r="E464" s="40">
        <f>Pressure!H464</f>
        <v>148.0155219248214</v>
      </c>
      <c r="F464" s="10">
        <f t="shared" si="50"/>
        <v>8</v>
      </c>
      <c r="G464" s="4">
        <f t="shared" si="49"/>
        <v>101000</v>
      </c>
      <c r="H464" s="45">
        <f t="shared" si="51"/>
        <v>2.800639499123359</v>
      </c>
      <c r="I464" s="10">
        <f t="shared" si="52"/>
        <v>1.1266798793041168</v>
      </c>
      <c r="J464" s="4">
        <f t="shared" si="53"/>
        <v>208.1866620041672</v>
      </c>
      <c r="K464" s="4">
        <f t="shared" si="54"/>
        <v>46.802450879944068</v>
      </c>
      <c r="L464" s="45">
        <f>Pressure!Q464</f>
        <v>1.4935613368066454</v>
      </c>
      <c r="M464" s="10">
        <f t="shared" si="56"/>
        <v>0.69017307735355604</v>
      </c>
      <c r="N464" s="10">
        <f t="shared" si="55"/>
        <v>2.9545467240956045</v>
      </c>
    </row>
    <row r="465" spans="3:14">
      <c r="C465" s="4">
        <f>Pressure!AB465*1000000</f>
        <v>1246003.4749389316</v>
      </c>
      <c r="D465" s="84">
        <f>Pressure!I465</f>
        <v>1.4801552192482141E-4</v>
      </c>
      <c r="E465" s="40">
        <f>Pressure!H465</f>
        <v>148.0155219248214</v>
      </c>
      <c r="F465" s="10">
        <f t="shared" si="50"/>
        <v>8</v>
      </c>
      <c r="G465" s="4">
        <f t="shared" si="49"/>
        <v>101000</v>
      </c>
      <c r="H465" s="45">
        <f t="shared" si="51"/>
        <v>2.7968523503266391</v>
      </c>
      <c r="I465" s="10">
        <f t="shared" si="52"/>
        <v>1.1263135363963082</v>
      </c>
      <c r="J465" s="4">
        <f t="shared" si="53"/>
        <v>207.72358919572369</v>
      </c>
      <c r="K465" s="4">
        <f t="shared" si="54"/>
        <v>46.698347465429542</v>
      </c>
      <c r="L465" s="45">
        <f>Pressure!Q465</f>
        <v>1.4968748285956694</v>
      </c>
      <c r="M465" s="10">
        <f t="shared" si="56"/>
        <v>0.68905760116088843</v>
      </c>
      <c r="N465" s="10">
        <f t="shared" si="55"/>
        <v>2.9545467240956045</v>
      </c>
    </row>
    <row r="466" spans="3:14">
      <c r="C466" s="4">
        <f>Pressure!AB466*1000000</f>
        <v>1243624.6121457235</v>
      </c>
      <c r="D466" s="84">
        <f>Pressure!I466</f>
        <v>1.4801552192482141E-4</v>
      </c>
      <c r="E466" s="40">
        <f>Pressure!H466</f>
        <v>148.0155219248214</v>
      </c>
      <c r="F466" s="10">
        <f t="shared" si="50"/>
        <v>8</v>
      </c>
      <c r="G466" s="4">
        <f t="shared" si="49"/>
        <v>101000</v>
      </c>
      <c r="H466" s="45">
        <f t="shared" si="51"/>
        <v>2.7930523768641291</v>
      </c>
      <c r="I466" s="10">
        <f t="shared" si="52"/>
        <v>1.1259451739315165</v>
      </c>
      <c r="J466" s="4">
        <f t="shared" si="53"/>
        <v>207.25919789755221</v>
      </c>
      <c r="K466" s="4">
        <f t="shared" si="54"/>
        <v>46.593947641192443</v>
      </c>
      <c r="L466" s="45">
        <f>Pressure!Q466</f>
        <v>1.5001903309797395</v>
      </c>
      <c r="M466" s="10">
        <f t="shared" si="56"/>
        <v>0.68793820997790112</v>
      </c>
      <c r="N466" s="10">
        <f t="shared" si="55"/>
        <v>2.9545467240956045</v>
      </c>
    </row>
    <row r="467" spans="3:14">
      <c r="C467" s="4">
        <f>Pressure!AB467*1000000</f>
        <v>1241238.543837039</v>
      </c>
      <c r="D467" s="84">
        <f>Pressure!I467</f>
        <v>1.4801552192482141E-4</v>
      </c>
      <c r="E467" s="40">
        <f>Pressure!H467</f>
        <v>148.0155219248214</v>
      </c>
      <c r="F467" s="10">
        <f t="shared" si="50"/>
        <v>8</v>
      </c>
      <c r="G467" s="4">
        <f t="shared" si="49"/>
        <v>101000</v>
      </c>
      <c r="H467" s="45">
        <f t="shared" si="51"/>
        <v>2.7892395939519075</v>
      </c>
      <c r="I467" s="10">
        <f t="shared" si="52"/>
        <v>1.1255747824504136</v>
      </c>
      <c r="J467" s="4">
        <f t="shared" si="53"/>
        <v>206.79349277114798</v>
      </c>
      <c r="K467" s="4">
        <f t="shared" si="54"/>
        <v>46.489252455183667</v>
      </c>
      <c r="L467" s="45">
        <f>Pressure!Q467</f>
        <v>1.5035078551603882</v>
      </c>
      <c r="M467" s="10">
        <f t="shared" si="56"/>
        <v>0.68681490667803013</v>
      </c>
      <c r="N467" s="10">
        <f t="shared" si="55"/>
        <v>2.9545467240956045</v>
      </c>
    </row>
    <row r="468" spans="3:14">
      <c r="C468" s="4">
        <f>Pressure!AB468*1000000</f>
        <v>1238845.2886221614</v>
      </c>
      <c r="D468" s="84">
        <f>Pressure!I468</f>
        <v>1.4801552192482141E-4</v>
      </c>
      <c r="E468" s="40">
        <f>Pressure!H468</f>
        <v>148.0155219248214</v>
      </c>
      <c r="F468" s="10">
        <f t="shared" si="50"/>
        <v>8</v>
      </c>
      <c r="G468" s="4">
        <f t="shared" si="49"/>
        <v>101000</v>
      </c>
      <c r="H468" s="45">
        <f t="shared" si="51"/>
        <v>2.7854140169079158</v>
      </c>
      <c r="I468" s="10">
        <f t="shared" si="52"/>
        <v>1.1252023524106267</v>
      </c>
      <c r="J468" s="4">
        <f t="shared" si="53"/>
        <v>206.3264785009633</v>
      </c>
      <c r="K468" s="4">
        <f t="shared" si="54"/>
        <v>46.384262960515109</v>
      </c>
      <c r="L468" s="45">
        <f>Pressure!Q468</f>
        <v>1.5068274123923666</v>
      </c>
      <c r="M468" s="10">
        <f t="shared" si="56"/>
        <v>0.68568769415552488</v>
      </c>
      <c r="N468" s="10">
        <f t="shared" si="55"/>
        <v>2.9545467240956045</v>
      </c>
    </row>
    <row r="469" spans="3:14">
      <c r="C469" s="4">
        <f>Pressure!AB469*1000000</f>
        <v>1236444.865206389</v>
      </c>
      <c r="D469" s="84">
        <f>Pressure!I469</f>
        <v>1.4801552192482141E-4</v>
      </c>
      <c r="E469" s="40">
        <f>Pressure!H469</f>
        <v>148.0155219248214</v>
      </c>
      <c r="F469" s="10">
        <f t="shared" si="50"/>
        <v>8</v>
      </c>
      <c r="G469" s="4">
        <f t="shared" si="49"/>
        <v>101000</v>
      </c>
      <c r="H469" s="45">
        <f t="shared" si="51"/>
        <v>2.7815756611529032</v>
      </c>
      <c r="I469" s="10">
        <f t="shared" si="52"/>
        <v>1.1248278741859288</v>
      </c>
      <c r="J469" s="4">
        <f t="shared" si="53"/>
        <v>205.85815979450967</v>
      </c>
      <c r="K469" s="4">
        <f t="shared" si="54"/>
        <v>46.278980215482598</v>
      </c>
      <c r="L469" s="45">
        <f>Pressure!Q469</f>
        <v>1.5101490139841023</v>
      </c>
      <c r="M469" s="10">
        <f t="shared" si="56"/>
        <v>0.68455657532561676</v>
      </c>
      <c r="N469" s="10">
        <f t="shared" si="55"/>
        <v>2.9545467240956045</v>
      </c>
    </row>
    <row r="470" spans="3:14">
      <c r="C470" s="4">
        <f>Pressure!AB470*1000000</f>
        <v>1234037.2923918224</v>
      </c>
      <c r="D470" s="84">
        <f>Pressure!I470</f>
        <v>1.4801552192482141E-4</v>
      </c>
      <c r="E470" s="40">
        <f>Pressure!H470</f>
        <v>148.0155219248214</v>
      </c>
      <c r="F470" s="10">
        <f t="shared" si="50"/>
        <v>8</v>
      </c>
      <c r="G470" s="4">
        <f t="shared" si="49"/>
        <v>101000</v>
      </c>
      <c r="H470" s="45">
        <f t="shared" si="51"/>
        <v>2.7777245422118404</v>
      </c>
      <c r="I470" s="10">
        <f t="shared" si="52"/>
        <v>1.1244513380654622</v>
      </c>
      <c r="J470" s="4">
        <f t="shared" si="53"/>
        <v>205.38854138251503</v>
      </c>
      <c r="K470" s="4">
        <f t="shared" si="54"/>
        <v>46.173405283601241</v>
      </c>
      <c r="L470" s="45">
        <f>Pressure!Q470</f>
        <v>1.5134726712981603</v>
      </c>
      <c r="M470" s="10">
        <f t="shared" si="56"/>
        <v>0.68342155312462904</v>
      </c>
      <c r="N470" s="10">
        <f t="shared" si="55"/>
        <v>2.9545467240956045</v>
      </c>
    </row>
    <row r="471" spans="3:14">
      <c r="C471" s="4">
        <f>Pressure!AB471*1000000</f>
        <v>1231622.5890772229</v>
      </c>
      <c r="D471" s="84">
        <f>Pressure!I471</f>
        <v>1.4801552192482141E-4</v>
      </c>
      <c r="E471" s="40">
        <f>Pressure!H471</f>
        <v>148.0155219248214</v>
      </c>
      <c r="F471" s="10">
        <f t="shared" si="50"/>
        <v>8</v>
      </c>
      <c r="G471" s="4">
        <f t="shared" si="49"/>
        <v>101000</v>
      </c>
      <c r="H471" s="45">
        <f t="shared" si="51"/>
        <v>2.773860675713848</v>
      </c>
      <c r="I471" s="10">
        <f t="shared" si="52"/>
        <v>1.1240727342528047</v>
      </c>
      <c r="J471" s="4">
        <f t="shared" si="53"/>
        <v>204.91762801889888</v>
      </c>
      <c r="K471" s="4">
        <f t="shared" si="54"/>
        <v>46.067539233599859</v>
      </c>
      <c r="L471" s="45">
        <f>Pressure!Q471</f>
        <v>1.5167983957517095</v>
      </c>
      <c r="M471" s="10">
        <f t="shared" si="56"/>
        <v>0.68228263051018578</v>
      </c>
      <c r="N471" s="10">
        <f t="shared" si="55"/>
        <v>2.9545467240956045</v>
      </c>
    </row>
    <row r="472" spans="3:14">
      <c r="C472" s="4">
        <f>Pressure!AB472*1000000</f>
        <v>1229200.7742587221</v>
      </c>
      <c r="D472" s="84">
        <f>Pressure!I472</f>
        <v>1.4801552192482141E-4</v>
      </c>
      <c r="E472" s="40">
        <f>Pressure!H472</f>
        <v>148.0155219248214</v>
      </c>
      <c r="F472" s="10">
        <f t="shared" si="50"/>
        <v>8</v>
      </c>
      <c r="G472" s="4">
        <f t="shared" si="49"/>
        <v>101000</v>
      </c>
      <c r="H472" s="45">
        <f t="shared" si="51"/>
        <v>2.7699840773934805</v>
      </c>
      <c r="I472" s="10">
        <f t="shared" si="52"/>
        <v>1.1236920528651582</v>
      </c>
      <c r="J472" s="4">
        <f t="shared" si="53"/>
        <v>204.4454244809144</v>
      </c>
      <c r="K472" s="4">
        <f t="shared" si="54"/>
        <v>45.961383139452906</v>
      </c>
      <c r="L472" s="45">
        <f>Pressure!Q472</f>
        <v>1.520126198816993</v>
      </c>
      <c r="M472" s="10">
        <f t="shared" si="56"/>
        <v>0.68113981046133698</v>
      </c>
      <c r="N472" s="10">
        <f t="shared" si="55"/>
        <v>2.9545467240956045</v>
      </c>
    </row>
    <row r="473" spans="3:14">
      <c r="C473" s="4">
        <f>Pressure!AB473*1000000</f>
        <v>1226771.8670301738</v>
      </c>
      <c r="D473" s="84">
        <f>Pressure!I473</f>
        <v>1.4801552192482141E-4</v>
      </c>
      <c r="E473" s="40">
        <f>Pressure!H473</f>
        <v>148.0155219248214</v>
      </c>
      <c r="F473" s="10">
        <f t="shared" si="50"/>
        <v>8</v>
      </c>
      <c r="G473" s="4">
        <f t="shared" si="49"/>
        <v>101000</v>
      </c>
      <c r="H473" s="45">
        <f t="shared" si="51"/>
        <v>2.7660947630914619</v>
      </c>
      <c r="I473" s="10">
        <f t="shared" si="52"/>
        <v>1.1233092839324674</v>
      </c>
      <c r="J473" s="4">
        <f t="shared" si="53"/>
        <v>203.97193556921965</v>
      </c>
      <c r="K473" s="4">
        <f t="shared" si="54"/>
        <v>45.854938080396487</v>
      </c>
      <c r="L473" s="45">
        <f>Pressure!Q473</f>
        <v>1.5234560920218025</v>
      </c>
      <c r="M473" s="10">
        <f t="shared" si="56"/>
        <v>0.6799930959786058</v>
      </c>
      <c r="N473" s="10">
        <f t="shared" si="55"/>
        <v>2.9545467240956045</v>
      </c>
    </row>
    <row r="474" spans="3:14">
      <c r="C474" s="4">
        <f>Pressure!AB474*1000000</f>
        <v>1224335.8865833785</v>
      </c>
      <c r="D474" s="84">
        <f>Pressure!I474</f>
        <v>1.4801552192482141E-4</v>
      </c>
      <c r="E474" s="40">
        <f>Pressure!H474</f>
        <v>148.0155219248214</v>
      </c>
      <c r="F474" s="10">
        <f t="shared" si="50"/>
        <v>8</v>
      </c>
      <c r="G474" s="4">
        <f t="shared" si="49"/>
        <v>101000</v>
      </c>
      <c r="H474" s="45">
        <f t="shared" si="51"/>
        <v>2.7621927487552029</v>
      </c>
      <c r="I474" s="10">
        <f t="shared" si="52"/>
        <v>1.1229244173965103</v>
      </c>
      <c r="J474" s="4">
        <f t="shared" si="53"/>
        <v>203.49716610792493</v>
      </c>
      <c r="K474" s="4">
        <f t="shared" si="54"/>
        <v>45.748205140939014</v>
      </c>
      <c r="L474" s="45">
        <f>Pressure!Q474</f>
        <v>1.5267880869499597</v>
      </c>
      <c r="M474" s="10">
        <f t="shared" ref="M474:M505" si="57">(J474+J473)/2*(L474-L473)</f>
        <v>0.67884249008450137</v>
      </c>
      <c r="N474" s="10">
        <f t="shared" si="55"/>
        <v>2.9545467240956045</v>
      </c>
    </row>
    <row r="475" spans="3:14">
      <c r="C475" s="4">
        <f>Pressure!AB475*1000000</f>
        <v>1221892.8522088088</v>
      </c>
      <c r="D475" s="84">
        <f>Pressure!I475</f>
        <v>1.4801552192482141E-4</v>
      </c>
      <c r="E475" s="40">
        <f>Pressure!H475</f>
        <v>148.0155219248214</v>
      </c>
      <c r="F475" s="10">
        <f t="shared" si="50"/>
        <v>8</v>
      </c>
      <c r="G475" s="4">
        <f t="shared" si="49"/>
        <v>101000</v>
      </c>
      <c r="H475" s="45">
        <f t="shared" si="51"/>
        <v>2.7582780504401376</v>
      </c>
      <c r="I475" s="10">
        <f t="shared" si="52"/>
        <v>1.1225374431100512</v>
      </c>
      <c r="J475" s="4">
        <f t="shared" si="53"/>
        <v>203.02112094473688</v>
      </c>
      <c r="K475" s="4">
        <f t="shared" ref="K475:K506" si="58">J475/4.4482</f>
        <v>45.641185410893591</v>
      </c>
      <c r="L475" s="45">
        <f>Pressure!Q475</f>
        <v>1.5301221952417987</v>
      </c>
      <c r="M475" s="10">
        <f t="shared" si="57"/>
        <v>0.67768799582323314</v>
      </c>
      <c r="N475" s="10">
        <f t="shared" si="55"/>
        <v>2.9545467240956045</v>
      </c>
    </row>
    <row r="476" spans="3:14">
      <c r="C476" s="4">
        <f>Pressure!AB476*1000000</f>
        <v>1219442.7832955029</v>
      </c>
      <c r="D476" s="84">
        <f>Pressure!I476</f>
        <v>1.4801552192482141E-4</v>
      </c>
      <c r="E476" s="40">
        <f>Pressure!H476</f>
        <v>148.0155219248214</v>
      </c>
      <c r="F476" s="10">
        <f t="shared" si="50"/>
        <v>8</v>
      </c>
      <c r="G476" s="4">
        <f t="shared" ref="G476:G539" si="59">IF(C476/(1+(k-1)/2*N476^2)^(k/(k-1))&lt;patm*1000000,patm*1000000,C476/(1+(k-1)/2*N476^2)^(k/(k-1)))</f>
        <v>101000</v>
      </c>
      <c r="H476" s="45">
        <f t="shared" si="51"/>
        <v>2.7543506843097179</v>
      </c>
      <c r="I476" s="10">
        <f t="shared" si="52"/>
        <v>1.1221483508358541</v>
      </c>
      <c r="J476" s="4">
        <f t="shared" si="53"/>
        <v>202.54380495094119</v>
      </c>
      <c r="K476" s="4">
        <f t="shared" si="58"/>
        <v>45.533879985374128</v>
      </c>
      <c r="L476" s="45">
        <f>Pressure!Q476</f>
        <v>1.5334584285946564</v>
      </c>
      <c r="M476" s="10">
        <f t="shared" si="57"/>
        <v>0.67652961626121322</v>
      </c>
      <c r="N476" s="10">
        <f t="shared" si="55"/>
        <v>2.9545467240956045</v>
      </c>
    </row>
    <row r="477" spans="3:14">
      <c r="C477" s="4">
        <f>Pressure!AB477*1000000</f>
        <v>1216985.6993320172</v>
      </c>
      <c r="D477" s="84">
        <f>Pressure!I477</f>
        <v>1.4801552192482141E-4</v>
      </c>
      <c r="E477" s="40">
        <f>Pressure!H477</f>
        <v>148.0155219248214</v>
      </c>
      <c r="F477" s="10">
        <f t="shared" ref="F477:F540" si="60">aexit/E477</f>
        <v>8</v>
      </c>
      <c r="G477" s="4">
        <f t="shared" si="59"/>
        <v>101000</v>
      </c>
      <c r="H477" s="45">
        <f t="shared" ref="H477:H540" si="61">1/(((k+1)/2)^(1/(k-1))*(patm*1000000/C477)^(1/k)*SQRT((k+1)/(k-1)*(1-(patm*1000000/C477)^((k-1)/k))))</f>
        <v>2.750410666637134</v>
      </c>
      <c r="I477" s="10">
        <f t="shared" ref="I477:I540" si="62">etanoz*SQRT(2*k^2/(k-1)*(2/(k+1))^((k+1)/(k-1))*(1-(G477/C477)^((k-1)/k)))+(G477-patm*1000000)/C477*(aexit/E477)</f>
        <v>1.1217571302458473</v>
      </c>
      <c r="J477" s="4">
        <f t="shared" ref="J477:J540" si="63">I477*D477*C477</f>
        <v>202.06522302159084</v>
      </c>
      <c r="K477" s="4">
        <f t="shared" si="58"/>
        <v>45.42628996483765</v>
      </c>
      <c r="L477" s="45">
        <f>Pressure!Q477</f>
        <v>1.5367967987633659</v>
      </c>
      <c r="M477" s="10">
        <f t="shared" si="57"/>
        <v>0.67536735448702945</v>
      </c>
      <c r="N477" s="10">
        <f t="shared" si="55"/>
        <v>2.9545467240956045</v>
      </c>
    </row>
    <row r="478" spans="3:14">
      <c r="C478" s="4">
        <f>Pressure!AB478*1000000</f>
        <v>1214521.6199065063</v>
      </c>
      <c r="D478" s="84">
        <f>Pressure!I478</f>
        <v>1.4801552192482141E-4</v>
      </c>
      <c r="E478" s="40">
        <f>Pressure!H478</f>
        <v>148.0155219248214</v>
      </c>
      <c r="F478" s="10">
        <f t="shared" si="60"/>
        <v>8</v>
      </c>
      <c r="G478" s="4">
        <f t="shared" si="59"/>
        <v>101000</v>
      </c>
      <c r="H478" s="45">
        <f t="shared" si="61"/>
        <v>2.7464580138056118</v>
      </c>
      <c r="I478" s="10">
        <f t="shared" si="62"/>
        <v>1.1213637709201421</v>
      </c>
      <c r="J478" s="4">
        <f t="shared" si="63"/>
        <v>201.58538007552499</v>
      </c>
      <c r="K478" s="4">
        <f t="shared" si="58"/>
        <v>45.318416455088574</v>
      </c>
      <c r="L478" s="45">
        <f>Pressure!Q478</f>
        <v>1.5401373175607553</v>
      </c>
      <c r="M478" s="10">
        <f t="shared" si="57"/>
        <v>0.6742012136117399</v>
      </c>
      <c r="N478" s="10">
        <f t="shared" ref="N478:N541" si="64">N477-1/834*(me-mef)</f>
        <v>2.9545467240956045</v>
      </c>
    </row>
    <row r="479" spans="3:14">
      <c r="C479" s="4">
        <f>Pressure!AB479*1000000</f>
        <v>1212050.56470718</v>
      </c>
      <c r="D479" s="84">
        <f>Pressure!I479</f>
        <v>1.4801552192482141E-4</v>
      </c>
      <c r="E479" s="40">
        <f>Pressure!H479</f>
        <v>148.0155219248214</v>
      </c>
      <c r="F479" s="10">
        <f t="shared" si="60"/>
        <v>8</v>
      </c>
      <c r="G479" s="4">
        <f t="shared" si="59"/>
        <v>101000</v>
      </c>
      <c r="H479" s="45">
        <f t="shared" si="61"/>
        <v>2.7424927423093428</v>
      </c>
      <c r="I479" s="10">
        <f t="shared" si="62"/>
        <v>1.1209682623460919</v>
      </c>
      <c r="J479" s="4">
        <f t="shared" si="63"/>
        <v>201.10428105546072</v>
      </c>
      <c r="K479" s="4">
        <f t="shared" si="58"/>
        <v>45.210260567299294</v>
      </c>
      <c r="L479" s="45">
        <f>Pressure!Q479</f>
        <v>1.5434799968581514</v>
      </c>
      <c r="M479" s="10">
        <f t="shared" si="57"/>
        <v>0.67303119676899192</v>
      </c>
      <c r="N479" s="10">
        <f t="shared" si="64"/>
        <v>2.9545467240956045</v>
      </c>
    </row>
    <row r="480" spans="3:14">
      <c r="C480" s="4">
        <f>Pressure!AB480*1000000</f>
        <v>1209572.5535227684</v>
      </c>
      <c r="D480" s="84">
        <f>Pressure!I480</f>
        <v>1.4801552192482141E-4</v>
      </c>
      <c r="E480" s="40">
        <f>Pressure!H480</f>
        <v>148.0155219248214</v>
      </c>
      <c r="F480" s="10">
        <f t="shared" si="60"/>
        <v>8</v>
      </c>
      <c r="G480" s="4">
        <f t="shared" si="59"/>
        <v>101000</v>
      </c>
      <c r="H480" s="45">
        <f t="shared" si="61"/>
        <v>2.7385148687544167</v>
      </c>
      <c r="I480" s="10">
        <f t="shared" si="62"/>
        <v>1.1205705939173469</v>
      </c>
      <c r="J480" s="4">
        <f t="shared" si="63"/>
        <v>200.62193092808661</v>
      </c>
      <c r="K480" s="4">
        <f t="shared" si="58"/>
        <v>45.101823418031252</v>
      </c>
      <c r="L480" s="45">
        <f>Pressure!Q480</f>
        <v>1.5468248485858882</v>
      </c>
      <c r="M480" s="10">
        <f t="shared" si="57"/>
        <v>0.67185730711516356</v>
      </c>
      <c r="N480" s="10">
        <f t="shared" si="64"/>
        <v>2.9545467240956045</v>
      </c>
    </row>
    <row r="481" spans="3:14">
      <c r="C481" s="4">
        <f>Pressure!AB481*1000000</f>
        <v>1207087.606242903</v>
      </c>
      <c r="D481" s="84">
        <f>Pressure!I481</f>
        <v>1.4801552192482141E-4</v>
      </c>
      <c r="E481" s="40">
        <f>Pressure!H481</f>
        <v>148.0155219248214</v>
      </c>
      <c r="F481" s="10">
        <f t="shared" si="60"/>
        <v>8</v>
      </c>
      <c r="G481" s="4">
        <f t="shared" si="59"/>
        <v>101000</v>
      </c>
      <c r="H481" s="45">
        <f t="shared" si="61"/>
        <v>2.73452440985964</v>
      </c>
      <c r="I481" s="10">
        <f t="shared" si="62"/>
        <v>1.1201707549328754</v>
      </c>
      <c r="J481" s="4">
        <f t="shared" si="63"/>
        <v>200.13833468413986</v>
      </c>
      <c r="K481" s="4">
        <f t="shared" si="58"/>
        <v>44.993106129252254</v>
      </c>
      <c r="L481" s="45">
        <f>Pressure!Q481</f>
        <v>1.5501718847338206</v>
      </c>
      <c r="M481" s="10">
        <f t="shared" si="57"/>
        <v>0.67067954782955874</v>
      </c>
      <c r="N481" s="10">
        <f t="shared" si="64"/>
        <v>2.9545467240956045</v>
      </c>
    </row>
    <row r="482" spans="3:14">
      <c r="C482" s="4">
        <f>Pressure!AB482*1000000</f>
        <v>1204595.7428585649</v>
      </c>
      <c r="D482" s="84">
        <f>Pressure!I482</f>
        <v>1.4801552192482141E-4</v>
      </c>
      <c r="E482" s="40">
        <f>Pressure!H482</f>
        <v>148.0155219248214</v>
      </c>
      <c r="F482" s="10">
        <f t="shared" si="60"/>
        <v>8</v>
      </c>
      <c r="G482" s="4">
        <f t="shared" si="59"/>
        <v>101000</v>
      </c>
      <c r="H482" s="45">
        <f t="shared" si="61"/>
        <v>2.7305213824574457</v>
      </c>
      <c r="I482" s="10">
        <f t="shared" si="62"/>
        <v>1.1197687345959875</v>
      </c>
      <c r="J482" s="4">
        <f t="shared" si="63"/>
        <v>199.65349733849624</v>
      </c>
      <c r="K482" s="4">
        <f t="shared" si="58"/>
        <v>44.884109828356692</v>
      </c>
      <c r="L482" s="45">
        <f>Pressure!Q482</f>
        <v>1.5535211173518433</v>
      </c>
      <c r="M482" s="10">
        <f t="shared" si="57"/>
        <v>0.66949792211462611</v>
      </c>
      <c r="N482" s="10">
        <f t="shared" si="64"/>
        <v>2.9545467240956045</v>
      </c>
    </row>
    <row r="483" spans="3:14">
      <c r="C483" s="4">
        <f>Pressure!AB483*1000000</f>
        <v>1202096.9834624592</v>
      </c>
      <c r="D483" s="84">
        <f>Pressure!I483</f>
        <v>1.4801552192482141E-4</v>
      </c>
      <c r="E483" s="40">
        <f>Pressure!H483</f>
        <v>148.0155219248214</v>
      </c>
      <c r="F483" s="10">
        <f t="shared" si="60"/>
        <v>8</v>
      </c>
      <c r="G483" s="4">
        <f t="shared" si="59"/>
        <v>101000</v>
      </c>
      <c r="H483" s="45">
        <f t="shared" si="61"/>
        <v>2.7265058034947147</v>
      </c>
      <c r="I483" s="10">
        <f t="shared" si="62"/>
        <v>1.1193645220133306</v>
      </c>
      <c r="J483" s="4">
        <f t="shared" si="63"/>
        <v>199.16742393024592</v>
      </c>
      <c r="K483" s="4">
        <f t="shared" si="58"/>
        <v>44.774835648182616</v>
      </c>
      <c r="L483" s="45">
        <f>Pressure!Q483</f>
        <v>1.5568725585504144</v>
      </c>
      <c r="M483" s="10">
        <f t="shared" si="57"/>
        <v>0.6683124331960747</v>
      </c>
      <c r="N483" s="10">
        <f t="shared" si="64"/>
        <v>2.9545467240956045</v>
      </c>
    </row>
    <row r="484" spans="3:14">
      <c r="C484" s="4">
        <f>Pressure!AB484*1000000</f>
        <v>1199591.3482496182</v>
      </c>
      <c r="D484" s="84">
        <f>Pressure!I484</f>
        <v>1.4801552192482141E-4</v>
      </c>
      <c r="E484" s="40">
        <f>Pressure!H484</f>
        <v>148.0155219248214</v>
      </c>
      <c r="F484" s="10">
        <f t="shared" si="60"/>
        <v>8</v>
      </c>
      <c r="G484" s="4">
        <f t="shared" si="59"/>
        <v>101000</v>
      </c>
      <c r="H484" s="45">
        <f t="shared" si="61"/>
        <v>2.7224776900339478</v>
      </c>
      <c r="I484" s="10">
        <f t="shared" si="62"/>
        <v>1.118958106193908</v>
      </c>
      <c r="J484" s="4">
        <f t="shared" si="63"/>
        <v>198.68011952281327</v>
      </c>
      <c r="K484" s="4">
        <f t="shared" si="58"/>
        <v>44.665284727038639</v>
      </c>
      <c r="L484" s="45">
        <f>Pressure!Q484</f>
        <v>1.5602262205010846</v>
      </c>
      <c r="M484" s="10">
        <f t="shared" si="57"/>
        <v>0.66712308432307021</v>
      </c>
      <c r="N484" s="10">
        <f t="shared" si="64"/>
        <v>2.9545467240956045</v>
      </c>
    </row>
    <row r="485" spans="3:14">
      <c r="C485" s="4">
        <f>Pressure!AB485*1000000</f>
        <v>1197078.8575174739</v>
      </c>
      <c r="D485" s="84">
        <f>Pressure!I485</f>
        <v>1.4801552192482141E-4</v>
      </c>
      <c r="E485" s="40">
        <f>Pressure!H485</f>
        <v>148.0155219248214</v>
      </c>
      <c r="F485" s="10">
        <f t="shared" si="60"/>
        <v>8</v>
      </c>
      <c r="G485" s="4">
        <f t="shared" si="59"/>
        <v>101000</v>
      </c>
      <c r="H485" s="45">
        <f t="shared" si="61"/>
        <v>2.7184370592536071</v>
      </c>
      <c r="I485" s="10">
        <f t="shared" si="62"/>
        <v>1.1185494760480008</v>
      </c>
      <c r="J485" s="4">
        <f t="shared" si="63"/>
        <v>198.19158920397416</v>
      </c>
      <c r="K485" s="4">
        <f t="shared" si="58"/>
        <v>44.555458208707826</v>
      </c>
      <c r="L485" s="45">
        <f>Pressure!Q485</f>
        <v>1.563582115437032</v>
      </c>
      <c r="M485" s="10">
        <f t="shared" si="57"/>
        <v>0.66592987876849796</v>
      </c>
      <c r="N485" s="10">
        <f t="shared" si="64"/>
        <v>2.9545467240956045</v>
      </c>
    </row>
    <row r="486" spans="3:14">
      <c r="C486" s="4">
        <f>Pressure!AB486*1000000</f>
        <v>1194559.5316665897</v>
      </c>
      <c r="D486" s="84">
        <f>Pressure!I486</f>
        <v>1.4801552192482141E-4</v>
      </c>
      <c r="E486" s="40">
        <f>Pressure!H486</f>
        <v>148.0155219248214</v>
      </c>
      <c r="F486" s="10">
        <f t="shared" si="60"/>
        <v>8</v>
      </c>
      <c r="G486" s="4">
        <f t="shared" si="59"/>
        <v>101000</v>
      </c>
      <c r="H486" s="45">
        <f t="shared" si="61"/>
        <v>2.7143839284495144</v>
      </c>
      <c r="I486" s="10">
        <f t="shared" si="62"/>
        <v>1.1181386203861765</v>
      </c>
      <c r="J486" s="4">
        <f t="shared" si="63"/>
        <v>197.70183808600041</v>
      </c>
      <c r="K486" s="4">
        <f t="shared" si="58"/>
        <v>44.445357242480199</v>
      </c>
      <c r="L486" s="45">
        <f>Pressure!Q486</f>
        <v>1.5669402556536014</v>
      </c>
      <c r="M486" s="10">
        <f t="shared" si="57"/>
        <v>0.66473281982898624</v>
      </c>
      <c r="N486" s="10">
        <f t="shared" si="64"/>
        <v>2.9545467240956045</v>
      </c>
    </row>
    <row r="487" spans="3:14">
      <c r="C487" s="4">
        <f>Pressure!AB487*1000000</f>
        <v>1192033.3912012074</v>
      </c>
      <c r="D487" s="84">
        <f>Pressure!I487</f>
        <v>1.4801552192482141E-4</v>
      </c>
      <c r="E487" s="40">
        <f>Pressure!H487</f>
        <v>148.0155219248214</v>
      </c>
      <c r="F487" s="10">
        <f t="shared" si="60"/>
        <v>8</v>
      </c>
      <c r="G487" s="4">
        <f t="shared" si="59"/>
        <v>101000</v>
      </c>
      <c r="H487" s="45">
        <f t="shared" si="61"/>
        <v>2.7103183150359618</v>
      </c>
      <c r="I487" s="10">
        <f t="shared" si="62"/>
        <v>1.1177255279182592</v>
      </c>
      <c r="J487" s="4">
        <f t="shared" si="63"/>
        <v>197.21087130576902</v>
      </c>
      <c r="K487" s="4">
        <f t="shared" si="58"/>
        <v>44.334982983177248</v>
      </c>
      <c r="L487" s="45">
        <f>Pressure!Q487</f>
        <v>1.5703006535088497</v>
      </c>
      <c r="M487" s="10">
        <f t="shared" si="57"/>
        <v>0.66353191082520491</v>
      </c>
      <c r="N487" s="10">
        <f t="shared" si="64"/>
        <v>2.9545467240956045</v>
      </c>
    </row>
    <row r="488" spans="3:14">
      <c r="C488" s="4">
        <f>Pressure!AB488*1000000</f>
        <v>1189500.4567291492</v>
      </c>
      <c r="D488" s="84">
        <f>Pressure!I488</f>
        <v>1.4801552192482141E-4</v>
      </c>
      <c r="E488" s="40">
        <f>Pressure!H488</f>
        <v>148.0155219248214</v>
      </c>
      <c r="F488" s="10">
        <f t="shared" si="60"/>
        <v>8</v>
      </c>
      <c r="G488" s="4">
        <f t="shared" si="59"/>
        <v>101000</v>
      </c>
      <c r="H488" s="45">
        <f t="shared" si="61"/>
        <v>2.7062402365457841</v>
      </c>
      <c r="I488" s="10">
        <f t="shared" si="62"/>
        <v>1.1173101872521769</v>
      </c>
      <c r="J488" s="4">
        <f t="shared" si="63"/>
        <v>196.71869402474596</v>
      </c>
      <c r="K488" s="4">
        <f t="shared" si="58"/>
        <v>44.224336591148322</v>
      </c>
      <c r="L488" s="45">
        <f>Pressure!Q488</f>
        <v>1.5736633214240967</v>
      </c>
      <c r="M488" s="10">
        <f t="shared" si="57"/>
        <v>0.66232715510205487</v>
      </c>
      <c r="N488" s="10">
        <f t="shared" si="64"/>
        <v>2.9545467240956045</v>
      </c>
    </row>
    <row r="489" spans="3:14">
      <c r="C489" s="4">
        <f>Pressure!AB489*1000000</f>
        <v>1186960.7489630065</v>
      </c>
      <c r="D489" s="84">
        <f>Pressure!I489</f>
        <v>1.4801552192482141E-4</v>
      </c>
      <c r="E489" s="40">
        <f>Pressure!H489</f>
        <v>148.0155219248214</v>
      </c>
      <c r="F489" s="10">
        <f t="shared" si="60"/>
        <v>8</v>
      </c>
      <c r="G489" s="4">
        <f t="shared" si="59"/>
        <v>101000</v>
      </c>
      <c r="H489" s="45">
        <f t="shared" si="61"/>
        <v>2.7021497106325199</v>
      </c>
      <c r="I489" s="10">
        <f t="shared" si="62"/>
        <v>1.1168925868930026</v>
      </c>
      <c r="J489" s="4">
        <f t="shared" si="63"/>
        <v>196.22531142921892</v>
      </c>
      <c r="K489" s="4">
        <f t="shared" si="58"/>
        <v>44.113419232322947</v>
      </c>
      <c r="L489" s="45">
        <f>Pressure!Q489</f>
        <v>1.577028271884481</v>
      </c>
      <c r="M489" s="10">
        <f t="shared" si="57"/>
        <v>0.66111855602878888</v>
      </c>
      <c r="N489" s="10">
        <f t="shared" si="64"/>
        <v>2.9545467240956045</v>
      </c>
    </row>
    <row r="490" spans="3:14">
      <c r="C490" s="4">
        <f>Pressure!AB490*1000000</f>
        <v>1184414.2887199242</v>
      </c>
      <c r="D490" s="84">
        <f>Pressure!I490</f>
        <v>1.4801552192482141E-4</v>
      </c>
      <c r="E490" s="40">
        <f>Pressure!H490</f>
        <v>148.0155219248214</v>
      </c>
      <c r="F490" s="10">
        <f t="shared" si="60"/>
        <v>8</v>
      </c>
      <c r="G490" s="4">
        <f t="shared" si="59"/>
        <v>101000</v>
      </c>
      <c r="H490" s="45">
        <f t="shared" si="61"/>
        <v>2.6980467550703011</v>
      </c>
      <c r="I490" s="10">
        <f t="shared" si="62"/>
        <v>1.1164727152417555</v>
      </c>
      <c r="J490" s="4">
        <f t="shared" si="63"/>
        <v>195.7307287302589</v>
      </c>
      <c r="K490" s="4">
        <f t="shared" si="58"/>
        <v>44.002232078202177</v>
      </c>
      <c r="L490" s="45">
        <f>Pressure!Q490</f>
        <v>1.5803955174395223</v>
      </c>
      <c r="M490" s="10">
        <f t="shared" si="57"/>
        <v>0.65990611699929735</v>
      </c>
      <c r="N490" s="10">
        <f t="shared" si="64"/>
        <v>2.9545467240956045</v>
      </c>
    </row>
    <row r="491" spans="3:14">
      <c r="C491" s="4">
        <f>Pressure!AB491*1000000</f>
        <v>1181861.096922315</v>
      </c>
      <c r="D491" s="84">
        <f>Pressure!I491</f>
        <v>1.4801552192482141E-4</v>
      </c>
      <c r="E491" s="40">
        <f>Pressure!H491</f>
        <v>148.0155219248214</v>
      </c>
      <c r="F491" s="10">
        <f t="shared" si="60"/>
        <v>8</v>
      </c>
      <c r="G491" s="4">
        <f t="shared" si="59"/>
        <v>101000</v>
      </c>
      <c r="H491" s="45">
        <f t="shared" si="61"/>
        <v>2.6939313877552733</v>
      </c>
      <c r="I491" s="10">
        <f t="shared" si="62"/>
        <v>1.1160505605943327</v>
      </c>
      <c r="J491" s="4">
        <f t="shared" si="63"/>
        <v>195.23495116386061</v>
      </c>
      <c r="K491" s="4">
        <f t="shared" si="58"/>
        <v>43.890776305890164</v>
      </c>
      <c r="L491" s="45">
        <f>Pressure!Q491</f>
        <v>1.583765070703689</v>
      </c>
      <c r="M491" s="10">
        <f t="shared" si="57"/>
        <v>0.65868984143218356</v>
      </c>
      <c r="N491" s="10">
        <f t="shared" si="64"/>
        <v>2.9545467240956045</v>
      </c>
    </row>
    <row r="492" spans="3:14">
      <c r="C492" s="4">
        <f>Pressure!AB492*1000000</f>
        <v>1179301.1945985935</v>
      </c>
      <c r="D492" s="84">
        <f>Pressure!I492</f>
        <v>1.4801552192482141E-4</v>
      </c>
      <c r="E492" s="40">
        <f>Pressure!H492</f>
        <v>148.0155219248214</v>
      </c>
      <c r="F492" s="10">
        <f t="shared" si="60"/>
        <v>8</v>
      </c>
      <c r="G492" s="4">
        <f t="shared" si="59"/>
        <v>101000</v>
      </c>
      <c r="H492" s="45">
        <f t="shared" si="61"/>
        <v>2.6898036267070182</v>
      </c>
      <c r="I492" s="10">
        <f t="shared" si="62"/>
        <v>1.115626111140434</v>
      </c>
      <c r="J492" s="4">
        <f t="shared" si="63"/>
        <v>194.73798399108779</v>
      </c>
      <c r="K492" s="4">
        <f t="shared" si="58"/>
        <v>43.779053098126838</v>
      </c>
      <c r="L492" s="45">
        <f>Pressure!Q492</f>
        <v>1.5871369443569712</v>
      </c>
      <c r="M492" s="10">
        <f t="shared" si="57"/>
        <v>0.65746973277104448</v>
      </c>
      <c r="N492" s="10">
        <f t="shared" si="64"/>
        <v>2.9545467240956045</v>
      </c>
    </row>
    <row r="493" spans="3:14">
      <c r="C493" s="4">
        <f>Pressure!AB493*1000000</f>
        <v>1176734.6028831168</v>
      </c>
      <c r="D493" s="84">
        <f>Pressure!I493</f>
        <v>1.4801552192482141E-4</v>
      </c>
      <c r="E493" s="40">
        <f>Pressure!H493</f>
        <v>148.0155219248214</v>
      </c>
      <c r="F493" s="10">
        <f t="shared" si="60"/>
        <v>8</v>
      </c>
      <c r="G493" s="4">
        <f t="shared" si="59"/>
        <v>101000</v>
      </c>
      <c r="H493" s="45">
        <f t="shared" si="61"/>
        <v>2.6856634900687339</v>
      </c>
      <c r="I493" s="10">
        <f t="shared" si="62"/>
        <v>1.1151993549623374</v>
      </c>
      <c r="J493" s="4">
        <f t="shared" si="63"/>
        <v>194.23983249806375</v>
      </c>
      <c r="K493" s="4">
        <f t="shared" si="58"/>
        <v>43.667063643285765</v>
      </c>
      <c r="L493" s="45">
        <f>Pressure!Q493</f>
        <v>1.5905111511454602</v>
      </c>
      <c r="M493" s="10">
        <f t="shared" si="57"/>
        <v>0.65624579448465936</v>
      </c>
      <c r="N493" s="10">
        <f t="shared" si="64"/>
        <v>2.9545467240956045</v>
      </c>
    </row>
    <row r="494" spans="3:14">
      <c r="C494" s="4">
        <f>Pressure!AB494*1000000</f>
        <v>1174161.3430170384</v>
      </c>
      <c r="D494" s="84">
        <f>Pressure!I494</f>
        <v>1.4801552192482141E-4</v>
      </c>
      <c r="E494" s="40">
        <f>Pressure!H494</f>
        <v>148.0155219248214</v>
      </c>
      <c r="F494" s="10">
        <f t="shared" si="60"/>
        <v>8</v>
      </c>
      <c r="G494" s="4">
        <f t="shared" si="59"/>
        <v>101000</v>
      </c>
      <c r="H494" s="45">
        <f t="shared" si="61"/>
        <v>2.6815109961088845</v>
      </c>
      <c r="I494" s="10">
        <f t="shared" si="62"/>
        <v>1.1147702800338095</v>
      </c>
      <c r="J494" s="4">
        <f t="shared" si="63"/>
        <v>193.74050199613964</v>
      </c>
      <c r="K494" s="4">
        <f t="shared" si="58"/>
        <v>43.554809135412</v>
      </c>
      <c r="L494" s="45">
        <f>Pressure!Q494</f>
        <v>1.5938877038819337</v>
      </c>
      <c r="M494" s="10">
        <f t="shared" si="57"/>
        <v>0.6550180300671582</v>
      </c>
      <c r="N494" s="10">
        <f t="shared" si="64"/>
        <v>2.9545467240956045</v>
      </c>
    </row>
    <row r="495" spans="3:14">
      <c r="C495" s="4">
        <f>Pressure!AB495*1000000</f>
        <v>1171581.4363485295</v>
      </c>
      <c r="D495" s="84">
        <f>Pressure!I495</f>
        <v>1.4801552192482141E-4</v>
      </c>
      <c r="E495" s="40">
        <f>Pressure!H495</f>
        <v>148.0155219248214</v>
      </c>
      <c r="F495" s="10">
        <f t="shared" si="60"/>
        <v>8</v>
      </c>
      <c r="G495" s="4">
        <f t="shared" si="59"/>
        <v>101000</v>
      </c>
      <c r="H495" s="45">
        <f t="shared" si="61"/>
        <v>2.6773461632218316</v>
      </c>
      <c r="I495" s="10">
        <f t="shared" si="62"/>
        <v>1.1143388742188958</v>
      </c>
      <c r="J495" s="4">
        <f t="shared" si="63"/>
        <v>193.23999782193951</v>
      </c>
      <c r="K495" s="4">
        <f t="shared" si="58"/>
        <v>43.442290774232163</v>
      </c>
      <c r="L495" s="45">
        <f>Pressure!Q495</f>
        <v>1.5972666154464472</v>
      </c>
      <c r="M495" s="10">
        <f t="shared" si="57"/>
        <v>0.65378644303826705</v>
      </c>
      <c r="N495" s="10">
        <f t="shared" si="64"/>
        <v>2.9545467240956045</v>
      </c>
    </row>
    <row r="496" spans="3:14">
      <c r="C496" s="4">
        <f>Pressure!AB496*1000000</f>
        <v>1168994.9043334988</v>
      </c>
      <c r="D496" s="84">
        <f>Pressure!I496</f>
        <v>1.4801552192482141E-4</v>
      </c>
      <c r="E496" s="40">
        <f>Pressure!H496</f>
        <v>148.0155219248214</v>
      </c>
      <c r="F496" s="10">
        <f t="shared" si="60"/>
        <v>8</v>
      </c>
      <c r="G496" s="4">
        <f t="shared" si="59"/>
        <v>101000</v>
      </c>
      <c r="H496" s="45">
        <f t="shared" si="61"/>
        <v>2.673169009929278</v>
      </c>
      <c r="I496" s="10">
        <f t="shared" si="62"/>
        <v>1.1139051252707748</v>
      </c>
      <c r="J496" s="4">
        <f t="shared" si="63"/>
        <v>192.73832533750183</v>
      </c>
      <c r="K496" s="4">
        <f t="shared" si="58"/>
        <v>43.32950976518633</v>
      </c>
      <c r="L496" s="45">
        <f>Pressure!Q496</f>
        <v>1.6006478987869308</v>
      </c>
      <c r="M496" s="10">
        <f t="shared" si="57"/>
        <v>0.65255103694340688</v>
      </c>
      <c r="N496" s="10">
        <f t="shared" si="64"/>
        <v>2.9545467240956045</v>
      </c>
    </row>
    <row r="497" spans="3:14">
      <c r="C497" s="123">
        <f>Pressure!AB497*1000000</f>
        <v>1166401.7685358583</v>
      </c>
      <c r="D497" s="85">
        <f>Pressure!I497</f>
        <v>1.4801552192482141E-4</v>
      </c>
      <c r="E497" s="120">
        <f>Pressure!H497</f>
        <v>148.0155219248214</v>
      </c>
      <c r="F497" s="10">
        <f t="shared" si="60"/>
        <v>8</v>
      </c>
      <c r="G497" s="4">
        <f t="shared" si="59"/>
        <v>101000</v>
      </c>
      <c r="H497" s="61">
        <f t="shared" si="61"/>
        <v>2.668979554881</v>
      </c>
      <c r="I497" s="10">
        <f t="shared" si="62"/>
        <v>1.1134690208305238</v>
      </c>
      <c r="J497" s="4">
        <f t="shared" si="63"/>
        <v>192.23548993033376</v>
      </c>
      <c r="K497" s="4">
        <f t="shared" si="58"/>
        <v>43.21646731944017</v>
      </c>
      <c r="L497" s="45">
        <f>Pressure!Q497</f>
        <v>1.6040315669197929</v>
      </c>
      <c r="M497" s="10">
        <f t="shared" si="57"/>
        <v>0.65131181535405058</v>
      </c>
      <c r="N497" s="10">
        <f t="shared" si="64"/>
        <v>2.9545467240956045</v>
      </c>
    </row>
    <row r="498" spans="3:14">
      <c r="C498" s="4">
        <f>Pressure!AB498*1000000</f>
        <v>1163802.0506281399</v>
      </c>
      <c r="D498" s="84">
        <f>Pressure!I498</f>
        <v>1.4801552192482141E-4</v>
      </c>
      <c r="E498" s="40">
        <f>Pressure!H498</f>
        <v>148.0155219248214</v>
      </c>
      <c r="F498" s="10">
        <f t="shared" si="60"/>
        <v>8</v>
      </c>
      <c r="G498" s="4">
        <f t="shared" si="59"/>
        <v>101000</v>
      </c>
      <c r="H498" s="45">
        <f t="shared" si="61"/>
        <v>2.6647778168561294</v>
      </c>
      <c r="I498" s="10">
        <f t="shared" si="62"/>
        <v>1.1130305484259211</v>
      </c>
      <c r="J498" s="4">
        <f t="shared" si="63"/>
        <v>191.73149701353199</v>
      </c>
      <c r="K498" s="4">
        <f t="shared" si="58"/>
        <v>43.103164653912145</v>
      </c>
      <c r="L498" s="45">
        <f>Pressure!Q498</f>
        <v>1.6074176329305296</v>
      </c>
      <c r="M498" s="10">
        <f t="shared" si="57"/>
        <v>0.65006878186781569</v>
      </c>
      <c r="N498" s="10">
        <f t="shared" si="64"/>
        <v>2.9545467240956045</v>
      </c>
    </row>
    <row r="499" spans="3:14">
      <c r="C499" s="4">
        <f>Pressure!AB499*1000000</f>
        <v>1161195.7723918124</v>
      </c>
      <c r="D499" s="84">
        <f>Pressure!I499</f>
        <v>1.4801552192482141E-4</v>
      </c>
      <c r="E499" s="40">
        <f>Pressure!H499</f>
        <v>148.0155219248214</v>
      </c>
      <c r="F499" s="10">
        <f t="shared" si="60"/>
        <v>8</v>
      </c>
      <c r="G499" s="4">
        <f t="shared" si="59"/>
        <v>101000</v>
      </c>
      <c r="H499" s="45">
        <f t="shared" si="61"/>
        <v>2.660563814763981</v>
      </c>
      <c r="I499" s="10">
        <f t="shared" si="62"/>
        <v>1.1125896954701837</v>
      </c>
      <c r="J499" s="4">
        <f t="shared" si="63"/>
        <v>191.22635202584667</v>
      </c>
      <c r="K499" s="4">
        <f t="shared" si="58"/>
        <v>42.98960299128786</v>
      </c>
      <c r="L499" s="45">
        <f>Pressure!Q499</f>
        <v>1.6108061099743416</v>
      </c>
      <c r="M499" s="10">
        <f t="shared" si="57"/>
        <v>0.64882194010876926</v>
      </c>
      <c r="N499" s="10">
        <f t="shared" si="64"/>
        <v>2.9545467240956045</v>
      </c>
    </row>
    <row r="500" spans="3:14">
      <c r="C500" s="4">
        <f>Pressure!AB500*1000000</f>
        <v>1158582.9557180738</v>
      </c>
      <c r="D500" s="84">
        <f>Pressure!I500</f>
        <v>1.4801552192482141E-4</v>
      </c>
      <c r="E500" s="40">
        <f>Pressure!H500</f>
        <v>148.0155219248214</v>
      </c>
      <c r="F500" s="10">
        <f t="shared" si="60"/>
        <v>8</v>
      </c>
      <c r="G500" s="4">
        <f t="shared" si="59"/>
        <v>101000</v>
      </c>
      <c r="H500" s="45">
        <f t="shared" si="61"/>
        <v>2.65633756764564</v>
      </c>
      <c r="I500" s="10">
        <f t="shared" si="62"/>
        <v>1.112146449260768</v>
      </c>
      <c r="J500" s="4">
        <f t="shared" si="63"/>
        <v>190.72006043183683</v>
      </c>
      <c r="K500" s="4">
        <f t="shared" si="58"/>
        <v>42.875783560055041</v>
      </c>
      <c r="L500" s="45">
        <f>Pressure!Q500</f>
        <v>1.614197011276755</v>
      </c>
      <c r="M500" s="10">
        <f t="shared" si="57"/>
        <v>0.64757129372743727</v>
      </c>
      <c r="N500" s="10">
        <f t="shared" si="64"/>
        <v>2.9545467240956045</v>
      </c>
    </row>
    <row r="501" spans="3:14">
      <c r="C501" s="4">
        <f>Pressure!AB501*1000000</f>
        <v>1155963.6226079641</v>
      </c>
      <c r="D501" s="84">
        <f>Pressure!I501</f>
        <v>1.4801552192482141E-4</v>
      </c>
      <c r="E501" s="40">
        <f>Pressure!H501</f>
        <v>148.0155219248214</v>
      </c>
      <c r="F501" s="10">
        <f t="shared" si="60"/>
        <v>8</v>
      </c>
      <c r="G501" s="4">
        <f t="shared" si="59"/>
        <v>101000</v>
      </c>
      <c r="H501" s="45">
        <f t="shared" si="61"/>
        <v>2.6520990946744725</v>
      </c>
      <c r="I501" s="10">
        <f t="shared" si="62"/>
        <v>1.111700796978033</v>
      </c>
      <c r="J501" s="4">
        <f t="shared" si="63"/>
        <v>190.21262772189368</v>
      </c>
      <c r="K501" s="4">
        <f t="shared" si="58"/>
        <v>42.761707594508721</v>
      </c>
      <c r="L501" s="45">
        <f>Pressure!Q501</f>
        <v>1.6175903501342517</v>
      </c>
      <c r="M501" s="10">
        <f t="shared" si="57"/>
        <v>0.64631684640136489</v>
      </c>
      <c r="N501" s="10">
        <f t="shared" si="64"/>
        <v>2.9545467240956045</v>
      </c>
    </row>
    <row r="502" spans="3:14">
      <c r="C502" s="4">
        <f>Pressure!AB502*1000000</f>
        <v>1153337.7951731663</v>
      </c>
      <c r="D502" s="84">
        <f>Pressure!I502</f>
        <v>1.4801552192482141E-4</v>
      </c>
      <c r="E502" s="40">
        <f>Pressure!H502</f>
        <v>148.0155219248214</v>
      </c>
      <c r="F502" s="10">
        <f t="shared" si="60"/>
        <v>8</v>
      </c>
      <c r="G502" s="4">
        <f t="shared" si="59"/>
        <v>101000</v>
      </c>
      <c r="H502" s="45">
        <f t="shared" si="61"/>
        <v>2.6478484151577417</v>
      </c>
      <c r="I502" s="10">
        <f t="shared" si="62"/>
        <v>1.1112527256840083</v>
      </c>
      <c r="J502" s="4">
        <f t="shared" si="63"/>
        <v>189.70405941239807</v>
      </c>
      <c r="K502" s="4">
        <f t="shared" si="58"/>
        <v>42.647376334786671</v>
      </c>
      <c r="L502" s="45">
        <f>Pressure!Q502</f>
        <v>1.6209861399149039</v>
      </c>
      <c r="M502" s="10">
        <f t="shared" si="57"/>
        <v>0.64505860183494257</v>
      </c>
      <c r="N502" s="10">
        <f t="shared" si="64"/>
        <v>2.9545467240956045</v>
      </c>
    </row>
    <row r="503" spans="3:14">
      <c r="C503" s="4">
        <f>Pressure!AB503*1000000</f>
        <v>1150705.4956362988</v>
      </c>
      <c r="D503" s="84">
        <f>Pressure!I503</f>
        <v>1.4801552192482141E-4</v>
      </c>
      <c r="E503" s="40">
        <f>Pressure!H503</f>
        <v>148.0155219248214</v>
      </c>
      <c r="F503" s="10">
        <f t="shared" si="60"/>
        <v>8</v>
      </c>
      <c r="G503" s="4">
        <f t="shared" si="59"/>
        <v>101000</v>
      </c>
      <c r="H503" s="45">
        <f t="shared" si="61"/>
        <v>2.6435855485374256</v>
      </c>
      <c r="I503" s="10">
        <f t="shared" si="62"/>
        <v>1.1108022223210516</v>
      </c>
      <c r="J503" s="4">
        <f t="shared" si="63"/>
        <v>189.19436104577835</v>
      </c>
      <c r="K503" s="4">
        <f t="shared" si="58"/>
        <v>42.532791026882414</v>
      </c>
      <c r="L503" s="45">
        <f>Pressure!Q503</f>
        <v>1.624384394059017</v>
      </c>
      <c r="M503" s="10">
        <f t="shared" si="57"/>
        <v>0.64379656375995287</v>
      </c>
      <c r="N503" s="10">
        <f t="shared" si="64"/>
        <v>2.9545467240956045</v>
      </c>
    </row>
    <row r="504" spans="3:14">
      <c r="C504" s="4">
        <f>Pressure!AB504*1000000</f>
        <v>1148066.7463315825</v>
      </c>
      <c r="D504" s="84">
        <f>Pressure!I504</f>
        <v>1.4801552192482141E-4</v>
      </c>
      <c r="E504" s="40">
        <f>Pressure!H504</f>
        <v>148.0155219248214</v>
      </c>
      <c r="F504" s="10">
        <f t="shared" si="60"/>
        <v>8</v>
      </c>
      <c r="G504" s="4">
        <f t="shared" si="59"/>
        <v>101000</v>
      </c>
      <c r="H504" s="45">
        <f t="shared" si="61"/>
        <v>2.6393105143916356</v>
      </c>
      <c r="I504" s="10">
        <f t="shared" si="62"/>
        <v>1.1103492737105536</v>
      </c>
      <c r="J504" s="4">
        <f t="shared" si="63"/>
        <v>188.68353819064146</v>
      </c>
      <c r="K504" s="4">
        <f t="shared" si="58"/>
        <v>42.417952922674665</v>
      </c>
      <c r="L504" s="45">
        <f>Pressure!Q504</f>
        <v>1.6277851260797778</v>
      </c>
      <c r="M504" s="10">
        <f t="shared" si="57"/>
        <v>0.64253073593554733</v>
      </c>
      <c r="N504" s="10">
        <f t="shared" si="64"/>
        <v>2.9545467240956045</v>
      </c>
    </row>
    <row r="505" spans="3:14">
      <c r="C505" s="4">
        <f>Pressure!AB505*1000000</f>
        <v>1145421.5697053112</v>
      </c>
      <c r="D505" s="84">
        <f>Pressure!I505</f>
        <v>1.4801552192482141E-4</v>
      </c>
      <c r="E505" s="40">
        <f>Pressure!H505</f>
        <v>148.0155219248214</v>
      </c>
      <c r="F505" s="10">
        <f t="shared" si="60"/>
        <v>8</v>
      </c>
      <c r="G505" s="4">
        <f t="shared" si="59"/>
        <v>101000</v>
      </c>
      <c r="H505" s="45">
        <f t="shared" si="61"/>
        <v>2.6350233324357339</v>
      </c>
      <c r="I505" s="10">
        <f t="shared" si="62"/>
        <v>1.1098938665515905</v>
      </c>
      <c r="J505" s="4">
        <f t="shared" si="63"/>
        <v>188.1715964418652</v>
      </c>
      <c r="K505" s="4">
        <f t="shared" si="58"/>
        <v>42.302863279948113</v>
      </c>
      <c r="L505" s="45">
        <f>Pressure!Q505</f>
        <v>1.6311883495639106</v>
      </c>
      <c r="M505" s="10">
        <f t="shared" si="57"/>
        <v>0.64126112214868736</v>
      </c>
      <c r="N505" s="10">
        <f t="shared" si="64"/>
        <v>2.9545467240956045</v>
      </c>
    </row>
    <row r="506" spans="3:14">
      <c r="C506" s="4">
        <f>Pressure!AB506*1000000</f>
        <v>1142769.988316332</v>
      </c>
      <c r="D506" s="84">
        <f>Pressure!I506</f>
        <v>1.4801552192482141E-4</v>
      </c>
      <c r="E506" s="40">
        <f>Pressure!H506</f>
        <v>148.0155219248214</v>
      </c>
      <c r="F506" s="10">
        <f t="shared" si="60"/>
        <v>8</v>
      </c>
      <c r="G506" s="4">
        <f t="shared" si="59"/>
        <v>101000</v>
      </c>
      <c r="H506" s="45">
        <f t="shared" si="61"/>
        <v>2.6307240225234727</v>
      </c>
      <c r="I506" s="10">
        <f t="shared" si="62"/>
        <v>1.1094359874195578</v>
      </c>
      <c r="J506" s="4">
        <f t="shared" si="63"/>
        <v>187.65854142069315</v>
      </c>
      <c r="K506" s="4">
        <f t="shared" si="58"/>
        <v>42.187523362414723</v>
      </c>
      <c r="L506" s="45">
        <f>Pressure!Q506</f>
        <v>1.6345940781723394</v>
      </c>
      <c r="M506" s="10">
        <f t="shared" ref="M506:M526" si="65">(J506+J505)/2*(L506-L505)</f>
        <v>0.63998772621412814</v>
      </c>
      <c r="N506" s="10">
        <f t="shared" si="64"/>
        <v>2.9545467240956045</v>
      </c>
    </row>
    <row r="507" spans="3:14">
      <c r="C507" s="4">
        <f>Pressure!AB507*1000000</f>
        <v>1140112.0248365295</v>
      </c>
      <c r="D507" s="84">
        <f>Pressure!I507</f>
        <v>1.4801552192482141E-4</v>
      </c>
      <c r="E507" s="40">
        <f>Pressure!H507</f>
        <v>148.0155219248214</v>
      </c>
      <c r="F507" s="10">
        <f t="shared" si="60"/>
        <v>8</v>
      </c>
      <c r="G507" s="4">
        <f t="shared" si="59"/>
        <v>101000</v>
      </c>
      <c r="H507" s="45">
        <f t="shared" si="61"/>
        <v>2.6264126046481473</v>
      </c>
      <c r="I507" s="10">
        <f t="shared" si="62"/>
        <v>1.1089756227647842</v>
      </c>
      <c r="J507" s="4">
        <f t="shared" si="63"/>
        <v>187.14437877482908</v>
      </c>
      <c r="K507" s="4">
        <f t="shared" ref="K507:K526" si="66">J507/4.4482</f>
        <v>42.071934439734967</v>
      </c>
      <c r="L507" s="45">
        <f>Pressure!Q507</f>
        <v>1.638002325640858</v>
      </c>
      <c r="M507" s="10">
        <f t="shared" si="65"/>
        <v>0.6387105519748919</v>
      </c>
      <c r="N507" s="10">
        <f t="shared" si="64"/>
        <v>2.9545467240956045</v>
      </c>
    </row>
    <row r="508" spans="3:14">
      <c r="C508" s="4">
        <f>Pressure!AB508*1000000</f>
        <v>1137447.7020513304</v>
      </c>
      <c r="D508" s="84">
        <f>Pressure!I508</f>
        <v>1.4801552192482141E-4</v>
      </c>
      <c r="E508" s="40">
        <f>Pressure!H508</f>
        <v>148.0155219248214</v>
      </c>
      <c r="F508" s="10">
        <f t="shared" si="60"/>
        <v>8</v>
      </c>
      <c r="G508" s="4">
        <f t="shared" si="59"/>
        <v>101000</v>
      </c>
      <c r="H508" s="45">
        <f t="shared" si="61"/>
        <v>2.6220890989437926</v>
      </c>
      <c r="I508" s="10">
        <f t="shared" si="62"/>
        <v>1.1085127589111308</v>
      </c>
      <c r="J508" s="4">
        <f t="shared" si="63"/>
        <v>186.62911417853633</v>
      </c>
      <c r="K508" s="4">
        <f t="shared" si="66"/>
        <v>41.956097787540202</v>
      </c>
      <c r="L508" s="45">
        <f>Pressure!Q508</f>
        <v>1.6414131057808066</v>
      </c>
      <c r="M508" s="10">
        <f t="shared" si="65"/>
        <v>0.63742960330226994</v>
      </c>
      <c r="N508" s="10">
        <f t="shared" si="64"/>
        <v>2.9545467240956045</v>
      </c>
    </row>
    <row r="509" spans="3:14">
      <c r="C509" s="4">
        <f>Pressure!AB509*1000000</f>
        <v>1134777.042860447</v>
      </c>
      <c r="D509" s="84">
        <f>Pressure!I509</f>
        <v>1.4801552192482141E-4</v>
      </c>
      <c r="E509" s="40">
        <f>Pressure!H509</f>
        <v>148.0155219248214</v>
      </c>
      <c r="F509" s="10">
        <f t="shared" si="60"/>
        <v>8</v>
      </c>
      <c r="G509" s="4">
        <f t="shared" si="59"/>
        <v>101000</v>
      </c>
      <c r="H509" s="45">
        <f t="shared" si="61"/>
        <v>2.6177535256867781</v>
      </c>
      <c r="I509" s="10">
        <f t="shared" si="62"/>
        <v>1.108047382054608</v>
      </c>
      <c r="J509" s="4">
        <f t="shared" si="63"/>
        <v>186.11275333278249</v>
      </c>
      <c r="K509" s="4">
        <f t="shared" si="66"/>
        <v>41.84001468746515</v>
      </c>
      <c r="L509" s="45">
        <f>Pressure!Q509</f>
        <v>1.6448264324797557</v>
      </c>
      <c r="M509" s="10">
        <f t="shared" si="65"/>
        <v>0.63614488409626913</v>
      </c>
      <c r="N509" s="10">
        <f t="shared" si="64"/>
        <v>2.9545467240956045</v>
      </c>
    </row>
    <row r="510" spans="3:14">
      <c r="C510" s="4">
        <f>Pressure!AB510*1000000</f>
        <v>1132100.0702781461</v>
      </c>
      <c r="D510" s="84">
        <f>Pressure!I510</f>
        <v>1.4801552192482141E-4</v>
      </c>
      <c r="E510" s="40">
        <f>Pressure!H510</f>
        <v>148.0155219248214</v>
      </c>
      <c r="F510" s="10">
        <f t="shared" si="60"/>
        <v>8</v>
      </c>
      <c r="G510" s="4">
        <f t="shared" si="59"/>
        <v>101000</v>
      </c>
      <c r="H510" s="45">
        <f t="shared" si="61"/>
        <v>2.6134059052966419</v>
      </c>
      <c r="I510" s="10">
        <f t="shared" si="62"/>
        <v>1.1075794782618951</v>
      </c>
      <c r="J510" s="4">
        <f t="shared" si="63"/>
        <v>185.59530196529298</v>
      </c>
      <c r="K510" s="4">
        <f t="shared" si="66"/>
        <v>41.723686427159969</v>
      </c>
      <c r="L510" s="45">
        <f>Pressure!Q510</f>
        <v>1.6482423197021974</v>
      </c>
      <c r="M510" s="10">
        <f t="shared" si="65"/>
        <v>0.6348563982856712</v>
      </c>
      <c r="N510" s="10">
        <f t="shared" si="64"/>
        <v>2.9545467240956045</v>
      </c>
    </row>
    <row r="511" spans="3:14">
      <c r="C511" s="4">
        <f>Pressure!AB511*1000000</f>
        <v>1129416.8074339773</v>
      </c>
      <c r="D511" s="84">
        <f>Pressure!I511</f>
        <v>1.4801552192482141E-4</v>
      </c>
      <c r="E511" s="40">
        <f>Pressure!H511</f>
        <v>148.0155219248214</v>
      </c>
      <c r="F511" s="10">
        <f t="shared" si="60"/>
        <v>8</v>
      </c>
      <c r="G511" s="4">
        <f t="shared" si="59"/>
        <v>101000</v>
      </c>
      <c r="H511" s="45">
        <f t="shared" si="61"/>
        <v>2.609046258337671</v>
      </c>
      <c r="I511" s="10">
        <f t="shared" si="62"/>
        <v>1.1071090334689107</v>
      </c>
      <c r="J511" s="4">
        <f t="shared" si="63"/>
        <v>185.07676583069212</v>
      </c>
      <c r="K511" s="4">
        <f t="shared" si="66"/>
        <v>41.607114300321953</v>
      </c>
      <c r="L511" s="45">
        <f>Pressure!Q511</f>
        <v>1.651660781490244</v>
      </c>
      <c r="M511" s="10">
        <f t="shared" si="65"/>
        <v>0.63356414982839904</v>
      </c>
      <c r="N511" s="10">
        <f t="shared" si="64"/>
        <v>2.9545467240956045</v>
      </c>
    </row>
    <row r="512" spans="3:14">
      <c r="C512" s="4">
        <f>Pressure!AB512*1000000</f>
        <v>1126727.2775731911</v>
      </c>
      <c r="D512" s="84">
        <f>Pressure!I512</f>
        <v>1.4801552192482141E-4</v>
      </c>
      <c r="E512" s="40">
        <f>Pressure!H512</f>
        <v>148.0155219248214</v>
      </c>
      <c r="F512" s="10">
        <f t="shared" si="60"/>
        <v>8</v>
      </c>
      <c r="G512" s="4">
        <f t="shared" si="59"/>
        <v>101000</v>
      </c>
      <c r="H512" s="45">
        <f t="shared" si="61"/>
        <v>2.6046746055200081</v>
      </c>
      <c r="I512" s="10">
        <f t="shared" si="62"/>
        <v>1.1066360334793137</v>
      </c>
      <c r="J512" s="4">
        <f t="shared" si="63"/>
        <v>184.55715071058549</v>
      </c>
      <c r="K512" s="4">
        <f t="shared" si="66"/>
        <v>41.490299606714061</v>
      </c>
      <c r="L512" s="45">
        <f>Pressure!Q512</f>
        <v>1.6550818319643341</v>
      </c>
      <c r="M512" s="10">
        <f t="shared" si="65"/>
        <v>0.63226814271166587</v>
      </c>
      <c r="N512" s="10">
        <f t="shared" si="64"/>
        <v>2.9545467240956045</v>
      </c>
    </row>
    <row r="513" spans="3:14">
      <c r="C513" s="4">
        <f>Pressure!AB513*1000000</f>
        <v>1124031.5040572786</v>
      </c>
      <c r="D513" s="84">
        <f>Pressure!I513</f>
        <v>1.4801552192482141E-4</v>
      </c>
      <c r="E513" s="40">
        <f>Pressure!H513</f>
        <v>148.0155219248214</v>
      </c>
      <c r="F513" s="10">
        <f t="shared" si="60"/>
        <v>8</v>
      </c>
      <c r="G513" s="4">
        <f t="shared" si="59"/>
        <v>101000</v>
      </c>
      <c r="H513" s="45">
        <f t="shared" si="61"/>
        <v>2.60029096770094</v>
      </c>
      <c r="I513" s="10">
        <f t="shared" si="62"/>
        <v>1.1061604639630012</v>
      </c>
      <c r="J513" s="4">
        <f t="shared" si="63"/>
        <v>184.03646241366454</v>
      </c>
      <c r="K513" s="4">
        <f t="shared" si="66"/>
        <v>41.373243652188421</v>
      </c>
      <c r="L513" s="45">
        <f>Pressure!Q513</f>
        <v>1.6585054853239465</v>
      </c>
      <c r="M513" s="10">
        <f t="shared" si="65"/>
        <v>0.63096838095224972</v>
      </c>
      <c r="N513" s="10">
        <f t="shared" si="64"/>
        <v>2.9545467240956045</v>
      </c>
    </row>
    <row r="514" spans="3:14">
      <c r="C514" s="4">
        <f>Pressure!AB514*1000000</f>
        <v>1121329.5103646631</v>
      </c>
      <c r="D514" s="84">
        <f>Pressure!I514</f>
        <v>1.4801552192482141E-4</v>
      </c>
      <c r="E514" s="40">
        <f>Pressure!H514</f>
        <v>148.0155219248214</v>
      </c>
      <c r="F514" s="10">
        <f t="shared" si="60"/>
        <v>8</v>
      </c>
      <c r="G514" s="4">
        <f t="shared" si="59"/>
        <v>101000</v>
      </c>
      <c r="H514" s="45">
        <f t="shared" si="61"/>
        <v>2.5958953658864656</v>
      </c>
      <c r="I514" s="10">
        <f t="shared" si="62"/>
        <v>1.1056823104546105</v>
      </c>
      <c r="J514" s="4">
        <f t="shared" si="63"/>
        <v>183.5147067758412</v>
      </c>
      <c r="K514" s="4">
        <f t="shared" si="66"/>
        <v>41.255947748716608</v>
      </c>
      <c r="L514" s="45">
        <f>Pressure!Q514</f>
        <v>1.6619317558483215</v>
      </c>
      <c r="M514" s="10">
        <f t="shared" si="65"/>
        <v>0.62966486859679571</v>
      </c>
      <c r="N514" s="10">
        <f t="shared" si="64"/>
        <v>2.9545467240956045</v>
      </c>
    </row>
    <row r="515" spans="3:14">
      <c r="C515" s="4">
        <f>Pressure!AB515*1000000</f>
        <v>1118621.3200911577</v>
      </c>
      <c r="D515" s="84">
        <f>Pressure!I515</f>
        <v>1.4801552192482141E-4</v>
      </c>
      <c r="E515" s="40">
        <f>Pressure!H515</f>
        <v>148.0155219248214</v>
      </c>
      <c r="F515" s="10">
        <f t="shared" si="60"/>
        <v>8</v>
      </c>
      <c r="G515" s="4">
        <f t="shared" si="59"/>
        <v>101000</v>
      </c>
      <c r="H515" s="45">
        <f t="shared" si="61"/>
        <v>2.5914878212324872</v>
      </c>
      <c r="I515" s="10">
        <f t="shared" si="62"/>
        <v>1.1052015583519599</v>
      </c>
      <c r="J515" s="4">
        <f t="shared" si="63"/>
        <v>182.99188966033694</v>
      </c>
      <c r="K515" s="4">
        <f t="shared" si="66"/>
        <v>41.138413214409638</v>
      </c>
      <c r="L515" s="45">
        <f>Pressure!Q515</f>
        <v>1.6653606578971902</v>
      </c>
      <c r="M515" s="10">
        <f t="shared" si="65"/>
        <v>0.6283576097219522</v>
      </c>
      <c r="N515" s="10">
        <f t="shared" si="64"/>
        <v>2.9545467240956045</v>
      </c>
    </row>
    <row r="516" spans="3:14">
      <c r="C516" s="4">
        <f>Pressure!AB516*1000000</f>
        <v>1115906.9569504848</v>
      </c>
      <c r="D516" s="84">
        <f>Pressure!I516</f>
        <v>1.4801552192482141E-4</v>
      </c>
      <c r="E516" s="40">
        <f>Pressure!H516</f>
        <v>148.0155219248214</v>
      </c>
      <c r="F516" s="10">
        <f t="shared" si="60"/>
        <v>8</v>
      </c>
      <c r="G516" s="4">
        <f t="shared" si="59"/>
        <v>101000</v>
      </c>
      <c r="H516" s="45">
        <f t="shared" si="61"/>
        <v>2.5870683550460982</v>
      </c>
      <c r="I516" s="10">
        <f t="shared" si="62"/>
        <v>1.1047181929144725</v>
      </c>
      <c r="J516" s="4">
        <f t="shared" si="63"/>
        <v>182.46801695778311</v>
      </c>
      <c r="K516" s="4">
        <f t="shared" si="66"/>
        <v>41.020641373540556</v>
      </c>
      <c r="L516" s="45">
        <f>Pressure!Q516</f>
        <v>1.6687922059115112</v>
      </c>
      <c r="M516" s="10">
        <f t="shared" si="65"/>
        <v>0.62704660843467308</v>
      </c>
      <c r="N516" s="10">
        <f t="shared" si="64"/>
        <v>2.9545467240956045</v>
      </c>
    </row>
    <row r="517" spans="3:14">
      <c r="C517" s="4">
        <f>Pressure!AB517*1000000</f>
        <v>1113186.4447749611</v>
      </c>
      <c r="D517" s="84">
        <f>Pressure!I517</f>
        <v>1.4801552192482141E-4</v>
      </c>
      <c r="E517" s="40">
        <f>Pressure!H517</f>
        <v>148.0155219248214</v>
      </c>
      <c r="F517" s="10">
        <f t="shared" si="60"/>
        <v>8</v>
      </c>
      <c r="G517" s="4">
        <f t="shared" si="59"/>
        <v>101000</v>
      </c>
      <c r="H517" s="45">
        <f t="shared" si="61"/>
        <v>2.5826369887871818</v>
      </c>
      <c r="I517" s="10">
        <f t="shared" si="62"/>
        <v>1.1042321992616124</v>
      </c>
      <c r="J517" s="4">
        <f t="shared" si="63"/>
        <v>181.94309458635425</v>
      </c>
      <c r="K517" s="4">
        <f t="shared" si="66"/>
        <v>40.902633556574401</v>
      </c>
      <c r="L517" s="45">
        <f>Pressure!Q517</f>
        <v>1.6722264144142165</v>
      </c>
      <c r="M517" s="10">
        <f t="shared" si="65"/>
        <v>0.62573186887257581</v>
      </c>
      <c r="N517" s="10">
        <f t="shared" si="64"/>
        <v>2.9545467240956045</v>
      </c>
    </row>
    <row r="518" spans="3:14">
      <c r="C518" s="4">
        <f>Pressure!AB518*1000000</f>
        <v>1110459.8075158987</v>
      </c>
      <c r="D518" s="84">
        <f>Pressure!I518</f>
        <v>1.4801552192482141E-4</v>
      </c>
      <c r="E518" s="40">
        <f>Pressure!H518</f>
        <v>148.0155219248214</v>
      </c>
      <c r="F518" s="10">
        <f t="shared" si="60"/>
        <v>8</v>
      </c>
      <c r="G518" s="4">
        <f t="shared" si="59"/>
        <v>101000</v>
      </c>
      <c r="H518" s="45">
        <f t="shared" si="61"/>
        <v>2.5781937440695231</v>
      </c>
      <c r="I518" s="10">
        <f t="shared" si="62"/>
        <v>1.1037435623712397</v>
      </c>
      <c r="J518" s="4">
        <f t="shared" si="63"/>
        <v>181.41712849184509</v>
      </c>
      <c r="K518" s="4">
        <f t="shared" si="66"/>
        <v>40.784391100185488</v>
      </c>
      <c r="L518" s="45">
        <f>Pressure!Q518</f>
        <v>1.675663298010964</v>
      </c>
      <c r="M518" s="10">
        <f t="shared" si="65"/>
        <v>0.62441339520399552</v>
      </c>
      <c r="N518" s="10">
        <f t="shared" si="64"/>
        <v>2.9545467240956045</v>
      </c>
    </row>
    <row r="519" spans="3:14">
      <c r="C519" s="4">
        <f>Pressure!AB519*1000000</f>
        <v>1107727.0692444444</v>
      </c>
      <c r="D519" s="84">
        <f>Pressure!I519</f>
        <v>1.4801552192482141E-4</v>
      </c>
      <c r="E519" s="40">
        <f>Pressure!H519</f>
        <v>148.0155219248214</v>
      </c>
      <c r="F519" s="10">
        <f t="shared" si="60"/>
        <v>8</v>
      </c>
      <c r="G519" s="4">
        <f t="shared" si="59"/>
        <v>101000</v>
      </c>
      <c r="H519" s="45">
        <f t="shared" si="61"/>
        <v>2.5737386426626765</v>
      </c>
      <c r="I519" s="10">
        <f t="shared" si="62"/>
        <v>1.1032522670780256</v>
      </c>
      <c r="J519" s="4">
        <f t="shared" si="63"/>
        <v>180.89012464783309</v>
      </c>
      <c r="K519" s="4">
        <f t="shared" si="66"/>
        <v>40.665915347293982</v>
      </c>
      <c r="L519" s="45">
        <f>Pressure!Q519</f>
        <v>1.6791028713908998</v>
      </c>
      <c r="M519" s="10">
        <f t="shared" si="65"/>
        <v>0.62309119162843529</v>
      </c>
      <c r="N519" s="10">
        <f t="shared" si="64"/>
        <v>2.9545467240956045</v>
      </c>
    </row>
    <row r="520" spans="3:14">
      <c r="C520" s="4">
        <f>Pressure!AB520*1000000</f>
        <v>1104988.2541518928</v>
      </c>
      <c r="D520" s="84">
        <f>Pressure!I520</f>
        <v>1.4801552192482141E-4</v>
      </c>
      <c r="E520" s="40">
        <f>Pressure!H520</f>
        <v>148.0155219248214</v>
      </c>
      <c r="F520" s="10">
        <f t="shared" si="60"/>
        <v>8</v>
      </c>
      <c r="G520" s="4">
        <f t="shared" si="59"/>
        <v>101000</v>
      </c>
      <c r="H520" s="45">
        <f t="shared" si="61"/>
        <v>2.5692717064929793</v>
      </c>
      <c r="I520" s="10">
        <f t="shared" si="62"/>
        <v>1.102758298071745</v>
      </c>
      <c r="J520" s="4">
        <f t="shared" si="63"/>
        <v>180.36208905573878</v>
      </c>
      <c r="K520" s="4">
        <f t="shared" si="66"/>
        <v>40.547207647079446</v>
      </c>
      <c r="L520" s="45">
        <f>Pressure!Q520</f>
        <v>1.6825451493274268</v>
      </c>
      <c r="M520" s="10">
        <f t="shared" si="65"/>
        <v>0.62176526237668406</v>
      </c>
      <c r="N520" s="10">
        <f t="shared" si="64"/>
        <v>2.9545467240956045</v>
      </c>
    </row>
    <row r="521" spans="3:14">
      <c r="C521" s="4">
        <f>Pressure!AB521*1000000</f>
        <v>1102243.3865502998</v>
      </c>
      <c r="D521" s="84">
        <f>Pressure!I521</f>
        <v>1.4801552192482141E-4</v>
      </c>
      <c r="E521" s="40">
        <f>Pressure!H521</f>
        <v>148.0155219248214</v>
      </c>
      <c r="F521" s="10">
        <f t="shared" si="60"/>
        <v>8</v>
      </c>
      <c r="G521" s="4">
        <f t="shared" si="59"/>
        <v>101000</v>
      </c>
      <c r="H521" s="45">
        <f t="shared" si="61"/>
        <v>2.5647929576450412</v>
      </c>
      <c r="I521" s="10">
        <f t="shared" si="62"/>
        <v>1.1022616398955993</v>
      </c>
      <c r="J521" s="4">
        <f t="shared" si="63"/>
        <v>179.83302774494385</v>
      </c>
      <c r="K521" s="4">
        <f t="shared" si="66"/>
        <v>40.428269355007387</v>
      </c>
      <c r="L521" s="45">
        <f>Pressure!Q521</f>
        <v>1.6859901466789844</v>
      </c>
      <c r="M521" s="10">
        <f t="shared" si="65"/>
        <v>0.62043561171115991</v>
      </c>
      <c r="N521" s="10">
        <f t="shared" si="64"/>
        <v>2.9545467240956045</v>
      </c>
    </row>
    <row r="522" spans="3:14">
      <c r="C522" s="4">
        <f>Pressure!AB522*1000000</f>
        <v>1099492.4908734085</v>
      </c>
      <c r="D522" s="84">
        <f>Pressure!I522</f>
        <v>1.4801552192482141E-4</v>
      </c>
      <c r="E522" s="40">
        <f>Pressure!H522</f>
        <v>148.0155219248214</v>
      </c>
      <c r="F522" s="10">
        <f t="shared" si="60"/>
        <v>8</v>
      </c>
      <c r="G522" s="4">
        <f t="shared" si="59"/>
        <v>101000</v>
      </c>
      <c r="H522" s="45">
        <f t="shared" si="61"/>
        <v>2.5603024183638041</v>
      </c>
      <c r="I522" s="10">
        <f t="shared" si="62"/>
        <v>1.101762276944571</v>
      </c>
      <c r="J522" s="4">
        <f t="shared" si="63"/>
        <v>179.30294677296982</v>
      </c>
      <c r="K522" s="4">
        <f t="shared" si="66"/>
        <v>40.309101832869437</v>
      </c>
      <c r="L522" s="45">
        <f>Pressure!Q522</f>
        <v>1.6894378783898341</v>
      </c>
      <c r="M522" s="10">
        <f t="shared" si="65"/>
        <v>0.61910224392615432</v>
      </c>
      <c r="N522" s="10">
        <f t="shared" si="64"/>
        <v>2.9545467240956045</v>
      </c>
    </row>
    <row r="523" spans="3:14">
      <c r="C523" s="4">
        <f>Pressure!AB523*1000000</f>
        <v>1096735.5916768042</v>
      </c>
      <c r="D523" s="84">
        <f>Pressure!I523</f>
        <v>1.4801552192482141E-4</v>
      </c>
      <c r="E523" s="40">
        <f>Pressure!H523</f>
        <v>148.0155219248214</v>
      </c>
      <c r="F523" s="10">
        <f t="shared" si="60"/>
        <v>8</v>
      </c>
      <c r="G523" s="4">
        <f t="shared" si="59"/>
        <v>101000</v>
      </c>
      <c r="H523" s="45">
        <f t="shared" si="61"/>
        <v>2.5558001110553121</v>
      </c>
      <c r="I523" s="10">
        <f t="shared" si="62"/>
        <v>1.1012601934636101</v>
      </c>
      <c r="J523" s="4">
        <f t="shared" si="63"/>
        <v>178.77185222550722</v>
      </c>
      <c r="K523" s="4">
        <f t="shared" si="66"/>
        <v>40.189706448789899</v>
      </c>
      <c r="L523" s="45">
        <f>Pressure!Q523</f>
        <v>1.6928883594908555</v>
      </c>
      <c r="M523" s="10">
        <f t="shared" si="65"/>
        <v>0.61776516334814413</v>
      </c>
      <c r="N523" s="10">
        <f t="shared" si="64"/>
        <v>2.9545467240956045</v>
      </c>
    </row>
    <row r="524" spans="3:14">
      <c r="C524" s="4">
        <f>Pressure!AB524*1000000</f>
        <v>1093972.7136386461</v>
      </c>
      <c r="D524" s="84">
        <f>Pressure!I524</f>
        <v>1.4801552192482141E-4</v>
      </c>
      <c r="E524" s="40">
        <f>Pressure!H524</f>
        <v>148.0155219248214</v>
      </c>
      <c r="F524" s="10">
        <f t="shared" si="60"/>
        <v>8</v>
      </c>
      <c r="G524" s="4">
        <f t="shared" si="59"/>
        <v>101000</v>
      </c>
      <c r="H524" s="45">
        <f t="shared" si="61"/>
        <v>2.5512860582884609</v>
      </c>
      <c r="I524" s="10">
        <f t="shared" si="62"/>
        <v>1.1007553735459026</v>
      </c>
      <c r="J524" s="4">
        <f t="shared" si="63"/>
        <v>178.23975021655625</v>
      </c>
      <c r="K524" s="4">
        <f t="shared" si="66"/>
        <v>40.070084577257376</v>
      </c>
      <c r="L524" s="45">
        <f>Pressure!Q524</f>
        <v>1.6963416051003508</v>
      </c>
      <c r="M524" s="10">
        <f t="shared" si="65"/>
        <v>0.61642437433597519</v>
      </c>
      <c r="N524" s="10">
        <f t="shared" si="64"/>
        <v>2.9545467240956045</v>
      </c>
    </row>
    <row r="525" spans="3:14">
      <c r="C525" s="4">
        <f>Pressure!AB525*1000000</f>
        <v>1091203.881560544</v>
      </c>
      <c r="D525" s="84">
        <f>Pressure!I525</f>
        <v>1.4801552192482141E-4</v>
      </c>
      <c r="E525" s="40">
        <f>Pressure!H525</f>
        <v>148.0155219248214</v>
      </c>
      <c r="F525" s="10">
        <f t="shared" si="60"/>
        <v>8</v>
      </c>
      <c r="G525" s="4">
        <f t="shared" si="59"/>
        <v>101000</v>
      </c>
      <c r="H525" s="45">
        <f t="shared" si="61"/>
        <v>2.5467602827969902</v>
      </c>
      <c r="I525" s="10">
        <f t="shared" si="62"/>
        <v>1.1002478011311356</v>
      </c>
      <c r="J525" s="4">
        <f t="shared" si="63"/>
        <v>177.70664688859529</v>
      </c>
      <c r="K525" s="4">
        <f t="shared" si="66"/>
        <v>39.950237599162648</v>
      </c>
      <c r="L525" s="45">
        <f>Pressure!Q525</f>
        <v>1.6997976304248579</v>
      </c>
      <c r="M525" s="10">
        <f t="shared" si="65"/>
        <v>0.61507988128122526</v>
      </c>
      <c r="N525" s="10">
        <f t="shared" si="64"/>
        <v>2.9545467240956045</v>
      </c>
    </row>
    <row r="526" spans="3:14">
      <c r="C526" s="4">
        <f>Pressure!AB526*1000000</f>
        <v>1088429.1203678248</v>
      </c>
      <c r="D526" s="84">
        <f>Pressure!I526</f>
        <v>1.4801552192482141E-4</v>
      </c>
      <c r="E526" s="40">
        <f>Pressure!H526</f>
        <v>148.0155219248214</v>
      </c>
      <c r="F526" s="10">
        <f t="shared" si="60"/>
        <v>8</v>
      </c>
      <c r="G526" s="4">
        <f t="shared" si="59"/>
        <v>101000</v>
      </c>
      <c r="H526" s="45">
        <f t="shared" si="61"/>
        <v>2.5422228074804862</v>
      </c>
      <c r="I526" s="10">
        <f t="shared" si="62"/>
        <v>1.0997374600036267</v>
      </c>
      <c r="J526" s="4">
        <f t="shared" si="63"/>
        <v>177.17254841263127</v>
      </c>
      <c r="K526" s="4">
        <f t="shared" si="66"/>
        <v>39.83016690181001</v>
      </c>
      <c r="L526" s="45">
        <f>Pressure!Q526</f>
        <v>1.7032564507599723</v>
      </c>
      <c r="M526" s="10">
        <f t="shared" si="65"/>
        <v>0.61373168860847016</v>
      </c>
      <c r="N526" s="10">
        <f t="shared" si="64"/>
        <v>2.9545467240956045</v>
      </c>
    </row>
    <row r="527" spans="3:14">
      <c r="C527" s="4">
        <f>Pressure!AB527*1000000</f>
        <v>1085648.4551102845</v>
      </c>
      <c r="D527" s="84">
        <f>Pressure!I527</f>
        <v>1.4801552192482141E-4</v>
      </c>
      <c r="E527" s="40">
        <f>Pressure!H527</f>
        <v>148.0155219248214</v>
      </c>
      <c r="F527" s="10">
        <f t="shared" si="60"/>
        <v>8</v>
      </c>
      <c r="G527" s="4">
        <f t="shared" si="59"/>
        <v>101000</v>
      </c>
      <c r="H527" s="45">
        <f t="shared" si="61"/>
        <v>2.5376736554062043</v>
      </c>
      <c r="I527" s="10">
        <f t="shared" si="62"/>
        <v>1.0992243337905103</v>
      </c>
      <c r="J527" s="4">
        <f t="shared" si="63"/>
        <v>176.63746098834361</v>
      </c>
      <c r="K527" s="4">
        <f t="shared" ref="K527:K590" si="67">J527/4.4482</f>
        <v>39.709873878949601</v>
      </c>
      <c r="L527" s="45">
        <f>Pressure!Q527</f>
        <v>1.7067180814911789</v>
      </c>
      <c r="M527" s="10">
        <f t="shared" ref="M527:M590" si="68">(J527+J526)/2*(L527-L526)</f>
        <v>0.61237980077544352</v>
      </c>
      <c r="N527" s="10">
        <f t="shared" si="64"/>
        <v>2.9545467240956045</v>
      </c>
    </row>
    <row r="528" spans="3:14">
      <c r="C528" s="4">
        <f>Pressure!AB528*1000000</f>
        <v>1082861.9109629374</v>
      </c>
      <c r="D528" s="84">
        <f>Pressure!I528</f>
        <v>1.4801552192482141E-4</v>
      </c>
      <c r="E528" s="40">
        <f>Pressure!H528</f>
        <v>148.0155219248214</v>
      </c>
      <c r="F528" s="10">
        <f t="shared" si="60"/>
        <v>8</v>
      </c>
      <c r="G528" s="4">
        <f t="shared" si="59"/>
        <v>101000</v>
      </c>
      <c r="H528" s="45">
        <f t="shared" si="61"/>
        <v>2.5331128498108919</v>
      </c>
      <c r="I528" s="10">
        <f t="shared" si="62"/>
        <v>1.0987084059599017</v>
      </c>
      <c r="J528" s="4">
        <f t="shared" si="63"/>
        <v>176.10139084422775</v>
      </c>
      <c r="K528" s="4">
        <f t="shared" si="67"/>
        <v>39.589359930809714</v>
      </c>
      <c r="L528" s="45">
        <f>Pressure!Q528</f>
        <v>1.7101825380946925</v>
      </c>
      <c r="M528" s="10">
        <f t="shared" si="68"/>
        <v>0.61102422227357456</v>
      </c>
      <c r="N528" s="10">
        <f t="shared" si="64"/>
        <v>2.9545467240956045</v>
      </c>
    </row>
    <row r="529" spans="3:14">
      <c r="C529" s="4">
        <f>Pressure!AB529*1000000</f>
        <v>1080069.5132263927</v>
      </c>
      <c r="D529" s="84">
        <f>Pressure!I529</f>
        <v>1.4801552192482141E-4</v>
      </c>
      <c r="E529" s="40">
        <f>Pressure!H529</f>
        <v>148.0155219248214</v>
      </c>
      <c r="F529" s="10">
        <f t="shared" si="60"/>
        <v>8</v>
      </c>
      <c r="G529" s="4">
        <f t="shared" si="59"/>
        <v>101000</v>
      </c>
      <c r="H529" s="45">
        <f t="shared" si="61"/>
        <v>2.5285404141020154</v>
      </c>
      <c r="I529" s="10">
        <f t="shared" si="62"/>
        <v>1.0981896598189562</v>
      </c>
      <c r="J529" s="4">
        <f t="shared" si="63"/>
        <v>175.56434423766601</v>
      </c>
      <c r="K529" s="4">
        <f t="shared" si="67"/>
        <v>39.468626464112674</v>
      </c>
      <c r="L529" s="45">
        <f>Pressure!Q529</f>
        <v>1.7136498361383081</v>
      </c>
      <c r="M529" s="10">
        <f t="shared" si="68"/>
        <v>0.60966495762805917</v>
      </c>
      <c r="N529" s="10">
        <f t="shared" si="64"/>
        <v>2.9545467240956045</v>
      </c>
    </row>
    <row r="530" spans="3:14">
      <c r="C530" s="4">
        <f>Pressure!AB530*1000000</f>
        <v>1077271.2873276416</v>
      </c>
      <c r="D530" s="84">
        <f>Pressure!I530</f>
        <v>1.4801552192482141E-4</v>
      </c>
      <c r="E530" s="40">
        <f>Pressure!H530</f>
        <v>148.0155219248214</v>
      </c>
      <c r="F530" s="10">
        <f t="shared" si="60"/>
        <v>8</v>
      </c>
      <c r="G530" s="4">
        <f t="shared" si="59"/>
        <v>101000</v>
      </c>
      <c r="H530" s="45">
        <f t="shared" si="61"/>
        <v>2.5239563718596845</v>
      </c>
      <c r="I530" s="10">
        <f t="shared" si="62"/>
        <v>1.0976680785119814</v>
      </c>
      <c r="J530" s="4">
        <f t="shared" si="63"/>
        <v>175.02632745507802</v>
      </c>
      <c r="K530" s="4">
        <f t="shared" si="67"/>
        <v>39.347674892108721</v>
      </c>
      <c r="L530" s="45">
        <f>Pressure!Q530</f>
        <v>1.7171199912822606</v>
      </c>
      <c r="M530" s="10">
        <f t="shared" si="68"/>
        <v>0.60830201139815765</v>
      </c>
      <c r="N530" s="10">
        <f t="shared" si="64"/>
        <v>2.9545467240956045</v>
      </c>
    </row>
    <row r="531" spans="3:14">
      <c r="C531" s="4">
        <f>Pressure!AB531*1000000</f>
        <v>1074467.2588208439</v>
      </c>
      <c r="D531" s="84">
        <f>Pressure!I531</f>
        <v>1.4801552192482141E-4</v>
      </c>
      <c r="E531" s="40">
        <f>Pressure!H531</f>
        <v>148.0155219248214</v>
      </c>
      <c r="F531" s="10">
        <f t="shared" si="60"/>
        <v>8</v>
      </c>
      <c r="G531" s="4">
        <f t="shared" si="59"/>
        <v>101000</v>
      </c>
      <c r="H531" s="45">
        <f t="shared" si="61"/>
        <v>2.5193607468385726</v>
      </c>
      <c r="I531" s="10">
        <f t="shared" si="62"/>
        <v>1.0971436450185179</v>
      </c>
      <c r="J531" s="4">
        <f t="shared" si="63"/>
        <v>174.48734681207065</v>
      </c>
      <c r="K531" s="4">
        <f t="shared" si="67"/>
        <v>39.226506634609656</v>
      </c>
      <c r="L531" s="45">
        <f>Pressure!Q531</f>
        <v>1.7205930192800936</v>
      </c>
      <c r="M531" s="10">
        <f t="shared" si="68"/>
        <v>0.60693538817764536</v>
      </c>
      <c r="N531" s="10">
        <f t="shared" si="64"/>
        <v>2.9545467240956045</v>
      </c>
    </row>
    <row r="532" spans="3:14">
      <c r="C532" s="4">
        <f>Pressure!AB532*1000000</f>
        <v>1071657.45338751</v>
      </c>
      <c r="D532" s="84">
        <f>Pressure!I532</f>
        <v>1.4801552192482141E-4</v>
      </c>
      <c r="E532" s="40">
        <f>Pressure!H532</f>
        <v>148.0155219248214</v>
      </c>
      <c r="F532" s="10">
        <f t="shared" si="60"/>
        <v>8</v>
      </c>
      <c r="G532" s="4">
        <f t="shared" si="59"/>
        <v>101000</v>
      </c>
      <c r="H532" s="45">
        <f t="shared" si="61"/>
        <v>2.5147535629688789</v>
      </c>
      <c r="I532" s="10">
        <f t="shared" si="62"/>
        <v>1.0966163421512742</v>
      </c>
      <c r="J532" s="4">
        <f t="shared" si="63"/>
        <v>173.94740865347111</v>
      </c>
      <c r="K532" s="4">
        <f t="shared" si="67"/>
        <v>39.105123117996293</v>
      </c>
      <c r="L532" s="45">
        <f>Pressure!Q532</f>
        <v>1.7240689359795396</v>
      </c>
      <c r="M532" s="10">
        <f t="shared" si="68"/>
        <v>0.60556509259503433</v>
      </c>
      <c r="N532" s="10">
        <f t="shared" si="64"/>
        <v>2.9545467240956045</v>
      </c>
    </row>
    <row r="533" spans="3:14">
      <c r="C533" s="4">
        <f>Pressure!AB533*1000000</f>
        <v>1068841.8968377463</v>
      </c>
      <c r="D533" s="84">
        <f>Pressure!I533</f>
        <v>1.4801552192482141E-4</v>
      </c>
      <c r="E533" s="40">
        <f>Pressure!H533</f>
        <v>148.0155219248214</v>
      </c>
      <c r="F533" s="10">
        <f t="shared" si="60"/>
        <v>8</v>
      </c>
      <c r="G533" s="4">
        <f t="shared" si="59"/>
        <v>101000</v>
      </c>
      <c r="H533" s="45">
        <f t="shared" si="61"/>
        <v>2.5101348443590461</v>
      </c>
      <c r="I533" s="10">
        <f t="shared" si="62"/>
        <v>1.0960861525542345</v>
      </c>
      <c r="J533" s="4">
        <f t="shared" si="63"/>
        <v>173.40651935356479</v>
      </c>
      <c r="K533" s="4">
        <f t="shared" si="67"/>
        <v>38.983525775271971</v>
      </c>
      <c r="L533" s="45">
        <f>Pressure!Q533</f>
        <v>1.7275477573234084</v>
      </c>
      <c r="M533" s="10">
        <f t="shared" si="68"/>
        <v>0.60419112931376939</v>
      </c>
      <c r="N533" s="10">
        <f t="shared" si="64"/>
        <v>2.9545467240956045</v>
      </c>
    </row>
    <row r="534" spans="3:14">
      <c r="C534" s="4">
        <f>Pressure!AB534*1000000</f>
        <v>1066020.6151104483</v>
      </c>
      <c r="D534" s="84">
        <f>Pressure!I534</f>
        <v>1.4801552192482141E-4</v>
      </c>
      <c r="E534" s="40">
        <f>Pressure!H534</f>
        <v>148.0155219248214</v>
      </c>
      <c r="F534" s="10">
        <f t="shared" si="60"/>
        <v>8</v>
      </c>
      <c r="G534" s="4">
        <f t="shared" si="59"/>
        <v>101000</v>
      </c>
      <c r="H534" s="45">
        <f t="shared" si="61"/>
        <v>2.5055046152967533</v>
      </c>
      <c r="I534" s="10">
        <f t="shared" si="62"/>
        <v>1.0955530587005351</v>
      </c>
      <c r="J534" s="4">
        <f t="shared" si="63"/>
        <v>172.86468531613053</v>
      </c>
      <c r="K534" s="4">
        <f t="shared" si="67"/>
        <v>38.861716046070441</v>
      </c>
      <c r="L534" s="45">
        <f>Pressure!Q534</f>
        <v>1.7310294993504864</v>
      </c>
      <c r="M534" s="10">
        <f t="shared" si="68"/>
        <v>0.60281350303271541</v>
      </c>
      <c r="N534" s="10">
        <f t="shared" si="64"/>
        <v>2.9545467240956045</v>
      </c>
    </row>
    <row r="535" spans="3:14">
      <c r="C535" s="4">
        <f>Pressure!AB535*1000000</f>
        <v>1063193.6342741787</v>
      </c>
      <c r="D535" s="84">
        <f>Pressure!I535</f>
        <v>1.4801552192482141E-4</v>
      </c>
      <c r="E535" s="40">
        <f>Pressure!H535</f>
        <v>148.0155219248214</v>
      </c>
      <c r="F535" s="10">
        <f t="shared" si="60"/>
        <v>8</v>
      </c>
      <c r="G535" s="4">
        <f t="shared" si="59"/>
        <v>101000</v>
      </c>
      <c r="H535" s="45">
        <f t="shared" si="61"/>
        <v>2.5008629002510734</v>
      </c>
      <c r="I535" s="10">
        <f t="shared" si="62"/>
        <v>1.0950170428904367</v>
      </c>
      <c r="J535" s="4">
        <f t="shared" si="63"/>
        <v>172.3219129746067</v>
      </c>
      <c r="K535" s="4">
        <f t="shared" si="67"/>
        <v>38.739695376693206</v>
      </c>
      <c r="L535" s="45">
        <f>Pressure!Q535</f>
        <v>1.7345141781964462</v>
      </c>
      <c r="M535" s="10">
        <f t="shared" si="68"/>
        <v>0.60143221848626216</v>
      </c>
      <c r="N535" s="10">
        <f t="shared" si="64"/>
        <v>2.9545467240956045</v>
      </c>
    </row>
    <row r="536" spans="3:14">
      <c r="C536" s="4">
        <f>Pressure!AB536*1000000</f>
        <v>1060360.9805278669</v>
      </c>
      <c r="D536" s="84">
        <f>Pressure!I536</f>
        <v>1.4801552192482141E-4</v>
      </c>
      <c r="E536" s="40">
        <f>Pressure!H536</f>
        <v>148.0155219248214</v>
      </c>
      <c r="F536" s="10">
        <f t="shared" si="60"/>
        <v>8</v>
      </c>
      <c r="G536" s="4">
        <f t="shared" si="59"/>
        <v>101000</v>
      </c>
      <c r="H536" s="45">
        <f t="shared" si="61"/>
        <v>2.496209723874335</v>
      </c>
      <c r="I536" s="10">
        <f t="shared" si="62"/>
        <v>1.0944780872492359</v>
      </c>
      <c r="J536" s="4">
        <f t="shared" si="63"/>
        <v>171.77820879222412</v>
      </c>
      <c r="K536" s="4">
        <f t="shared" si="67"/>
        <v>38.617465220139408</v>
      </c>
      <c r="L536" s="45">
        <f>Pressure!Q536</f>
        <v>1.7380018100947661</v>
      </c>
      <c r="M536" s="10">
        <f t="shared" si="68"/>
        <v>0.6000472804448822</v>
      </c>
      <c r="N536" s="10">
        <f t="shared" si="64"/>
        <v>2.9545467240956045</v>
      </c>
    </row>
    <row r="537" spans="3:14">
      <c r="C537" s="4">
        <f>Pressure!AB537*1000000</f>
        <v>1057522.6802013572</v>
      </c>
      <c r="D537" s="84">
        <f>Pressure!I537</f>
        <v>1.4801552192482141E-4</v>
      </c>
      <c r="E537" s="40">
        <f>Pressure!H537</f>
        <v>148.0155219248214</v>
      </c>
      <c r="F537" s="10">
        <f t="shared" si="60"/>
        <v>8</v>
      </c>
      <c r="G537" s="4">
        <f t="shared" si="59"/>
        <v>101000</v>
      </c>
      <c r="H537" s="45">
        <f t="shared" si="61"/>
        <v>2.4915451110037576</v>
      </c>
      <c r="I537" s="10">
        <f t="shared" si="62"/>
        <v>1.0939361737251085</v>
      </c>
      <c r="J537" s="4">
        <f t="shared" si="63"/>
        <v>171.23357926210812</v>
      </c>
      <c r="K537" s="4">
        <f t="shared" si="67"/>
        <v>38.495027036128796</v>
      </c>
      <c r="L537" s="45">
        <f>Pressure!Q537</f>
        <v>1.7414924113776609</v>
      </c>
      <c r="M537" s="10">
        <f t="shared" si="68"/>
        <v>0.59865869371524572</v>
      </c>
      <c r="N537" s="10">
        <f t="shared" si="64"/>
        <v>2.9545467240956045</v>
      </c>
    </row>
    <row r="538" spans="3:14">
      <c r="C538" s="4">
        <f>Pressure!AB538*1000000</f>
        <v>1054678.7597560072</v>
      </c>
      <c r="D538" s="84">
        <f>Pressure!I538</f>
        <v>1.4801552192482141E-4</v>
      </c>
      <c r="E538" s="40">
        <f>Pressure!H538</f>
        <v>148.0155219248214</v>
      </c>
      <c r="F538" s="10">
        <f t="shared" si="60"/>
        <v>8</v>
      </c>
      <c r="G538" s="4">
        <f t="shared" si="59"/>
        <v>101000</v>
      </c>
      <c r="H538" s="45">
        <f t="shared" si="61"/>
        <v>2.4868690866631984</v>
      </c>
      <c r="I538" s="10">
        <f t="shared" si="62"/>
        <v>1.0933912840869344</v>
      </c>
      <c r="J538" s="4">
        <f t="shared" si="63"/>
        <v>170.6880309073911</v>
      </c>
      <c r="K538" s="4">
        <f t="shared" si="67"/>
        <v>38.372382291126996</v>
      </c>
      <c r="L538" s="45">
        <f>Pressure!Q538</f>
        <v>1.7449859984770228</v>
      </c>
      <c r="M538" s="10">
        <f t="shared" si="68"/>
        <v>0.59726646314061982</v>
      </c>
      <c r="N538" s="10">
        <f t="shared" si="64"/>
        <v>2.9545467240956045</v>
      </c>
    </row>
    <row r="539" spans="3:14">
      <c r="C539" s="4">
        <f>Pressure!AB539*1000000</f>
        <v>1051829.2457858296</v>
      </c>
      <c r="D539" s="84">
        <f>Pressure!I539</f>
        <v>1.4801552192482141E-4</v>
      </c>
      <c r="E539" s="40">
        <f>Pressure!H539</f>
        <v>148.0155219248214</v>
      </c>
      <c r="F539" s="10">
        <f t="shared" si="60"/>
        <v>8</v>
      </c>
      <c r="G539" s="4">
        <f t="shared" si="59"/>
        <v>101000</v>
      </c>
      <c r="H539" s="45">
        <f t="shared" si="61"/>
        <v>2.4821816760657871</v>
      </c>
      <c r="I539" s="10">
        <f t="shared" si="62"/>
        <v>1.0928433999221885</v>
      </c>
      <c r="J539" s="4">
        <f t="shared" si="63"/>
        <v>170.14157028142895</v>
      </c>
      <c r="K539" s="4">
        <f t="shared" si="67"/>
        <v>38.249532458394171</v>
      </c>
      <c r="L539" s="45">
        <f>Pressure!Q539</f>
        <v>1.7484825879253731</v>
      </c>
      <c r="M539" s="10">
        <f t="shared" si="68"/>
        <v>0.59587059360113381</v>
      </c>
      <c r="N539" s="10">
        <f t="shared" si="64"/>
        <v>2.9545467240956045</v>
      </c>
    </row>
    <row r="540" spans="3:14">
      <c r="C540" s="4">
        <f>Pressure!AB540*1000000</f>
        <v>1048974.1650176349</v>
      </c>
      <c r="D540" s="84">
        <f>Pressure!I540</f>
        <v>1.4801552192482141E-4</v>
      </c>
      <c r="E540" s="40">
        <f>Pressure!H540</f>
        <v>148.0155219248214</v>
      </c>
      <c r="F540" s="10">
        <f t="shared" si="60"/>
        <v>8</v>
      </c>
      <c r="G540" s="4">
        <f t="shared" ref="G540:G603" si="69">IF(C540/(1+(k-1)/2*N540^2)^(k/(k-1))&lt;patm*1000000,patm*1000000,C540/(1+(k-1)/2*N540^2)^(k/(k-1)))</f>
        <v>101000</v>
      </c>
      <c r="H540" s="45">
        <f t="shared" si="61"/>
        <v>2.4774829046149605</v>
      </c>
      <c r="I540" s="10">
        <f t="shared" si="62"/>
        <v>1.0922925026346075</v>
      </c>
      <c r="J540" s="4">
        <f t="shared" si="63"/>
        <v>169.59420396782519</v>
      </c>
      <c r="K540" s="4">
        <f t="shared" si="67"/>
        <v>38.126479017990469</v>
      </c>
      <c r="L540" s="45">
        <f>Pressure!Q540</f>
        <v>1.7519821963568247</v>
      </c>
      <c r="M540" s="10">
        <f t="shared" si="68"/>
        <v>0.59447109001421095</v>
      </c>
      <c r="N540" s="10">
        <f t="shared" si="64"/>
        <v>2.9545467240956045</v>
      </c>
    </row>
    <row r="541" spans="3:14">
      <c r="C541" s="4">
        <f>Pressure!AB541*1000000</f>
        <v>1046113.5443121342</v>
      </c>
      <c r="D541" s="84">
        <f>Pressure!I541</f>
        <v>1.4801552192482141E-4</v>
      </c>
      <c r="E541" s="40">
        <f>Pressure!H541</f>
        <v>148.0155219248214</v>
      </c>
      <c r="F541" s="10">
        <f t="shared" ref="F541:F604" si="70">aexit/E541</f>
        <v>8</v>
      </c>
      <c r="G541" s="4">
        <f t="shared" si="69"/>
        <v>101000</v>
      </c>
      <c r="H541" s="45">
        <f t="shared" ref="H541:H604" si="71">1/(((k+1)/2)^(1/(k-1))*(patm*1000000/C541)^(1/k)*SQRT((k+1)/(k-1)*(1-(patm*1000000/C541)^((k-1)/k))))</f>
        <v>2.4727727979070835</v>
      </c>
      <c r="I541" s="10">
        <f t="shared" ref="I541:I604" si="72">etanoz*SQRT(2*k^2/(k-1)*(2/(k+1))^((k+1)/(k-1))*(1-(G541/C541)^((k-1)/k)))+(G541-patm*1000000)/C541*(aexit/E541)</f>
        <v>1.0917385734420049</v>
      </c>
      <c r="J541" s="4">
        <f t="shared" ref="J541:J604" si="73">I541*D541*C541</f>
        <v>169.04593858063913</v>
      </c>
      <c r="K541" s="4">
        <f t="shared" si="67"/>
        <v>38.003223456822788</v>
      </c>
      <c r="L541" s="45">
        <f>Pressure!Q541</f>
        <v>1.7554848405080565</v>
      </c>
      <c r="M541" s="10">
        <f t="shared" si="68"/>
        <v>0.59306795733484152</v>
      </c>
      <c r="N541" s="10">
        <f t="shared" si="64"/>
        <v>2.9545467240956045</v>
      </c>
    </row>
    <row r="542" spans="3:14">
      <c r="C542" s="4">
        <f>Pressure!AB542*1000000</f>
        <v>1043247.410664339</v>
      </c>
      <c r="D542" s="84">
        <f>Pressure!I542</f>
        <v>1.4801552192482141E-4</v>
      </c>
      <c r="E542" s="40">
        <f>Pressure!H542</f>
        <v>148.0155219248214</v>
      </c>
      <c r="F542" s="10">
        <f t="shared" si="70"/>
        <v>8</v>
      </c>
      <c r="G542" s="4">
        <f t="shared" si="69"/>
        <v>101000</v>
      </c>
      <c r="H542" s="45">
        <f t="shared" si="71"/>
        <v>2.4680513817329248</v>
      </c>
      <c r="I542" s="10">
        <f t="shared" si="72"/>
        <v>1.0911815933739166</v>
      </c>
      <c r="J542" s="4">
        <f t="shared" si="73"/>
        <v>168.49678076445971</v>
      </c>
      <c r="K542" s="4">
        <f t="shared" si="67"/>
        <v>37.879767268661418</v>
      </c>
      <c r="L542" s="45">
        <f>Pressure!Q542</f>
        <v>1.7589905372192987</v>
      </c>
      <c r="M542" s="10">
        <f t="shared" si="68"/>
        <v>0.59166120055591798</v>
      </c>
      <c r="N542" s="10">
        <f t="shared" ref="N542:N605" si="74">N541-1/834*(me-mef)</f>
        <v>2.9545467240956045</v>
      </c>
    </row>
    <row r="543" spans="3:14">
      <c r="C543" s="4">
        <f>Pressure!AB543*1000000</f>
        <v>1040375.7912045137</v>
      </c>
      <c r="D543" s="84">
        <f>Pressure!I543</f>
        <v>1.4801552192482141E-4</v>
      </c>
      <c r="E543" s="40">
        <f>Pressure!H543</f>
        <v>148.0155219248214</v>
      </c>
      <c r="F543" s="10">
        <f t="shared" si="70"/>
        <v>8</v>
      </c>
      <c r="G543" s="4">
        <f t="shared" si="69"/>
        <v>101000</v>
      </c>
      <c r="H543" s="45">
        <f t="shared" si="71"/>
        <v>2.4633186820800792</v>
      </c>
      <c r="I543" s="10">
        <f t="shared" si="72"/>
        <v>1.0906215432693134</v>
      </c>
      <c r="J543" s="4">
        <f t="shared" si="73"/>
        <v>167.94673719458387</v>
      </c>
      <c r="K543" s="4">
        <f t="shared" si="67"/>
        <v>37.756111954180092</v>
      </c>
      <c r="L543" s="45">
        <f>Pressure!Q543</f>
        <v>1.7624993034353285</v>
      </c>
      <c r="M543" s="10">
        <f t="shared" si="68"/>
        <v>0.59025082470845391</v>
      </c>
      <c r="N543" s="10">
        <f t="shared" si="74"/>
        <v>2.9545467240956045</v>
      </c>
    </row>
    <row r="544" spans="3:14">
      <c r="C544" s="4">
        <f>Pressure!AB544*1000000</f>
        <v>1037498.7131989104</v>
      </c>
      <c r="D544" s="84">
        <f>Pressure!I544</f>
        <v>1.4801552192482141E-4</v>
      </c>
      <c r="E544" s="40">
        <f>Pressure!H544</f>
        <v>148.0155219248214</v>
      </c>
      <c r="F544" s="10">
        <f t="shared" si="70"/>
        <v>8</v>
      </c>
      <c r="G544" s="4">
        <f t="shared" si="69"/>
        <v>101000</v>
      </c>
      <c r="H544" s="45">
        <f t="shared" si="71"/>
        <v>2.4585747251350432</v>
      </c>
      <c r="I544" s="10">
        <f t="shared" si="72"/>
        <v>1.0900584037742367</v>
      </c>
      <c r="J544" s="4">
        <f t="shared" si="73"/>
        <v>167.39581457715366</v>
      </c>
      <c r="K544" s="4">
        <f t="shared" si="67"/>
        <v>37.632259020986837</v>
      </c>
      <c r="L544" s="45">
        <f>Pressure!Q544</f>
        <v>1.7660111562064795</v>
      </c>
      <c r="M544" s="10">
        <f t="shared" si="68"/>
        <v>0.58883683486222371</v>
      </c>
      <c r="N544" s="10">
        <f t="shared" si="74"/>
        <v>2.9545467240956045</v>
      </c>
    </row>
    <row r="545" spans="3:14">
      <c r="C545" s="4">
        <f>Pressure!AB545*1000000</f>
        <v>1034616.2040500646</v>
      </c>
      <c r="D545" s="84">
        <f>Pressure!I545</f>
        <v>1.4801552192482141E-4</v>
      </c>
      <c r="E545" s="40">
        <f>Pressure!H545</f>
        <v>148.0155219248214</v>
      </c>
      <c r="F545" s="10">
        <f t="shared" si="70"/>
        <v>8</v>
      </c>
      <c r="G545" s="4">
        <f t="shared" si="69"/>
        <v>101000</v>
      </c>
      <c r="H545" s="45">
        <f t="shared" si="71"/>
        <v>2.4538195372845815</v>
      </c>
      <c r="I545" s="10">
        <f t="shared" si="72"/>
        <v>1.0894921553393104</v>
      </c>
      <c r="J545" s="4">
        <f t="shared" si="73"/>
        <v>166.84401964920912</v>
      </c>
      <c r="K545" s="4">
        <f t="shared" si="67"/>
        <v>37.508209983635879</v>
      </c>
      <c r="L545" s="45">
        <f>Pressure!Q545</f>
        <v>1.7695261126896611</v>
      </c>
      <c r="M545" s="10">
        <f t="shared" si="68"/>
        <v>0.58741923612574243</v>
      </c>
      <c r="N545" s="10">
        <f t="shared" si="74"/>
        <v>2.9545467240956045</v>
      </c>
    </row>
    <row r="546" spans="3:14">
      <c r="C546" s="4">
        <f>Pressure!AB546*1000000</f>
        <v>1031728.2912983075</v>
      </c>
      <c r="D546" s="84">
        <f>Pressure!I546</f>
        <v>1.4801552192482141E-4</v>
      </c>
      <c r="E546" s="40">
        <f>Pressure!H546</f>
        <v>148.0155219248214</v>
      </c>
      <c r="F546" s="10">
        <f t="shared" si="70"/>
        <v>8</v>
      </c>
      <c r="G546" s="4">
        <f t="shared" si="69"/>
        <v>101000</v>
      </c>
      <c r="H546" s="45">
        <f t="shared" si="71"/>
        <v>2.4490531451191297</v>
      </c>
      <c r="I546" s="10">
        <f t="shared" si="72"/>
        <v>1.0889227782174513</v>
      </c>
      <c r="J546" s="4">
        <f t="shared" si="73"/>
        <v>166.29135917897344</v>
      </c>
      <c r="K546" s="4">
        <f t="shared" si="67"/>
        <v>37.383966363691705</v>
      </c>
      <c r="L546" s="45">
        <f>Pressure!Q546</f>
        <v>1.7730441901493907</v>
      </c>
      <c r="M546" s="10">
        <f t="shared" si="68"/>
        <v>0.58599803364696379</v>
      </c>
      <c r="N546" s="10">
        <f t="shared" si="74"/>
        <v>2.9545467240956045</v>
      </c>
    </row>
    <row r="547" spans="3:14">
      <c r="C547" s="4">
        <f>Pressure!AB547*1000000</f>
        <v>1028835.0026217063</v>
      </c>
      <c r="D547" s="84">
        <f>Pressure!I547</f>
        <v>1.4801552192482141E-4</v>
      </c>
      <c r="E547" s="40">
        <f>Pressure!H547</f>
        <v>148.0155219248214</v>
      </c>
      <c r="F547" s="10">
        <f t="shared" si="70"/>
        <v>8</v>
      </c>
      <c r="G547" s="4">
        <f t="shared" si="69"/>
        <v>101000</v>
      </c>
      <c r="H547" s="45">
        <f t="shared" si="71"/>
        <v>2.4442755754336223</v>
      </c>
      <c r="I547" s="10">
        <f t="shared" si="72"/>
        <v>1.0883502524612325</v>
      </c>
      <c r="J547" s="4">
        <f t="shared" si="73"/>
        <v>165.737839965837</v>
      </c>
      <c r="K547" s="4">
        <f t="shared" si="67"/>
        <v>37.259529689725504</v>
      </c>
      <c r="L547" s="45">
        <f>Pressure!Q547</f>
        <v>1.7765654059588374</v>
      </c>
      <c r="M547" s="10">
        <f t="shared" si="68"/>
        <v>0.58457323261330707</v>
      </c>
      <c r="N547" s="10">
        <f t="shared" si="74"/>
        <v>2.9545467240956045</v>
      </c>
    </row>
    <row r="548" spans="3:14">
      <c r="C548" s="4">
        <f>Pressure!AB548*1000000</f>
        <v>1025936.3658373222</v>
      </c>
      <c r="D548" s="84">
        <f>Pressure!I548</f>
        <v>1.4801552192482141E-4</v>
      </c>
      <c r="E548" s="40">
        <f>Pressure!H548</f>
        <v>148.0155219248214</v>
      </c>
      <c r="F548" s="10">
        <f t="shared" si="70"/>
        <v>8</v>
      </c>
      <c r="G548" s="4">
        <f t="shared" si="69"/>
        <v>101000</v>
      </c>
      <c r="H548" s="45">
        <f t="shared" si="71"/>
        <v>2.4394868552305162</v>
      </c>
      <c r="I548" s="10">
        <f t="shared" si="72"/>
        <v>1.0877745579204647</v>
      </c>
      <c r="J548" s="4">
        <f t="shared" si="73"/>
        <v>165.18346884059335</v>
      </c>
      <c r="K548" s="4">
        <f t="shared" si="67"/>
        <v>37.134901497368226</v>
      </c>
      <c r="L548" s="45">
        <f>Pressure!Q548</f>
        <v>1.7800897776008786</v>
      </c>
      <c r="M548" s="10">
        <f t="shared" si="68"/>
        <v>0.58314483825227503</v>
      </c>
      <c r="N548" s="10">
        <f t="shared" si="74"/>
        <v>2.9545467240956045</v>
      </c>
    </row>
    <row r="549" spans="3:14">
      <c r="C549" s="4">
        <f>Pressure!AB549*1000000</f>
        <v>1023032.4089018825</v>
      </c>
      <c r="D549" s="84">
        <f>Pressure!I549</f>
        <v>1.4801552192482141E-4</v>
      </c>
      <c r="E549" s="40">
        <f>Pressure!H549</f>
        <v>148.0155219248214</v>
      </c>
      <c r="F549" s="10">
        <f t="shared" si="70"/>
        <v>8</v>
      </c>
      <c r="G549" s="4">
        <f t="shared" si="69"/>
        <v>101000</v>
      </c>
      <c r="H549" s="45">
        <f t="shared" si="71"/>
        <v>2.4346870117218704</v>
      </c>
      <c r="I549" s="10">
        <f t="shared" si="72"/>
        <v>1.0871956742396245</v>
      </c>
      <c r="J549" s="4">
        <f t="shared" si="73"/>
        <v>164.62825266556317</v>
      </c>
      <c r="K549" s="4">
        <f t="shared" si="67"/>
        <v>37.010083329338421</v>
      </c>
      <c r="L549" s="45">
        <f>Pressure!Q549</f>
        <v>1.7836173226691689</v>
      </c>
      <c r="M549" s="10">
        <f t="shared" si="68"/>
        <v>0.58171285583169452</v>
      </c>
      <c r="N549" s="10">
        <f t="shared" si="74"/>
        <v>2.9545467240956045</v>
      </c>
    </row>
    <row r="550" spans="3:14">
      <c r="C550" s="4">
        <f>Pressure!AB550*1000000</f>
        <v>1020123.1599123009</v>
      </c>
      <c r="D550" s="84">
        <f>Pressure!I550</f>
        <v>1.4801552192482141E-4</v>
      </c>
      <c r="E550" s="40">
        <f>Pressure!H550</f>
        <v>148.0155219248214</v>
      </c>
      <c r="F550" s="10">
        <f t="shared" si="70"/>
        <v>8</v>
      </c>
      <c r="G550" s="4">
        <f t="shared" si="69"/>
        <v>101000</v>
      </c>
      <c r="H550" s="45">
        <f t="shared" si="71"/>
        <v>2.429876072331199</v>
      </c>
      <c r="I550" s="10">
        <f t="shared" si="72"/>
        <v>1.0866135808552073</v>
      </c>
      <c r="J550" s="4">
        <f t="shared" si="73"/>
        <v>164.07219833468835</v>
      </c>
      <c r="K550" s="4">
        <f t="shared" si="67"/>
        <v>36.885076735463414</v>
      </c>
      <c r="L550" s="45">
        <f>Pressure!Q550</f>
        <v>1.7871480588692217</v>
      </c>
      <c r="M550" s="10">
        <f t="shared" si="68"/>
        <v>0.58027729066012346</v>
      </c>
      <c r="N550" s="10">
        <f t="shared" si="74"/>
        <v>2.9545467240956045</v>
      </c>
    </row>
    <row r="551" spans="3:14">
      <c r="C551" s="4">
        <f>Pressure!AB551*1000000</f>
        <v>1017208.6471067949</v>
      </c>
      <c r="D551" s="84">
        <f>Pressure!I551</f>
        <v>1.4801552192482141E-4</v>
      </c>
      <c r="E551" s="40">
        <f>Pressure!H551</f>
        <v>148.0155219248214</v>
      </c>
      <c r="F551" s="10">
        <f t="shared" si="70"/>
        <v>8</v>
      </c>
      <c r="G551" s="4">
        <f t="shared" si="69"/>
        <v>101000</v>
      </c>
      <c r="H551" s="45">
        <f t="shared" si="71"/>
        <v>2.4250540646963326</v>
      </c>
      <c r="I551" s="10">
        <f t="shared" si="72"/>
        <v>1.086028256993159</v>
      </c>
      <c r="J551" s="4">
        <f t="shared" si="73"/>
        <v>163.51531277374025</v>
      </c>
      <c r="K551" s="4">
        <f t="shared" si="67"/>
        <v>36.7598832727261</v>
      </c>
      <c r="L551" s="45">
        <f>Pressure!Q551</f>
        <v>1.7906820040195024</v>
      </c>
      <c r="M551" s="10">
        <f t="shared" si="68"/>
        <v>0.57883814808708056</v>
      </c>
      <c r="N551" s="10">
        <f t="shared" si="74"/>
        <v>2.9545467240956045</v>
      </c>
    </row>
    <row r="552" spans="3:14">
      <c r="C552" s="4">
        <f>Pressure!AB552*1000000</f>
        <v>1014288.8988652618</v>
      </c>
      <c r="D552" s="84">
        <f>Pressure!I552</f>
        <v>1.4801552192482141E-4</v>
      </c>
      <c r="E552" s="40">
        <f>Pressure!H552</f>
        <v>148.0155219248214</v>
      </c>
      <c r="F552" s="10">
        <f t="shared" si="70"/>
        <v>8</v>
      </c>
      <c r="G552" s="4">
        <f t="shared" si="69"/>
        <v>101000</v>
      </c>
      <c r="H552" s="45">
        <f t="shared" si="71"/>
        <v>2.4202210166710798</v>
      </c>
      <c r="I552" s="10">
        <f t="shared" si="72"/>
        <v>1.0854396816661156</v>
      </c>
      <c r="J552" s="4">
        <f t="shared" si="73"/>
        <v>162.95760294038581</v>
      </c>
      <c r="K552" s="4">
        <f t="shared" si="67"/>
        <v>36.63450450527985</v>
      </c>
      <c r="L552" s="45">
        <f>Pressure!Q552</f>
        <v>1.7942191760525372</v>
      </c>
      <c r="M552" s="10">
        <f t="shared" si="68"/>
        <v>0.57739543350367206</v>
      </c>
      <c r="N552" s="10">
        <f t="shared" si="74"/>
        <v>2.9545467240956045</v>
      </c>
    </row>
    <row r="553" spans="3:14">
      <c r="C553" s="4">
        <f>Pressure!AB553*1000000</f>
        <v>1011363.9437105684</v>
      </c>
      <c r="D553" s="84">
        <f>Pressure!I553</f>
        <v>1.4801552192482141E-4</v>
      </c>
      <c r="E553" s="40">
        <f>Pressure!H553</f>
        <v>148.0155219248214</v>
      </c>
      <c r="F553" s="10">
        <f t="shared" si="70"/>
        <v>8</v>
      </c>
      <c r="G553" s="4">
        <f t="shared" si="69"/>
        <v>101000</v>
      </c>
      <c r="H553" s="45">
        <f t="shared" si="71"/>
        <v>2.4153769563284198</v>
      </c>
      <c r="I553" s="10">
        <f t="shared" si="72"/>
        <v>1.0848478336707832</v>
      </c>
      <c r="J553" s="4">
        <f t="shared" si="73"/>
        <v>162.39907582442819</v>
      </c>
      <c r="K553" s="4">
        <f t="shared" si="67"/>
        <v>36.508942004502536</v>
      </c>
      <c r="L553" s="45">
        <f>Pressure!Q553</f>
        <v>1.7977595930160326</v>
      </c>
      <c r="M553" s="10">
        <f t="shared" si="68"/>
        <v>0.57594915234273314</v>
      </c>
      <c r="N553" s="10">
        <f t="shared" si="74"/>
        <v>2.9545467240956045</v>
      </c>
    </row>
    <row r="554" spans="3:14">
      <c r="C554" s="4">
        <f>Pressure!AB554*1000000</f>
        <v>1008433.8103087686</v>
      </c>
      <c r="D554" s="84">
        <f>Pressure!I554</f>
        <v>1.4801552192482141E-4</v>
      </c>
      <c r="E554" s="40">
        <f>Pressure!H554</f>
        <v>148.0155219248214</v>
      </c>
      <c r="F554" s="10">
        <f t="shared" si="70"/>
        <v>8</v>
      </c>
      <c r="G554" s="4">
        <f t="shared" si="69"/>
        <v>101000</v>
      </c>
      <c r="H554" s="45">
        <f t="shared" si="71"/>
        <v>2.4105219119619563</v>
      </c>
      <c r="I554" s="10">
        <f t="shared" si="72"/>
        <v>1.0842526915850561</v>
      </c>
      <c r="J554" s="4">
        <f t="shared" si="73"/>
        <v>161.83973844784194</v>
      </c>
      <c r="K554" s="4">
        <f t="shared" si="67"/>
        <v>36.383197349004526</v>
      </c>
      <c r="L554" s="45">
        <f>Pressure!Q554</f>
        <v>1.8013032730740097</v>
      </c>
      <c r="M554" s="10">
        <f t="shared" si="68"/>
        <v>0.57449931007939492</v>
      </c>
      <c r="N554" s="10">
        <f t="shared" si="74"/>
        <v>2.9545467240956045</v>
      </c>
    </row>
    <row r="555" spans="3:14">
      <c r="C555" s="4">
        <f>Pressure!AB555*1000000</f>
        <v>1005498.5274705394</v>
      </c>
      <c r="D555" s="84">
        <f>Pressure!I555</f>
        <v>1.4801552192482141E-4</v>
      </c>
      <c r="E555" s="40">
        <f>Pressure!H555</f>
        <v>148.0155219248214</v>
      </c>
      <c r="F555" s="10">
        <f t="shared" si="70"/>
        <v>8</v>
      </c>
      <c r="G555" s="4">
        <f t="shared" si="69"/>
        <v>101000</v>
      </c>
      <c r="H555" s="45">
        <f t="shared" si="71"/>
        <v>2.4056559120894092</v>
      </c>
      <c r="I555" s="10">
        <f t="shared" si="72"/>
        <v>1.0836542337653374</v>
      </c>
      <c r="J555" s="4">
        <f t="shared" si="73"/>
        <v>161.27959786504073</v>
      </c>
      <c r="K555" s="4">
        <f t="shared" si="67"/>
        <v>36.257272124688804</v>
      </c>
      <c r="L555" s="45">
        <f>Pressure!Q555</f>
        <v>1.8048502345079511</v>
      </c>
      <c r="M555" s="10">
        <f t="shared" si="68"/>
        <v>0.57304591223126755</v>
      </c>
      <c r="N555" s="10">
        <f t="shared" si="74"/>
        <v>2.9545467240956045</v>
      </c>
    </row>
    <row r="556" spans="3:14">
      <c r="C556" s="4">
        <f>Pressure!AB556*1000000</f>
        <v>1002558.1241513877</v>
      </c>
      <c r="D556" s="84">
        <f>Pressure!I556</f>
        <v>1.4801552192482141E-4</v>
      </c>
      <c r="E556" s="40">
        <f>Pressure!H556</f>
        <v>148.0155219248214</v>
      </c>
      <c r="F556" s="10">
        <f t="shared" si="70"/>
        <v>8</v>
      </c>
      <c r="G556" s="4">
        <f t="shared" si="69"/>
        <v>101000</v>
      </c>
      <c r="H556" s="45">
        <f t="shared" si="71"/>
        <v>2.4007789854540866</v>
      </c>
      <c r="I556" s="10">
        <f t="shared" si="72"/>
        <v>1.0830524383435651</v>
      </c>
      <c r="J556" s="4">
        <f t="shared" si="73"/>
        <v>160.71866116291051</v>
      </c>
      <c r="K556" s="4">
        <f t="shared" si="67"/>
        <v>36.131167924758444</v>
      </c>
      <c r="L556" s="45">
        <f>Pressure!Q556</f>
        <v>1.8084004957179627</v>
      </c>
      <c r="M556" s="10">
        <f t="shared" si="68"/>
        <v>0.57158896435909534</v>
      </c>
      <c r="N556" s="10">
        <f t="shared" si="74"/>
        <v>2.9545467240956045</v>
      </c>
    </row>
    <row r="557" spans="3:14">
      <c r="C557" s="4">
        <f>Pressure!AB557*1000000</f>
        <v>999612.62945270515</v>
      </c>
      <c r="D557" s="84">
        <f>Pressure!I557</f>
        <v>1.4801552192482141E-4</v>
      </c>
      <c r="E557" s="40">
        <f>Pressure!H557</f>
        <v>148.0155219248214</v>
      </c>
      <c r="F557" s="10">
        <f t="shared" si="70"/>
        <v>8</v>
      </c>
      <c r="G557" s="4">
        <f t="shared" si="69"/>
        <v>101000</v>
      </c>
      <c r="H557" s="45">
        <f t="shared" si="71"/>
        <v>2.3958911610278113</v>
      </c>
      <c r="I557" s="10">
        <f t="shared" si="72"/>
        <v>1.0824472832243561</v>
      </c>
      <c r="J557" s="4">
        <f t="shared" si="73"/>
        <v>160.15693546100272</v>
      </c>
      <c r="K557" s="4">
        <f t="shared" si="67"/>
        <v>36.004886349760064</v>
      </c>
      <c r="L557" s="45">
        <f>Pressure!Q557</f>
        <v>1.8119540752239487</v>
      </c>
      <c r="M557" s="10">
        <f t="shared" si="68"/>
        <v>0.57012847206688499</v>
      </c>
      <c r="N557" s="10">
        <f t="shared" si="74"/>
        <v>2.9545467240956045</v>
      </c>
    </row>
    <row r="558" spans="3:14">
      <c r="C558" s="4">
        <f>Pressure!AB558*1000000</f>
        <v>996662.07262280467</v>
      </c>
      <c r="D558" s="84">
        <f>Pressure!I558</f>
        <v>1.4801552192482141E-4</v>
      </c>
      <c r="E558" s="40">
        <f>Pressure!H558</f>
        <v>148.0155219248214</v>
      </c>
      <c r="F558" s="10">
        <f t="shared" si="70"/>
        <v>8</v>
      </c>
      <c r="G558" s="4">
        <f t="shared" si="69"/>
        <v>101000</v>
      </c>
      <c r="H558" s="45">
        <f t="shared" si="71"/>
        <v>2.3909924680138239</v>
      </c>
      <c r="I558" s="10">
        <f t="shared" si="72"/>
        <v>1.0818387460821106</v>
      </c>
      <c r="J558" s="4">
        <f t="shared" si="73"/>
        <v>159.59442791172592</v>
      </c>
      <c r="K558" s="4">
        <f t="shared" si="67"/>
        <v>35.878429007626885</v>
      </c>
      <c r="L558" s="45">
        <f>Pressure!Q558</f>
        <v>1.8155109916668011</v>
      </c>
      <c r="M558" s="10">
        <f t="shared" si="68"/>
        <v>0.56866444100246349</v>
      </c>
      <c r="N558" s="10">
        <f t="shared" si="74"/>
        <v>2.9545467240956045</v>
      </c>
    </row>
    <row r="559" spans="3:14">
      <c r="C559" s="4">
        <f>Pressure!AB559*1000000</f>
        <v>993706.48305744084</v>
      </c>
      <c r="D559" s="84">
        <f>Pressure!I559</f>
        <v>1.4801552192482141E-4</v>
      </c>
      <c r="E559" s="40">
        <f>Pressure!H559</f>
        <v>148.0155219248214</v>
      </c>
      <c r="F559" s="10">
        <f t="shared" si="70"/>
        <v>8</v>
      </c>
      <c r="G559" s="4">
        <f t="shared" si="69"/>
        <v>101000</v>
      </c>
      <c r="H559" s="45">
        <f t="shared" si="71"/>
        <v>2.3860829358488713</v>
      </c>
      <c r="I559" s="10">
        <f t="shared" si="72"/>
        <v>1.0812268043579503</v>
      </c>
      <c r="J559" s="4">
        <f t="shared" si="73"/>
        <v>159.03114570043633</v>
      </c>
      <c r="K559" s="4">
        <f t="shared" si="67"/>
        <v>35.751797513699096</v>
      </c>
      <c r="L559" s="45">
        <f>Pressure!Q559</f>
        <v>1.8190712638096032</v>
      </c>
      <c r="M559" s="10">
        <f t="shared" si="68"/>
        <v>0.56719687685785725</v>
      </c>
      <c r="N559" s="10">
        <f t="shared" si="74"/>
        <v>2.9545467240956045</v>
      </c>
    </row>
    <row r="560" spans="3:14">
      <c r="C560" s="4">
        <f>Pressure!AB560*1000000</f>
        <v>990745.89030065562</v>
      </c>
      <c r="D560" s="84">
        <f>Pressure!I560</f>
        <v>1.4801552192482141E-4</v>
      </c>
      <c r="E560" s="40">
        <f>Pressure!H560</f>
        <v>148.0155219248214</v>
      </c>
      <c r="F560" s="10">
        <f t="shared" si="70"/>
        <v>8</v>
      </c>
      <c r="G560" s="4">
        <f t="shared" si="69"/>
        <v>101000</v>
      </c>
      <c r="H560" s="45">
        <f t="shared" si="71"/>
        <v>2.3811625942058563</v>
      </c>
      <c r="I560" s="10">
        <f t="shared" si="72"/>
        <v>1.080611435256682</v>
      </c>
      <c r="J560" s="4">
        <f t="shared" si="73"/>
        <v>158.46709604559175</v>
      </c>
      <c r="K560" s="4">
        <f t="shared" si="67"/>
        <v>35.624993490758449</v>
      </c>
      <c r="L560" s="45">
        <f>Pressure!Q560</f>
        <v>1.8226349105388484</v>
      </c>
      <c r="M560" s="10">
        <f t="shared" si="68"/>
        <v>0.56572578536967544</v>
      </c>
      <c r="N560" s="10">
        <f t="shared" si="74"/>
        <v>2.9545467240956045</v>
      </c>
    </row>
    <row r="561" spans="3:14">
      <c r="C561" s="4">
        <f>Pressure!AB561*1000000</f>
        <v>987780.32404598116</v>
      </c>
      <c r="D561" s="84">
        <f>Pressure!I561</f>
        <v>1.4801552192482141E-4</v>
      </c>
      <c r="E561" s="40">
        <f>Pressure!H561</f>
        <v>148.0155219248214</v>
      </c>
      <c r="F561" s="10">
        <f t="shared" si="70"/>
        <v>8</v>
      </c>
      <c r="G561" s="4">
        <f t="shared" si="69"/>
        <v>101000</v>
      </c>
      <c r="H561" s="45">
        <f t="shared" si="71"/>
        <v>2.3762314729971146</v>
      </c>
      <c r="I561" s="10">
        <f t="shared" si="72"/>
        <v>1.0799926157437789</v>
      </c>
      <c r="J561" s="4">
        <f t="shared" si="73"/>
        <v>157.90228619897221</v>
      </c>
      <c r="K561" s="4">
        <f t="shared" si="67"/>
        <v>35.498018569077878</v>
      </c>
      <c r="L561" s="45">
        <f>Pressure!Q561</f>
        <v>1.8262019508656733</v>
      </c>
      <c r="M561" s="10">
        <f t="shared" si="68"/>
        <v>0.56425117231951527</v>
      </c>
      <c r="N561" s="10">
        <f t="shared" si="74"/>
        <v>2.9545467240956045</v>
      </c>
    </row>
    <row r="562" spans="3:14">
      <c r="C562" s="4">
        <f>Pressure!AB562*1000000</f>
        <v>984809.81413679547</v>
      </c>
      <c r="D562" s="84">
        <f>Pressure!I562</f>
        <v>1.4801552192482141E-4</v>
      </c>
      <c r="E562" s="40">
        <f>Pressure!H562</f>
        <v>148.0155219248214</v>
      </c>
      <c r="F562" s="10">
        <f t="shared" si="70"/>
        <v>8</v>
      </c>
      <c r="G562" s="4">
        <f t="shared" si="69"/>
        <v>101000</v>
      </c>
      <c r="H562" s="45">
        <f t="shared" si="71"/>
        <v>2.3712896023763195</v>
      </c>
      <c r="I562" s="10">
        <f t="shared" si="72"/>
        <v>1.0793703225421361</v>
      </c>
      <c r="J562" s="4">
        <f t="shared" si="73"/>
        <v>157.33672344573918</v>
      </c>
      <c r="K562" s="4">
        <f t="shared" si="67"/>
        <v>35.370874386434778</v>
      </c>
      <c r="L562" s="45">
        <f>Pressure!Q562</f>
        <v>1.8297724039271057</v>
      </c>
      <c r="M562" s="10">
        <f t="shared" si="68"/>
        <v>0.56277304353444568</v>
      </c>
      <c r="N562" s="10">
        <f t="shared" si="74"/>
        <v>2.9545467240956045</v>
      </c>
    </row>
    <row r="563" spans="3:14">
      <c r="C563" s="4">
        <f>Pressure!AB563*1000000</f>
        <v>981834.39056765928</v>
      </c>
      <c r="D563" s="84">
        <f>Pressure!I563</f>
        <v>1.4801552192482141E-4</v>
      </c>
      <c r="E563" s="40">
        <f>Pressure!H563</f>
        <v>148.0155219248214</v>
      </c>
      <c r="F563" s="10">
        <f t="shared" si="70"/>
        <v>8</v>
      </c>
      <c r="G563" s="4">
        <f t="shared" si="69"/>
        <v>101000</v>
      </c>
      <c r="H563" s="45">
        <f t="shared" si="71"/>
        <v>2.3663370127420338</v>
      </c>
      <c r="I563" s="10">
        <f t="shared" si="72"/>
        <v>1.0787445321289799</v>
      </c>
      <c r="J563" s="4">
        <f t="shared" si="73"/>
        <v>156.77041510468129</v>
      </c>
      <c r="K563" s="4">
        <f t="shared" si="67"/>
        <v>35.243562588166292</v>
      </c>
      <c r="L563" s="45">
        <f>Pressure!Q563</f>
        <v>1.8333462889873289</v>
      </c>
      <c r="M563" s="10">
        <f t="shared" si="68"/>
        <v>0.56129140488739671</v>
      </c>
      <c r="N563" s="10">
        <f t="shared" si="74"/>
        <v>2.9545467240956045</v>
      </c>
    </row>
    <row r="564" spans="3:14">
      <c r="C564" s="4">
        <f>Pressure!AB564*1000000</f>
        <v>978854.08348464617</v>
      </c>
      <c r="D564" s="84">
        <f>Pressure!I564</f>
        <v>1.4801552192482141E-4</v>
      </c>
      <c r="E564" s="40">
        <f>Pressure!H564</f>
        <v>148.0155219248214</v>
      </c>
      <c r="F564" s="10">
        <f t="shared" si="70"/>
        <v>8</v>
      </c>
      <c r="G564" s="4">
        <f t="shared" si="69"/>
        <v>101000</v>
      </c>
      <c r="H564" s="45">
        <f t="shared" si="71"/>
        <v>2.3613737347396357</v>
      </c>
      <c r="I564" s="10">
        <f t="shared" si="72"/>
        <v>1.0781152207325078</v>
      </c>
      <c r="J564" s="4">
        <f t="shared" si="73"/>
        <v>156.2033685282677</v>
      </c>
      <c r="K564" s="4">
        <f t="shared" si="67"/>
        <v>35.116084827181268</v>
      </c>
      <c r="L564" s="45">
        <f>Pressure!Q564</f>
        <v>1.8369236254389596</v>
      </c>
      <c r="M564" s="10">
        <f t="shared" si="68"/>
        <v>0.55980626229746711</v>
      </c>
      <c r="N564" s="10">
        <f t="shared" si="74"/>
        <v>2.9545467240956045</v>
      </c>
    </row>
    <row r="565" spans="3:14">
      <c r="C565" s="4">
        <f>Pressure!AB565*1000000</f>
        <v>975868.92318693374</v>
      </c>
      <c r="D565" s="84">
        <f>Pressure!I565</f>
        <v>1.4801552192482141E-4</v>
      </c>
      <c r="E565" s="40">
        <f>Pressure!H565</f>
        <v>148.0155219248214</v>
      </c>
      <c r="F565" s="10">
        <f t="shared" si="70"/>
        <v>8</v>
      </c>
      <c r="G565" s="4">
        <f t="shared" si="69"/>
        <v>101000</v>
      </c>
      <c r="H565" s="45">
        <f t="shared" si="71"/>
        <v>2.3563997992653656</v>
      </c>
      <c r="I565" s="10">
        <f t="shared" si="72"/>
        <v>1.077482364328745</v>
      </c>
      <c r="J565" s="4">
        <f t="shared" si="73"/>
        <v>155.63559110294182</v>
      </c>
      <c r="K565" s="4">
        <f t="shared" si="67"/>
        <v>34.98844276402631</v>
      </c>
      <c r="L565" s="45">
        <f>Pressure!Q565</f>
        <v>1.8405044328043441</v>
      </c>
      <c r="M565" s="10">
        <f t="shared" si="68"/>
        <v>0.55831762173063171</v>
      </c>
      <c r="N565" s="10">
        <f t="shared" si="74"/>
        <v>2.9545467240956045</v>
      </c>
    </row>
    <row r="566" spans="3:14">
      <c r="C566" s="4">
        <f>Pressure!AB566*1000000</f>
        <v>972878.94012692384</v>
      </c>
      <c r="D566" s="84">
        <f>Pressure!I566</f>
        <v>1.4801552192482141E-4</v>
      </c>
      <c r="E566" s="40">
        <f>Pressure!H566</f>
        <v>148.0155219248214</v>
      </c>
      <c r="F566" s="10">
        <f t="shared" si="70"/>
        <v>8</v>
      </c>
      <c r="G566" s="4">
        <f t="shared" si="69"/>
        <v>101000</v>
      </c>
      <c r="H566" s="45">
        <f t="shared" si="71"/>
        <v>2.3514152374679647</v>
      </c>
      <c r="I566" s="10">
        <f t="shared" si="72"/>
        <v>1.0768459386380278</v>
      </c>
      <c r="J566" s="4">
        <f t="shared" si="73"/>
        <v>155.06709024913343</v>
      </c>
      <c r="K566" s="4">
        <f t="shared" si="67"/>
        <v>34.860638066888498</v>
      </c>
      <c r="L566" s="45">
        <f>Pressure!Q566</f>
        <v>1.8440887307368676</v>
      </c>
      <c r="M566" s="10">
        <f t="shared" si="68"/>
        <v>0.55682548919988684</v>
      </c>
      <c r="N566" s="10">
        <f t="shared" si="74"/>
        <v>2.9545467240956045</v>
      </c>
    </row>
    <row r="567" spans="3:14">
      <c r="C567" s="4">
        <f>Pressure!AB567*1000000</f>
        <v>969884.16491169645</v>
      </c>
      <c r="D567" s="84">
        <f>Pressure!I567</f>
        <v>1.4801552192482141E-4</v>
      </c>
      <c r="E567" s="40">
        <f>Pressure!H567</f>
        <v>148.0155219248214</v>
      </c>
      <c r="F567" s="10">
        <f t="shared" si="70"/>
        <v>8</v>
      </c>
      <c r="G567" s="4">
        <f t="shared" si="69"/>
        <v>101000</v>
      </c>
      <c r="H567" s="45">
        <f t="shared" si="71"/>
        <v>2.3464200807525639</v>
      </c>
      <c r="I567" s="10">
        <f t="shared" si="72"/>
        <v>1.0762059191217188</v>
      </c>
      <c r="J567" s="4">
        <f t="shared" si="73"/>
        <v>154.49787342152553</v>
      </c>
      <c r="K567" s="4">
        <f t="shared" si="67"/>
        <v>34.732672411655393</v>
      </c>
      <c r="L567" s="45">
        <f>Pressure!Q567</f>
        <v>1.8476765390222825</v>
      </c>
      <c r="M567" s="10">
        <f t="shared" si="68"/>
        <v>0.55532987076586526</v>
      </c>
      <c r="N567" s="10">
        <f t="shared" si="74"/>
        <v>2.9545467240956045</v>
      </c>
    </row>
    <row r="568" spans="3:14">
      <c r="C568" s="4">
        <f>Pressure!AB568*1000000</f>
        <v>966884.62830377533</v>
      </c>
      <c r="D568" s="84">
        <f>Pressure!I568</f>
        <v>1.4801552192482141E-4</v>
      </c>
      <c r="E568" s="40">
        <f>Pressure!H568</f>
        <v>148.0155219248214</v>
      </c>
      <c r="F568" s="10">
        <f t="shared" si="70"/>
        <v>8</v>
      </c>
      <c r="G568" s="4">
        <f t="shared" si="69"/>
        <v>101000</v>
      </c>
      <c r="H568" s="45">
        <f t="shared" si="71"/>
        <v>2.3414143607834643</v>
      </c>
      <c r="I568" s="10">
        <f t="shared" si="72"/>
        <v>1.0755622809787138</v>
      </c>
      <c r="J568" s="4">
        <f t="shared" si="73"/>
        <v>153.9279481091888</v>
      </c>
      <c r="K568" s="4">
        <f t="shared" si="67"/>
        <v>34.604547481945239</v>
      </c>
      <c r="L568" s="45">
        <f>Pressure!Q568</f>
        <v>1.8512678775800508</v>
      </c>
      <c r="M568" s="10">
        <f t="shared" si="68"/>
        <v>0.5538307725373226</v>
      </c>
      <c r="N568" s="10">
        <f t="shared" si="74"/>
        <v>2.9545467240956045</v>
      </c>
    </row>
    <row r="569" spans="3:14">
      <c r="C569" s="4">
        <f>Pressure!AB569*1000000</f>
        <v>963880.36122180242</v>
      </c>
      <c r="D569" s="84">
        <f>Pressure!I569</f>
        <v>1.4801552192482141E-4</v>
      </c>
      <c r="E569" s="40">
        <f>Pressure!H569</f>
        <v>148.0155219248214</v>
      </c>
      <c r="F569" s="10">
        <f t="shared" si="70"/>
        <v>8</v>
      </c>
      <c r="G569" s="4">
        <f t="shared" si="69"/>
        <v>101000</v>
      </c>
      <c r="H569" s="45">
        <f t="shared" si="71"/>
        <v>2.3363981094868005</v>
      </c>
      <c r="I569" s="10">
        <f t="shared" si="72"/>
        <v>1.0749149991418709</v>
      </c>
      <c r="J569" s="4">
        <f t="shared" si="73"/>
        <v>153.3573218356988</v>
      </c>
      <c r="K569" s="4">
        <f t="shared" si="67"/>
        <v>34.476264969133311</v>
      </c>
      <c r="L569" s="45">
        <f>Pressure!Q569</f>
        <v>1.8548627664647046</v>
      </c>
      <c r="M569" s="10">
        <f t="shared" si="68"/>
        <v>0.55232820067135291</v>
      </c>
      <c r="N569" s="10">
        <f t="shared" si="74"/>
        <v>2.9545467240956045</v>
      </c>
    </row>
    <row r="570" spans="3:14">
      <c r="C570" s="4">
        <f>Pressure!AB570*1000000</f>
        <v>960871.39474171074</v>
      </c>
      <c r="D570" s="84">
        <f>Pressure!I570</f>
        <v>1.4801552192482141E-4</v>
      </c>
      <c r="E570" s="40">
        <f>Pressure!H570</f>
        <v>148.0155219248214</v>
      </c>
      <c r="F570" s="10">
        <f t="shared" si="70"/>
        <v>8</v>
      </c>
      <c r="G570" s="4">
        <f t="shared" si="69"/>
        <v>101000</v>
      </c>
      <c r="H570" s="45">
        <f t="shared" si="71"/>
        <v>2.3313713590540712</v>
      </c>
      <c r="I570" s="10">
        <f t="shared" si="72"/>
        <v>1.0742640482744876</v>
      </c>
      <c r="J570" s="4">
        <f t="shared" si="73"/>
        <v>152.78600215934725</v>
      </c>
      <c r="K570" s="4">
        <f t="shared" si="67"/>
        <v>34.347826572399455</v>
      </c>
      <c r="L570" s="45">
        <f>Pressure!Q570</f>
        <v>1.8584612258672233</v>
      </c>
      <c r="M570" s="10">
        <f t="shared" si="68"/>
        <v>0.55082216137414852</v>
      </c>
      <c r="N570" s="10">
        <f t="shared" si="74"/>
        <v>2.9545467240956045</v>
      </c>
    </row>
    <row r="571" spans="3:14">
      <c r="C571" s="4">
        <f>Pressure!AB571*1000000</f>
        <v>957857.76009779237</v>
      </c>
      <c r="D571" s="84">
        <f>Pressure!I571</f>
        <v>1.4801552192482141E-4</v>
      </c>
      <c r="E571" s="40">
        <f>Pressure!H571</f>
        <v>148.0155219248214</v>
      </c>
      <c r="F571" s="10">
        <f t="shared" si="70"/>
        <v>8</v>
      </c>
      <c r="G571" s="4">
        <f t="shared" si="69"/>
        <v>101000</v>
      </c>
      <c r="H571" s="45">
        <f t="shared" si="71"/>
        <v>2.3263341419455386</v>
      </c>
      <c r="I571" s="10">
        <f t="shared" si="72"/>
        <v>1.0736094027666923</v>
      </c>
      <c r="J571" s="4">
        <f t="shared" si="73"/>
        <v>152.21399667333313</v>
      </c>
      <c r="K571" s="4">
        <f t="shared" si="67"/>
        <v>34.219233998770996</v>
      </c>
      <c r="L571" s="45">
        <f>Pressure!Q571</f>
        <v>1.8620632761164275</v>
      </c>
      <c r="M571" s="10">
        <f t="shared" si="68"/>
        <v>0.54931266090127406</v>
      </c>
      <c r="N571" s="10">
        <f t="shared" si="74"/>
        <v>2.9545467240956045</v>
      </c>
    </row>
    <row r="572" spans="3:14">
      <c r="C572" s="4">
        <f>Pressure!AB572*1000000</f>
        <v>954839.48868312396</v>
      </c>
      <c r="D572" s="84">
        <f>Pressure!I572</f>
        <v>1.4801552192482141E-4</v>
      </c>
      <c r="E572" s="40">
        <f>Pressure!H572</f>
        <v>148.0155219248214</v>
      </c>
      <c r="F572" s="10">
        <f t="shared" si="70"/>
        <v>8</v>
      </c>
      <c r="G572" s="4">
        <f t="shared" si="69"/>
        <v>101000</v>
      </c>
      <c r="H572" s="45">
        <f t="shared" si="71"/>
        <v>2.3212864908925859</v>
      </c>
      <c r="I572" s="10">
        <f t="shared" si="72"/>
        <v>1.0729510367316337</v>
      </c>
      <c r="J572" s="4">
        <f t="shared" si="73"/>
        <v>151.64131300583074</v>
      </c>
      <c r="K572" s="4">
        <f t="shared" si="67"/>
        <v>34.090488963138064</v>
      </c>
      <c r="L572" s="45">
        <f>Pressure!Q572</f>
        <v>1.8656689376803908</v>
      </c>
      <c r="M572" s="10">
        <f t="shared" si="68"/>
        <v>0.54779970555815538</v>
      </c>
      <c r="N572" s="10">
        <f t="shared" si="74"/>
        <v>2.9545467240956045</v>
      </c>
    </row>
    <row r="573" spans="3:14">
      <c r="C573" s="4">
        <f>Pressure!AB573*1000000</f>
        <v>951816.61205101653</v>
      </c>
      <c r="D573" s="84">
        <f>Pressure!I573</f>
        <v>1.4801552192482141E-4</v>
      </c>
      <c r="E573" s="40">
        <f>Pressure!H573</f>
        <v>148.0155219248214</v>
      </c>
      <c r="F573" s="10">
        <f t="shared" si="70"/>
        <v>8</v>
      </c>
      <c r="G573" s="4">
        <f t="shared" si="69"/>
        <v>101000</v>
      </c>
      <c r="H573" s="45">
        <f t="shared" si="71"/>
        <v>2.3162284389018311</v>
      </c>
      <c r="I573" s="10">
        <f t="shared" si="72"/>
        <v>1.0722889240018312</v>
      </c>
      <c r="J573" s="4">
        <f t="shared" si="73"/>
        <v>151.06795882025264</v>
      </c>
      <c r="K573" s="4">
        <f t="shared" si="67"/>
        <v>33.961593188312719</v>
      </c>
      <c r="L573" s="45">
        <f>Pressure!Q573</f>
        <v>1.8692782311678693</v>
      </c>
      <c r="M573" s="10">
        <f t="shared" si="68"/>
        <v>0.54628330170062323</v>
      </c>
      <c r="N573" s="10">
        <f t="shared" si="74"/>
        <v>2.9545467240956045</v>
      </c>
    </row>
    <row r="574" spans="3:14">
      <c r="C574" s="4">
        <f>Pressure!AB574*1000000</f>
        <v>948789.16191577376</v>
      </c>
      <c r="D574" s="84">
        <f>Pressure!I574</f>
        <v>1.4801552192482141E-4</v>
      </c>
      <c r="E574" s="40">
        <f>Pressure!H574</f>
        <v>148.0155219248214</v>
      </c>
      <c r="F574" s="10">
        <f t="shared" si="70"/>
        <v>8</v>
      </c>
      <c r="G574" s="4">
        <f t="shared" si="69"/>
        <v>101000</v>
      </c>
      <c r="H574" s="45">
        <f t="shared" si="71"/>
        <v>2.3111600192581259</v>
      </c>
      <c r="I574" s="10">
        <f t="shared" si="72"/>
        <v>1.0716230381253067</v>
      </c>
      <c r="J574" s="4">
        <f t="shared" si="73"/>
        <v>150.49394181537997</v>
      </c>
      <c r="K574" s="4">
        <f t="shared" si="67"/>
        <v>33.832548405058219</v>
      </c>
      <c r="L574" s="45">
        <f>Pressure!Q574</f>
        <v>1.8728911773297494</v>
      </c>
      <c r="M574" s="10">
        <f t="shared" si="68"/>
        <v>0.54476345573539231</v>
      </c>
      <c r="N574" s="10">
        <f t="shared" si="74"/>
        <v>2.9545467240956045</v>
      </c>
    </row>
    <row r="575" spans="3:14">
      <c r="C575" s="4">
        <f>Pressure!AB575*1000000</f>
        <v>945757.17015367479</v>
      </c>
      <c r="D575" s="84">
        <f>Pressure!I575</f>
        <v>1.4801552192482141E-4</v>
      </c>
      <c r="E575" s="40">
        <f>Pressure!H575</f>
        <v>148.0155219248214</v>
      </c>
      <c r="F575" s="10">
        <f t="shared" si="70"/>
        <v>8</v>
      </c>
      <c r="G575" s="4">
        <f t="shared" si="69"/>
        <v>101000</v>
      </c>
      <c r="H575" s="45">
        <f t="shared" si="71"/>
        <v>2.3060812655279666</v>
      </c>
      <c r="I575" s="10">
        <f t="shared" si="72"/>
        <v>1.0709533523617012</v>
      </c>
      <c r="J575" s="4">
        <f t="shared" si="73"/>
        <v>149.9192697255354</v>
      </c>
      <c r="K575" s="4">
        <f t="shared" si="67"/>
        <v>33.703356352127919</v>
      </c>
      <c r="L575" s="45">
        <f>Pressure!Q575</f>
        <v>1.8765077970605128</v>
      </c>
      <c r="M575" s="10">
        <f t="shared" si="68"/>
        <v>0.54324017412044245</v>
      </c>
      <c r="N575" s="10">
        <f t="shared" si="74"/>
        <v>2.9545467240956045</v>
      </c>
    </row>
    <row r="576" spans="3:14">
      <c r="C576" s="4">
        <f>Pressure!AB576*1000000</f>
        <v>942720.66880387545</v>
      </c>
      <c r="D576" s="84">
        <f>Pressure!I576</f>
        <v>1.4801552192482141E-4</v>
      </c>
      <c r="E576" s="40">
        <f>Pressure!H576</f>
        <v>148.0155219248214</v>
      </c>
      <c r="F576" s="10">
        <f t="shared" si="70"/>
        <v>8</v>
      </c>
      <c r="G576" s="4">
        <f t="shared" si="69"/>
        <v>101000</v>
      </c>
      <c r="H576" s="45">
        <f t="shared" si="71"/>
        <v>2.3009922115628219</v>
      </c>
      <c r="I576" s="10">
        <f t="shared" si="72"/>
        <v>1.0702798396783035</v>
      </c>
      <c r="J576" s="4">
        <f t="shared" si="73"/>
        <v>149.34395032073979</v>
      </c>
      <c r="K576" s="4">
        <f t="shared" si="67"/>
        <v>33.574018776300477</v>
      </c>
      <c r="L576" s="45">
        <f>Pressure!Q576</f>
        <v>1.8801281113997212</v>
      </c>
      <c r="M576" s="10">
        <f t="shared" si="68"/>
        <v>0.54171346336560389</v>
      </c>
      <c r="N576" s="10">
        <f t="shared" si="74"/>
        <v>2.9545467240956045</v>
      </c>
    </row>
    <row r="577" spans="3:14">
      <c r="C577" s="4">
        <f>Pressure!AB577*1000000</f>
        <v>939679.69006963936</v>
      </c>
      <c r="D577" s="84">
        <f>Pressure!I577</f>
        <v>1.4801552192482141E-4</v>
      </c>
      <c r="E577" s="40">
        <f>Pressure!H577</f>
        <v>148.0155219248214</v>
      </c>
      <c r="F577" s="10">
        <f t="shared" si="70"/>
        <v>8</v>
      </c>
      <c r="G577" s="4">
        <f t="shared" si="69"/>
        <v>101000</v>
      </c>
      <c r="H577" s="45">
        <f t="shared" si="71"/>
        <v>2.2958928915030463</v>
      </c>
      <c r="I577" s="10">
        <f t="shared" si="72"/>
        <v>1.0696024727460847</v>
      </c>
      <c r="J577" s="4">
        <f t="shared" si="73"/>
        <v>148.767991406931</v>
      </c>
      <c r="K577" s="4">
        <f t="shared" si="67"/>
        <v>33.444537432429073</v>
      </c>
      <c r="L577" s="45">
        <f>Pressure!Q577</f>
        <v>1.8837521415335192</v>
      </c>
      <c r="M577" s="10">
        <f t="shared" si="68"/>
        <v>0.54018333003305219</v>
      </c>
      <c r="N577" s="10">
        <f t="shared" si="74"/>
        <v>2.9545467240956045</v>
      </c>
    </row>
    <row r="578" spans="3:14">
      <c r="C578" s="4">
        <f>Pressure!AB578*1000000</f>
        <v>936634.26631899469</v>
      </c>
      <c r="D578" s="84">
        <f>Pressure!I578</f>
        <v>1.4801552192482141E-4</v>
      </c>
      <c r="E578" s="40">
        <f>Pressure!H578</f>
        <v>148.0155219248214</v>
      </c>
      <c r="F578" s="10">
        <f t="shared" si="70"/>
        <v>8</v>
      </c>
      <c r="G578" s="4">
        <f t="shared" si="69"/>
        <v>101000</v>
      </c>
      <c r="H578" s="45">
        <f t="shared" si="71"/>
        <v>2.2907833397808792</v>
      </c>
      <c r="I578" s="10">
        <f t="shared" si="72"/>
        <v>1.0689212239355337</v>
      </c>
      <c r="J578" s="4">
        <f t="shared" si="73"/>
        <v>148.19140082607342</v>
      </c>
      <c r="K578" s="4">
        <f t="shared" si="67"/>
        <v>33.314914083465993</v>
      </c>
      <c r="L578" s="45">
        <f>Pressure!Q578</f>
        <v>1.8873799087961569</v>
      </c>
      <c r="M578" s="10">
        <f t="shared" si="68"/>
        <v>0.53864978073783987</v>
      </c>
      <c r="N578" s="10">
        <f t="shared" si="74"/>
        <v>2.9545467240956045</v>
      </c>
    </row>
    <row r="579" spans="3:14">
      <c r="C579" s="4">
        <f>Pressure!AB579*1000000</f>
        <v>933584.43008599756</v>
      </c>
      <c r="D579" s="84">
        <f>Pressure!I579</f>
        <v>1.4801552192482141E-4</v>
      </c>
      <c r="E579" s="40">
        <f>Pressure!H579</f>
        <v>148.0155219248214</v>
      </c>
      <c r="F579" s="10">
        <f t="shared" si="70"/>
        <v>8</v>
      </c>
      <c r="G579" s="4">
        <f t="shared" si="69"/>
        <v>101000</v>
      </c>
      <c r="H579" s="45">
        <f t="shared" si="71"/>
        <v>2.2856635911245156</v>
      </c>
      <c r="I579" s="10">
        <f t="shared" si="72"/>
        <v>1.0682360653125558</v>
      </c>
      <c r="J579" s="4">
        <f t="shared" si="73"/>
        <v>147.6141864563815</v>
      </c>
      <c r="K579" s="4">
        <f t="shared" si="67"/>
        <v>33.185150500512904</v>
      </c>
      <c r="L579" s="45">
        <f>Pressure!Q579</f>
        <v>1.8910114346715312</v>
      </c>
      <c r="M579" s="10">
        <f t="shared" si="68"/>
        <v>0.53711282214826261</v>
      </c>
      <c r="N579" s="10">
        <f t="shared" si="74"/>
        <v>2.9545467240956045</v>
      </c>
    </row>
    <row r="580" spans="3:14">
      <c r="C580" s="4">
        <f>Pressure!AB580*1000000</f>
        <v>930530.21407154331</v>
      </c>
      <c r="D580" s="84">
        <f>Pressure!I580</f>
        <v>1.4801552192482141E-4</v>
      </c>
      <c r="E580" s="40">
        <f>Pressure!H580</f>
        <v>148.0155219248214</v>
      </c>
      <c r="F580" s="10">
        <f t="shared" si="70"/>
        <v>8</v>
      </c>
      <c r="G580" s="4">
        <f t="shared" si="69"/>
        <v>101000</v>
      </c>
      <c r="H580" s="45">
        <f t="shared" si="71"/>
        <v>2.2805336805614496</v>
      </c>
      <c r="I580" s="10">
        <f t="shared" si="72"/>
        <v>1.0675469686341972</v>
      </c>
      <c r="J580" s="4">
        <f t="shared" si="73"/>
        <v>147.03635621245758</v>
      </c>
      <c r="K580" s="4">
        <f t="shared" si="67"/>
        <v>33.055248462851843</v>
      </c>
      <c r="L580" s="45">
        <f>Pressure!Q580</f>
        <v>1.8946467407947474</v>
      </c>
      <c r="M580" s="10">
        <f t="shared" si="68"/>
        <v>0.53557246098649824</v>
      </c>
      <c r="N580" s="10">
        <f t="shared" si="74"/>
        <v>2.9545467240956045</v>
      </c>
    </row>
    <row r="581" spans="3:14">
      <c r="C581" s="4">
        <f>Pressure!AB581*1000000</f>
        <v>927471.65114488278</v>
      </c>
      <c r="D581" s="84">
        <f>Pressure!I581</f>
        <v>1.4801552192482141E-4</v>
      </c>
      <c r="E581" s="40">
        <f>Pressure!H581</f>
        <v>148.0155219248214</v>
      </c>
      <c r="F581" s="10">
        <f t="shared" si="70"/>
        <v>8</v>
      </c>
      <c r="G581" s="4">
        <f t="shared" si="69"/>
        <v>101000</v>
      </c>
      <c r="H581" s="45">
        <f t="shared" si="71"/>
        <v>2.2753936434230702</v>
      </c>
      <c r="I581" s="10">
        <f t="shared" si="72"/>
        <v>1.0668539053444528</v>
      </c>
      <c r="J581" s="4">
        <f t="shared" si="73"/>
        <v>146.457918045562</v>
      </c>
      <c r="K581" s="4">
        <f t="shared" si="67"/>
        <v>32.925209758005934</v>
      </c>
      <c r="L581" s="45">
        <f>Pressure!Q581</f>
        <v>1.8982858489537004</v>
      </c>
      <c r="M581" s="10">
        <f t="shared" si="68"/>
        <v>0.53402870402918523</v>
      </c>
      <c r="N581" s="10">
        <f t="shared" si="74"/>
        <v>2.9545467240956045</v>
      </c>
    </row>
    <row r="582" spans="3:14">
      <c r="C582" s="4">
        <f>Pressure!AB582*1000000</f>
        <v>924408.77434387337</v>
      </c>
      <c r="D582" s="84">
        <f>Pressure!I582</f>
        <v>1.4801552192482141E-4</v>
      </c>
      <c r="E582" s="40">
        <f>Pressure!H582</f>
        <v>148.0155219248214</v>
      </c>
      <c r="F582" s="10">
        <f t="shared" si="70"/>
        <v>8</v>
      </c>
      <c r="G582" s="4">
        <f t="shared" si="69"/>
        <v>101000</v>
      </c>
      <c r="H582" s="45">
        <f t="shared" si="71"/>
        <v>2.2702435153471621</v>
      </c>
      <c r="I582" s="10">
        <f t="shared" si="72"/>
        <v>1.066156846569714</v>
      </c>
      <c r="J582" s="4">
        <f t="shared" si="73"/>
        <v>145.87887994364391</v>
      </c>
      <c r="K582" s="4">
        <f t="shared" si="67"/>
        <v>32.795036181746305</v>
      </c>
      <c r="L582" s="45">
        <f>Pressure!Q582</f>
        <v>1.9019287810906766</v>
      </c>
      <c r="M582" s="10">
        <f t="shared" si="68"/>
        <v>0.53248155810779818</v>
      </c>
      <c r="N582" s="10">
        <f t="shared" si="74"/>
        <v>2.9545467240956045</v>
      </c>
    </row>
    <row r="583" spans="3:14">
      <c r="C583" s="4">
        <f>Pressure!AB583*1000000</f>
        <v>921341.61687670543</v>
      </c>
      <c r="D583" s="84">
        <f>Pressure!I583</f>
        <v>1.4801552192482141E-4</v>
      </c>
      <c r="E583" s="40">
        <f>Pressure!H583</f>
        <v>148.0155219248214</v>
      </c>
      <c r="F583" s="10">
        <f t="shared" si="70"/>
        <v>8</v>
      </c>
      <c r="G583" s="4">
        <f t="shared" si="69"/>
        <v>101000</v>
      </c>
      <c r="H583" s="45">
        <f t="shared" si="71"/>
        <v>2.265083332282952</v>
      </c>
      <c r="I583" s="10">
        <f t="shared" si="72"/>
        <v>1.0654557631144688</v>
      </c>
      <c r="J583" s="4">
        <f t="shared" si="73"/>
        <v>145.29924993164977</v>
      </c>
      <c r="K583" s="4">
        <f t="shared" si="67"/>
        <v>32.664729538161453</v>
      </c>
      <c r="L583" s="45">
        <f>Pressure!Q583</f>
        <v>1.9055755593039765</v>
      </c>
      <c r="M583" s="10">
        <f t="shared" si="68"/>
        <v>0.53093103010930609</v>
      </c>
      <c r="N583" s="10">
        <f t="shared" si="74"/>
        <v>2.9545467240956045</v>
      </c>
    </row>
    <row r="584" spans="3:14">
      <c r="C584" s="4">
        <f>Pressure!AB584*1000000</f>
        <v>918270.21212261054</v>
      </c>
      <c r="D584" s="84">
        <f>Pressure!I584</f>
        <v>1.4801552192482141E-4</v>
      </c>
      <c r="E584" s="40">
        <f>Pressure!H584</f>
        <v>148.0155219248214</v>
      </c>
      <c r="F584" s="10">
        <f t="shared" si="70"/>
        <v>8</v>
      </c>
      <c r="G584" s="4">
        <f t="shared" si="69"/>
        <v>101000</v>
      </c>
      <c r="H584" s="45">
        <f t="shared" si="71"/>
        <v>2.2599131304944873</v>
      </c>
      <c r="I584" s="10">
        <f t="shared" si="72"/>
        <v>1.0647506254566952</v>
      </c>
      <c r="J584" s="4">
        <f t="shared" si="73"/>
        <v>144.71903607163938</v>
      </c>
      <c r="K584" s="4">
        <f t="shared" si="67"/>
        <v>32.534291639683332</v>
      </c>
      <c r="L584" s="45">
        <f>Pressure!Q584</f>
        <v>1.9092262058495575</v>
      </c>
      <c r="M584" s="10">
        <f t="shared" si="68"/>
        <v>0.52937712697661565</v>
      </c>
      <c r="N584" s="10">
        <f t="shared" si="74"/>
        <v>2.9545467240956045</v>
      </c>
    </row>
    <row r="585" spans="3:14">
      <c r="C585" s="4">
        <f>Pressure!AB585*1000000</f>
        <v>915194.59363300353</v>
      </c>
      <c r="D585" s="84">
        <f>Pressure!I585</f>
        <v>1.4801552192482141E-4</v>
      </c>
      <c r="E585" s="40">
        <f>Pressure!H585</f>
        <v>148.0155219248214</v>
      </c>
      <c r="F585" s="10">
        <f t="shared" si="70"/>
        <v>8</v>
      </c>
      <c r="G585" s="4">
        <f t="shared" si="69"/>
        <v>101000</v>
      </c>
      <c r="H585" s="45">
        <f t="shared" si="71"/>
        <v>2.2547329465648005</v>
      </c>
      <c r="I585" s="10">
        <f t="shared" si="72"/>
        <v>1.0640414037432691</v>
      </c>
      <c r="J585" s="4">
        <f t="shared" si="73"/>
        <v>144.13824646298281</v>
      </c>
      <c r="K585" s="4">
        <f t="shared" si="67"/>
        <v>32.403724307131604</v>
      </c>
      <c r="L585" s="45">
        <f>Pressure!Q585</f>
        <v>1.9128807431426993</v>
      </c>
      <c r="M585" s="10">
        <f t="shared" si="68"/>
        <v>0.52781985570918744</v>
      </c>
      <c r="N585" s="10">
        <f t="shared" si="74"/>
        <v>2.9545467240956045</v>
      </c>
    </row>
    <row r="586" spans="3:14">
      <c r="C586" s="4">
        <f>Pressure!AB586*1000000</f>
        <v>912114.79513272038</v>
      </c>
      <c r="D586" s="84">
        <f>Pressure!I586</f>
        <v>1.4801552192482141E-4</v>
      </c>
      <c r="E586" s="40">
        <f>Pressure!H586</f>
        <v>148.0155219248214</v>
      </c>
      <c r="F586" s="10">
        <f t="shared" si="70"/>
        <v>8</v>
      </c>
      <c r="G586" s="4">
        <f t="shared" si="69"/>
        <v>101000</v>
      </c>
      <c r="H586" s="45">
        <f t="shared" si="71"/>
        <v>2.2495428174002914</v>
      </c>
      <c r="I586" s="10">
        <f t="shared" si="72"/>
        <v>1.0633280677853136</v>
      </c>
      <c r="J586" s="4">
        <f t="shared" si="73"/>
        <v>143.5568892425749</v>
      </c>
      <c r="K586" s="4">
        <f t="shared" si="67"/>
        <v>32.2730293697619</v>
      </c>
      <c r="L586" s="45">
        <f>Pressure!Q586</f>
        <v>1.9165391937596898</v>
      </c>
      <c r="M586" s="10">
        <f t="shared" si="68"/>
        <v>0.52625922336358877</v>
      </c>
      <c r="N586" s="10">
        <f t="shared" si="74"/>
        <v>2.9545467240956045</v>
      </c>
    </row>
    <row r="587" spans="3:14">
      <c r="C587" s="4">
        <f>Pressure!AB587*1000000</f>
        <v>909030.85052083898</v>
      </c>
      <c r="D587" s="84">
        <f>Pressure!I587</f>
        <v>1.4801552192482141E-4</v>
      </c>
      <c r="E587" s="40">
        <f>Pressure!H587</f>
        <v>148.0155219248214</v>
      </c>
      <c r="F587" s="10">
        <f t="shared" si="70"/>
        <v>8</v>
      </c>
      <c r="G587" s="4">
        <f t="shared" si="69"/>
        <v>101000</v>
      </c>
      <c r="H587" s="45">
        <f t="shared" si="71"/>
        <v>2.2443427802344607</v>
      </c>
      <c r="I587" s="10">
        <f t="shared" si="72"/>
        <v>1.0626105870533677</v>
      </c>
      <c r="J587" s="4">
        <f t="shared" si="73"/>
        <v>142.97497258497046</v>
      </c>
      <c r="K587" s="4">
        <f t="shared" si="67"/>
        <v>32.142208665296181</v>
      </c>
      <c r="L587" s="45">
        <f>Pressure!Q587</f>
        <v>1.9202015804395336</v>
      </c>
      <c r="M587" s="10">
        <f t="shared" si="68"/>
        <v>0.52469523705401655</v>
      </c>
      <c r="N587" s="10">
        <f t="shared" si="74"/>
        <v>2.9545467240956045</v>
      </c>
    </row>
    <row r="588" spans="3:14">
      <c r="C588" s="4">
        <f>Pressure!AB588*1000000</f>
        <v>905942.79387203802</v>
      </c>
      <c r="D588" s="84">
        <f>Pressure!I588</f>
        <v>1.4801552192482141E-4</v>
      </c>
      <c r="E588" s="40">
        <f>Pressure!H588</f>
        <v>148.0155219248214</v>
      </c>
      <c r="F588" s="10">
        <f t="shared" si="70"/>
        <v>8</v>
      </c>
      <c r="G588" s="4">
        <f t="shared" si="69"/>
        <v>101000</v>
      </c>
      <c r="H588" s="45">
        <f t="shared" si="71"/>
        <v>2.239132872632613</v>
      </c>
      <c r="I588" s="10">
        <f t="shared" si="72"/>
        <v>1.061888930672592</v>
      </c>
      <c r="J588" s="4">
        <f t="shared" si="73"/>
        <v>142.39250470262019</v>
      </c>
      <c r="K588" s="4">
        <f t="shared" si="67"/>
        <v>32.011264039975764</v>
      </c>
      <c r="L588" s="45">
        <f>Pressure!Q588</f>
        <v>1.9238679260856824</v>
      </c>
      <c r="M588" s="10">
        <f t="shared" si="68"/>
        <v>0.52312790395290665</v>
      </c>
      <c r="N588" s="10">
        <f t="shared" si="74"/>
        <v>2.9545467240956045</v>
      </c>
    </row>
    <row r="589" spans="3:14">
      <c r="C589" s="4">
        <f>Pressure!AB589*1000000</f>
        <v>902850.6594374897</v>
      </c>
      <c r="D589" s="84">
        <f>Pressure!I589</f>
        <v>1.4801552192482141E-4</v>
      </c>
      <c r="E589" s="40">
        <f>Pressure!H589</f>
        <v>148.0155219248214</v>
      </c>
      <c r="F589" s="10">
        <f t="shared" si="70"/>
        <v>8</v>
      </c>
      <c r="G589" s="4">
        <f t="shared" si="69"/>
        <v>101000</v>
      </c>
      <c r="H589" s="45">
        <f t="shared" si="71"/>
        <v>2.2339131324958279</v>
      </c>
      <c r="I589" s="10">
        <f t="shared" si="72"/>
        <v>1.0611630674177794</v>
      </c>
      <c r="J589" s="4">
        <f t="shared" si="73"/>
        <v>141.80949384601803</v>
      </c>
      <c r="K589" s="4">
        <f t="shared" si="67"/>
        <v>31.880197348594496</v>
      </c>
      <c r="L589" s="45">
        <f>Pressure!Q589</f>
        <v>1.9275382537677888</v>
      </c>
      <c r="M589" s="10">
        <f t="shared" si="68"/>
        <v>0.52155723129151499</v>
      </c>
      <c r="N589" s="10">
        <f t="shared" si="74"/>
        <v>2.9545467240956045</v>
      </c>
    </row>
    <row r="590" spans="3:14">
      <c r="C590" s="4">
        <f>Pressure!AB590*1000000</f>
        <v>899754.48164607398</v>
      </c>
      <c r="D590" s="84">
        <f>Pressure!I590</f>
        <v>1.4801552192482141E-4</v>
      </c>
      <c r="E590" s="40">
        <f>Pressure!H590</f>
        <v>148.0155219248214</v>
      </c>
      <c r="F590" s="10">
        <f t="shared" si="70"/>
        <v>8</v>
      </c>
      <c r="G590" s="4">
        <f t="shared" si="69"/>
        <v>101000</v>
      </c>
      <c r="H590" s="45">
        <f t="shared" si="71"/>
        <v>2.2286835980655364</v>
      </c>
      <c r="I590" s="10">
        <f t="shared" si="72"/>
        <v>1.0604329657083496</v>
      </c>
      <c r="J590" s="4">
        <f t="shared" si="73"/>
        <v>141.2259483039083</v>
      </c>
      <c r="K590" s="4">
        <f t="shared" si="67"/>
        <v>31.749010454545278</v>
      </c>
      <c r="L590" s="45">
        <f>Pressure!Q590</f>
        <v>1.9312125867234822</v>
      </c>
      <c r="M590" s="10">
        <f t="shared" si="68"/>
        <v>0.51998322636036576</v>
      </c>
      <c r="N590" s="10">
        <f t="shared" si="74"/>
        <v>2.9545467240956045</v>
      </c>
    </row>
    <row r="591" spans="3:14">
      <c r="C591" s="4">
        <f>Pressure!AB591*1000000</f>
        <v>896654.29510570643</v>
      </c>
      <c r="D591" s="84">
        <f>Pressure!I591</f>
        <v>1.4801552192482141E-4</v>
      </c>
      <c r="E591" s="40">
        <f>Pressure!H591</f>
        <v>148.0155219248214</v>
      </c>
      <c r="F591" s="10">
        <f t="shared" si="70"/>
        <v>8</v>
      </c>
      <c r="G591" s="4">
        <f t="shared" si="69"/>
        <v>101000</v>
      </c>
      <c r="H591" s="45">
        <f t="shared" si="71"/>
        <v>2.2234443079283581</v>
      </c>
      <c r="I591" s="10">
        <f t="shared" si="72"/>
        <v>1.0596985936032797</v>
      </c>
      <c r="J591" s="4">
        <f t="shared" si="73"/>
        <v>140.64187640351372</v>
      </c>
      <c r="K591" s="4">
        <f t="shared" ref="K591:K654" si="75">J591/4.4482</f>
        <v>31.617705229871348</v>
      </c>
      <c r="L591" s="45">
        <f>Pressure!Q591</f>
        <v>1.9348909483601688</v>
      </c>
      <c r="M591" s="10">
        <f t="shared" ref="M591:M654" si="76">(J591+J590)/2*(L591-L590)</f>
        <v>0.51840589651005164</v>
      </c>
      <c r="N591" s="10">
        <f t="shared" si="74"/>
        <v>2.9545467240956045</v>
      </c>
    </row>
    <row r="592" spans="3:14">
      <c r="C592" s="4">
        <f>Pressure!AB592*1000000</f>
        <v>893550.13460409327</v>
      </c>
      <c r="D592" s="84">
        <f>Pressure!I592</f>
        <v>1.4801552192482141E-4</v>
      </c>
      <c r="E592" s="40">
        <f>Pressure!H592</f>
        <v>148.0155219248214</v>
      </c>
      <c r="F592" s="10">
        <f t="shared" si="70"/>
        <v>8</v>
      </c>
      <c r="G592" s="4">
        <f t="shared" si="69"/>
        <v>101000</v>
      </c>
      <c r="H592" s="45">
        <f t="shared" si="71"/>
        <v>2.2181953010200242</v>
      </c>
      <c r="I592" s="10">
        <f t="shared" si="72"/>
        <v>1.0589599187958072</v>
      </c>
      <c r="J592" s="4">
        <f t="shared" si="73"/>
        <v>140.05728651065459</v>
      </c>
      <c r="K592" s="4">
        <f t="shared" si="75"/>
        <v>31.48628355529306</v>
      </c>
      <c r="L592" s="45">
        <f>Pressure!Q592</f>
        <v>1.9385733622568555</v>
      </c>
      <c r="M592" s="10">
        <f t="shared" si="76"/>
        <v>0.51682524915172379</v>
      </c>
      <c r="N592" s="10">
        <f t="shared" si="74"/>
        <v>2.9545467240956045</v>
      </c>
    </row>
    <row r="593" spans="3:14">
      <c r="C593" s="4">
        <f>Pressure!AB593*1000000</f>
        <v>890442.03511020879</v>
      </c>
      <c r="D593" s="84">
        <f>Pressure!I593</f>
        <v>1.4801552192482141E-4</v>
      </c>
      <c r="E593" s="40">
        <f>Pressure!H593</f>
        <v>148.0155219248214</v>
      </c>
      <c r="F593" s="10">
        <f t="shared" si="70"/>
        <v>8</v>
      </c>
      <c r="G593" s="4">
        <f t="shared" si="69"/>
        <v>101000</v>
      </c>
      <c r="H593" s="45">
        <f t="shared" si="71"/>
        <v>2.2129366166305964</v>
      </c>
      <c r="I593" s="10">
        <f t="shared" si="72"/>
        <v>1.0582169086082049</v>
      </c>
      <c r="J593" s="4">
        <f t="shared" si="73"/>
        <v>139.47218703000317</v>
      </c>
      <c r="K593" s="4">
        <f t="shared" si="75"/>
        <v>31.354747320265091</v>
      </c>
      <c r="L593" s="45">
        <f>Pressure!Q593</f>
        <v>1.9422598521659966</v>
      </c>
      <c r="M593" s="10">
        <f t="shared" si="76"/>
        <v>0.51524129175758093</v>
      </c>
      <c r="N593" s="10">
        <f t="shared" si="74"/>
        <v>2.9545467240956045</v>
      </c>
    </row>
    <row r="594" spans="3:14">
      <c r="C594" s="4">
        <f>Pressure!AB594*1000000</f>
        <v>887330.03177540051</v>
      </c>
      <c r="D594" s="84">
        <f>Pressure!I594</f>
        <v>1.4801552192482141E-4</v>
      </c>
      <c r="E594" s="40">
        <f>Pressure!H594</f>
        <v>148.0155219248214</v>
      </c>
      <c r="F594" s="10">
        <f t="shared" si="70"/>
        <v>8</v>
      </c>
      <c r="G594" s="4">
        <f t="shared" si="69"/>
        <v>101000</v>
      </c>
      <c r="H594" s="45">
        <f t="shared" si="71"/>
        <v>2.2076682944091175</v>
      </c>
      <c r="I594" s="10">
        <f t="shared" si="72"/>
        <v>1.0574695299863754</v>
      </c>
      <c r="J594" s="4">
        <f t="shared" si="73"/>
        <v>138.88658640526756</v>
      </c>
      <c r="K594" s="4">
        <f t="shared" si="75"/>
        <v>31.223098423017753</v>
      </c>
      <c r="L594" s="45">
        <f>Pressure!Q594</f>
        <v>1.9459504420153673</v>
      </c>
      <c r="M594" s="10">
        <f t="shared" si="76"/>
        <v>0.51365403186173753</v>
      </c>
      <c r="N594" s="10">
        <f t="shared" si="74"/>
        <v>2.9545467240956045</v>
      </c>
    </row>
    <row r="595" spans="3:14">
      <c r="C595" s="4">
        <f>Pressure!AB595*1000000</f>
        <v>884214.15993445332</v>
      </c>
      <c r="D595" s="84">
        <f>Pressure!I595</f>
        <v>1.4801552192482141E-4</v>
      </c>
      <c r="E595" s="40">
        <f>Pressure!H595</f>
        <v>148.0155219248214</v>
      </c>
      <c r="F595" s="10">
        <f t="shared" si="70"/>
        <v>8</v>
      </c>
      <c r="G595" s="4">
        <f t="shared" si="69"/>
        <v>101000</v>
      </c>
      <c r="H595" s="45">
        <f t="shared" si="71"/>
        <v>2.2023903743682709</v>
      </c>
      <c r="I595" s="10">
        <f t="shared" si="72"/>
        <v>1.0567177494943292</v>
      </c>
      <c r="J595" s="4">
        <f t="shared" si="73"/>
        <v>138.30049311936651</v>
      </c>
      <c r="K595" s="4">
        <f t="shared" si="75"/>
        <v>31.091338770596312</v>
      </c>
      <c r="L595" s="45">
        <f>Pressure!Q595</f>
        <v>1.9496451559099601</v>
      </c>
      <c r="M595" s="10">
        <f t="shared" si="76"/>
        <v>0.51206347706064093</v>
      </c>
      <c r="N595" s="10">
        <f t="shared" si="74"/>
        <v>2.9545467240956045</v>
      </c>
    </row>
    <row r="596" spans="3:14">
      <c r="C596" s="4">
        <f>Pressure!AB596*1000000</f>
        <v>881094.45510691893</v>
      </c>
      <c r="D596" s="84">
        <f>Pressure!I596</f>
        <v>1.4801552192482141E-4</v>
      </c>
      <c r="E596" s="40">
        <f>Pressure!H596</f>
        <v>148.0155219248214</v>
      </c>
      <c r="F596" s="10">
        <f t="shared" si="70"/>
        <v>8</v>
      </c>
      <c r="G596" s="4">
        <f t="shared" si="69"/>
        <v>101000</v>
      </c>
      <c r="H596" s="45">
        <f t="shared" si="71"/>
        <v>2.1971028968895512</v>
      </c>
      <c r="I596" s="10">
        <f t="shared" si="72"/>
        <v>1.055961533308631</v>
      </c>
      <c r="J596" s="4">
        <f t="shared" si="73"/>
        <v>137.71391569465376</v>
      </c>
      <c r="K596" s="4">
        <f t="shared" si="75"/>
        <v>30.959470278911418</v>
      </c>
      <c r="L596" s="45">
        <f>Pressure!Q596</f>
        <v>1.9533440181339075</v>
      </c>
      <c r="M596" s="10">
        <f t="shared" si="76"/>
        <v>0.51046963501366727</v>
      </c>
      <c r="N596" s="10">
        <f t="shared" si="74"/>
        <v>2.9545467240956045</v>
      </c>
    </row>
    <row r="597" spans="3:14">
      <c r="C597" s="4">
        <f>Pressure!AB597*1000000</f>
        <v>877970.95299830311</v>
      </c>
      <c r="D597" s="84">
        <f>Pressure!I597</f>
        <v>1.4801552192482141E-4</v>
      </c>
      <c r="E597" s="40">
        <f>Pressure!H597</f>
        <v>148.0155219248214</v>
      </c>
      <c r="F597" s="10">
        <f t="shared" si="70"/>
        <v>8</v>
      </c>
      <c r="G597" s="4">
        <f t="shared" si="69"/>
        <v>101000</v>
      </c>
      <c r="H597" s="45">
        <f t="shared" si="71"/>
        <v>2.1918059027282717</v>
      </c>
      <c r="I597" s="10">
        <f t="shared" si="72"/>
        <v>1.0552008472127048</v>
      </c>
      <c r="J597" s="4">
        <f t="shared" si="73"/>
        <v>137.1268626931147</v>
      </c>
      <c r="K597" s="4">
        <f t="shared" si="75"/>
        <v>30.827494872783305</v>
      </c>
      <c r="L597" s="45">
        <f>Pressure!Q597</f>
        <v>1.9570470531524302</v>
      </c>
      <c r="M597" s="10">
        <f t="shared" si="76"/>
        <v>0.50887251344397999</v>
      </c>
      <c r="N597" s="10">
        <f t="shared" si="74"/>
        <v>2.9545467240956045</v>
      </c>
    </row>
    <row r="598" spans="3:14">
      <c r="C598" s="4">
        <f>Pressure!AB598*1000000</f>
        <v>874843.68950116052</v>
      </c>
      <c r="D598" s="84">
        <f>Pressure!I598</f>
        <v>1.4801552192482141E-4</v>
      </c>
      <c r="E598" s="40">
        <f>Pressure!H598</f>
        <v>148.0155219248214</v>
      </c>
      <c r="F598" s="10">
        <f t="shared" si="70"/>
        <v>8</v>
      </c>
      <c r="G598" s="4">
        <f t="shared" si="69"/>
        <v>101000</v>
      </c>
      <c r="H598" s="45">
        <f t="shared" si="71"/>
        <v>2.186499433018493</v>
      </c>
      <c r="I598" s="10">
        <f t="shared" si="72"/>
        <v>1.0544356565910105</v>
      </c>
      <c r="J598" s="4">
        <f t="shared" si="73"/>
        <v>136.53934271654444</v>
      </c>
      <c r="K598" s="4">
        <f t="shared" si="75"/>
        <v>30.695414485981846</v>
      </c>
      <c r="L598" s="45">
        <f>Pressure!Q598</f>
        <v>1.960754285613812</v>
      </c>
      <c r="M598" s="10">
        <f t="shared" si="76"/>
        <v>0.50727212013893752</v>
      </c>
      <c r="N598" s="10">
        <f t="shared" si="74"/>
        <v>2.9545467240956045</v>
      </c>
    </row>
    <row r="599" spans="3:14">
      <c r="C599" s="4">
        <f>Pressure!AB599*1000000</f>
        <v>871712.70069657068</v>
      </c>
      <c r="D599" s="84">
        <f>Pressure!I599</f>
        <v>1.4801552192482141E-4</v>
      </c>
      <c r="E599" s="40">
        <f>Pressure!H599</f>
        <v>148.0155219248214</v>
      </c>
      <c r="F599" s="10">
        <f t="shared" si="70"/>
        <v>8</v>
      </c>
      <c r="G599" s="4">
        <f t="shared" si="69"/>
        <v>101000</v>
      </c>
      <c r="H599" s="45">
        <f t="shared" si="71"/>
        <v>2.1811835292786697</v>
      </c>
      <c r="I599" s="10">
        <f t="shared" si="72"/>
        <v>1.0536659264232053</v>
      </c>
      <c r="J599" s="4">
        <f t="shared" si="73"/>
        <v>135.95136440679707</v>
      </c>
      <c r="K599" s="4">
        <f t="shared" si="75"/>
        <v>30.563231061282558</v>
      </c>
      <c r="L599" s="45">
        <f>Pressure!Q599</f>
        <v>1.9644657403514005</v>
      </c>
      <c r="M599" s="10">
        <f t="shared" si="76"/>
        <v>0.50566846295088219</v>
      </c>
      <c r="N599" s="10">
        <f t="shared" si="74"/>
        <v>2.9545467240956045</v>
      </c>
    </row>
    <row r="600" spans="3:14">
      <c r="C600" s="4">
        <f>Pressure!AB600*1000000</f>
        <v>868578.02285512071</v>
      </c>
      <c r="D600" s="84">
        <f>Pressure!I600</f>
        <v>1.4801552192482141E-4</v>
      </c>
      <c r="E600" s="40">
        <f>Pressure!H600</f>
        <v>148.0155219248214</v>
      </c>
      <c r="F600" s="10">
        <f t="shared" si="70"/>
        <v>8</v>
      </c>
      <c r="G600" s="4">
        <f t="shared" si="69"/>
        <v>101000</v>
      </c>
      <c r="H600" s="45">
        <f t="shared" si="71"/>
        <v>2.1758582334165437</v>
      </c>
      <c r="I600" s="10">
        <f t="shared" si="72"/>
        <v>1.052891621278075</v>
      </c>
      <c r="J600" s="4">
        <f t="shared" si="73"/>
        <v>135.36293644594107</v>
      </c>
      <c r="K600" s="4">
        <f t="shared" si="75"/>
        <v>30.430946550501567</v>
      </c>
      <c r="L600" s="45">
        <f>Pressure!Q600</f>
        <v>1.968181442385635</v>
      </c>
      <c r="M600" s="10">
        <f t="shared" si="76"/>
        <v>0.50406154979770645</v>
      </c>
      <c r="N600" s="10">
        <f t="shared" si="74"/>
        <v>2.9545467240956045</v>
      </c>
    </row>
    <row r="601" spans="3:14">
      <c r="C601" s="4">
        <f>Pressure!AB601*1000000</f>
        <v>865439.69243831164</v>
      </c>
      <c r="D601" s="84">
        <f>Pressure!I601</f>
        <v>1.4801552192482141E-4</v>
      </c>
      <c r="E601" s="40">
        <f>Pressure!H601</f>
        <v>148.0155219248214</v>
      </c>
      <c r="F601" s="10">
        <f t="shared" si="70"/>
        <v>8</v>
      </c>
      <c r="G601" s="4">
        <f t="shared" si="69"/>
        <v>101000</v>
      </c>
      <c r="H601" s="45">
        <f t="shared" si="71"/>
        <v>2.170523587734837</v>
      </c>
      <c r="I601" s="10">
        <f t="shared" si="72"/>
        <v>1.0521127053074546</v>
      </c>
      <c r="J601" s="4">
        <f t="shared" si="73"/>
        <v>134.77406755649349</v>
      </c>
      <c r="K601" s="4">
        <f t="shared" si="75"/>
        <v>30.298562914548242</v>
      </c>
      <c r="L601" s="45">
        <f>Pressure!Q601</f>
        <v>1.971901416926102</v>
      </c>
      <c r="M601" s="10">
        <f t="shared" si="76"/>
        <v>0.50245138866354688</v>
      </c>
      <c r="N601" s="10">
        <f t="shared" si="74"/>
        <v>2.9545467240956045</v>
      </c>
    </row>
    <row r="602" spans="3:14">
      <c r="C602" s="4">
        <f>Pressure!AB602*1000000</f>
        <v>862297.74609991664</v>
      </c>
      <c r="D602" s="84">
        <f>Pressure!I602</f>
        <v>1.4801552192482141E-4</v>
      </c>
      <c r="E602" s="40">
        <f>Pressure!H602</f>
        <v>148.0155219248214</v>
      </c>
      <c r="F602" s="10">
        <f t="shared" si="70"/>
        <v>8</v>
      </c>
      <c r="G602" s="4">
        <f t="shared" si="69"/>
        <v>101000</v>
      </c>
      <c r="H602" s="45">
        <f t="shared" si="71"/>
        <v>2.1651796349369477</v>
      </c>
      <c r="I602" s="10">
        <f t="shared" si="72"/>
        <v>1.0513291422400224</v>
      </c>
      <c r="J602" s="4">
        <f t="shared" si="73"/>
        <v>134.18476650164405</v>
      </c>
      <c r="K602" s="4">
        <f t="shared" si="75"/>
        <v>30.166082123475576</v>
      </c>
      <c r="L602" s="45">
        <f>Pressure!Q602</f>
        <v>1.9756256893736188</v>
      </c>
      <c r="M602" s="10">
        <f t="shared" si="76"/>
        <v>0.50083798759948639</v>
      </c>
      <c r="N602" s="10">
        <f t="shared" si="74"/>
        <v>2.9545467240956045</v>
      </c>
    </row>
    <row r="603" spans="3:14">
      <c r="C603" s="4">
        <f>Pressure!AB603*1000000</f>
        <v>859152.22068699694</v>
      </c>
      <c r="D603" s="84">
        <f>Pressure!I603</f>
        <v>1.4801552192482141E-4</v>
      </c>
      <c r="E603" s="40">
        <f>Pressure!H603</f>
        <v>148.0155219248214</v>
      </c>
      <c r="F603" s="10">
        <f t="shared" si="70"/>
        <v>8</v>
      </c>
      <c r="G603" s="4">
        <f t="shared" si="69"/>
        <v>101000</v>
      </c>
      <c r="H603" s="45">
        <f t="shared" si="71"/>
        <v>2.1598264181321456</v>
      </c>
      <c r="I603" s="10">
        <f t="shared" si="72"/>
        <v>1.0505408953748909</v>
      </c>
      <c r="J603" s="4">
        <f t="shared" si="73"/>
        <v>133.59504208541389</v>
      </c>
      <c r="K603" s="4">
        <f t="shared" si="75"/>
        <v>30.03350615651587</v>
      </c>
      <c r="L603" s="45">
        <f>Pressure!Q603</f>
        <v>1.9793542853223456</v>
      </c>
      <c r="M603" s="10">
        <f t="shared" si="76"/>
        <v>0.49922135472426638</v>
      </c>
      <c r="N603" s="10">
        <f t="shared" si="74"/>
        <v>2.9545467240956045</v>
      </c>
    </row>
    <row r="604" spans="3:14">
      <c r="C604" s="4">
        <f>Pressure!AB604*1000000</f>
        <v>856003.15324140585</v>
      </c>
      <c r="D604" s="84">
        <f>Pressure!I604</f>
        <v>1.4801552192482141E-4</v>
      </c>
      <c r="E604" s="40">
        <f>Pressure!H604</f>
        <v>148.0155219248214</v>
      </c>
      <c r="F604" s="10">
        <f t="shared" si="70"/>
        <v>8</v>
      </c>
      <c r="G604" s="4">
        <f t="shared" ref="G604:G667" si="77">IF(C604/(1+(k-1)/2*N604^2)^(k/(k-1))&lt;patm*1000000,patm*1000000,C604/(1+(k-1)/2*N604^2)^(k/(k-1)))</f>
        <v>101000</v>
      </c>
      <c r="H604" s="45">
        <f t="shared" si="71"/>
        <v>2.1544639808416943</v>
      </c>
      <c r="I604" s="10">
        <f t="shared" si="72"/>
        <v>1.0497479275751986</v>
      </c>
      <c r="J604" s="4">
        <f t="shared" si="73"/>
        <v>133.00490315290514</v>
      </c>
      <c r="K604" s="4">
        <f t="shared" si="75"/>
        <v>29.900837002136853</v>
      </c>
      <c r="L604" s="45">
        <f>Pressure!Q604</f>
        <v>1.9830872305619252</v>
      </c>
      <c r="M604" s="10">
        <f t="shared" si="76"/>
        <v>0.497601498224778</v>
      </c>
      <c r="N604" s="10">
        <f t="shared" si="74"/>
        <v>2.9545467240956045</v>
      </c>
    </row>
    <row r="605" spans="3:14">
      <c r="C605" s="4">
        <f>Pressure!AB605*1000000</f>
        <v>852850.58100117219</v>
      </c>
      <c r="D605" s="84">
        <f>Pressure!I605</f>
        <v>1.4801552192482141E-4</v>
      </c>
      <c r="E605" s="40">
        <f>Pressure!H605</f>
        <v>148.0155219248214</v>
      </c>
      <c r="F605" s="10">
        <f t="shared" ref="F605:F668" si="78">aexit/E605</f>
        <v>8</v>
      </c>
      <c r="G605" s="4">
        <f t="shared" si="77"/>
        <v>101000</v>
      </c>
      <c r="H605" s="45">
        <f t="shared" ref="H605:H668" si="79">1/(((k+1)/2)^(1/(k-1))*(patm*1000000/C605)^(1/k)*SQRT((k+1)/(k-1)*(1-(patm*1000000/C605)^((k-1)/k))))</f>
        <v>2.1490923670048496</v>
      </c>
      <c r="I605" s="10">
        <f t="shared" ref="I605:I668" si="80">etanoz*SQRT(2*k^2/(k-1)*(2/(k+1))^((k+1)/(k-1))*(1-(G605/C605)^((k-1)/k)))+(G605-patm*1000000)/C605*(aexit/E605)</f>
        <v>1.0489502012615501</v>
      </c>
      <c r="J605" s="4">
        <f t="shared" ref="J605:J668" si="81">I605*D605*C605</f>
        <v>132.41435859052686</v>
      </c>
      <c r="K605" s="4">
        <f t="shared" si="75"/>
        <v>29.768076658092454</v>
      </c>
      <c r="L605" s="45">
        <f>Pressure!Q605</f>
        <v>1.9868245510796536</v>
      </c>
      <c r="M605" s="10">
        <f t="shared" si="76"/>
        <v>0.49597842635703443</v>
      </c>
      <c r="N605" s="10">
        <f t="shared" si="74"/>
        <v>2.9545467240956045</v>
      </c>
    </row>
    <row r="606" spans="3:14">
      <c r="C606" s="4">
        <f>Pressure!AB606*1000000</f>
        <v>849694.54140156333</v>
      </c>
      <c r="D606" s="84">
        <f>Pressure!I606</f>
        <v>1.4801552192482141E-4</v>
      </c>
      <c r="E606" s="40">
        <f>Pressure!H606</f>
        <v>148.0155219248214</v>
      </c>
      <c r="F606" s="10">
        <f t="shared" si="78"/>
        <v>8</v>
      </c>
      <c r="G606" s="4">
        <f t="shared" si="77"/>
        <v>101000</v>
      </c>
      <c r="H606" s="45">
        <f t="shared" si="79"/>
        <v>2.1437116209844134</v>
      </c>
      <c r="I606" s="10">
        <f t="shared" si="80"/>
        <v>1.048147678405247</v>
      </c>
      <c r="J606" s="4">
        <f t="shared" si="81"/>
        <v>131.82341732615944</v>
      </c>
      <c r="K606" s="4">
        <f t="shared" si="75"/>
        <v>29.635227131459793</v>
      </c>
      <c r="L606" s="45">
        <f>Pressure!Q606</f>
        <v>1.9905662730626794</v>
      </c>
      <c r="M606" s="10">
        <f t="shared" si="76"/>
        <v>0.49435214744665562</v>
      </c>
      <c r="N606" s="10">
        <f t="shared" ref="N606:N669" si="82">N605-1/834*(me-mef)</f>
        <v>2.9545467240956045</v>
      </c>
    </row>
    <row r="607" spans="3:14">
      <c r="C607" s="4">
        <f>Pressure!AB607*1000000</f>
        <v>846535.07207673078</v>
      </c>
      <c r="D607" s="84">
        <f>Pressure!I607</f>
        <v>1.4801552192482141E-4</v>
      </c>
      <c r="E607" s="40">
        <f>Pressure!H607</f>
        <v>148.0155219248214</v>
      </c>
      <c r="F607" s="10">
        <f t="shared" si="78"/>
        <v>8</v>
      </c>
      <c r="G607" s="4">
        <f t="shared" si="77"/>
        <v>101000</v>
      </c>
      <c r="H607" s="45">
        <f t="shared" si="79"/>
        <v>2.1383217875733713</v>
      </c>
      <c r="I607" s="10">
        <f t="shared" si="80"/>
        <v>1.047340320521539</v>
      </c>
      <c r="J607" s="4">
        <f t="shared" si="81"/>
        <v>131.23208832942743</v>
      </c>
      <c r="K607" s="4">
        <f t="shared" si="75"/>
        <v>29.50229043870047</v>
      </c>
      <c r="L607" s="45">
        <f>Pressure!Q607</f>
        <v>1.994312422900234</v>
      </c>
      <c r="M607" s="10">
        <f t="shared" si="76"/>
        <v>0.49272266988976177</v>
      </c>
      <c r="N607" s="10">
        <f t="shared" si="82"/>
        <v>2.9545467240956045</v>
      </c>
    </row>
    <row r="608" spans="3:14">
      <c r="C608" s="4">
        <f>Pressure!AB608*1000000</f>
        <v>843372.21086063143</v>
      </c>
      <c r="D608" s="84">
        <f>Pressure!I608</f>
        <v>1.4801552192482141E-4</v>
      </c>
      <c r="E608" s="40">
        <f>Pressure!H608</f>
        <v>148.0155219248214</v>
      </c>
      <c r="F608" s="10">
        <f t="shared" si="78"/>
        <v>8</v>
      </c>
      <c r="G608" s="4">
        <f t="shared" si="77"/>
        <v>101000</v>
      </c>
      <c r="H608" s="45">
        <f t="shared" si="79"/>
        <v>2.1329229120003967</v>
      </c>
      <c r="I608" s="10">
        <f t="shared" si="80"/>
        <v>1.0465280886625599</v>
      </c>
      <c r="J608" s="4">
        <f t="shared" si="81"/>
        <v>130.64038061183578</v>
      </c>
      <c r="K608" s="4">
        <f t="shared" si="75"/>
        <v>29.369268605691243</v>
      </c>
      <c r="L608" s="45">
        <f>Pressure!Q608</f>
        <v>1.9980630271858919</v>
      </c>
      <c r="M608" s="10">
        <f t="shared" si="76"/>
        <v>0.49109000215345555</v>
      </c>
      <c r="N608" s="10">
        <f t="shared" si="82"/>
        <v>2.9545467240956045</v>
      </c>
    </row>
    <row r="609" spans="3:14">
      <c r="C609" s="4">
        <f>Pressure!AB609*1000000</f>
        <v>840205.99578911928</v>
      </c>
      <c r="D609" s="84">
        <f>Pressure!I609</f>
        <v>1.4801552192482141E-4</v>
      </c>
      <c r="E609" s="40">
        <f>Pressure!H609</f>
        <v>148.0155219248214</v>
      </c>
      <c r="F609" s="10">
        <f t="shared" si="78"/>
        <v>8</v>
      </c>
      <c r="G609" s="4">
        <f t="shared" si="77"/>
        <v>101000</v>
      </c>
      <c r="H609" s="45">
        <f t="shared" si="79"/>
        <v>2.1275150399374492</v>
      </c>
      <c r="I609" s="10">
        <f t="shared" si="80"/>
        <v>1.045710943410427</v>
      </c>
      <c r="J609" s="4">
        <f t="shared" si="81"/>
        <v>130.04830322712354</v>
      </c>
      <c r="K609" s="4">
        <f t="shared" si="75"/>
        <v>29.236163667803503</v>
      </c>
      <c r="L609" s="45">
        <f>Pressure!Q609</f>
        <v>2.0018181127198629</v>
      </c>
      <c r="M609" s="10">
        <f t="shared" si="76"/>
        <v>0.48945415277680393</v>
      </c>
      <c r="N609" s="10">
        <f t="shared" si="82"/>
        <v>2.9545467240956045</v>
      </c>
    </row>
    <row r="610" spans="3:14">
      <c r="C610" s="4">
        <f>Pressure!AB610*1000000</f>
        <v>837036.46510040527</v>
      </c>
      <c r="D610" s="84">
        <f>Pressure!I610</f>
        <v>1.4801552192482141E-4</v>
      </c>
      <c r="E610" s="40">
        <f>Pressure!H610</f>
        <v>148.0155219248214</v>
      </c>
      <c r="F610" s="10">
        <f t="shared" si="78"/>
        <v>8</v>
      </c>
      <c r="G610" s="4">
        <f t="shared" si="77"/>
        <v>101000</v>
      </c>
      <c r="H610" s="45">
        <f t="shared" si="79"/>
        <v>2.1220982175046963</v>
      </c>
      <c r="I610" s="10">
        <f t="shared" si="80"/>
        <v>1.0448888448697848</v>
      </c>
      <c r="J610" s="4">
        <f t="shared" si="81"/>
        <v>129.4558652713113</v>
      </c>
      <c r="K610" s="4">
        <f t="shared" si="75"/>
        <v>29.102977669913965</v>
      </c>
      <c r="L610" s="45">
        <f>Pressure!Q610</f>
        <v>2.0055777065113163</v>
      </c>
      <c r="M610" s="10">
        <f t="shared" si="76"/>
        <v>0.48781513037149743</v>
      </c>
      <c r="N610" s="10">
        <f t="shared" si="82"/>
        <v>2.9545467240956045</v>
      </c>
    </row>
    <row r="611" spans="3:14">
      <c r="C611" s="4">
        <f>Pressure!AB611*1000000</f>
        <v>833863.65723739599</v>
      </c>
      <c r="D611" s="84">
        <f>Pressure!I611</f>
        <v>1.4801552192482141E-4</v>
      </c>
      <c r="E611" s="40">
        <f>Pressure!H611</f>
        <v>148.0155219248214</v>
      </c>
      <c r="F611" s="10">
        <f t="shared" si="78"/>
        <v>8</v>
      </c>
      <c r="G611" s="4">
        <f t="shared" si="77"/>
        <v>101000</v>
      </c>
      <c r="H611" s="45">
        <f t="shared" si="79"/>
        <v>2.1166724912787456</v>
      </c>
      <c r="I611" s="10">
        <f t="shared" si="80"/>
        <v>1.0440617526606941</v>
      </c>
      <c r="J611" s="4">
        <f t="shared" si="81"/>
        <v>128.86307588309916</v>
      </c>
      <c r="K611" s="4">
        <f t="shared" si="75"/>
        <v>28.969712666494122</v>
      </c>
      <c r="L611" s="45">
        <f>Pressure!Q611</f>
        <v>2.0093418357807358</v>
      </c>
      <c r="M611" s="10">
        <f t="shared" si="76"/>
        <v>0.48617294362238389</v>
      </c>
      <c r="N611" s="10">
        <f t="shared" si="82"/>
        <v>2.9545467240956045</v>
      </c>
    </row>
    <row r="612" spans="3:14">
      <c r="C612" s="4">
        <f>Pressure!AB612*1000000</f>
        <v>830687.61084827315</v>
      </c>
      <c r="D612" s="84">
        <f>Pressure!I612</f>
        <v>1.4801552192482141E-4</v>
      </c>
      <c r="E612" s="40">
        <f>Pressure!H612</f>
        <v>148.0155219248214</v>
      </c>
      <c r="F612" s="10">
        <f t="shared" si="78"/>
        <v>8</v>
      </c>
      <c r="G612" s="4">
        <f t="shared" si="77"/>
        <v>101000</v>
      </c>
      <c r="H612" s="45">
        <f t="shared" si="79"/>
        <v>2.1112379082979844</v>
      </c>
      <c r="I612" s="10">
        <f t="shared" si="80"/>
        <v>1.0432296259109177</v>
      </c>
      <c r="J612" s="4">
        <f t="shared" si="81"/>
        <v>128.26994424393376</v>
      </c>
      <c r="K612" s="4">
        <f t="shared" si="75"/>
        <v>28.836370721625325</v>
      </c>
      <c r="L612" s="45">
        <f>Pressure!Q612</f>
        <v>2.01311052796231</v>
      </c>
      <c r="M612" s="10">
        <f t="shared" si="76"/>
        <v>0.48452760128866462</v>
      </c>
      <c r="N612" s="10">
        <f t="shared" si="82"/>
        <v>2.9545467240956045</v>
      </c>
    </row>
    <row r="613" spans="3:14">
      <c r="C613" s="4">
        <f>Pressure!AB613*1000000</f>
        <v>827508.364788529</v>
      </c>
      <c r="D613" s="84">
        <f>Pressure!I613</f>
        <v>1.4801552192482141E-4</v>
      </c>
      <c r="E613" s="40">
        <f>Pressure!H613</f>
        <v>148.0155219248214</v>
      </c>
      <c r="F613" s="10">
        <f t="shared" si="78"/>
        <v>8</v>
      </c>
      <c r="G613" s="4">
        <f t="shared" si="77"/>
        <v>101000</v>
      </c>
      <c r="H613" s="45">
        <f t="shared" si="79"/>
        <v>2.1057945160705209</v>
      </c>
      <c r="I613" s="10">
        <f t="shared" si="80"/>
        <v>1.0423924232484441</v>
      </c>
      <c r="J613" s="4">
        <f t="shared" si="81"/>
        <v>127.67647957834727</v>
      </c>
      <c r="K613" s="4">
        <f t="shared" si="75"/>
        <v>28.702953909074967</v>
      </c>
      <c r="L613" s="45">
        <f>Pressure!Q613</f>
        <v>2.0168838107063545</v>
      </c>
      <c r="M613" s="10">
        <f t="shared" si="76"/>
        <v>0.48287911220424712</v>
      </c>
      <c r="N613" s="10">
        <f t="shared" si="82"/>
        <v>2.9545467240956045</v>
      </c>
    </row>
    <row r="614" spans="3:14">
      <c r="C614" s="4">
        <f>Pressure!AB614*1000000</f>
        <v>824325.95812219009</v>
      </c>
      <c r="D614" s="84">
        <f>Pressure!I614</f>
        <v>1.4801552192482141E-4</v>
      </c>
      <c r="E614" s="40">
        <f>Pressure!H614</f>
        <v>148.0155219248214</v>
      </c>
      <c r="F614" s="10">
        <f t="shared" si="78"/>
        <v>8</v>
      </c>
      <c r="G614" s="4">
        <f t="shared" si="77"/>
        <v>101000</v>
      </c>
      <c r="H614" s="45">
        <f t="shared" si="79"/>
        <v>2.1003423625808524</v>
      </c>
      <c r="I614" s="10">
        <f t="shared" si="80"/>
        <v>1.041550102793644</v>
      </c>
      <c r="J614" s="4">
        <f t="shared" si="81"/>
        <v>127.08269115414234</v>
      </c>
      <c r="K614" s="4">
        <f t="shared" si="75"/>
        <v>28.569464312338102</v>
      </c>
      <c r="L614" s="45">
        <f>Pressure!Q614</f>
        <v>2.0206617118817669</v>
      </c>
      <c r="M614" s="10">
        <f t="shared" si="76"/>
        <v>0.48122748527868486</v>
      </c>
      <c r="N614" s="10">
        <f t="shared" si="82"/>
        <v>2.9545467240956045</v>
      </c>
    </row>
    <row r="615" spans="3:14">
      <c r="C615" s="4">
        <f>Pressure!AB615*1000000</f>
        <v>821140.43012309773</v>
      </c>
      <c r="D615" s="84">
        <f>Pressure!I615</f>
        <v>1.4801552192482141E-4</v>
      </c>
      <c r="E615" s="40">
        <f>Pressure!H615</f>
        <v>148.0155219248214</v>
      </c>
      <c r="F615" s="10">
        <f t="shared" si="78"/>
        <v>8</v>
      </c>
      <c r="G615" s="4">
        <f t="shared" si="77"/>
        <v>101000</v>
      </c>
      <c r="H615" s="45">
        <f t="shared" si="79"/>
        <v>2.0948814962967477</v>
      </c>
      <c r="I615" s="10">
        <f t="shared" si="80"/>
        <v>1.0407026221512914</v>
      </c>
      <c r="J615" s="4">
        <f t="shared" si="81"/>
        <v>126.48858828258723</v>
      </c>
      <c r="K615" s="4">
        <f t="shared" si="75"/>
        <v>28.435904024681271</v>
      </c>
      <c r="L615" s="45">
        <f>Pressure!Q615</f>
        <v>2.0244442595785199</v>
      </c>
      <c r="M615" s="10">
        <f t="shared" si="76"/>
        <v>0.47957272949805813</v>
      </c>
      <c r="N615" s="10">
        <f t="shared" si="82"/>
        <v>2.9545467240956045</v>
      </c>
    </row>
    <row r="616" spans="3:14">
      <c r="C616" s="4">
        <f>Pressure!AB616*1000000</f>
        <v>817951.82027676096</v>
      </c>
      <c r="D616" s="84">
        <f>Pressure!I616</f>
        <v>1.4801552192482141E-4</v>
      </c>
      <c r="E616" s="40">
        <f>Pressure!H616</f>
        <v>148.0155219248214</v>
      </c>
      <c r="F616" s="10">
        <f t="shared" si="78"/>
        <v>8</v>
      </c>
      <c r="G616" s="4">
        <f t="shared" si="77"/>
        <v>101000</v>
      </c>
      <c r="H616" s="45">
        <f t="shared" si="79"/>
        <v>2.0894119661772401</v>
      </c>
      <c r="I616" s="10">
        <f t="shared" si="80"/>
        <v>1.039849938402575</v>
      </c>
      <c r="J616" s="4">
        <f t="shared" si="81"/>
        <v>125.89418031871575</v>
      </c>
      <c r="K616" s="4">
        <f t="shared" si="75"/>
        <v>28.302275149209962</v>
      </c>
      <c r="L616" s="45">
        <f>Pressure!Q616</f>
        <v>2.0282314821101859</v>
      </c>
      <c r="M616" s="10">
        <f t="shared" si="76"/>
        <v>0.47791485392554645</v>
      </c>
      <c r="N616" s="10">
        <f t="shared" si="82"/>
        <v>2.9545467240956045</v>
      </c>
    </row>
    <row r="617" spans="3:14">
      <c r="C617" s="4">
        <f>Pressure!AB617*1000000</f>
        <v>814760.1682815298</v>
      </c>
      <c r="D617" s="84">
        <f>Pressure!I617</f>
        <v>1.4801552192482141E-4</v>
      </c>
      <c r="E617" s="40">
        <f>Pressure!H617</f>
        <v>148.0155219248214</v>
      </c>
      <c r="F617" s="10">
        <f t="shared" si="78"/>
        <v>8</v>
      </c>
      <c r="G617" s="4">
        <f t="shared" si="77"/>
        <v>101000</v>
      </c>
      <c r="H617" s="45">
        <f t="shared" si="79"/>
        <v>2.0839338216795746</v>
      </c>
      <c r="I617" s="10">
        <f t="shared" si="80"/>
        <v>1.0389920080967743</v>
      </c>
      <c r="J617" s="4">
        <f t="shared" si="81"/>
        <v>125.29947666149955</v>
      </c>
      <c r="K617" s="4">
        <f t="shared" si="75"/>
        <v>28.168579798907324</v>
      </c>
      <c r="L617" s="45">
        <f>Pressure!Q617</f>
        <v>2.0320234080164994</v>
      </c>
      <c r="M617" s="10">
        <f t="shared" si="76"/>
        <v>0.47625386770245243</v>
      </c>
      <c r="N617" s="10">
        <f t="shared" si="82"/>
        <v>2.9545467240956045</v>
      </c>
    </row>
    <row r="618" spans="3:14">
      <c r="C618" s="4">
        <f>Pressure!AB618*1000000</f>
        <v>811565.51405027788</v>
      </c>
      <c r="D618" s="84">
        <f>Pressure!I618</f>
        <v>1.4801552192482141E-4</v>
      </c>
      <c r="E618" s="40">
        <f>Pressure!H618</f>
        <v>148.0155219248214</v>
      </c>
      <c r="F618" s="10">
        <f t="shared" si="78"/>
        <v>8</v>
      </c>
      <c r="G618" s="4">
        <f t="shared" si="77"/>
        <v>101000</v>
      </c>
      <c r="H618" s="45">
        <f t="shared" si="79"/>
        <v>2.0784471127671567</v>
      </c>
      <c r="I618" s="10">
        <f t="shared" si="80"/>
        <v>1.0381287872429028</v>
      </c>
      <c r="J618" s="4">
        <f t="shared" si="81"/>
        <v>124.70448675411363</v>
      </c>
      <c r="K618" s="4">
        <f t="shared" si="75"/>
        <v>28.03482009669386</v>
      </c>
      <c r="L618" s="45">
        <f>Pressure!Q618</f>
        <v>2.0358200660659556</v>
      </c>
      <c r="M618" s="10">
        <f t="shared" si="76"/>
        <v>0.47458978004891678</v>
      </c>
      <c r="N618" s="10">
        <f t="shared" si="82"/>
        <v>2.9545467240956045</v>
      </c>
    </row>
    <row r="619" spans="3:14">
      <c r="C619" s="4">
        <f>Pressure!AB619*1000000</f>
        <v>808367.89771189634</v>
      </c>
      <c r="D619" s="84">
        <f>Pressure!I619</f>
        <v>1.4801552192482141E-4</v>
      </c>
      <c r="E619" s="40">
        <f>Pressure!H619</f>
        <v>148.0155219248214</v>
      </c>
      <c r="F619" s="10">
        <f t="shared" si="78"/>
        <v>8</v>
      </c>
      <c r="G619" s="4">
        <f t="shared" si="77"/>
        <v>101000</v>
      </c>
      <c r="H619" s="45">
        <f t="shared" si="79"/>
        <v>2.0729518899173227</v>
      </c>
      <c r="I619" s="10">
        <f t="shared" si="80"/>
        <v>1.0372602313011343</v>
      </c>
      <c r="J619" s="4">
        <f t="shared" si="81"/>
        <v>124.10922008416537</v>
      </c>
      <c r="K619" s="4">
        <f t="shared" si="75"/>
        <v>27.900998175478929</v>
      </c>
      <c r="L619" s="45">
        <f>Pressure!Q619</f>
        <v>2.0396214852584444</v>
      </c>
      <c r="M619" s="10">
        <f t="shared" si="76"/>
        <v>0.47292260026466854</v>
      </c>
      <c r="N619" s="10">
        <f t="shared" si="82"/>
        <v>2.9545467240956045</v>
      </c>
    </row>
    <row r="620" spans="3:14">
      <c r="C620" s="4">
        <f>Pressure!AB620*1000000</f>
        <v>805167.35961269867</v>
      </c>
      <c r="D620" s="84">
        <f>Pressure!I620</f>
        <v>1.4801552192482141E-4</v>
      </c>
      <c r="E620" s="40">
        <f>Pressure!H620</f>
        <v>148.0155219248214</v>
      </c>
      <c r="F620" s="10">
        <f t="shared" si="78"/>
        <v>8</v>
      </c>
      <c r="G620" s="4">
        <f t="shared" si="77"/>
        <v>101000</v>
      </c>
      <c r="H620" s="45">
        <f t="shared" si="79"/>
        <v>2.0674482041290831</v>
      </c>
      <c r="I620" s="10">
        <f t="shared" si="80"/>
        <v>1.0363862951740326</v>
      </c>
      <c r="J620" s="4">
        <f t="shared" si="81"/>
        <v>123.51368618390538</v>
      </c>
      <c r="K620" s="4">
        <f t="shared" si="75"/>
        <v>27.767116178208124</v>
      </c>
      <c r="L620" s="45">
        <f>Pressure!Q620</f>
        <v>2.0434276948279249</v>
      </c>
      <c r="M620" s="10">
        <f t="shared" si="76"/>
        <v>0.47125233773004099</v>
      </c>
      <c r="N620" s="10">
        <f t="shared" si="82"/>
        <v>2.9545467240956045</v>
      </c>
    </row>
    <row r="621" spans="3:14">
      <c r="C621" s="4">
        <f>Pressure!AB621*1000000</f>
        <v>801963.94031824218</v>
      </c>
      <c r="D621" s="84">
        <f>Pressure!I621</f>
        <v>1.4801552192482141E-4</v>
      </c>
      <c r="E621" s="40">
        <f>Pressure!H621</f>
        <v>148.0155219248214</v>
      </c>
      <c r="F621" s="10">
        <f t="shared" si="78"/>
        <v>8</v>
      </c>
      <c r="G621" s="4">
        <f t="shared" si="77"/>
        <v>101000</v>
      </c>
      <c r="H621" s="45">
        <f t="shared" si="79"/>
        <v>2.0619361069317246</v>
      </c>
      <c r="I621" s="10">
        <f t="shared" si="80"/>
        <v>1.0355069331977209</v>
      </c>
      <c r="J621" s="4">
        <f t="shared" si="81"/>
        <v>122.91789463051464</v>
      </c>
      <c r="K621" s="4">
        <f t="shared" si="75"/>
        <v>27.633176257927843</v>
      </c>
      <c r="L621" s="45">
        <f>Pressure!Q621</f>
        <v>2.0472387242451342</v>
      </c>
      <c r="M621" s="10">
        <f t="shared" si="76"/>
        <v>0.46957900190657825</v>
      </c>
      <c r="N621" s="10">
        <f t="shared" si="82"/>
        <v>2.9545467240956045</v>
      </c>
    </row>
    <row r="622" spans="3:14">
      <c r="C622" s="4">
        <f>Pressure!AB622*1000000</f>
        <v>798757.68061459169</v>
      </c>
      <c r="D622" s="84">
        <f>Pressure!I622</f>
        <v>1.4801552192482141E-4</v>
      </c>
      <c r="E622" s="40">
        <f>Pressure!H622</f>
        <v>148.0155219248214</v>
      </c>
      <c r="F622" s="10">
        <f t="shared" si="78"/>
        <v>8</v>
      </c>
      <c r="G622" s="4">
        <f t="shared" si="77"/>
        <v>101000</v>
      </c>
      <c r="H622" s="45">
        <f t="shared" si="79"/>
        <v>2.0564156503926085</v>
      </c>
      <c r="I622" s="10">
        <f t="shared" si="80"/>
        <v>1.0346220991327149</v>
      </c>
      <c r="J622" s="4">
        <f t="shared" si="81"/>
        <v>122.32185504628592</v>
      </c>
      <c r="K622" s="4">
        <f t="shared" si="75"/>
        <v>27.499180577826071</v>
      </c>
      <c r="L622" s="45">
        <f>Pressure!Q622</f>
        <v>2.0510546032203396</v>
      </c>
      <c r="M622" s="10">
        <f t="shared" si="76"/>
        <v>0.46790260233817066</v>
      </c>
      <c r="N622" s="10">
        <f t="shared" si="82"/>
        <v>2.9545467240956045</v>
      </c>
    </row>
    <row r="623" spans="3:14">
      <c r="C623" s="4">
        <f>Pressure!AB623*1000000</f>
        <v>795548.62151029962</v>
      </c>
      <c r="D623" s="84">
        <f>Pressure!I623</f>
        <v>1.4801552192482141E-4</v>
      </c>
      <c r="E623" s="40">
        <f>Pressure!H623</f>
        <v>148.0155219248214</v>
      </c>
      <c r="F623" s="10">
        <f t="shared" si="78"/>
        <v>8</v>
      </c>
      <c r="G623" s="4">
        <f t="shared" si="77"/>
        <v>101000</v>
      </c>
      <c r="H623" s="45">
        <f t="shared" si="79"/>
        <v>2.0508868871263348</v>
      </c>
      <c r="I623" s="10">
        <f t="shared" si="80"/>
        <v>1.0337317461547726</v>
      </c>
      <c r="J623" s="4">
        <f t="shared" si="81"/>
        <v>121.72557709893711</v>
      </c>
      <c r="K623" s="4">
        <f t="shared" si="75"/>
        <v>27.3651313113028</v>
      </c>
      <c r="L623" s="45">
        <f>Pressure!Q623</f>
        <v>2.0548753617061268</v>
      </c>
      <c r="M623" s="10">
        <f t="shared" si="76"/>
        <v>0.46622314865172121</v>
      </c>
      <c r="N623" s="10">
        <f t="shared" si="82"/>
        <v>2.9545467240956045</v>
      </c>
    </row>
    <row r="624" spans="3:14">
      <c r="C624" s="4">
        <f>Pressure!AB624*1000000</f>
        <v>792336.80423752719</v>
      </c>
      <c r="D624" s="84">
        <f>Pressure!I624</f>
        <v>1.4801552192482141E-4</v>
      </c>
      <c r="E624" s="40">
        <f>Pressure!H624</f>
        <v>148.0155219248214</v>
      </c>
      <c r="F624" s="10">
        <f t="shared" si="78"/>
        <v>8</v>
      </c>
      <c r="G624" s="4">
        <f t="shared" si="77"/>
        <v>101000</v>
      </c>
      <c r="H624" s="45">
        <f t="shared" si="79"/>
        <v>2.0453498703026001</v>
      </c>
      <c r="I624" s="10">
        <f t="shared" si="80"/>
        <v>1.0328358268453162</v>
      </c>
      <c r="J624" s="4">
        <f t="shared" si="81"/>
        <v>121.12907050176308</v>
      </c>
      <c r="K624" s="4">
        <f t="shared" si="75"/>
        <v>27.2310306420042</v>
      </c>
      <c r="L624" s="45">
        <f>Pressure!Q624</f>
        <v>2.0587010299002295</v>
      </c>
      <c r="M624" s="10">
        <f t="shared" si="76"/>
        <v>0.46454065055800703</v>
      </c>
      <c r="N624" s="10">
        <f t="shared" si="82"/>
        <v>2.9545467240956045</v>
      </c>
    </row>
    <row r="625" spans="3:14">
      <c r="C625" s="4">
        <f>Pressure!AB625*1000000</f>
        <v>789122.27025409031</v>
      </c>
      <c r="D625" s="84">
        <f>Pressure!I625</f>
        <v>1.4801552192482141E-4</v>
      </c>
      <c r="E625" s="40">
        <f>Pressure!H625</f>
        <v>148.0155219248214</v>
      </c>
      <c r="F625" s="10">
        <f t="shared" si="78"/>
        <v>8</v>
      </c>
      <c r="G625" s="4">
        <f t="shared" si="77"/>
        <v>101000</v>
      </c>
      <c r="H625" s="45">
        <f t="shared" si="79"/>
        <v>2.0398046536557923</v>
      </c>
      <c r="I625" s="10">
        <f t="shared" si="80"/>
        <v>1.0319342931819173</v>
      </c>
      <c r="J625" s="4">
        <f t="shared" si="81"/>
        <v>120.53234501395778</v>
      </c>
      <c r="K625" s="4">
        <f t="shared" si="75"/>
        <v>27.096880763895008</v>
      </c>
      <c r="L625" s="45">
        <f>Pressure!Q625</f>
        <v>2.0625316382484007</v>
      </c>
      <c r="M625" s="10">
        <f t="shared" si="76"/>
        <v>0.46285511785269134</v>
      </c>
      <c r="N625" s="10">
        <f t="shared" si="82"/>
        <v>2.9545467240956045</v>
      </c>
    </row>
    <row r="626" spans="3:14">
      <c r="C626" s="4">
        <f>Pressure!AB626*1000000</f>
        <v>785905.06124511419</v>
      </c>
      <c r="D626" s="84">
        <f>Pressure!I626</f>
        <v>1.4801552192482141E-4</v>
      </c>
      <c r="E626" s="40">
        <f>Pressure!H626</f>
        <v>148.0155219248214</v>
      </c>
      <c r="F626" s="10">
        <f t="shared" si="78"/>
        <v>8</v>
      </c>
      <c r="G626" s="4">
        <f t="shared" si="77"/>
        <v>101000</v>
      </c>
      <c r="H626" s="45">
        <f t="shared" si="79"/>
        <v>2.0342512914940825</v>
      </c>
      <c r="I626" s="10">
        <f t="shared" si="80"/>
        <v>1.0310270965284811</v>
      </c>
      <c r="J626" s="4">
        <f t="shared" si="81"/>
        <v>119.9354104408621</v>
      </c>
      <c r="K626" s="4">
        <f t="shared" si="75"/>
        <v>26.962683881314263</v>
      </c>
      <c r="L626" s="45">
        <f>Pressure!Q626</f>
        <v>2.0663672174473242</v>
      </c>
      <c r="M626" s="10">
        <f t="shared" si="76"/>
        <v>0.46116656041716775</v>
      </c>
      <c r="N626" s="10">
        <f t="shared" si="82"/>
        <v>2.9545467240956045</v>
      </c>
    </row>
    <row r="627" spans="3:14">
      <c r="C627" s="4">
        <f>Pressure!AB627*1000000</f>
        <v>782685.21912417433</v>
      </c>
      <c r="D627" s="84">
        <f>Pressure!I627</f>
        <v>1.4801552192482141E-4</v>
      </c>
      <c r="E627" s="40">
        <f>Pressure!H627</f>
        <v>148.0155219248214</v>
      </c>
      <c r="F627" s="10">
        <f t="shared" si="78"/>
        <v>8</v>
      </c>
      <c r="G627" s="4">
        <f t="shared" si="77"/>
        <v>101000</v>
      </c>
      <c r="H627" s="45">
        <f t="shared" si="79"/>
        <v>2.0286898387077952</v>
      </c>
      <c r="I627" s="10">
        <f t="shared" si="80"/>
        <v>1.0301141876250743</v>
      </c>
      <c r="J627" s="4">
        <f t="shared" si="81"/>
        <v>119.33827663411377</v>
      </c>
      <c r="K627" s="4">
        <f t="shared" si="75"/>
        <v>26.828442209008987</v>
      </c>
      <c r="L627" s="45">
        <f>Pressure!Q627</f>
        <v>2.0702077984475697</v>
      </c>
      <c r="M627" s="10">
        <f t="shared" si="76"/>
        <v>0.45947498821942401</v>
      </c>
      <c r="N627" s="10">
        <f t="shared" si="82"/>
        <v>2.9545467240956045</v>
      </c>
    </row>
    <row r="628" spans="3:14">
      <c r="C628" s="4">
        <f>Pressure!AB628*1000000</f>
        <v>779462.78603561793</v>
      </c>
      <c r="D628" s="84">
        <f>Pressure!I628</f>
        <v>1.4801552192482141E-4</v>
      </c>
      <c r="E628" s="40">
        <f>Pressure!H628</f>
        <v>148.0155219248214</v>
      </c>
      <c r="F628" s="10">
        <f t="shared" si="78"/>
        <v>8</v>
      </c>
      <c r="G628" s="4">
        <f t="shared" si="77"/>
        <v>101000</v>
      </c>
      <c r="H628" s="45">
        <f t="shared" si="79"/>
        <v>2.0231203507799913</v>
      </c>
      <c r="I628" s="10">
        <f t="shared" si="80"/>
        <v>1.0291955165778901</v>
      </c>
      <c r="J628" s="4">
        <f t="shared" si="81"/>
        <v>118.74095349201586</v>
      </c>
      <c r="K628" s="4">
        <f t="shared" si="75"/>
        <v>26.694157972217045</v>
      </c>
      <c r="L628" s="45">
        <f>Pressure!Q628</f>
        <v>2.0740534124565908</v>
      </c>
      <c r="M628" s="10">
        <f t="shared" si="76"/>
        <v>0.45778041131499631</v>
      </c>
      <c r="N628" s="10">
        <f t="shared" si="82"/>
        <v>2.9545467240956045</v>
      </c>
    </row>
    <row r="629" spans="3:14">
      <c r="C629" s="4">
        <f>Pressure!AB629*1000000</f>
        <v>776237.80435589689</v>
      </c>
      <c r="D629" s="84">
        <f>Pressure!I629</f>
        <v>1.4801552192482141E-4</v>
      </c>
      <c r="E629" s="40">
        <f>Pressure!H629</f>
        <v>148.0155219248214</v>
      </c>
      <c r="F629" s="10">
        <f t="shared" si="78"/>
        <v>8</v>
      </c>
      <c r="G629" s="4">
        <f t="shared" si="77"/>
        <v>101000</v>
      </c>
      <c r="H629" s="45">
        <f t="shared" si="79"/>
        <v>2.0175428837955223</v>
      </c>
      <c r="I629" s="10">
        <f t="shared" si="80"/>
        <v>1.0282710328487135</v>
      </c>
      <c r="J629" s="4">
        <f t="shared" si="81"/>
        <v>118.14345095971899</v>
      </c>
      <c r="K629" s="4">
        <f t="shared" si="75"/>
        <v>26.559833406708105</v>
      </c>
      <c r="L629" s="45">
        <f>Pressure!Q629</f>
        <v>2.0779040909417663</v>
      </c>
      <c r="M629" s="10">
        <f t="shared" si="76"/>
        <v>0.45608283984795422</v>
      </c>
      <c r="N629" s="10">
        <f t="shared" si="82"/>
        <v>2.9545467240956045</v>
      </c>
    </row>
    <row r="630" spans="3:14">
      <c r="C630" s="4">
        <f>Pressure!AB630*1000000</f>
        <v>773010.31669541227</v>
      </c>
      <c r="D630" s="84">
        <f>Pressure!I630</f>
        <v>1.4801552192482141E-4</v>
      </c>
      <c r="E630" s="40">
        <f>Pressure!H630</f>
        <v>148.0155219248214</v>
      </c>
      <c r="F630" s="10">
        <f t="shared" si="78"/>
        <v>8</v>
      </c>
      <c r="G630" s="4">
        <f t="shared" si="77"/>
        <v>101000</v>
      </c>
      <c r="H630" s="45">
        <f t="shared" si="79"/>
        <v>2.0119574944511482</v>
      </c>
      <c r="I630" s="10">
        <f t="shared" si="80"/>
        <v>1.0273406852443188</v>
      </c>
      <c r="J630" s="4">
        <f t="shared" si="81"/>
        <v>117.54577902949653</v>
      </c>
      <c r="K630" s="4">
        <f t="shared" si="75"/>
        <v>26.425470758845496</v>
      </c>
      <c r="L630" s="45">
        <f>Pressure!Q630</f>
        <v>2.0817598656334866</v>
      </c>
      <c r="M630" s="10">
        <f t="shared" si="76"/>
        <v>0.4543822840517277</v>
      </c>
      <c r="N630" s="10">
        <f t="shared" si="82"/>
        <v>2.9545467240956045</v>
      </c>
    </row>
    <row r="631" spans="3:14">
      <c r="C631" s="4">
        <f>Pressure!AB631*1000000</f>
        <v>769780.36590021616</v>
      </c>
      <c r="D631" s="84">
        <f>Pressure!I631</f>
        <v>1.4801552192482141E-4</v>
      </c>
      <c r="E631" s="40">
        <f>Pressure!H631</f>
        <v>148.0155219248214</v>
      </c>
      <c r="F631" s="10">
        <f t="shared" si="78"/>
        <v>8</v>
      </c>
      <c r="G631" s="4">
        <f t="shared" si="77"/>
        <v>101000</v>
      </c>
      <c r="H631" s="45">
        <f t="shared" si="79"/>
        <v>2.0063642400656043</v>
      </c>
      <c r="I631" s="10">
        <f t="shared" si="80"/>
        <v>1.0264044219056057</v>
      </c>
      <c r="J631" s="4">
        <f t="shared" si="81"/>
        <v>116.94794774099225</v>
      </c>
      <c r="K631" s="4">
        <f t="shared" si="75"/>
        <v>26.291072285641889</v>
      </c>
      <c r="L631" s="45">
        <f>Pressure!Q631</f>
        <v>2.085620768528285</v>
      </c>
      <c r="M631" s="10">
        <f t="shared" si="76"/>
        <v>0.45267875425012927</v>
      </c>
      <c r="N631" s="10">
        <f t="shared" si="82"/>
        <v>2.9545467240956045</v>
      </c>
    </row>
    <row r="632" spans="3:14">
      <c r="C632" s="4">
        <f>Pressure!AB632*1000000</f>
        <v>766547.99505372101</v>
      </c>
      <c r="D632" s="84">
        <f>Pressure!I632</f>
        <v>1.4801552192482141E-4</v>
      </c>
      <c r="E632" s="40">
        <f>Pressure!H632</f>
        <v>148.0155219248214</v>
      </c>
      <c r="F632" s="10">
        <f t="shared" si="78"/>
        <v>8</v>
      </c>
      <c r="G632" s="4">
        <f t="shared" si="77"/>
        <v>101000</v>
      </c>
      <c r="H632" s="45">
        <f t="shared" si="79"/>
        <v>2.0007631785898696</v>
      </c>
      <c r="I632" s="10">
        <f t="shared" si="80"/>
        <v>1.0254621902965062</v>
      </c>
      <c r="J632" s="4">
        <f t="shared" si="81"/>
        <v>116.34996718146623</v>
      </c>
      <c r="K632" s="4">
        <f t="shared" si="75"/>
        <v>26.156640254814583</v>
      </c>
      <c r="L632" s="45">
        <f>Pressure!Q632</f>
        <v>2.0894868318920161</v>
      </c>
      <c r="M632" s="10">
        <f t="shared" si="76"/>
        <v>0.45097226085828307</v>
      </c>
      <c r="N632" s="10">
        <f t="shared" si="82"/>
        <v>2.9545467240956045</v>
      </c>
    </row>
    <row r="633" spans="3:14">
      <c r="C633" s="4">
        <f>Pressure!AB633*1000000</f>
        <v>763313.24747860327</v>
      </c>
      <c r="D633" s="84">
        <f>Pressure!I633</f>
        <v>1.4801552192482141E-4</v>
      </c>
      <c r="E633" s="40">
        <f>Pressure!H633</f>
        <v>148.0155219248214</v>
      </c>
      <c r="F633" s="10">
        <f t="shared" si="78"/>
        <v>8</v>
      </c>
      <c r="G633" s="4">
        <f t="shared" si="77"/>
        <v>101000</v>
      </c>
      <c r="H633" s="45">
        <f t="shared" si="79"/>
        <v>1.9951543686179782</v>
      </c>
      <c r="I633" s="10">
        <f t="shared" si="80"/>
        <v>1.0245139371927181</v>
      </c>
      <c r="J633" s="4">
        <f t="shared" si="81"/>
        <v>115.7518474860755</v>
      </c>
      <c r="K633" s="4">
        <f t="shared" si="75"/>
        <v>26.022176944848592</v>
      </c>
      <c r="L633" s="45">
        <f>Pressure!Q633</f>
        <v>2.0933580882630802</v>
      </c>
      <c r="M633" s="10">
        <f t="shared" si="76"/>
        <v>0.44926281438363153</v>
      </c>
      <c r="N633" s="10">
        <f t="shared" si="82"/>
        <v>2.9545467240956045</v>
      </c>
    </row>
    <row r="634" spans="3:14">
      <c r="C634" s="4">
        <f>Pressure!AB634*1000000</f>
        <v>760076.16673864669</v>
      </c>
      <c r="D634" s="84">
        <f>Pressure!I634</f>
        <v>1.4801552192482141E-4</v>
      </c>
      <c r="E634" s="40">
        <f>Pressure!H634</f>
        <v>148.0155219248214</v>
      </c>
      <c r="F634" s="10">
        <f t="shared" si="78"/>
        <v>8</v>
      </c>
      <c r="G634" s="4">
        <f t="shared" si="77"/>
        <v>101000</v>
      </c>
      <c r="H634" s="45">
        <f t="shared" si="79"/>
        <v>1.9895378693979255</v>
      </c>
      <c r="I634" s="10">
        <f t="shared" si="80"/>
        <v>1.0235596086701821</v>
      </c>
      <c r="J634" s="4">
        <f t="shared" si="81"/>
        <v>115.15359883814091</v>
      </c>
      <c r="K634" s="4">
        <f t="shared" si="75"/>
        <v>25.88768464505663</v>
      </c>
      <c r="L634" s="45">
        <f>Pressure!Q634</f>
        <v>2.0972345704556967</v>
      </c>
      <c r="M634" s="10">
        <f t="shared" si="76"/>
        <v>0.44755042542699419</v>
      </c>
      <c r="N634" s="10">
        <f t="shared" si="82"/>
        <v>2.9545467240956045</v>
      </c>
    </row>
    <row r="635" spans="3:14">
      <c r="C635" s="4">
        <f>Pressure!AB635*1000000</f>
        <v>756836.79664018482</v>
      </c>
      <c r="D635" s="84">
        <f>Pressure!I635</f>
        <v>1.4801552192482141E-4</v>
      </c>
      <c r="E635" s="40">
        <f>Pressure!H635</f>
        <v>148.0155219248214</v>
      </c>
      <c r="F635" s="10">
        <f t="shared" si="78"/>
        <v>8</v>
      </c>
      <c r="G635" s="4">
        <f t="shared" si="77"/>
        <v>101000</v>
      </c>
      <c r="H635" s="45">
        <f t="shared" si="79"/>
        <v>1.9839137408420999</v>
      </c>
      <c r="I635" s="10">
        <f t="shared" si="80"/>
        <v>1.0225991500931975</v>
      </c>
      <c r="J635" s="4">
        <f t="shared" si="81"/>
        <v>114.55523146933807</v>
      </c>
      <c r="K635" s="4">
        <f t="shared" si="75"/>
        <v>25.753165655622066</v>
      </c>
      <c r="L635" s="45">
        <f>Pressure!Q635</f>
        <v>2.1011163115632248</v>
      </c>
      <c r="M635" s="10">
        <f t="shared" si="76"/>
        <v>0.44583510468336163</v>
      </c>
      <c r="N635" s="10">
        <f t="shared" si="82"/>
        <v>2.9545467240956045</v>
      </c>
    </row>
    <row r="636" spans="3:14">
      <c r="C636" s="4">
        <f>Pressure!AB636*1000000</f>
        <v>753595.18123439257</v>
      </c>
      <c r="D636" s="84">
        <f>Pressure!I636</f>
        <v>1.4801552192482141E-4</v>
      </c>
      <c r="E636" s="40">
        <f>Pressure!H636</f>
        <v>148.0155219248214</v>
      </c>
      <c r="F636" s="10">
        <f t="shared" si="78"/>
        <v>8</v>
      </c>
      <c r="G636" s="4">
        <f t="shared" si="77"/>
        <v>101000</v>
      </c>
      <c r="H636" s="45">
        <f t="shared" si="79"/>
        <v>1.9782820435394051</v>
      </c>
      <c r="I636" s="10">
        <f t="shared" si="80"/>
        <v>1.0216325061025338</v>
      </c>
      <c r="J636" s="4">
        <f t="shared" si="81"/>
        <v>113.95675566004248</v>
      </c>
      <c r="K636" s="4">
        <f t="shared" si="75"/>
        <v>25.61862228767647</v>
      </c>
      <c r="L636" s="45">
        <f>Pressure!Q636</f>
        <v>2.1050033449615349</v>
      </c>
      <c r="M636" s="10">
        <f t="shared" si="76"/>
        <v>0.44411686294305397</v>
      </c>
      <c r="N636" s="10">
        <f t="shared" si="82"/>
        <v>2.9545467240956045</v>
      </c>
    </row>
    <row r="637" spans="3:14">
      <c r="C637" s="4">
        <f>Pressure!AB637*1000000</f>
        <v>750351.36481904588</v>
      </c>
      <c r="D637" s="84">
        <f>Pressure!I637</f>
        <v>1.4801552192482141E-4</v>
      </c>
      <c r="E637" s="40">
        <f>Pressure!H637</f>
        <v>148.0155219248214</v>
      </c>
      <c r="F637" s="10">
        <f t="shared" si="78"/>
        <v>8</v>
      </c>
      <c r="G637" s="4">
        <f t="shared" si="77"/>
        <v>101000</v>
      </c>
      <c r="H637" s="45">
        <f t="shared" si="79"/>
        <v>1.9726428387666815</v>
      </c>
      <c r="I637" s="10">
        <f t="shared" si="80"/>
        <v>1.0206596206031369</v>
      </c>
      <c r="J637" s="4">
        <f t="shared" si="81"/>
        <v>113.35818173957487</v>
      </c>
      <c r="K637" s="4">
        <f t="shared" si="75"/>
        <v>25.484056863354812</v>
      </c>
      <c r="L637" s="45">
        <f>Pressure!Q637</f>
        <v>2.1088957043124301</v>
      </c>
      <c r="M637" s="10">
        <f t="shared" si="76"/>
        <v>0.44239571109278669</v>
      </c>
      <c r="N637" s="10">
        <f t="shared" si="82"/>
        <v>2.9545467240956045</v>
      </c>
    </row>
    <row r="638" spans="3:14">
      <c r="C638" s="4">
        <f>Pressure!AB638*1000000</f>
        <v>747105.39194005576</v>
      </c>
      <c r="D638" s="84">
        <f>Pressure!I638</f>
        <v>1.4801552192482141E-4</v>
      </c>
      <c r="E638" s="40">
        <f>Pressure!H638</f>
        <v>148.0155219248214</v>
      </c>
      <c r="F638" s="10">
        <f t="shared" si="78"/>
        <v>8</v>
      </c>
      <c r="G638" s="4">
        <f t="shared" si="77"/>
        <v>101000</v>
      </c>
      <c r="H638" s="45">
        <f t="shared" si="79"/>
        <v>1.9669961884999714</v>
      </c>
      <c r="I638" s="10">
        <f t="shared" si="80"/>
        <v>1.0196804367514951</v>
      </c>
      <c r="J638" s="4">
        <f t="shared" si="81"/>
        <v>112.75952008640161</v>
      </c>
      <c r="K638" s="4">
        <f t="shared" si="75"/>
        <v>25.349471715840476</v>
      </c>
      <c r="L638" s="45">
        <f>Pressure!Q638</f>
        <v>2.1127934235671191</v>
      </c>
      <c r="M638" s="10">
        <f t="shared" si="76"/>
        <v>0.44067166011656261</v>
      </c>
      <c r="N638" s="10">
        <f t="shared" si="82"/>
        <v>2.9545467240956045</v>
      </c>
    </row>
    <row r="639" spans="3:14">
      <c r="C639" s="4">
        <f>Pressure!AB639*1000000</f>
        <v>743857.30739376904</v>
      </c>
      <c r="D639" s="84">
        <f>Pressure!I639</f>
        <v>1.4801552192482141E-4</v>
      </c>
      <c r="E639" s="40">
        <f>Pressure!H639</f>
        <v>148.0155219248214</v>
      </c>
      <c r="F639" s="10">
        <f t="shared" si="78"/>
        <v>8</v>
      </c>
      <c r="G639" s="4">
        <f t="shared" si="77"/>
        <v>101000</v>
      </c>
      <c r="H639" s="45">
        <f t="shared" si="79"/>
        <v>1.9613421554273633</v>
      </c>
      <c r="I639" s="10">
        <f t="shared" si="80"/>
        <v>1.0186948969429737</v>
      </c>
      <c r="J639" s="4">
        <f t="shared" si="81"/>
        <v>112.16078112847498</v>
      </c>
      <c r="K639" s="4">
        <f t="shared" si="75"/>
        <v>25.214869189441792</v>
      </c>
      <c r="L639" s="45">
        <f>Pressure!Q639</f>
        <v>2.1166965369697412</v>
      </c>
      <c r="M639" s="10">
        <f t="shared" si="76"/>
        <v>0.43894472109680033</v>
      </c>
      <c r="N639" s="10">
        <f t="shared" si="82"/>
        <v>2.9545467240956045</v>
      </c>
    </row>
    <row r="640" spans="3:14">
      <c r="C640" s="4">
        <f>Pressure!AB640*1000000</f>
        <v>740607.15622889181</v>
      </c>
      <c r="D640" s="84">
        <f>Pressure!I640</f>
        <v>1.4801552192482141E-4</v>
      </c>
      <c r="E640" s="40">
        <f>Pressure!H640</f>
        <v>148.0155219248214</v>
      </c>
      <c r="F640" s="10">
        <f t="shared" si="78"/>
        <v>8</v>
      </c>
      <c r="G640" s="4">
        <f t="shared" si="77"/>
        <v>101000</v>
      </c>
      <c r="H640" s="45">
        <f t="shared" si="79"/>
        <v>1.9556808029614177</v>
      </c>
      <c r="I640" s="10">
        <f t="shared" si="80"/>
        <v>1.0177029427987552</v>
      </c>
      <c r="J640" s="4">
        <f t="shared" si="81"/>
        <v>111.56197534350098</v>
      </c>
      <c r="K640" s="4">
        <f t="shared" si="75"/>
        <v>25.080251639652214</v>
      </c>
      <c r="L640" s="45">
        <f>Pressure!Q640</f>
        <v>2.1206050790609448</v>
      </c>
      <c r="M640" s="10">
        <f t="shared" si="76"/>
        <v>0.43721490521539463</v>
      </c>
      <c r="N640" s="10">
        <f t="shared" si="82"/>
        <v>2.9545467240956045</v>
      </c>
    </row>
    <row r="641" spans="3:14">
      <c r="C641" s="4">
        <f>Pressure!AB641*1000000</f>
        <v>737354.98374816962</v>
      </c>
      <c r="D641" s="84">
        <f>Pressure!I641</f>
        <v>1.4801552192482141E-4</v>
      </c>
      <c r="E641" s="40">
        <f>Pressure!H641</f>
        <v>148.0155219248214</v>
      </c>
      <c r="F641" s="10">
        <f t="shared" si="78"/>
        <v>8</v>
      </c>
      <c r="G641" s="4">
        <f t="shared" si="77"/>
        <v>101000</v>
      </c>
      <c r="H641" s="45">
        <f t="shared" si="79"/>
        <v>1.9500121952514322</v>
      </c>
      <c r="I641" s="10">
        <f t="shared" si="80"/>
        <v>1.0167045151524274</v>
      </c>
      <c r="J641" s="4">
        <f t="shared" si="81"/>
        <v>110.96311325915964</v>
      </c>
      <c r="K641" s="4">
        <f t="shared" si="75"/>
        <v>24.945621433199864</v>
      </c>
      <c r="L641" s="45">
        <f>Pressure!Q641</f>
        <v>2.124519084681519</v>
      </c>
      <c r="M641" s="10">
        <f t="shared" si="76"/>
        <v>0.4354822237547929</v>
      </c>
      <c r="N641" s="10">
        <f t="shared" si="82"/>
        <v>2.9545467240956045</v>
      </c>
    </row>
    <row r="642" spans="3:14">
      <c r="C642" s="4">
        <f>Pressure!AB642*1000000</f>
        <v>734100.83551050443</v>
      </c>
      <c r="D642" s="84">
        <f>Pressure!I642</f>
        <v>1.4801552192482141E-4</v>
      </c>
      <c r="E642" s="40">
        <f>Pressure!H642</f>
        <v>148.0155219248214</v>
      </c>
      <c r="F642" s="10">
        <f t="shared" si="78"/>
        <v>8</v>
      </c>
      <c r="G642" s="4">
        <f t="shared" si="77"/>
        <v>101000</v>
      </c>
      <c r="H642" s="45">
        <f t="shared" si="79"/>
        <v>1.9443363971967291</v>
      </c>
      <c r="I642" s="10">
        <f t="shared" si="80"/>
        <v>1.0156995540364109</v>
      </c>
      <c r="J642" s="4">
        <f t="shared" si="81"/>
        <v>110.36420545340366</v>
      </c>
      <c r="K642" s="4">
        <f t="shared" si="75"/>
        <v>24.810980948114665</v>
      </c>
      <c r="L642" s="45">
        <f>Pressure!Q642</f>
        <v>2.1284385889760822</v>
      </c>
      <c r="M642" s="10">
        <f t="shared" si="76"/>
        <v>0.43374668809902772</v>
      </c>
      <c r="N642" s="10">
        <f t="shared" si="82"/>
        <v>2.9545467240956045</v>
      </c>
    </row>
    <row r="643" spans="3:14">
      <c r="C643" s="4">
        <f>Pressure!AB643*1000000</f>
        <v>730844.7573328591</v>
      </c>
      <c r="D643" s="84">
        <f>Pressure!I643</f>
        <v>1.4801552192482141E-4</v>
      </c>
      <c r="E643" s="40">
        <f>Pressure!H643</f>
        <v>148.0155219248214</v>
      </c>
      <c r="F643" s="10">
        <f t="shared" si="78"/>
        <v>8</v>
      </c>
      <c r="G643" s="4">
        <f t="shared" si="77"/>
        <v>101000</v>
      </c>
      <c r="H643" s="45">
        <f t="shared" si="79"/>
        <v>1.938653474459846</v>
      </c>
      <c r="I643" s="10">
        <f t="shared" si="80"/>
        <v>1.0146879986680233</v>
      </c>
      <c r="J643" s="4">
        <f t="shared" si="81"/>
        <v>109.7652625547146</v>
      </c>
      <c r="K643" s="4">
        <f t="shared" si="75"/>
        <v>24.676332573785935</v>
      </c>
      <c r="L643" s="45">
        <f>Pressure!Q643</f>
        <v>2.1323636273968258</v>
      </c>
      <c r="M643" s="10">
        <f t="shared" si="76"/>
        <v>0.43200830973486254</v>
      </c>
      <c r="N643" s="10">
        <f t="shared" si="82"/>
        <v>2.9545467240956045</v>
      </c>
    </row>
    <row r="644" spans="3:14">
      <c r="C644" s="4">
        <f>Pressure!AB644*1000000</f>
        <v>727586.79529250634</v>
      </c>
      <c r="D644" s="84">
        <f>Pressure!I644</f>
        <v>1.4801552192482141E-4</v>
      </c>
      <c r="E644" s="40">
        <f>Pressure!H644</f>
        <v>148.0155219248214</v>
      </c>
      <c r="F644" s="10">
        <f t="shared" si="78"/>
        <v>8</v>
      </c>
      <c r="G644" s="4">
        <f t="shared" si="77"/>
        <v>101000</v>
      </c>
      <c r="H644" s="45">
        <f t="shared" si="79"/>
        <v>1.9329634934806057</v>
      </c>
      <c r="I644" s="10">
        <f t="shared" si="80"/>
        <v>1.0136697874353502</v>
      </c>
      <c r="J644" s="4">
        <f t="shared" si="81"/>
        <v>109.16629524242035</v>
      </c>
      <c r="K644" s="4">
        <f t="shared" si="75"/>
        <v>24.541678711033754</v>
      </c>
      <c r="L644" s="45">
        <f>Pressure!Q644</f>
        <v>2.1362942357073149</v>
      </c>
      <c r="M644" s="10">
        <f t="shared" si="76"/>
        <v>0.43026710025286957</v>
      </c>
      <c r="N644" s="10">
        <f t="shared" si="82"/>
        <v>2.9545467240956045</v>
      </c>
    </row>
    <row r="645" spans="3:14">
      <c r="C645" s="4">
        <f>Pressure!AB645*1000000</f>
        <v>724326.99572890298</v>
      </c>
      <c r="D645" s="84">
        <f>Pressure!I645</f>
        <v>1.4801552192482141E-4</v>
      </c>
      <c r="E645" s="40">
        <f>Pressure!H645</f>
        <v>148.0155219248214</v>
      </c>
      <c r="F645" s="10">
        <f t="shared" si="78"/>
        <v>8</v>
      </c>
      <c r="G645" s="4">
        <f t="shared" si="77"/>
        <v>101000</v>
      </c>
      <c r="H645" s="45">
        <f t="shared" si="79"/>
        <v>1.9272665214898226</v>
      </c>
      <c r="I645" s="10">
        <f t="shared" si="80"/>
        <v>1.012644857882685</v>
      </c>
      <c r="J645" s="4">
        <f t="shared" si="81"/>
        <v>108.5673142469404</v>
      </c>
      <c r="K645" s="4">
        <f t="shared" si="75"/>
        <v>24.407021772164111</v>
      </c>
      <c r="L645" s="45">
        <f>Pressure!Q645</f>
        <v>2.1402304499863471</v>
      </c>
      <c r="M645" s="10">
        <f t="shared" si="76"/>
        <v>0.42852307134862516</v>
      </c>
      <c r="N645" s="10">
        <f t="shared" si="82"/>
        <v>2.9545467240956045</v>
      </c>
    </row>
    <row r="646" spans="3:14">
      <c r="C646" s="4">
        <f>Pressure!AB646*1000000</f>
        <v>721065.40524552308</v>
      </c>
      <c r="D646" s="84">
        <f>Pressure!I646</f>
        <v>1.4801552192482141E-4</v>
      </c>
      <c r="E646" s="40">
        <f>Pressure!H646</f>
        <v>148.0155219248214</v>
      </c>
      <c r="F646" s="10">
        <f t="shared" si="78"/>
        <v>8</v>
      </c>
      <c r="G646" s="4">
        <f t="shared" si="77"/>
        <v>101000</v>
      </c>
      <c r="H646" s="45">
        <f t="shared" si="79"/>
        <v>1.9215626265232384</v>
      </c>
      <c r="I646" s="10">
        <f t="shared" si="80"/>
        <v>1.0116131466956328</v>
      </c>
      <c r="J646" s="4">
        <f t="shared" si="81"/>
        <v>107.96833035002075</v>
      </c>
      <c r="K646" s="4">
        <f t="shared" si="75"/>
        <v>24.272364181021707</v>
      </c>
      <c r="L646" s="45">
        <f>Pressure!Q646</f>
        <v>2.1441723066318716</v>
      </c>
      <c r="M646" s="10">
        <f t="shared" si="76"/>
        <v>0.42677623482373006</v>
      </c>
      <c r="N646" s="10">
        <f t="shared" si="82"/>
        <v>2.9545467240956045</v>
      </c>
    </row>
    <row r="647" spans="3:14">
      <c r="C647" s="4">
        <f>Pressure!AB647*1000000</f>
        <v>717802.07071240048</v>
      </c>
      <c r="D647" s="84">
        <f>Pressure!I647</f>
        <v>1.4801552192482141E-4</v>
      </c>
      <c r="E647" s="40">
        <f>Pressure!H647</f>
        <v>148.0155219248214</v>
      </c>
      <c r="F647" s="10">
        <f t="shared" si="78"/>
        <v>8</v>
      </c>
      <c r="G647" s="4">
        <f t="shared" si="77"/>
        <v>101000</v>
      </c>
      <c r="H647" s="45">
        <f t="shared" si="79"/>
        <v>1.9158518774370037</v>
      </c>
      <c r="I647" s="10">
        <f t="shared" si="80"/>
        <v>1.010574589686112</v>
      </c>
      <c r="J647" s="4">
        <f t="shared" si="81"/>
        <v>107.36935438509637</v>
      </c>
      <c r="K647" s="4">
        <f t="shared" si="75"/>
        <v>24.13770837307144</v>
      </c>
      <c r="L647" s="45">
        <f>Pressure!Q647</f>
        <v>2.1481198423649674</v>
      </c>
      <c r="M647" s="10">
        <f t="shared" si="76"/>
        <v>0.42502660258699732</v>
      </c>
      <c r="N647" s="10">
        <f t="shared" si="82"/>
        <v>2.9545467240956045</v>
      </c>
    </row>
    <row r="648" spans="3:14">
      <c r="C648" s="4">
        <f>Pressure!AB648*1000000</f>
        <v>714537.03926800296</v>
      </c>
      <c r="D648" s="84">
        <f>Pressure!I648</f>
        <v>1.4801552192482141E-4</v>
      </c>
      <c r="E648" s="40">
        <f>Pressure!H648</f>
        <v>148.0155219248214</v>
      </c>
      <c r="F648" s="10">
        <f t="shared" si="78"/>
        <v>8</v>
      </c>
      <c r="G648" s="4">
        <f t="shared" si="77"/>
        <v>101000</v>
      </c>
      <c r="H648" s="45">
        <f t="shared" si="79"/>
        <v>1.9101343439223104</v>
      </c>
      <c r="I648" s="10">
        <f t="shared" si="80"/>
        <v>1.0095291217768068</v>
      </c>
      <c r="J648" s="4">
        <f t="shared" si="81"/>
        <v>106.77039723752749</v>
      </c>
      <c r="K648" s="4">
        <f t="shared" si="75"/>
        <v>24.003056795451528</v>
      </c>
      <c r="L648" s="45">
        <f>Pressure!Q648</f>
        <v>2.1520730942338839</v>
      </c>
      <c r="M648" s="10">
        <f t="shared" si="76"/>
        <v>0.42327418665572486</v>
      </c>
      <c r="N648" s="10">
        <f t="shared" si="82"/>
        <v>2.9545467240956045</v>
      </c>
    </row>
    <row r="649" spans="3:14">
      <c r="C649" s="4">
        <f>Pressure!AB649*1000000</f>
        <v>711270.35832121759</v>
      </c>
      <c r="D649" s="84">
        <f>Pressure!I649</f>
        <v>1.4801552192482141E-4</v>
      </c>
      <c r="E649" s="40">
        <f>Pressure!H649</f>
        <v>148.0155219248214</v>
      </c>
      <c r="F649" s="10">
        <f t="shared" si="78"/>
        <v>8</v>
      </c>
      <c r="G649" s="4">
        <f t="shared" si="77"/>
        <v>101000</v>
      </c>
      <c r="H649" s="45">
        <f t="shared" si="79"/>
        <v>1.9044100965205457</v>
      </c>
      <c r="I649" s="10">
        <f t="shared" si="80"/>
        <v>1.0084766769853091</v>
      </c>
      <c r="J649" s="4">
        <f t="shared" si="81"/>
        <v>106.17146984485345</v>
      </c>
      <c r="K649" s="4">
        <f t="shared" si="75"/>
        <v>23.868411907030584</v>
      </c>
      <c r="L649" s="45">
        <f>Pressure!Q649</f>
        <v>2.1560320996181432</v>
      </c>
      <c r="M649" s="10">
        <f t="shared" si="76"/>
        <v>0.42151899915668789</v>
      </c>
      <c r="N649" s="10">
        <f t="shared" si="82"/>
        <v>2.9545467240956045</v>
      </c>
    </row>
    <row r="650" spans="3:14">
      <c r="C650" s="4">
        <f>Pressure!AB650*1000000</f>
        <v>708002.07555368857</v>
      </c>
      <c r="D650" s="84">
        <f>Pressure!I650</f>
        <v>1.4801552192482141E-4</v>
      </c>
      <c r="E650" s="40">
        <f>Pressure!H650</f>
        <v>148.0155219248214</v>
      </c>
      <c r="F650" s="10">
        <f t="shared" si="78"/>
        <v>8</v>
      </c>
      <c r="G650" s="4">
        <f t="shared" si="77"/>
        <v>101000</v>
      </c>
      <c r="H650" s="45">
        <f t="shared" si="79"/>
        <v>1.8986792066394025</v>
      </c>
      <c r="I650" s="10">
        <f t="shared" si="80"/>
        <v>1.0074171884080176</v>
      </c>
      <c r="J650" s="4">
        <f t="shared" si="81"/>
        <v>105.57258319710802</v>
      </c>
      <c r="K650" s="4">
        <f t="shared" si="75"/>
        <v>23.73377617847849</v>
      </c>
      <c r="L650" s="45">
        <f>Pressure!Q650</f>
        <v>2.1599968962327076</v>
      </c>
      <c r="M650" s="10">
        <f t="shared" si="76"/>
        <v>0.41976105232745597</v>
      </c>
      <c r="N650" s="10">
        <f t="shared" si="82"/>
        <v>2.9545467240956045</v>
      </c>
    </row>
    <row r="651" spans="3:14">
      <c r="C651" s="4">
        <f>Pressure!AB651*1000000</f>
        <v>704732.23892225139</v>
      </c>
      <c r="D651" s="84">
        <f>Pressure!I651</f>
        <v>1.4801552192482141E-4</v>
      </c>
      <c r="E651" s="40">
        <f>Pressure!H651</f>
        <v>148.0155219248214</v>
      </c>
      <c r="F651" s="10">
        <f t="shared" si="78"/>
        <v>8</v>
      </c>
      <c r="G651" s="4">
        <f t="shared" si="77"/>
        <v>101000</v>
      </c>
      <c r="H651" s="45">
        <f t="shared" si="79"/>
        <v>1.892941746569516</v>
      </c>
      <c r="I651" s="10">
        <f t="shared" si="80"/>
        <v>1.0063505882037069</v>
      </c>
      <c r="J651" s="4">
        <f t="shared" si="81"/>
        <v>104.97374833714869</v>
      </c>
      <c r="K651" s="4">
        <f t="shared" si="75"/>
        <v>23.599152092340429</v>
      </c>
      <c r="L651" s="45">
        <f>Pressure!Q651</f>
        <v>2.1639675221322094</v>
      </c>
      <c r="M651" s="10">
        <f t="shared" si="76"/>
        <v>0.41800035851750733</v>
      </c>
      <c r="N651" s="10">
        <f t="shared" si="82"/>
        <v>2.9545467240956045</v>
      </c>
    </row>
    <row r="652" spans="3:14">
      <c r="C652" s="4">
        <f>Pressure!AB652*1000000</f>
        <v>701460.89666053781</v>
      </c>
      <c r="D652" s="84">
        <f>Pressure!I652</f>
        <v>1.4801552192482141E-4</v>
      </c>
      <c r="E652" s="40">
        <f>Pressure!H652</f>
        <v>148.0155219248214</v>
      </c>
      <c r="F652" s="10">
        <f t="shared" si="78"/>
        <v>8</v>
      </c>
      <c r="G652" s="4">
        <f t="shared" si="77"/>
        <v>101000</v>
      </c>
      <c r="H652" s="45">
        <f t="shared" si="79"/>
        <v>1.8871977894999963</v>
      </c>
      <c r="I652" s="10">
        <f t="shared" si="80"/>
        <v>1.0052768075764509</v>
      </c>
      <c r="J652" s="4">
        <f t="shared" si="81"/>
        <v>104.37497636083077</v>
      </c>
      <c r="K652" s="4">
        <f t="shared" si="75"/>
        <v>23.464542143076024</v>
      </c>
      <c r="L652" s="45">
        <f>Pressure!Q652</f>
        <v>2.1679440157152499</v>
      </c>
      <c r="M652" s="10">
        <f t="shared" si="76"/>
        <v>0.41623693018960534</v>
      </c>
      <c r="N652" s="10">
        <f t="shared" si="82"/>
        <v>2.9545467240956045</v>
      </c>
    </row>
    <row r="653" spans="3:14">
      <c r="C653" s="4">
        <f>Pressure!AB653*1000000</f>
        <v>698188.09728175739</v>
      </c>
      <c r="D653" s="84">
        <f>Pressure!I653</f>
        <v>1.4801552192482141E-4</v>
      </c>
      <c r="E653" s="40">
        <f>Pressure!H653</f>
        <v>148.0155219248214</v>
      </c>
      <c r="F653" s="10">
        <f t="shared" si="78"/>
        <v>8</v>
      </c>
      <c r="G653" s="4">
        <f t="shared" si="77"/>
        <v>101000</v>
      </c>
      <c r="H653" s="45">
        <f t="shared" si="79"/>
        <v>1.8814474095364084</v>
      </c>
      <c r="I653" s="10">
        <f t="shared" si="80"/>
        <v>1.0041957767585501</v>
      </c>
      <c r="J653" s="4">
        <f t="shared" si="81"/>
        <v>103.77627841739368</v>
      </c>
      <c r="K653" s="4">
        <f t="shared" si="75"/>
        <v>23.32994883714619</v>
      </c>
      <c r="L653" s="45">
        <f>Pressure!Q653</f>
        <v>2.171926415728763</v>
      </c>
      <c r="M653" s="10">
        <f t="shared" si="76"/>
        <v>0.41447077992078823</v>
      </c>
      <c r="N653" s="10">
        <f t="shared" si="82"/>
        <v>2.9545467240956045</v>
      </c>
    </row>
    <row r="654" spans="3:14">
      <c r="C654" s="4">
        <f>Pressure!AB654*1000000</f>
        <v>694913.88958046993</v>
      </c>
      <c r="D654" s="84">
        <f>Pressure!I654</f>
        <v>1.4801552192482141E-4</v>
      </c>
      <c r="E654" s="40">
        <f>Pressure!H654</f>
        <v>148.0155219248214</v>
      </c>
      <c r="F654" s="10">
        <f t="shared" si="78"/>
        <v>8</v>
      </c>
      <c r="G654" s="4">
        <f t="shared" si="77"/>
        <v>101000</v>
      </c>
      <c r="H654" s="45">
        <f t="shared" si="79"/>
        <v>1.8756906817173664</v>
      </c>
      <c r="I654" s="10">
        <f t="shared" si="80"/>
        <v>1.0031074249927312</v>
      </c>
      <c r="J654" s="4">
        <f t="shared" si="81"/>
        <v>103.1776657096587</v>
      </c>
      <c r="K654" s="4">
        <f t="shared" si="75"/>
        <v>23.195374693057573</v>
      </c>
      <c r="L654" s="45">
        <f>Pressure!Q654</f>
        <v>2.1759147612724505</v>
      </c>
      <c r="M654" s="10">
        <f t="shared" si="76"/>
        <v>0.41270192040384512</v>
      </c>
      <c r="N654" s="10">
        <f t="shared" si="82"/>
        <v>2.9545467240956045</v>
      </c>
    </row>
    <row r="655" spans="3:14">
      <c r="C655" s="4">
        <f>Pressure!AB655*1000000</f>
        <v>691638.32263538847</v>
      </c>
      <c r="D655" s="84">
        <f>Pressure!I655</f>
        <v>1.4801552192482141E-4</v>
      </c>
      <c r="E655" s="40">
        <f>Pressure!H655</f>
        <v>148.0155219248214</v>
      </c>
      <c r="F655" s="10">
        <f t="shared" si="78"/>
        <v>8</v>
      </c>
      <c r="G655" s="4">
        <f t="shared" si="77"/>
        <v>101000</v>
      </c>
      <c r="H655" s="45">
        <f t="shared" si="79"/>
        <v>1.869927682033329</v>
      </c>
      <c r="I655" s="10">
        <f t="shared" si="80"/>
        <v>1.0020116805142845</v>
      </c>
      <c r="J655" s="4">
        <f t="shared" si="81"/>
        <v>102.57914949441152</v>
      </c>
      <c r="K655" s="4">
        <f t="shared" ref="K655:K718" si="83">J655/4.4482</f>
        <v>23.06082224144857</v>
      </c>
      <c r="L655" s="45">
        <f>Pressure!Q655</f>
        <v>2.179909091803284</v>
      </c>
      <c r="M655" s="10">
        <f t="shared" ref="M655:M718" si="84">(J655+J654)/2*(L655-L654)</f>
        <v>0.4109303644483342</v>
      </c>
      <c r="N655" s="10">
        <f t="shared" si="82"/>
        <v>2.9545467240956045</v>
      </c>
    </row>
    <row r="656" spans="3:14">
      <c r="C656" s="4">
        <f>Pressure!AB656*1000000</f>
        <v>688361.44581151137</v>
      </c>
      <c r="D656" s="84">
        <f>Pressure!I656</f>
        <v>1.4801552192482141E-4</v>
      </c>
      <c r="E656" s="40">
        <f>Pressure!H656</f>
        <v>148.0155219248214</v>
      </c>
      <c r="F656" s="10">
        <f t="shared" si="78"/>
        <v>8</v>
      </c>
      <c r="G656" s="4">
        <f t="shared" si="77"/>
        <v>101000</v>
      </c>
      <c r="H656" s="45">
        <f t="shared" si="79"/>
        <v>1.8641584874446404</v>
      </c>
      <c r="I656" s="10">
        <f t="shared" si="80"/>
        <v>1.0009084705325659</v>
      </c>
      <c r="J656" s="4">
        <f t="shared" si="81"/>
        <v>101.98074108265831</v>
      </c>
      <c r="K656" s="4">
        <f t="shared" si="83"/>
        <v>22.92629402514687</v>
      </c>
      <c r="L656" s="45">
        <f>Pressure!Q656</f>
        <v>2.1839094471400791</v>
      </c>
      <c r="M656" s="10">
        <f t="shared" si="84"/>
        <v>0.4091561249821018</v>
      </c>
      <c r="N656" s="10">
        <f t="shared" si="82"/>
        <v>2.9545467240956045</v>
      </c>
    </row>
    <row r="657" spans="3:14">
      <c r="C657" s="4">
        <f>Pressure!AB657*1000000</f>
        <v>685083.30876204709</v>
      </c>
      <c r="D657" s="84">
        <f>Pressure!I657</f>
        <v>1.4801552192482141E-4</v>
      </c>
      <c r="E657" s="40">
        <f>Pressure!H657</f>
        <v>148.0155219248214</v>
      </c>
      <c r="F657" s="10">
        <f t="shared" si="78"/>
        <v>8</v>
      </c>
      <c r="G657" s="4">
        <f t="shared" si="77"/>
        <v>101000</v>
      </c>
      <c r="H657" s="45">
        <f t="shared" si="79"/>
        <v>1.8583831758996212</v>
      </c>
      <c r="I657" s="10">
        <f t="shared" si="80"/>
        <v>0.99979772121200239</v>
      </c>
      <c r="J657" s="4">
        <f t="shared" si="81"/>
        <v>101.38245183984013</v>
      </c>
      <c r="K657" s="4">
        <f t="shared" si="83"/>
        <v>22.79179259921769</v>
      </c>
      <c r="L657" s="45">
        <f>Pressure!Q657</f>
        <v>2.1879158674681438</v>
      </c>
      <c r="M657" s="10">
        <f t="shared" si="84"/>
        <v>0.40737921505242591</v>
      </c>
      <c r="N657" s="10">
        <f t="shared" si="82"/>
        <v>2.9545467240956045</v>
      </c>
    </row>
    <row r="658" spans="3:14">
      <c r="C658" s="4">
        <f>Pressure!AB658*1000000</f>
        <v>681803.96143138187</v>
      </c>
      <c r="D658" s="84">
        <f>Pressure!I658</f>
        <v>1.4801552192482141E-4</v>
      </c>
      <c r="E658" s="40">
        <f>Pressure!H658</f>
        <v>148.0155219248214</v>
      </c>
      <c r="F658" s="10">
        <f t="shared" si="78"/>
        <v>8</v>
      </c>
      <c r="G658" s="4">
        <f t="shared" si="77"/>
        <v>101000</v>
      </c>
      <c r="H658" s="45">
        <f t="shared" si="79"/>
        <v>1.8526018263549413</v>
      </c>
      <c r="I658" s="10">
        <f t="shared" si="80"/>
        <v>0.99867935765300841</v>
      </c>
      <c r="J658" s="4">
        <f t="shared" si="81"/>
        <v>100.78429318623361</v>
      </c>
      <c r="K658" s="4">
        <f t="shared" si="83"/>
        <v>22.657320531053823</v>
      </c>
      <c r="L658" s="45">
        <f>Pressure!Q658</f>
        <v>2.191928393343999</v>
      </c>
      <c r="M658" s="10">
        <f t="shared" si="84"/>
        <v>0.40559964782727176</v>
      </c>
      <c r="N658" s="10">
        <f t="shared" si="82"/>
        <v>2.9545467240956045</v>
      </c>
    </row>
    <row r="659" spans="3:14">
      <c r="C659" s="4">
        <f>Pressure!AB659*1000000</f>
        <v>678523.45405736298</v>
      </c>
      <c r="D659" s="84">
        <f>Pressure!I659</f>
        <v>1.4801552192482141E-4</v>
      </c>
      <c r="E659" s="40">
        <f>Pressure!H659</f>
        <v>148.0155219248214</v>
      </c>
      <c r="F659" s="10">
        <f t="shared" si="78"/>
        <v>8</v>
      </c>
      <c r="G659" s="4">
        <f t="shared" si="77"/>
        <v>101000</v>
      </c>
      <c r="H659" s="45">
        <f t="shared" si="79"/>
        <v>1.8468145187952438</v>
      </c>
      <c r="I659" s="10">
        <f t="shared" si="80"/>
        <v>0.99755330387222985</v>
      </c>
      <c r="J659" s="4">
        <f t="shared" si="81"/>
        <v>100.18627659722267</v>
      </c>
      <c r="K659" s="4">
        <f t="shared" si="83"/>
        <v>22.522880400436733</v>
      </c>
      <c r="L659" s="45">
        <f>Pressure!Q659</f>
        <v>2.1959470657001736</v>
      </c>
      <c r="M659" s="10">
        <f t="shared" si="84"/>
        <v>0.40381743659671615</v>
      </c>
      <c r="N659" s="10">
        <f t="shared" si="82"/>
        <v>2.9545467240956045</v>
      </c>
    </row>
    <row r="660" spans="3:14">
      <c r="C660" s="4">
        <f>Pressure!AB660*1000000</f>
        <v>675241.83717316668</v>
      </c>
      <c r="D660" s="84">
        <f>Pressure!I660</f>
        <v>1.4801552192482141E-4</v>
      </c>
      <c r="E660" s="40">
        <f>Pressure!H660</f>
        <v>148.0155219248214</v>
      </c>
      <c r="F660" s="10">
        <f t="shared" si="78"/>
        <v>8</v>
      </c>
      <c r="G660" s="4">
        <f t="shared" si="77"/>
        <v>101000</v>
      </c>
      <c r="H660" s="45">
        <f t="shared" si="79"/>
        <v>1.8410213342525039</v>
      </c>
      <c r="I660" s="10">
        <f t="shared" si="80"/>
        <v>0.99641948278217662</v>
      </c>
      <c r="J660" s="4">
        <f t="shared" si="81"/>
        <v>99.588413603490096</v>
      </c>
      <c r="K660" s="4">
        <f t="shared" si="83"/>
        <v>22.388474799579626</v>
      </c>
      <c r="L660" s="45">
        <f>Pressure!Q660</f>
        <v>2.1999719258500789</v>
      </c>
      <c r="M660" s="10">
        <f t="shared" si="84"/>
        <v>0.40203259477426578</v>
      </c>
      <c r="N660" s="10">
        <f t="shared" si="82"/>
        <v>2.9545467240956045</v>
      </c>
    </row>
    <row r="661" spans="3:14">
      <c r="C661" s="4">
        <f>Pressure!AB661*1000000</f>
        <v>671959.16161046096</v>
      </c>
      <c r="D661" s="84">
        <f>Pressure!I661</f>
        <v>1.4801552192482141E-4</v>
      </c>
      <c r="E661" s="40">
        <f>Pressure!H661</f>
        <v>148.0155219248214</v>
      </c>
      <c r="F661" s="10">
        <f t="shared" si="78"/>
        <v>8</v>
      </c>
      <c r="G661" s="4">
        <f t="shared" si="77"/>
        <v>101000</v>
      </c>
      <c r="H661" s="45">
        <f t="shared" si="79"/>
        <v>1.8352223548281623</v>
      </c>
      <c r="I661" s="10">
        <f t="shared" si="80"/>
        <v>0.99527781617083011</v>
      </c>
      <c r="J661" s="4">
        <f t="shared" si="81"/>
        <v>98.990715791440891</v>
      </c>
      <c r="K661" s="4">
        <f t="shared" si="83"/>
        <v>22.254106333222627</v>
      </c>
      <c r="L661" s="45">
        <f>Pressure!Q661</f>
        <v>2.2040030154929591</v>
      </c>
      <c r="M661" s="10">
        <f t="shared" si="84"/>
        <v>0.40024513589802929</v>
      </c>
      <c r="N661" s="10">
        <f t="shared" si="82"/>
        <v>2.9545467240956045</v>
      </c>
    </row>
    <row r="662" spans="3:14">
      <c r="C662" s="4">
        <f>Pressure!AB662*1000000</f>
        <v>668675.47850163409</v>
      </c>
      <c r="D662" s="84">
        <f>Pressure!I662</f>
        <v>1.4801552192482141E-4</v>
      </c>
      <c r="E662" s="40">
        <f>Pressure!H662</f>
        <v>148.0155219248214</v>
      </c>
      <c r="F662" s="10">
        <f t="shared" si="78"/>
        <v>8</v>
      </c>
      <c r="G662" s="4">
        <f t="shared" si="77"/>
        <v>101000</v>
      </c>
      <c r="H662" s="45">
        <f t="shared" si="79"/>
        <v>1.8294176637141084</v>
      </c>
      <c r="I662" s="10">
        <f t="shared" si="80"/>
        <v>0.99412822468044371</v>
      </c>
      <c r="J662" s="4">
        <f t="shared" si="81"/>
        <v>98.393194803450868</v>
      </c>
      <c r="K662" s="4">
        <f t="shared" si="83"/>
        <v>22.119777618688655</v>
      </c>
      <c r="L662" s="45">
        <f>Pressure!Q662</f>
        <v>2.2080403767189214</v>
      </c>
      <c r="M662" s="10">
        <f t="shared" si="84"/>
        <v>0.39845507363231469</v>
      </c>
      <c r="N662" s="10">
        <f t="shared" si="82"/>
        <v>2.9545467240956045</v>
      </c>
    </row>
    <row r="663" spans="3:14">
      <c r="C663" s="4">
        <f>Pressure!AB663*1000000</f>
        <v>665390.83928211976</v>
      </c>
      <c r="D663" s="84">
        <f>Pressure!I663</f>
        <v>1.4801552192482141E-4</v>
      </c>
      <c r="E663" s="40">
        <f>Pressure!H663</f>
        <v>148.0155219248214</v>
      </c>
      <c r="F663" s="10">
        <f t="shared" si="78"/>
        <v>8</v>
      </c>
      <c r="G663" s="4">
        <f t="shared" si="77"/>
        <v>101000</v>
      </c>
      <c r="H663" s="45">
        <f t="shared" si="79"/>
        <v>1.8236073452143597</v>
      </c>
      <c r="I663" s="10">
        <f t="shared" si="80"/>
        <v>0.99297062778587453</v>
      </c>
      <c r="J663" s="4">
        <f t="shared" si="81"/>
        <v>97.79586233812816</v>
      </c>
      <c r="K663" s="4">
        <f t="shared" si="83"/>
        <v>21.985491285942214</v>
      </c>
      <c r="L663" s="45">
        <f>Pressure!Q663</f>
        <v>2.2120840520140486</v>
      </c>
      <c r="M663" s="10">
        <f t="shared" si="84"/>
        <v>0.39666242176884786</v>
      </c>
      <c r="N663" s="10">
        <f t="shared" si="82"/>
        <v>2.9545467240956045</v>
      </c>
    </row>
    <row r="664" spans="3:14">
      <c r="C664" s="4">
        <f>Pressure!AB664*1000000</f>
        <v>662105.29569315456</v>
      </c>
      <c r="D664" s="84">
        <f>Pressure!I664</f>
        <v>1.4801552192482141E-4</v>
      </c>
      <c r="E664" s="40">
        <f>Pressure!H664</f>
        <v>148.0155219248214</v>
      </c>
      <c r="F664" s="10">
        <f t="shared" si="78"/>
        <v>8</v>
      </c>
      <c r="G664" s="4">
        <f t="shared" si="77"/>
        <v>101000</v>
      </c>
      <c r="H664" s="45">
        <f t="shared" si="79"/>
        <v>1.817791484768047</v>
      </c>
      <c r="I664" s="10">
        <f t="shared" si="80"/>
        <v>0.99180494377255224</v>
      </c>
      <c r="J664" s="4">
        <f t="shared" si="81"/>
        <v>97.198730150648586</v>
      </c>
      <c r="K664" s="4">
        <f t="shared" si="83"/>
        <v>21.851249977664807</v>
      </c>
      <c r="L664" s="45">
        <f>Pressure!Q664</f>
        <v>2.216134084265593</v>
      </c>
      <c r="M664" s="10">
        <f t="shared" si="84"/>
        <v>0.39486719422815481</v>
      </c>
      <c r="N664" s="10">
        <f t="shared" si="82"/>
        <v>2.9545467240956045</v>
      </c>
    </row>
    <row r="665" spans="3:14">
      <c r="C665" s="4">
        <f>Pressure!AB665*1000000</f>
        <v>658818.89978419128</v>
      </c>
      <c r="D665" s="84">
        <f>Pressure!I665</f>
        <v>1.4801552192482141E-4</v>
      </c>
      <c r="E665" s="40">
        <f>Pressure!H665</f>
        <v>148.0155219248214</v>
      </c>
      <c r="F665" s="10">
        <f t="shared" si="78"/>
        <v>8</v>
      </c>
      <c r="G665" s="4">
        <f t="shared" si="77"/>
        <v>101000</v>
      </c>
      <c r="H665" s="45">
        <f t="shared" si="79"/>
        <v>1.8119701689723382</v>
      </c>
      <c r="I665" s="10">
        <f t="shared" si="80"/>
        <v>0.99063108971380009</v>
      </c>
      <c r="J665" s="4">
        <f t="shared" si="81"/>
        <v>96.601810053023698</v>
      </c>
      <c r="K665" s="4">
        <f t="shared" si="83"/>
        <v>21.717056349315161</v>
      </c>
      <c r="L665" s="45">
        <f>Pressure!Q665</f>
        <v>2.2201905167672562</v>
      </c>
      <c r="M665" s="10">
        <f t="shared" si="84"/>
        <v>0.39306940506103188</v>
      </c>
      <c r="N665" s="10">
        <f t="shared" si="82"/>
        <v>2.9545467240956045</v>
      </c>
    </row>
    <row r="666" spans="3:14">
      <c r="C666" s="4">
        <f>Pressure!AB666*1000000</f>
        <v>655531.70391572302</v>
      </c>
      <c r="D666" s="84">
        <f>Pressure!I666</f>
        <v>1.4801552192482141E-4</v>
      </c>
      <c r="E666" s="40">
        <f>Pressure!H666</f>
        <v>148.0155219248214</v>
      </c>
      <c r="F666" s="10">
        <f t="shared" si="78"/>
        <v>8</v>
      </c>
      <c r="G666" s="4">
        <f t="shared" si="77"/>
        <v>101000</v>
      </c>
      <c r="H666" s="45">
        <f t="shared" si="79"/>
        <v>1.8061434856066749</v>
      </c>
      <c r="I666" s="10">
        <f t="shared" si="80"/>
        <v>0.98944898144776094</v>
      </c>
      <c r="J666" s="4">
        <f t="shared" si="81"/>
        <v>96.005113914438311</v>
      </c>
      <c r="K666" s="4">
        <f t="shared" si="83"/>
        <v>21.582913069205141</v>
      </c>
      <c r="L666" s="45">
        <f>Pressure!Q666</f>
        <v>2.224253393224553</v>
      </c>
      <c r="M666" s="10">
        <f t="shared" si="84"/>
        <v>0.39126906844987319</v>
      </c>
      <c r="N666" s="10">
        <f t="shared" si="82"/>
        <v>2.9545467240956045</v>
      </c>
    </row>
    <row r="667" spans="3:14">
      <c r="C667" s="4">
        <f>Pressure!AB667*1000000</f>
        <v>652243.76076169137</v>
      </c>
      <c r="D667" s="84">
        <f>Pressure!I667</f>
        <v>1.4801552192482141E-4</v>
      </c>
      <c r="E667" s="40">
        <f>Pressure!H667</f>
        <v>148.0155219248214</v>
      </c>
      <c r="F667" s="10">
        <f t="shared" si="78"/>
        <v>8</v>
      </c>
      <c r="G667" s="4">
        <f t="shared" si="77"/>
        <v>101000</v>
      </c>
      <c r="H667" s="45">
        <f t="shared" si="79"/>
        <v>1.8003115236568736</v>
      </c>
      <c r="I667" s="10">
        <f t="shared" si="80"/>
        <v>0.98825853355361348</v>
      </c>
      <c r="J667" s="4">
        <f t="shared" si="81"/>
        <v>95.408653661507131</v>
      </c>
      <c r="K667" s="4">
        <f t="shared" si="83"/>
        <v>21.448822818557424</v>
      </c>
      <c r="L667" s="45">
        <f>Pressure!Q667</f>
        <v>2.2283227577602633</v>
      </c>
      <c r="M667" s="10">
        <f t="shared" si="84"/>
        <v>0.38946619871013133</v>
      </c>
      <c r="N667" s="10">
        <f t="shared" si="82"/>
        <v>2.9545467240956045</v>
      </c>
    </row>
    <row r="668" spans="3:14">
      <c r="C668" s="4">
        <f>Pressure!AB668*1000000</f>
        <v>648955.12331233674</v>
      </c>
      <c r="D668" s="84">
        <f>Pressure!I668</f>
        <v>1.4801552192482141E-4</v>
      </c>
      <c r="E668" s="40">
        <f>Pressure!H668</f>
        <v>148.0155219248214</v>
      </c>
      <c r="F668" s="10">
        <f t="shared" si="78"/>
        <v>8</v>
      </c>
      <c r="G668" s="4">
        <f t="shared" ref="G668:G731" si="85">IF(C668/(1+(k-1)/2*N668^2)^(k/(k-1))&lt;patm*1000000,patm*1000000,C668/(1+(k-1)/2*N668^2)^(k/(k-1)))</f>
        <v>101000</v>
      </c>
      <c r="H668" s="45">
        <f t="shared" si="79"/>
        <v>1.7944743733406159</v>
      </c>
      <c r="I668" s="10">
        <f t="shared" si="80"/>
        <v>0.98705965932737838</v>
      </c>
      <c r="J668" s="4">
        <f t="shared" si="81"/>
        <v>94.812441278606528</v>
      </c>
      <c r="K668" s="4">
        <f t="shared" si="83"/>
        <v>21.314788291580083</v>
      </c>
      <c r="L668" s="45">
        <f>Pressure!Q668</f>
        <v>2.2323986549199746</v>
      </c>
      <c r="M668" s="10">
        <f t="shared" si="84"/>
        <v>0.38766081029178562</v>
      </c>
      <c r="N668" s="10">
        <f t="shared" si="82"/>
        <v>2.9545467240956045</v>
      </c>
    </row>
    <row r="669" spans="3:14">
      <c r="C669" s="4">
        <f>Pressure!AB669*1000000</f>
        <v>645665.84487671102</v>
      </c>
      <c r="D669" s="84">
        <f>Pressure!I669</f>
        <v>1.4801552192482141E-4</v>
      </c>
      <c r="E669" s="40">
        <f>Pressure!H669</f>
        <v>148.0155219248214</v>
      </c>
      <c r="F669" s="10">
        <f t="shared" ref="F669:F732" si="86">aexit/E669</f>
        <v>8</v>
      </c>
      <c r="G669" s="4">
        <f t="shared" si="85"/>
        <v>101000</v>
      </c>
      <c r="H669" s="45">
        <f t="shared" ref="H669:H732" si="87">1/(((k+1)/2)^(1/(k-1))*(patm*1000000/C669)^(1/k)*SQRT((k+1)/(k-1)*(1-(patm*1000000/C669)^((k-1)/k))))</f>
        <v>1.7886321261329947</v>
      </c>
      <c r="I669" s="10">
        <f t="shared" ref="I669:I732" si="88">etanoz*SQRT(2*k^2/(k-1)*(2/(k+1))^((k+1)/(k-1))*(1-(G669/C669)^((k-1)/k)))+(G669-patm*1000000)/C669*(aexit/E669)</f>
        <v>0.98585227075700976</v>
      </c>
      <c r="J669" s="4">
        <f t="shared" ref="J669:J732" si="89">I669*D669*C669</f>
        <v>94.216488808139459</v>
      </c>
      <c r="K669" s="4">
        <f t="shared" si="83"/>
        <v>21.180812195526158</v>
      </c>
      <c r="L669" s="45">
        <f>Pressure!Q669</f>
        <v>2.2364811296777138</v>
      </c>
      <c r="M669" s="10">
        <f t="shared" si="84"/>
        <v>0.38585291778080016</v>
      </c>
      <c r="N669" s="10">
        <f t="shared" si="82"/>
        <v>2.9545467240956045</v>
      </c>
    </row>
    <row r="670" spans="3:14">
      <c r="C670" s="4">
        <f>Pressure!AB670*1000000</f>
        <v>642375.97908540466</v>
      </c>
      <c r="D670" s="84">
        <f>Pressure!I670</f>
        <v>1.4801552192482141E-4</v>
      </c>
      <c r="E670" s="40">
        <f>Pressure!H670</f>
        <v>148.0155219248214</v>
      </c>
      <c r="F670" s="10">
        <f t="shared" si="86"/>
        <v>8</v>
      </c>
      <c r="G670" s="4">
        <f t="shared" si="85"/>
        <v>101000</v>
      </c>
      <c r="H670" s="45">
        <f t="shared" si="87"/>
        <v>1.7827848747930959</v>
      </c>
      <c r="I670" s="10">
        <f t="shared" si="88"/>
        <v>0.98463627849695856</v>
      </c>
      <c r="J670" s="4">
        <f t="shared" si="89"/>
        <v>93.620808350833613</v>
      </c>
      <c r="K670" s="4">
        <f t="shared" si="83"/>
        <v>21.046897250760672</v>
      </c>
      <c r="L670" s="45">
        <f>Pressure!Q670</f>
        <v>2.2405702274416734</v>
      </c>
      <c r="M670" s="10">
        <f t="shared" si="84"/>
        <v>0.3840425359004862</v>
      </c>
      <c r="N670" s="10">
        <f t="shared" ref="N670:N733" si="90">N669-1/834*(me-mef)</f>
        <v>2.9545467240956045</v>
      </c>
    </row>
    <row r="671" spans="3:14">
      <c r="C671" s="4">
        <f>Pressure!AB671*1000000</f>
        <v>639085.579893635</v>
      </c>
      <c r="D671" s="84">
        <f>Pressure!I671</f>
        <v>1.4801552192482141E-4</v>
      </c>
      <c r="E671" s="40">
        <f>Pressure!H671</f>
        <v>148.0155219248214</v>
      </c>
      <c r="F671" s="10">
        <f t="shared" si="86"/>
        <v>8</v>
      </c>
      <c r="G671" s="4">
        <f t="shared" si="85"/>
        <v>101000</v>
      </c>
      <c r="H671" s="45">
        <f t="shared" si="87"/>
        <v>1.7769327133919106</v>
      </c>
      <c r="I671" s="10">
        <f t="shared" si="88"/>
        <v>0.98341159184224647</v>
      </c>
      <c r="J671" s="4">
        <f t="shared" si="89"/>
        <v>93.025412066099022</v>
      </c>
      <c r="K671" s="4">
        <f t="shared" si="83"/>
        <v>20.913046190841019</v>
      </c>
      <c r="L671" s="45">
        <f>Pressure!Q671</f>
        <v>2.2446659940600298</v>
      </c>
      <c r="M671" s="10">
        <f t="shared" si="84"/>
        <v>0.38222967951302345</v>
      </c>
      <c r="N671" s="10">
        <f t="shared" si="90"/>
        <v>2.9545467240956045</v>
      </c>
    </row>
    <row r="672" spans="3:14">
      <c r="C672" s="4">
        <f>Pressure!AB672*1000000</f>
        <v>635794.70158359979</v>
      </c>
      <c r="D672" s="84">
        <f>Pressure!I672</f>
        <v>1.4801552192482141E-4</v>
      </c>
      <c r="E672" s="40">
        <f>Pressure!H672</f>
        <v>148.0155219248214</v>
      </c>
      <c r="F672" s="10">
        <f t="shared" si="86"/>
        <v>8</v>
      </c>
      <c r="G672" s="4">
        <f t="shared" si="85"/>
        <v>101000</v>
      </c>
      <c r="H672" s="45">
        <f t="shared" si="87"/>
        <v>1.7710757373396555</v>
      </c>
      <c r="I672" s="10">
        <f t="shared" si="88"/>
        <v>0.98217811870162863</v>
      </c>
      <c r="J672" s="4">
        <f t="shared" si="89"/>
        <v>92.430312172246857</v>
      </c>
      <c r="K672" s="4">
        <f t="shared" si="83"/>
        <v>20.779261762566176</v>
      </c>
      <c r="L672" s="45">
        <f>Pressure!Q672</f>
        <v>2.2487684758268602</v>
      </c>
      <c r="M672" s="10">
        <f t="shared" si="84"/>
        <v>0.38041436362107767</v>
      </c>
      <c r="N672" s="10">
        <f t="shared" si="90"/>
        <v>2.9545467240956045</v>
      </c>
    </row>
    <row r="673" spans="3:14">
      <c r="C673" s="4">
        <f>Pressure!AB673*1000000</f>
        <v>632503.39876761741</v>
      </c>
      <c r="D673" s="84">
        <f>Pressure!I673</f>
        <v>1.4801552192482141E-4</v>
      </c>
      <c r="E673" s="40">
        <f>Pressure!H673</f>
        <v>148.0155219248214</v>
      </c>
      <c r="F673" s="10">
        <f t="shared" si="86"/>
        <v>8</v>
      </c>
      <c r="G673" s="4">
        <f t="shared" si="85"/>
        <v>101000</v>
      </c>
      <c r="H673" s="45">
        <f t="shared" si="87"/>
        <v>1.7652140434152328</v>
      </c>
      <c r="I673" s="10">
        <f t="shared" si="88"/>
        <v>0.98093576557038509</v>
      </c>
      <c r="J673" s="4">
        <f t="shared" si="89"/>
        <v>91.835520946844156</v>
      </c>
      <c r="K673" s="4">
        <f t="shared" si="83"/>
        <v>20.645546726056416</v>
      </c>
      <c r="L673" s="45">
        <f>Pressure!Q673</f>
        <v>2.2528777194881577</v>
      </c>
      <c r="M673" s="10">
        <f t="shared" si="84"/>
        <v>0.37859660336916395</v>
      </c>
      <c r="N673" s="10">
        <f t="shared" si="90"/>
        <v>2.9545467240956045</v>
      </c>
    </row>
    <row r="674" spans="3:14">
      <c r="C674" s="4">
        <f>Pressure!AB674*1000000</f>
        <v>629211.72639070731</v>
      </c>
      <c r="D674" s="84">
        <f>Pressure!I674</f>
        <v>1.4801552192482141E-4</v>
      </c>
      <c r="E674" s="40">
        <f>Pressure!H674</f>
        <v>148.0155219248214</v>
      </c>
      <c r="F674" s="10">
        <f t="shared" si="86"/>
        <v>8</v>
      </c>
      <c r="G674" s="4">
        <f t="shared" si="85"/>
        <v>101000</v>
      </c>
      <c r="H674" s="45">
        <f t="shared" si="87"/>
        <v>1.7593477297954507</v>
      </c>
      <c r="I674" s="10">
        <f t="shared" si="88"/>
        <v>0.97968443750222534</v>
      </c>
      <c r="J674" s="4">
        <f t="shared" si="89"/>
        <v>91.241050726960907</v>
      </c>
      <c r="K674" s="4">
        <f t="shared" si="83"/>
        <v>20.511903854808892</v>
      </c>
      <c r="L674" s="45">
        <f>Pressure!Q674</f>
        <v>2.2569937722479447</v>
      </c>
      <c r="M674" s="10">
        <f t="shared" si="84"/>
        <v>0.37677641404515322</v>
      </c>
      <c r="N674" s="10">
        <f t="shared" si="90"/>
        <v>2.9545467240956045</v>
      </c>
    </row>
    <row r="675" spans="3:14">
      <c r="C675" s="4">
        <f>Pressure!AB675*1000000</f>
        <v>625919.73973401531</v>
      </c>
      <c r="D675" s="84">
        <f>Pressure!I675</f>
        <v>1.4801552192482141E-4</v>
      </c>
      <c r="E675" s="40">
        <f>Pressure!H675</f>
        <v>148.0155219248214</v>
      </c>
      <c r="F675" s="10">
        <f t="shared" si="86"/>
        <v>8</v>
      </c>
      <c r="G675" s="4">
        <f t="shared" si="85"/>
        <v>101000</v>
      </c>
      <c r="H675" s="45">
        <f t="shared" si="87"/>
        <v>1.7534768960865466</v>
      </c>
      <c r="I675" s="10">
        <f t="shared" si="88"/>
        <v>0.97842403808081724</v>
      </c>
      <c r="J675" s="4">
        <f t="shared" si="89"/>
        <v>90.646913909563651</v>
      </c>
      <c r="K675" s="4">
        <f t="shared" si="83"/>
        <v>20.378335935786083</v>
      </c>
      <c r="L675" s="45">
        <f>Pressure!Q675</f>
        <v>2.2611166817744901</v>
      </c>
      <c r="M675" s="10">
        <f t="shared" si="84"/>
        <v>0.37495381108193726</v>
      </c>
      <c r="N675" s="10">
        <f t="shared" si="90"/>
        <v>2.9545467240956045</v>
      </c>
    </row>
    <row r="676" spans="3:14">
      <c r="C676" s="4">
        <f>Pressure!AB676*1000000</f>
        <v>622627.49441690347</v>
      </c>
      <c r="D676" s="84">
        <f>Pressure!I676</f>
        <v>1.4801552192482141E-4</v>
      </c>
      <c r="E676" s="40">
        <f>Pressure!H676</f>
        <v>148.0155219248214</v>
      </c>
      <c r="F676" s="10">
        <f t="shared" si="86"/>
        <v>8</v>
      </c>
      <c r="G676" s="4">
        <f t="shared" si="85"/>
        <v>101000</v>
      </c>
      <c r="H676" s="45">
        <f t="shared" si="87"/>
        <v>1.747601643354155</v>
      </c>
      <c r="I676" s="10">
        <f t="shared" si="88"/>
        <v>0.97715446939008377</v>
      </c>
      <c r="J676" s="4">
        <f t="shared" si="89"/>
        <v>90.053122951660598</v>
      </c>
      <c r="K676" s="4">
        <f t="shared" si="83"/>
        <v>20.24484576944845</v>
      </c>
      <c r="L676" s="45">
        <f>Pressure!Q676</f>
        <v>2.2652464962066303</v>
      </c>
      <c r="M676" s="10">
        <f t="shared" si="84"/>
        <v>0.37312881005887699</v>
      </c>
      <c r="N676" s="10">
        <f t="shared" si="90"/>
        <v>2.9545467240956045</v>
      </c>
    </row>
    <row r="677" spans="3:14">
      <c r="C677" s="4">
        <f>Pressure!AB677*1000000</f>
        <v>619335.04640076798</v>
      </c>
      <c r="D677" s="84">
        <f>Pressure!I677</f>
        <v>1.4801552192482141E-4</v>
      </c>
      <c r="E677" s="40">
        <f>Pressure!H677</f>
        <v>148.0155219248214</v>
      </c>
      <c r="F677" s="10">
        <f t="shared" si="86"/>
        <v>8</v>
      </c>
      <c r="G677" s="4">
        <f t="shared" si="85"/>
        <v>101000</v>
      </c>
      <c r="H677" s="45">
        <f t="shared" si="87"/>
        <v>1.7417220741572019</v>
      </c>
      <c r="I677" s="10">
        <f t="shared" si="88"/>
        <v>0.97587563198442207</v>
      </c>
      <c r="J677" s="4">
        <f t="shared" si="89"/>
        <v>89.459690370751943</v>
      </c>
      <c r="K677" s="4">
        <f t="shared" si="83"/>
        <v>20.111436169855658</v>
      </c>
      <c r="L677" s="45">
        <f>Pressure!Q677</f>
        <v>2.2693832641601968</v>
      </c>
      <c r="M677" s="10">
        <f t="shared" si="84"/>
        <v>0.37130142670335486</v>
      </c>
      <c r="N677" s="10">
        <f t="shared" si="90"/>
        <v>2.9545467240956045</v>
      </c>
    </row>
    <row r="678" spans="3:14">
      <c r="C678" s="4">
        <f>Pressure!AB678*1000000</f>
        <v>616042.45199147565</v>
      </c>
      <c r="D678" s="84">
        <f>Pressure!I678</f>
        <v>1.4801552192482141E-4</v>
      </c>
      <c r="E678" s="40">
        <f>Pressure!H678</f>
        <v>148.0155219248214</v>
      </c>
      <c r="F678" s="10">
        <f t="shared" si="86"/>
        <v>8</v>
      </c>
      <c r="G678" s="4">
        <f t="shared" si="85"/>
        <v>101000</v>
      </c>
      <c r="H678" s="45">
        <f t="shared" si="87"/>
        <v>1.7358382925802289</v>
      </c>
      <c r="I678" s="10">
        <f t="shared" si="88"/>
        <v>0.97458742485763195</v>
      </c>
      <c r="J678" s="4">
        <f t="shared" si="89"/>
        <v>88.866628745023846</v>
      </c>
      <c r="K678" s="4">
        <f t="shared" si="83"/>
        <v>19.978109964710185</v>
      </c>
      <c r="L678" s="45">
        <f>Pressure!Q678</f>
        <v>2.2735270347345504</v>
      </c>
      <c r="M678" s="10">
        <f t="shared" si="84"/>
        <v>0.36947167689237675</v>
      </c>
      <c r="N678" s="10">
        <f t="shared" si="90"/>
        <v>2.9545467240956045</v>
      </c>
    </row>
    <row r="679" spans="3:14">
      <c r="C679" s="4">
        <f>Pressure!AB679*1000000</f>
        <v>612749.76784269162</v>
      </c>
      <c r="D679" s="84">
        <f>Pressure!I679</f>
        <v>1.4801552192482141E-4</v>
      </c>
      <c r="E679" s="40">
        <f>Pressure!H679</f>
        <v>148.0155219248214</v>
      </c>
      <c r="F679" s="10">
        <f t="shared" si="86"/>
        <v>8</v>
      </c>
      <c r="G679" s="4">
        <f t="shared" si="85"/>
        <v>101000</v>
      </c>
      <c r="H679" s="45">
        <f t="shared" si="87"/>
        <v>1.7299504042682121</v>
      </c>
      <c r="I679" s="10">
        <f t="shared" si="88"/>
        <v>0.97328974541140212</v>
      </c>
      <c r="J679" s="4">
        <f t="shared" si="89"/>
        <v>88.273950713695484</v>
      </c>
      <c r="K679" s="4">
        <f t="shared" si="83"/>
        <v>19.844869995435342</v>
      </c>
      <c r="L679" s="45">
        <f>Pressure!Q679</f>
        <v>2.2776778575192287</v>
      </c>
      <c r="M679" s="10">
        <f t="shared" si="84"/>
        <v>0.36763957665418145</v>
      </c>
      <c r="N679" s="10">
        <f t="shared" si="90"/>
        <v>2.9545467240956045</v>
      </c>
    </row>
    <row r="680" spans="3:14">
      <c r="C680" s="4">
        <f>Pressure!AB680*1000000</f>
        <v>609457.05095874856</v>
      </c>
      <c r="D680" s="84">
        <f>Pressure!I680</f>
        <v>1.4801552192482141E-4</v>
      </c>
      <c r="E680" s="40">
        <f>Pressure!H680</f>
        <v>148.0155219248214</v>
      </c>
      <c r="F680" s="10">
        <f t="shared" si="86"/>
        <v>8</v>
      </c>
      <c r="G680" s="4">
        <f t="shared" si="85"/>
        <v>101000</v>
      </c>
      <c r="H680" s="45">
        <f t="shared" si="87"/>
        <v>1.7240585164615247</v>
      </c>
      <c r="I680" s="10">
        <f t="shared" si="88"/>
        <v>0.97198248942281074</v>
      </c>
      <c r="J680" s="4">
        <f t="shared" si="89"/>
        <v>87.681668977276033</v>
      </c>
      <c r="K680" s="4">
        <f t="shared" si="83"/>
        <v>19.711719117233045</v>
      </c>
      <c r="L680" s="45">
        <f>Pressure!Q680</f>
        <v>2.2818357826007039</v>
      </c>
      <c r="M680" s="10">
        <f t="shared" si="84"/>
        <v>0.36580514216979809</v>
      </c>
      <c r="N680" s="10">
        <f t="shared" si="90"/>
        <v>2.9545467240956045</v>
      </c>
    </row>
    <row r="681" spans="3:14">
      <c r="C681" s="4">
        <f>Pressure!AB681*1000000</f>
        <v>606164.35869796248</v>
      </c>
      <c r="D681" s="84">
        <f>Pressure!I681</f>
        <v>1.4801552192482141E-4</v>
      </c>
      <c r="E681" s="40">
        <f>Pressure!H681</f>
        <v>148.0155219248214</v>
      </c>
      <c r="F681" s="10">
        <f t="shared" si="86"/>
        <v>8</v>
      </c>
      <c r="G681" s="4">
        <f t="shared" si="85"/>
        <v>101000</v>
      </c>
      <c r="H681" s="45">
        <f t="shared" si="87"/>
        <v>1.7181627380326838</v>
      </c>
      <c r="I681" s="10">
        <f t="shared" si="88"/>
        <v>0.97066555101116969</v>
      </c>
      <c r="J681" s="4">
        <f t="shared" si="89"/>
        <v>87.089796297894082</v>
      </c>
      <c r="K681" s="4">
        <f t="shared" si="83"/>
        <v>19.578660199157881</v>
      </c>
      <c r="L681" s="45">
        <f>Pressure!Q681</f>
        <v>2.2860008605692559</v>
      </c>
      <c r="M681" s="10">
        <f t="shared" si="84"/>
        <v>0.36396838977458384</v>
      </c>
      <c r="N681" s="10">
        <f t="shared" si="90"/>
        <v>2.9545467240956045</v>
      </c>
    </row>
    <row r="682" spans="3:14">
      <c r="C682" s="4">
        <f>Pressure!AB682*1000000</f>
        <v>602871.74877568358</v>
      </c>
      <c r="D682" s="84">
        <f>Pressure!I682</f>
        <v>1.4801552192482141E-4</v>
      </c>
      <c r="E682" s="40">
        <f>Pressure!H682</f>
        <v>148.0155219248214</v>
      </c>
      <c r="F682" s="10">
        <f t="shared" si="86"/>
        <v>8</v>
      </c>
      <c r="G682" s="4">
        <f t="shared" si="85"/>
        <v>101000</v>
      </c>
      <c r="H682" s="45">
        <f t="shared" si="87"/>
        <v>1.7122631795236412</v>
      </c>
      <c r="I682" s="10">
        <f t="shared" si="88"/>
        <v>0.96933882260390647</v>
      </c>
      <c r="J682" s="4">
        <f t="shared" si="89"/>
        <v>86.498345499571201</v>
      </c>
      <c r="K682" s="4">
        <f t="shared" si="83"/>
        <v>19.445696124178589</v>
      </c>
      <c r="L682" s="45">
        <f>Pressure!Q682</f>
        <v>2.2901731425259637</v>
      </c>
      <c r="M682" s="10">
        <f t="shared" si="84"/>
        <v>0.36212933596000185</v>
      </c>
      <c r="N682" s="10">
        <f t="shared" si="90"/>
        <v>2.9545467240956045</v>
      </c>
    </row>
    <row r="683" spans="3:14">
      <c r="C683" s="4">
        <f>Pressure!AB683*1000000</f>
        <v>599579.27926736977</v>
      </c>
      <c r="D683" s="84">
        <f>Pressure!I683</f>
        <v>1.4801552192482141E-4</v>
      </c>
      <c r="E683" s="40">
        <f>Pressure!H683</f>
        <v>148.0155219248214</v>
      </c>
      <c r="F683" s="10">
        <f t="shared" si="86"/>
        <v>8</v>
      </c>
      <c r="G683" s="4">
        <f t="shared" si="85"/>
        <v>101000</v>
      </c>
      <c r="H683" s="45">
        <f t="shared" si="87"/>
        <v>1.7063599531841886</v>
      </c>
      <c r="I683" s="10">
        <f t="shared" si="88"/>
        <v>0.96800219490157324</v>
      </c>
      <c r="J683" s="4">
        <f t="shared" si="89"/>
        <v>85.90732946849144</v>
      </c>
      <c r="K683" s="4">
        <f t="shared" si="83"/>
        <v>19.312829789238666</v>
      </c>
      <c r="L683" s="45">
        <f>Pressure!Q683</f>
        <v>2.294352680089816</v>
      </c>
      <c r="M683" s="10">
        <f t="shared" si="84"/>
        <v>0.36028799737515999</v>
      </c>
      <c r="N683" s="10">
        <f t="shared" si="90"/>
        <v>2.9545467240956045</v>
      </c>
    </row>
    <row r="684" spans="3:14">
      <c r="C684" s="4">
        <f>Pressure!AB684*1000000</f>
        <v>596287.00861203484</v>
      </c>
      <c r="D684" s="84">
        <f>Pressure!I684</f>
        <v>1.4801552192482141E-4</v>
      </c>
      <c r="E684" s="40">
        <f>Pressure!H684</f>
        <v>148.0155219248214</v>
      </c>
      <c r="F684" s="10">
        <f t="shared" si="86"/>
        <v>8</v>
      </c>
      <c r="G684" s="4">
        <f t="shared" si="85"/>
        <v>101000</v>
      </c>
      <c r="H684" s="45">
        <f t="shared" si="87"/>
        <v>1.7004531730121315</v>
      </c>
      <c r="I684" s="10">
        <f t="shared" si="88"/>
        <v>0.96665555684209381</v>
      </c>
      <c r="J684" s="4">
        <f t="shared" si="89"/>
        <v>85.316761153329239</v>
      </c>
      <c r="K684" s="4">
        <f t="shared" si="83"/>
        <v>19.180064105330075</v>
      </c>
      <c r="L684" s="45">
        <f>Pressure!Q684</f>
        <v>2.298539525404943</v>
      </c>
      <c r="M684" s="10">
        <f t="shared" si="84"/>
        <v>0.35844439082842794</v>
      </c>
      <c r="N684" s="10">
        <f t="shared" si="90"/>
        <v>2.9545467240956045</v>
      </c>
    </row>
    <row r="685" spans="3:14">
      <c r="C685" s="4">
        <f>Pressure!AB685*1000000</f>
        <v>592994.99561534112</v>
      </c>
      <c r="D685" s="84">
        <f>Pressure!I685</f>
        <v>1.4801552192482141E-4</v>
      </c>
      <c r="E685" s="40">
        <f>Pressure!H685</f>
        <v>148.0155219248214</v>
      </c>
      <c r="F685" s="10">
        <f t="shared" si="86"/>
        <v>8</v>
      </c>
      <c r="G685" s="4">
        <f t="shared" si="85"/>
        <v>101000</v>
      </c>
      <c r="H685" s="45">
        <f t="shared" si="87"/>
        <v>1.6945429547939785</v>
      </c>
      <c r="I685" s="10">
        <f t="shared" si="88"/>
        <v>0.9652987955639325</v>
      </c>
      <c r="J685" s="4">
        <f t="shared" si="89"/>
        <v>84.726653565504819</v>
      </c>
      <c r="K685" s="4">
        <f t="shared" si="83"/>
        <v>19.047401997550654</v>
      </c>
      <c r="L685" s="45">
        <f>Pressure!Q685</f>
        <v>2.3027337311479728</v>
      </c>
      <c r="M685" s="10">
        <f t="shared" si="84"/>
        <v>0.35659853328906216</v>
      </c>
      <c r="N685" s="10">
        <f t="shared" si="90"/>
        <v>2.9545467240956045</v>
      </c>
    </row>
    <row r="686" spans="3:14">
      <c r="C686" s="4">
        <f>Pressure!AB686*1000000</f>
        <v>589703.29945289646</v>
      </c>
      <c r="D686" s="84">
        <f>Pressure!I686</f>
        <v>1.4801552192482141E-4</v>
      </c>
      <c r="E686" s="40">
        <f>Pressure!H686</f>
        <v>148.0155219248214</v>
      </c>
      <c r="F686" s="10">
        <f t="shared" si="86"/>
        <v>8</v>
      </c>
      <c r="G686" s="4">
        <f t="shared" si="85"/>
        <v>101000</v>
      </c>
      <c r="H686" s="45">
        <f t="shared" si="87"/>
        <v>1.688629416147188</v>
      </c>
      <c r="I686" s="10">
        <f t="shared" si="88"/>
        <v>0.96393179636837523</v>
      </c>
      <c r="J686" s="4">
        <f t="shared" si="89"/>
        <v>84.13701977946684</v>
      </c>
      <c r="K686" s="4">
        <f t="shared" si="83"/>
        <v>18.914846405167673</v>
      </c>
      <c r="L686" s="45">
        <f>Pressure!Q686</f>
        <v>2.3069353505355159</v>
      </c>
      <c r="M686" s="10">
        <f t="shared" si="84"/>
        <v>0.35475044188899352</v>
      </c>
      <c r="N686" s="10">
        <f t="shared" si="90"/>
        <v>2.9545467240956045</v>
      </c>
    </row>
    <row r="687" spans="3:14">
      <c r="C687" s="4">
        <f>Pressure!AB687*1000000</f>
        <v>586411.97967387817</v>
      </c>
      <c r="D687" s="84">
        <f>Pressure!I687</f>
        <v>1.4801552192482141E-4</v>
      </c>
      <c r="E687" s="40">
        <f>Pressure!H687</f>
        <v>148.0155219248214</v>
      </c>
      <c r="F687" s="10">
        <f t="shared" si="86"/>
        <v>8</v>
      </c>
      <c r="G687" s="4">
        <f t="shared" si="85"/>
        <v>101000</v>
      </c>
      <c r="H687" s="45">
        <f t="shared" si="87"/>
        <v>1.6827126765642371</v>
      </c>
      <c r="I687" s="10">
        <f t="shared" si="88"/>
        <v>0.96255444268095547</v>
      </c>
      <c r="J687" s="4">
        <f t="shared" si="89"/>
        <v>83.547872933024493</v>
      </c>
      <c r="K687" s="4">
        <f t="shared" si="83"/>
        <v>18.782400281692482</v>
      </c>
      <c r="L687" s="45">
        <f>Pressure!Q687</f>
        <v>2.311144437331778</v>
      </c>
      <c r="M687" s="10">
        <f t="shared" si="84"/>
        <v>0.35290013392438574</v>
      </c>
      <c r="N687" s="10">
        <f t="shared" si="90"/>
        <v>2.9545467240956045</v>
      </c>
    </row>
    <row r="688" spans="3:14">
      <c r="C688" s="4">
        <f>Pressure!AB688*1000000</f>
        <v>583121.09620401938</v>
      </c>
      <c r="D688" s="84">
        <f>Pressure!I688</f>
        <v>1.4801552192482141E-4</v>
      </c>
      <c r="E688" s="40">
        <f>Pressure!H688</f>
        <v>148.0155219248214</v>
      </c>
      <c r="F688" s="10">
        <f t="shared" si="86"/>
        <v>8</v>
      </c>
      <c r="G688" s="4">
        <f t="shared" si="85"/>
        <v>101000</v>
      </c>
      <c r="H688" s="45">
        <f t="shared" si="87"/>
        <v>1.676792857456842</v>
      </c>
      <c r="I688" s="10">
        <f t="shared" si="88"/>
        <v>0.96116661601158238</v>
      </c>
      <c r="J688" s="4">
        <f t="shared" si="89"/>
        <v>82.959226227555163</v>
      </c>
      <c r="K688" s="4">
        <f t="shared" si="83"/>
        <v>18.6500665949272</v>
      </c>
      <c r="L688" s="45">
        <f>Pressure!Q688</f>
        <v>2.3153610458563043</v>
      </c>
      <c r="M688" s="10">
        <f t="shared" si="84"/>
        <v>0.35104762685732488</v>
      </c>
      <c r="N688" s="10">
        <f t="shared" si="90"/>
        <v>2.9545467240956045</v>
      </c>
    </row>
    <row r="689" spans="3:14">
      <c r="C689" s="4">
        <f>Pressure!AB689*1000000</f>
        <v>579830.70934918954</v>
      </c>
      <c r="D689" s="84">
        <f>Pressure!I689</f>
        <v>1.4801552192482141E-4</v>
      </c>
      <c r="E689" s="40">
        <f>Pressure!H689</f>
        <v>148.0155219248214</v>
      </c>
      <c r="F689" s="10">
        <f t="shared" si="86"/>
        <v>8</v>
      </c>
      <c r="G689" s="4">
        <f t="shared" si="85"/>
        <v>101000</v>
      </c>
      <c r="H689" s="45">
        <f t="shared" si="87"/>
        <v>1.670870082202573</v>
      </c>
      <c r="I689" s="10">
        <f t="shared" si="88"/>
        <v>0.9597681959138582</v>
      </c>
      <c r="J689" s="4">
        <f t="shared" si="89"/>
        <v>82.371092928308741</v>
      </c>
      <c r="K689" s="4">
        <f t="shared" si="83"/>
        <v>18.517848327033125</v>
      </c>
      <c r="L689" s="45">
        <f>Pressure!Q689</f>
        <v>2.3195852309918616</v>
      </c>
      <c r="M689" s="10">
        <f t="shared" si="84"/>
        <v>0.34919293831757514</v>
      </c>
      <c r="N689" s="10">
        <f t="shared" si="90"/>
        <v>2.9545467240956045</v>
      </c>
    </row>
    <row r="690" spans="3:14">
      <c r="C690" s="4">
        <f>Pressure!AB690*1000000</f>
        <v>576540.87979904399</v>
      </c>
      <c r="D690" s="84">
        <f>Pressure!I690</f>
        <v>1.4801552192482141E-4</v>
      </c>
      <c r="E690" s="40">
        <f>Pressure!H690</f>
        <v>148.0155219248214</v>
      </c>
      <c r="F690" s="10">
        <f t="shared" si="86"/>
        <v>8</v>
      </c>
      <c r="G690" s="4">
        <f t="shared" si="85"/>
        <v>101000</v>
      </c>
      <c r="H690" s="45">
        <f t="shared" si="87"/>
        <v>1.6649444761929955</v>
      </c>
      <c r="I690" s="10">
        <f t="shared" si="88"/>
        <v>0.95835905994333537</v>
      </c>
      <c r="J690" s="4">
        <f t="shared" si="89"/>
        <v>81.783486364713795</v>
      </c>
      <c r="K690" s="4">
        <f t="shared" si="83"/>
        <v>18.385748474599566</v>
      </c>
      <c r="L690" s="45">
        <f>Pressure!Q690</f>
        <v>2.323817048192454</v>
      </c>
      <c r="M690" s="10">
        <f t="shared" si="84"/>
        <v>0.34733608610411115</v>
      </c>
      <c r="N690" s="10">
        <f t="shared" si="90"/>
        <v>2.9545467240956045</v>
      </c>
    </row>
    <row r="691" spans="3:14">
      <c r="C691" s="4">
        <f>Pressure!AB691*1000000</f>
        <v>573251.66863023024</v>
      </c>
      <c r="D691" s="84">
        <f>Pressure!I691</f>
        <v>1.4801552192482141E-4</v>
      </c>
      <c r="E691" s="40">
        <f>Pressure!H691</f>
        <v>148.0155219248214</v>
      </c>
      <c r="F691" s="10">
        <f t="shared" si="86"/>
        <v>8</v>
      </c>
      <c r="G691" s="4">
        <f t="shared" si="85"/>
        <v>101000</v>
      </c>
      <c r="H691" s="45">
        <f t="shared" si="87"/>
        <v>1.6590161668824539</v>
      </c>
      <c r="I691" s="10">
        <f t="shared" si="88"/>
        <v>0.95693908361445545</v>
      </c>
      <c r="J691" s="4">
        <f t="shared" si="89"/>
        <v>81.196419930593578</v>
      </c>
      <c r="K691" s="4">
        <f t="shared" si="83"/>
        <v>18.253770048692409</v>
      </c>
      <c r="L691" s="45">
        <f>Pressure!Q691</f>
        <v>2.3280565534914825</v>
      </c>
      <c r="M691" s="10">
        <f t="shared" si="84"/>
        <v>0.34547708818706208</v>
      </c>
      <c r="N691" s="10">
        <f t="shared" si="90"/>
        <v>2.9545467240956045</v>
      </c>
    </row>
    <row r="692" spans="3:14">
      <c r="C692" s="4">
        <f>Pressure!AB692*1000000</f>
        <v>569963.1373101793</v>
      </c>
      <c r="D692" s="84">
        <f>Pressure!I692</f>
        <v>1.4801552192482141E-4</v>
      </c>
      <c r="E692" s="40">
        <f>Pressure!H692</f>
        <v>148.0155219248214</v>
      </c>
      <c r="F692" s="10">
        <f t="shared" si="86"/>
        <v>8</v>
      </c>
      <c r="G692" s="4">
        <f t="shared" si="85"/>
        <v>101000</v>
      </c>
      <c r="H692" s="45">
        <f t="shared" si="87"/>
        <v>1.6530852838394174</v>
      </c>
      <c r="I692" s="10">
        <f t="shared" si="88"/>
        <v>0.9555081403565755</v>
      </c>
      <c r="J692" s="4">
        <f t="shared" si="89"/>
        <v>80.60990708447558</v>
      </c>
      <c r="K692" s="4">
        <f t="shared" si="83"/>
        <v>18.121916074923696</v>
      </c>
      <c r="L692" s="45">
        <f>Pressure!Q692</f>
        <v>2.3323038035100447</v>
      </c>
      <c r="M692" s="10">
        <f t="shared" si="84"/>
        <v>0.34361596270911593</v>
      </c>
      <c r="N692" s="10">
        <f t="shared" si="90"/>
        <v>2.9545467240956045</v>
      </c>
    </row>
    <row r="693" spans="3:14">
      <c r="C693" s="4">
        <f>Pressure!AB693*1000000</f>
        <v>566675.34770049155</v>
      </c>
      <c r="D693" s="84">
        <f>Pressure!I693</f>
        <v>1.4801552192482141E-4</v>
      </c>
      <c r="E693" s="40">
        <f>Pressure!H693</f>
        <v>148.0155219248214</v>
      </c>
      <c r="F693" s="10">
        <f t="shared" si="86"/>
        <v>8</v>
      </c>
      <c r="G693" s="4">
        <f t="shared" si="85"/>
        <v>101000</v>
      </c>
      <c r="H693" s="45">
        <f t="shared" si="87"/>
        <v>1.6471519587986618</v>
      </c>
      <c r="I693" s="10">
        <f t="shared" si="88"/>
        <v>0.95406610146861981</v>
      </c>
      <c r="J693" s="4">
        <f t="shared" si="89"/>
        <v>80.023961349817284</v>
      </c>
      <c r="K693" s="4">
        <f t="shared" si="83"/>
        <v>17.990189593502379</v>
      </c>
      <c r="L693" s="45">
        <f>Pressure!Q693</f>
        <v>2.336558855465384</v>
      </c>
      <c r="M693" s="10">
        <f t="shared" si="84"/>
        <v>0.34175272798752382</v>
      </c>
      <c r="N693" s="10">
        <f t="shared" si="90"/>
        <v>2.9545467240956045</v>
      </c>
    </row>
    <row r="694" spans="3:14">
      <c r="C694" s="4">
        <f>Pressure!AB694*1000000</f>
        <v>563388.36206087191</v>
      </c>
      <c r="D694" s="84">
        <f>Pressure!I694</f>
        <v>1.4801552192482141E-4</v>
      </c>
      <c r="E694" s="40">
        <f>Pressure!H694</f>
        <v>148.0155219248214</v>
      </c>
      <c r="F694" s="10">
        <f t="shared" si="86"/>
        <v>8</v>
      </c>
      <c r="G694" s="4">
        <f t="shared" si="85"/>
        <v>101000</v>
      </c>
      <c r="H694" s="45">
        <f t="shared" si="87"/>
        <v>1.6412163257160703</v>
      </c>
      <c r="I694" s="10">
        <f t="shared" si="88"/>
        <v>0.95261283607273017</v>
      </c>
      <c r="J694" s="4">
        <f t="shared" si="89"/>
        <v>79.438596315317838</v>
      </c>
      <c r="K694" s="4">
        <f t="shared" si="83"/>
        <v>17.8585936593044</v>
      </c>
      <c r="L694" s="45">
        <f>Pressure!Q694</f>
        <v>2.3408217671794844</v>
      </c>
      <c r="M694" s="10">
        <f t="shared" si="84"/>
        <v>0.3398874025155596</v>
      </c>
      <c r="N694" s="10">
        <f t="shared" si="90"/>
        <v>2.9545467240956045</v>
      </c>
    </row>
    <row r="695" spans="3:14">
      <c r="C695" s="4">
        <f>Pressure!AB695*1000000</f>
        <v>560102.24305232218</v>
      </c>
      <c r="D695" s="84">
        <f>Pressure!I695</f>
        <v>1.4801552192482141E-4</v>
      </c>
      <c r="E695" s="40">
        <f>Pressure!H695</f>
        <v>148.0155219248214</v>
      </c>
      <c r="F695" s="10">
        <f t="shared" si="86"/>
        <v>8</v>
      </c>
      <c r="G695" s="4">
        <f t="shared" si="85"/>
        <v>101000</v>
      </c>
      <c r="H695" s="45">
        <f t="shared" si="87"/>
        <v>1.6352785208237892</v>
      </c>
      <c r="I695" s="10">
        <f t="shared" si="88"/>
        <v>0.95114821106631309</v>
      </c>
      <c r="J695" s="4">
        <f t="shared" si="89"/>
        <v>78.853825635085343</v>
      </c>
      <c r="K695" s="4">
        <f t="shared" si="83"/>
        <v>17.727131341910287</v>
      </c>
      <c r="L695" s="45">
        <f>Pressure!Q695</f>
        <v>2.3450925970878216</v>
      </c>
      <c r="M695" s="10">
        <f t="shared" si="84"/>
        <v>0.33802000496445372</v>
      </c>
      <c r="N695" s="10">
        <f t="shared" si="90"/>
        <v>2.9545467240956045</v>
      </c>
    </row>
    <row r="696" spans="3:14">
      <c r="C696" s="4">
        <f>Pressure!AB696*1000000</f>
        <v>556817.05374146136</v>
      </c>
      <c r="D696" s="84">
        <f>Pressure!I696</f>
        <v>1.4801552192482141E-4</v>
      </c>
      <c r="E696" s="40">
        <f>Pressure!H696</f>
        <v>148.0155219248214</v>
      </c>
      <c r="F696" s="10">
        <f t="shared" si="86"/>
        <v>8</v>
      </c>
      <c r="G696" s="4">
        <f t="shared" si="85"/>
        <v>101000</v>
      </c>
      <c r="H696" s="45">
        <f t="shared" si="87"/>
        <v>1.6293386826891911</v>
      </c>
      <c r="I696" s="10">
        <f t="shared" si="88"/>
        <v>0.94967209107326311</v>
      </c>
      <c r="J696" s="4">
        <f t="shared" si="89"/>
        <v>78.269663028992312</v>
      </c>
      <c r="K696" s="4">
        <f t="shared" si="83"/>
        <v>17.595805725685068</v>
      </c>
      <c r="L696" s="45">
        <f>Pressure!Q696</f>
        <v>2.3493714042482656</v>
      </c>
      <c r="M696" s="10">
        <f t="shared" si="84"/>
        <v>0.33615055418490192</v>
      </c>
      <c r="N696" s="10">
        <f t="shared" si="90"/>
        <v>2.9545467240956045</v>
      </c>
    </row>
    <row r="697" spans="3:14">
      <c r="C697" s="4">
        <f>Pressure!AB697*1000000</f>
        <v>553532.85760383913</v>
      </c>
      <c r="D697" s="84">
        <f>Pressure!I697</f>
        <v>1.4801552192482141E-4</v>
      </c>
      <c r="E697" s="40">
        <f>Pressure!H697</f>
        <v>148.0155219248214</v>
      </c>
      <c r="F697" s="10">
        <f t="shared" si="86"/>
        <v>8</v>
      </c>
      <c r="G697" s="4">
        <f t="shared" si="85"/>
        <v>101000</v>
      </c>
      <c r="H697" s="45">
        <f t="shared" si="87"/>
        <v>1.6233969522738543</v>
      </c>
      <c r="I697" s="10">
        <f t="shared" si="88"/>
        <v>0.94818433839337724</v>
      </c>
      <c r="J697" s="4">
        <f t="shared" si="89"/>
        <v>77.686122282838767</v>
      </c>
      <c r="K697" s="4">
        <f t="shared" si="83"/>
        <v>17.464619909814928</v>
      </c>
      <c r="L697" s="45">
        <f>Pressure!Q697</f>
        <v>2.3536582483501443</v>
      </c>
      <c r="M697" s="10">
        <f t="shared" si="84"/>
        <v>0.33427906920893635</v>
      </c>
      <c r="N697" s="10">
        <f t="shared" si="90"/>
        <v>2.9545467240956045</v>
      </c>
    </row>
    <row r="698" spans="3:14">
      <c r="C698" s="4">
        <f>Pressure!AB698*1000000</f>
        <v>550249.71852799377</v>
      </c>
      <c r="D698" s="84">
        <f>Pressure!I698</f>
        <v>1.4801552192482141E-4</v>
      </c>
      <c r="E698" s="40">
        <f>Pressure!H698</f>
        <v>148.0155219248214</v>
      </c>
      <c r="F698" s="10">
        <f t="shared" si="86"/>
        <v>8</v>
      </c>
      <c r="G698" s="4">
        <f t="shared" si="85"/>
        <v>101000</v>
      </c>
      <c r="H698" s="45">
        <f t="shared" si="87"/>
        <v>1.6174534729958054</v>
      </c>
      <c r="I698" s="10">
        <f t="shared" si="88"/>
        <v>0.94668481295069029</v>
      </c>
      <c r="J698" s="4">
        <f t="shared" si="89"/>
        <v>77.103217248634351</v>
      </c>
      <c r="K698" s="4">
        <f t="shared" si="83"/>
        <v>17.333577008370657</v>
      </c>
      <c r="L698" s="45">
        <f>Pressure!Q698</f>
        <v>2.3579531897234687</v>
      </c>
      <c r="M698" s="10">
        <f t="shared" si="84"/>
        <v>0.33240556925164277</v>
      </c>
      <c r="N698" s="10">
        <f t="shared" si="90"/>
        <v>2.9545467240956045</v>
      </c>
    </row>
    <row r="699" spans="3:14">
      <c r="C699" s="4">
        <f>Pressure!AB699*1000000</f>
        <v>546967.70081910712</v>
      </c>
      <c r="D699" s="84">
        <f>Pressure!I699</f>
        <v>1.4801552192482141E-4</v>
      </c>
      <c r="E699" s="40">
        <f>Pressure!H699</f>
        <v>148.0155219248214</v>
      </c>
      <c r="F699" s="10">
        <f t="shared" si="86"/>
        <v>8</v>
      </c>
      <c r="G699" s="4">
        <f t="shared" si="85"/>
        <v>101000</v>
      </c>
      <c r="H699" s="45">
        <f t="shared" si="87"/>
        <v>1.6115083907930312</v>
      </c>
      <c r="I699" s="10">
        <f t="shared" si="88"/>
        <v>0.94517337224017572</v>
      </c>
      <c r="J699" s="4">
        <f t="shared" si="89"/>
        <v>76.520961844794797</v>
      </c>
      <c r="K699" s="4">
        <f t="shared" si="83"/>
        <v>17.202680150351782</v>
      </c>
      <c r="L699" s="45">
        <f>Pressure!Q699</f>
        <v>2.362256289348323</v>
      </c>
      <c r="M699" s="10">
        <f t="shared" si="84"/>
        <v>0.33053007371274329</v>
      </c>
      <c r="N699" s="10">
        <f t="shared" si="90"/>
        <v>2.9545467240956045</v>
      </c>
    </row>
    <row r="700" spans="3:14">
      <c r="C700" s="4">
        <f>Pressure!AB700*1000000</f>
        <v>543686.8692030916</v>
      </c>
      <c r="D700" s="84">
        <f>Pressure!I700</f>
        <v>1.4801552192482141E-4</v>
      </c>
      <c r="E700" s="40">
        <f>Pressure!H700</f>
        <v>148.0155219248214</v>
      </c>
      <c r="F700" s="10">
        <f t="shared" si="86"/>
        <v>8</v>
      </c>
      <c r="G700" s="4">
        <f t="shared" si="85"/>
        <v>101000</v>
      </c>
      <c r="H700" s="45">
        <f t="shared" si="87"/>
        <v>1.6055618541898506</v>
      </c>
      <c r="I700" s="10">
        <f t="shared" si="88"/>
        <v>0.94364987127313849</v>
      </c>
      <c r="J700" s="4">
        <f t="shared" si="89"/>
        <v>75.93937005640089</v>
      </c>
      <c r="K700" s="4">
        <f t="shared" si="83"/>
        <v>17.071932479744817</v>
      </c>
      <c r="L700" s="45">
        <f>Pressure!Q700</f>
        <v>2.3665676088644236</v>
      </c>
      <c r="M700" s="10">
        <f t="shared" si="84"/>
        <v>0.32865260217840314</v>
      </c>
      <c r="N700" s="10">
        <f t="shared" si="90"/>
        <v>2.9545467240956045</v>
      </c>
    </row>
    <row r="701" spans="3:14">
      <c r="C701" s="4">
        <f>Pressure!AB701*1000000</f>
        <v>540407.28883060312</v>
      </c>
      <c r="D701" s="84">
        <f>Pressure!I701</f>
        <v>1.4801552192482141E-4</v>
      </c>
      <c r="E701" s="40">
        <f>Pressure!H701</f>
        <v>148.0155219248214</v>
      </c>
      <c r="F701" s="10">
        <f t="shared" si="86"/>
        <v>8</v>
      </c>
      <c r="G701" s="4">
        <f t="shared" si="85"/>
        <v>101000</v>
      </c>
      <c r="H701" s="45">
        <f t="shared" si="87"/>
        <v>1.5996140143653208</v>
      </c>
      <c r="I701" s="10">
        <f t="shared" si="88"/>
        <v>0.9421141625210222</v>
      </c>
      <c r="J701" s="4">
        <f t="shared" si="89"/>
        <v>75.358455935428992</v>
      </c>
      <c r="K701" s="4">
        <f t="shared" si="83"/>
        <v>16.941337155575063</v>
      </c>
      <c r="L701" s="45">
        <f>Pressure!Q701</f>
        <v>2.3708872105808507</v>
      </c>
      <c r="M701" s="10">
        <f t="shared" si="84"/>
        <v>0.3267731744229978</v>
      </c>
      <c r="N701" s="10">
        <f t="shared" si="90"/>
        <v>2.9545467240956045</v>
      </c>
    </row>
    <row r="702" spans="3:14">
      <c r="C702" s="4">
        <f>Pressure!AB702*1000000</f>
        <v>537129.02528063953</v>
      </c>
      <c r="D702" s="84">
        <f>Pressure!I702</f>
        <v>1.4801552192482141E-4</v>
      </c>
      <c r="E702" s="40">
        <f>Pressure!H702</f>
        <v>148.0155219248214</v>
      </c>
      <c r="F702" s="10">
        <f t="shared" si="86"/>
        <v>8</v>
      </c>
      <c r="G702" s="4">
        <f t="shared" si="85"/>
        <v>101000</v>
      </c>
      <c r="H702" s="45">
        <f t="shared" si="87"/>
        <v>1.5936650252231568</v>
      </c>
      <c r="I702" s="10">
        <f t="shared" si="88"/>
        <v>0.94056609585741446</v>
      </c>
      <c r="J702" s="4">
        <f t="shared" si="89"/>
        <v>74.778233600893046</v>
      </c>
      <c r="K702" s="4">
        <f t="shared" si="83"/>
        <v>16.810897351938547</v>
      </c>
      <c r="L702" s="45">
        <f>Pressure!Q702</f>
        <v>2.3752151574859552</v>
      </c>
      <c r="M702" s="10">
        <f t="shared" si="84"/>
        <v>0.32489181041068144</v>
      </c>
      <c r="N702" s="10">
        <f t="shared" si="90"/>
        <v>2.9545467240956045</v>
      </c>
    </row>
    <row r="703" spans="3:14">
      <c r="C703" s="4">
        <f>Pressure!AB703*1000000</f>
        <v>533852.1445651938</v>
      </c>
      <c r="D703" s="84">
        <f>Pressure!I703</f>
        <v>1.4801552192482141E-4</v>
      </c>
      <c r="E703" s="40">
        <f>Pressure!H703</f>
        <v>148.0155219248214</v>
      </c>
      <c r="F703" s="10">
        <f t="shared" si="86"/>
        <v>8</v>
      </c>
      <c r="G703" s="4">
        <f t="shared" si="85"/>
        <v>101000</v>
      </c>
      <c r="H703" s="45">
        <f t="shared" si="87"/>
        <v>1.5877150434659224</v>
      </c>
      <c r="I703" s="10">
        <f t="shared" si="88"/>
        <v>0.93900551849888581</v>
      </c>
      <c r="J703" s="4">
        <f t="shared" si="89"/>
        <v>74.198717239157105</v>
      </c>
      <c r="K703" s="4">
        <f t="shared" si="83"/>
        <v>16.680616258072277</v>
      </c>
      <c r="L703" s="45">
        <f>Pressure!Q703</f>
        <v>2.3795515132574461</v>
      </c>
      <c r="M703" s="10">
        <f t="shared" si="84"/>
        <v>0.32300853029717858</v>
      </c>
      <c r="N703" s="10">
        <f t="shared" si="90"/>
        <v>2.9545467240956045</v>
      </c>
    </row>
    <row r="704" spans="3:14">
      <c r="C704" s="4">
        <f>Pressure!AB704*1000000</f>
        <v>530576.71313288494</v>
      </c>
      <c r="D704" s="84">
        <f>Pressure!I704</f>
        <v>1.4801552192482141E-4</v>
      </c>
      <c r="E704" s="40">
        <f>Pressure!H704</f>
        <v>148.0155219248214</v>
      </c>
      <c r="F704" s="10">
        <f t="shared" si="86"/>
        <v>8</v>
      </c>
      <c r="G704" s="4">
        <f t="shared" si="85"/>
        <v>101000</v>
      </c>
      <c r="H704" s="45">
        <f t="shared" si="87"/>
        <v>1.5817642286698204</v>
      </c>
      <c r="I704" s="10">
        <f t="shared" si="88"/>
        <v>0.93743227494363368</v>
      </c>
      <c r="J704" s="4">
        <f t="shared" si="89"/>
        <v>73.619921104050704</v>
      </c>
      <c r="K704" s="4">
        <f t="shared" si="83"/>
        <v>16.550497078380179</v>
      </c>
      <c r="L704" s="45">
        <f>Pressure!Q704</f>
        <v>2.3838963422726591</v>
      </c>
      <c r="M704" s="10">
        <f t="shared" si="84"/>
        <v>0.32112335443142659</v>
      </c>
      <c r="N704" s="10">
        <f t="shared" si="90"/>
        <v>2.9545467240956045</v>
      </c>
    </row>
    <row r="705" spans="3:14">
      <c r="C705" s="4">
        <f>Pressure!AB705*1000000</f>
        <v>527302.79787317442</v>
      </c>
      <c r="D705" s="84">
        <f>Pressure!I705</f>
        <v>1.4801552192482141E-4</v>
      </c>
      <c r="E705" s="40">
        <f>Pressure!H705</f>
        <v>148.0155219248214</v>
      </c>
      <c r="F705" s="10">
        <f t="shared" si="86"/>
        <v>8</v>
      </c>
      <c r="G705" s="4">
        <f t="shared" si="85"/>
        <v>101000</v>
      </c>
      <c r="H705" s="45">
        <f t="shared" si="87"/>
        <v>1.5758127433631219</v>
      </c>
      <c r="I705" s="10">
        <f t="shared" si="88"/>
        <v>0.93584620690862141</v>
      </c>
      <c r="J705" s="4">
        <f t="shared" si="89"/>
        <v>73.04185951707052</v>
      </c>
      <c r="K705" s="4">
        <f t="shared" si="83"/>
        <v>16.420543032478424</v>
      </c>
      <c r="L705" s="45">
        <f>Pressure!Q705</f>
        <v>2.3882497096190169</v>
      </c>
      <c r="M705" s="10">
        <f t="shared" si="84"/>
        <v>0.31923630335734227</v>
      </c>
      <c r="N705" s="10">
        <f t="shared" si="90"/>
        <v>2.9545467240956045</v>
      </c>
    </row>
    <row r="706" spans="3:14">
      <c r="C706" s="4">
        <f>Pressure!AB706*1000000</f>
        <v>524030.46612067369</v>
      </c>
      <c r="D706" s="84">
        <f>Pressure!I706</f>
        <v>1.4801552192482141E-4</v>
      </c>
      <c r="E706" s="40">
        <f>Pressure!H706</f>
        <v>148.0155219248214</v>
      </c>
      <c r="F706" s="10">
        <f t="shared" si="86"/>
        <v>8</v>
      </c>
      <c r="G706" s="4">
        <f t="shared" si="85"/>
        <v>101000</v>
      </c>
      <c r="H706" s="45">
        <f t="shared" si="87"/>
        <v>1.5698607531074327</v>
      </c>
      <c r="I706" s="10">
        <f t="shared" si="88"/>
        <v>0.93424715326492502</v>
      </c>
      <c r="J706" s="4">
        <f t="shared" si="89"/>
        <v>72.464546867580452</v>
      </c>
      <c r="K706" s="4">
        <f t="shared" si="83"/>
        <v>16.290757355240423</v>
      </c>
      <c r="L706" s="45">
        <f>Pressure!Q706</f>
        <v>2.3926116811046754</v>
      </c>
      <c r="M706" s="10">
        <f t="shared" si="84"/>
        <v>0.31734739781523708</v>
      </c>
      <c r="N706" s="10">
        <f t="shared" si="90"/>
        <v>2.9545467240956045</v>
      </c>
    </row>
    <row r="707" spans="3:14">
      <c r="C707" s="4">
        <f>Pressure!AB707*1000000</f>
        <v>520759.78565951897</v>
      </c>
      <c r="D707" s="84">
        <f>Pressure!I707</f>
        <v>1.4801552192482141E-4</v>
      </c>
      <c r="E707" s="40">
        <f>Pressure!H707</f>
        <v>148.0155219248214</v>
      </c>
      <c r="F707" s="10">
        <f t="shared" si="86"/>
        <v>8</v>
      </c>
      <c r="G707" s="4">
        <f t="shared" si="85"/>
        <v>101000</v>
      </c>
      <c r="H707" s="45">
        <f t="shared" si="87"/>
        <v>1.5639084265818883</v>
      </c>
      <c r="I707" s="10">
        <f t="shared" si="88"/>
        <v>0.9326349499712171</v>
      </c>
      <c r="J707" s="4">
        <f t="shared" si="89"/>
        <v>71.887997613005354</v>
      </c>
      <c r="K707" s="4">
        <f t="shared" si="83"/>
        <v>16.161143296840375</v>
      </c>
      <c r="L707" s="45">
        <f>Pressure!Q707</f>
        <v>2.396982323269369</v>
      </c>
      <c r="M707" s="10">
        <f t="shared" si="84"/>
        <v>0.31545665874383039</v>
      </c>
      <c r="N707" s="10">
        <f t="shared" si="90"/>
        <v>2.9545467240956045</v>
      </c>
    </row>
    <row r="708" spans="3:14">
      <c r="C708" s="4">
        <f>Pressure!AB708*1000000</f>
        <v>517490.82472721965</v>
      </c>
      <c r="D708" s="84">
        <f>Pressure!I708</f>
        <v>1.4801552192482141E-4</v>
      </c>
      <c r="E708" s="40">
        <f>Pressure!H708</f>
        <v>148.0155219248214</v>
      </c>
      <c r="F708" s="10">
        <f t="shared" si="86"/>
        <v>8</v>
      </c>
      <c r="G708" s="4">
        <f t="shared" si="85"/>
        <v>101000</v>
      </c>
      <c r="H708" s="45">
        <f t="shared" si="87"/>
        <v>1.557955935669308</v>
      </c>
      <c r="I708" s="10">
        <f t="shared" si="88"/>
        <v>0.9310094300050199</v>
      </c>
      <c r="J708" s="4">
        <f t="shared" si="89"/>
        <v>71.31222627891276</v>
      </c>
      <c r="K708" s="4">
        <f t="shared" si="83"/>
        <v>16.031704122771629</v>
      </c>
      <c r="L708" s="45">
        <f>Pressure!Q708</f>
        <v>2.4013617033954535</v>
      </c>
      <c r="M708" s="10">
        <f t="shared" si="84"/>
        <v>0.31356410728155992</v>
      </c>
      <c r="N708" s="10">
        <f t="shared" si="90"/>
        <v>2.9545467240956045</v>
      </c>
    </row>
    <row r="709" spans="3:14">
      <c r="C709" s="4">
        <f>Pressure!AB709*1000000</f>
        <v>514223.65201950469</v>
      </c>
      <c r="D709" s="84">
        <f>Pressure!I709</f>
        <v>1.4801552192482141E-4</v>
      </c>
      <c r="E709" s="40">
        <f>Pressure!H709</f>
        <v>148.0155219248214</v>
      </c>
      <c r="F709" s="10">
        <f t="shared" si="86"/>
        <v>8</v>
      </c>
      <c r="G709" s="4">
        <f t="shared" si="85"/>
        <v>101000</v>
      </c>
      <c r="H709" s="45">
        <f t="shared" si="87"/>
        <v>1.5520034555472169</v>
      </c>
      <c r="I709" s="10">
        <f t="shared" si="88"/>
        <v>0.92937042329241348</v>
      </c>
      <c r="J709" s="4">
        <f t="shared" si="89"/>
        <v>70.737247459251122</v>
      </c>
      <c r="K709" s="4">
        <f t="shared" si="83"/>
        <v>15.902443113900256</v>
      </c>
      <c r="L709" s="45">
        <f>Pressure!Q709</f>
        <v>2.4057498895191531</v>
      </c>
      <c r="M709" s="10">
        <f t="shared" si="84"/>
        <v>0.31166976476832237</v>
      </c>
      <c r="N709" s="10">
        <f t="shared" si="90"/>
        <v>2.9545467240956045</v>
      </c>
    </row>
    <row r="710" spans="3:14">
      <c r="C710" s="4">
        <f>Pressure!AB710*1000000</f>
        <v>510958.33669434156</v>
      </c>
      <c r="D710" s="84">
        <f>Pressure!I710</f>
        <v>1.4801552192482141E-4</v>
      </c>
      <c r="E710" s="40">
        <f>Pressure!H710</f>
        <v>148.0155219248214</v>
      </c>
      <c r="F710" s="10">
        <f t="shared" si="86"/>
        <v>8</v>
      </c>
      <c r="G710" s="4">
        <f t="shared" si="85"/>
        <v>101000</v>
      </c>
      <c r="H710" s="45">
        <f t="shared" si="87"/>
        <v>1.5460511647805582</v>
      </c>
      <c r="I710" s="10">
        <f t="shared" si="88"/>
        <v>0.92771775663522671</v>
      </c>
      <c r="J710" s="4">
        <f t="shared" si="89"/>
        <v>70.163075816421767</v>
      </c>
      <c r="K710" s="4">
        <f t="shared" si="83"/>
        <v>15.773363566481221</v>
      </c>
      <c r="L710" s="45">
        <f>Pressure!Q710</f>
        <v>2.4101469504420163</v>
      </c>
      <c r="M710" s="10">
        <f t="shared" si="84"/>
        <v>0.30977365274712554</v>
      </c>
      <c r="N710" s="10">
        <f t="shared" si="90"/>
        <v>2.9545467240956045</v>
      </c>
    </row>
    <row r="711" spans="3:14">
      <c r="C711" s="4">
        <f>Pressure!AB711*1000000</f>
        <v>507694.94837670116</v>
      </c>
      <c r="D711" s="84">
        <f>Pressure!I711</f>
        <v>1.4801552192482141E-4</v>
      </c>
      <c r="E711" s="40">
        <f>Pressure!H711</f>
        <v>148.0155219248214</v>
      </c>
      <c r="F711" s="10">
        <f t="shared" si="86"/>
        <v>8</v>
      </c>
      <c r="G711" s="4">
        <f t="shared" si="85"/>
        <v>101000</v>
      </c>
      <c r="H711" s="45">
        <f t="shared" si="87"/>
        <v>1.5400992454190898</v>
      </c>
      <c r="I711" s="10">
        <f t="shared" si="88"/>
        <v>0.92605125363641527</v>
      </c>
      <c r="J711" s="4">
        <f t="shared" si="89"/>
        <v>69.589726081461123</v>
      </c>
      <c r="K711" s="4">
        <f t="shared" si="83"/>
        <v>15.644468792199344</v>
      </c>
      <c r="L711" s="45">
        <f>Pressure!Q711</f>
        <v>2.4145529557425824</v>
      </c>
      <c r="M711" s="10">
        <f t="shared" si="84"/>
        <v>0.30787579296551931</v>
      </c>
      <c r="N711" s="10">
        <f t="shared" si="90"/>
        <v>2.9545467240956045</v>
      </c>
    </row>
    <row r="712" spans="3:14">
      <c r="C712" s="4">
        <f>Pressure!AB712*1000000</f>
        <v>504433.55716272211</v>
      </c>
      <c r="D712" s="84">
        <f>Pressure!I712</f>
        <v>1.4801552192482141E-4</v>
      </c>
      <c r="E712" s="40">
        <f>Pressure!H712</f>
        <v>148.0155219248214</v>
      </c>
      <c r="F712" s="10">
        <f t="shared" si="86"/>
        <v>8</v>
      </c>
      <c r="G712" s="4">
        <f t="shared" si="85"/>
        <v>101000</v>
      </c>
      <c r="H712" s="45">
        <f t="shared" si="87"/>
        <v>1.5341478830971786</v>
      </c>
      <c r="I712" s="10">
        <f t="shared" si="88"/>
        <v>0.92437073462287522</v>
      </c>
      <c r="J712" s="4">
        <f t="shared" si="89"/>
        <v>69.017213054095464</v>
      </c>
      <c r="K712" s="4">
        <f t="shared" si="83"/>
        <v>15.515762118181616</v>
      </c>
      <c r="L712" s="45">
        <f>Pressure!Q712</f>
        <v>2.4189679757882661</v>
      </c>
      <c r="M712" s="10">
        <f t="shared" si="84"/>
        <v>0.30597620737716558</v>
      </c>
      <c r="N712" s="10">
        <f t="shared" si="90"/>
        <v>2.9545467240956045</v>
      </c>
    </row>
    <row r="713" spans="3:14">
      <c r="C713" s="4">
        <f>Pressure!AB713*1000000</f>
        <v>501174.23362450785</v>
      </c>
      <c r="D713" s="84">
        <f>Pressure!I713</f>
        <v>1.4801552192482141E-4</v>
      </c>
      <c r="E713" s="40">
        <f>Pressure!H713</f>
        <v>148.0155219248214</v>
      </c>
      <c r="F713" s="10">
        <f t="shared" si="86"/>
        <v>8</v>
      </c>
      <c r="G713" s="4">
        <f t="shared" si="85"/>
        <v>101000</v>
      </c>
      <c r="H713" s="45">
        <f t="shared" si="87"/>
        <v>1.5281972671383901</v>
      </c>
      <c r="I713" s="10">
        <f t="shared" si="88"/>
        <v>0.92267601656623144</v>
      </c>
      <c r="J713" s="4">
        <f t="shared" si="89"/>
        <v>68.445551602884265</v>
      </c>
      <c r="K713" s="4">
        <f t="shared" si="83"/>
        <v>15.38724688702942</v>
      </c>
      <c r="L713" s="45">
        <f>Pressure!Q713</f>
        <v>2.4233920817474646</v>
      </c>
      <c r="M713" s="10">
        <f t="shared" si="84"/>
        <v>0.30407491814342319</v>
      </c>
      <c r="N713" s="10">
        <f t="shared" si="90"/>
        <v>2.9545467240956045</v>
      </c>
    </row>
    <row r="714" spans="3:14">
      <c r="C714" s="4">
        <f>Pressure!AB714*1000000</f>
        <v>497917.04881469603</v>
      </c>
      <c r="D714" s="84">
        <f>Pressure!I714</f>
        <v>1.4801552192482141E-4</v>
      </c>
      <c r="E714" s="40">
        <f>Pressure!H714</f>
        <v>148.0155219248214</v>
      </c>
      <c r="F714" s="10">
        <f t="shared" si="86"/>
        <v>8</v>
      </c>
      <c r="G714" s="4">
        <f t="shared" si="85"/>
        <v>101000</v>
      </c>
      <c r="H714" s="45">
        <f t="shared" si="87"/>
        <v>1.5222475906634809</v>
      </c>
      <c r="I714" s="10">
        <f t="shared" si="88"/>
        <v>0.92096691300108458</v>
      </c>
      <c r="J714" s="4">
        <f t="shared" si="89"/>
        <v>67.874756665300055</v>
      </c>
      <c r="K714" s="4">
        <f t="shared" si="83"/>
        <v>15.258926456836486</v>
      </c>
      <c r="L714" s="45">
        <f>Pressure!Q714</f>
        <v>2.4278253456018897</v>
      </c>
      <c r="M714" s="10">
        <f t="shared" si="84"/>
        <v>0.30217194763471478</v>
      </c>
      <c r="N714" s="10">
        <f t="shared" si="90"/>
        <v>2.9545467240956045</v>
      </c>
    </row>
    <row r="715" spans="3:14">
      <c r="C715" s="4">
        <f>Pressure!AB715*1000000</f>
        <v>494662.07427101559</v>
      </c>
      <c r="D715" s="84">
        <f>Pressure!I715</f>
        <v>1.4801552192482141E-4</v>
      </c>
      <c r="E715" s="40">
        <f>Pressure!H715</f>
        <v>148.0155219248214</v>
      </c>
      <c r="F715" s="10">
        <f t="shared" si="86"/>
        <v>8</v>
      </c>
      <c r="G715" s="4">
        <f t="shared" si="85"/>
        <v>101000</v>
      </c>
      <c r="H715" s="45">
        <f t="shared" si="87"/>
        <v>1.5162990507023559</v>
      </c>
      <c r="I715" s="10">
        <f t="shared" si="88"/>
        <v>0.91924323394072993</v>
      </c>
      <c r="J715" s="4">
        <f t="shared" si="89"/>
        <v>67.304843247781605</v>
      </c>
      <c r="K715" s="4">
        <f t="shared" si="83"/>
        <v>15.130804201200847</v>
      </c>
      <c r="L715" s="45">
        <f>Pressure!Q715</f>
        <v>2.4322678401591311</v>
      </c>
      <c r="M715" s="10">
        <f t="shared" si="84"/>
        <v>0.30026731843197024</v>
      </c>
      <c r="N715" s="10">
        <f t="shared" si="90"/>
        <v>2.9545467240956045</v>
      </c>
    </row>
    <row r="716" spans="3:14">
      <c r="C716" s="4">
        <f>Pressure!AB716*1000000</f>
        <v>491409.38202105119</v>
      </c>
      <c r="D716" s="84">
        <f>Pressure!I716</f>
        <v>1.4801552192482141E-4</v>
      </c>
      <c r="E716" s="40">
        <f>Pressure!H716</f>
        <v>148.0155219248214</v>
      </c>
      <c r="F716" s="10">
        <f t="shared" si="86"/>
        <v>8</v>
      </c>
      <c r="G716" s="4">
        <f t="shared" si="85"/>
        <v>101000</v>
      </c>
      <c r="H716" s="45">
        <f t="shared" si="87"/>
        <v>1.5103518483105867</v>
      </c>
      <c r="I716" s="10">
        <f t="shared" si="88"/>
        <v>0.91750478579037342</v>
      </c>
      <c r="J716" s="4">
        <f t="shared" si="89"/>
        <v>66.73582642579845</v>
      </c>
      <c r="K716" s="4">
        <f t="shared" si="83"/>
        <v>15.002883509239345</v>
      </c>
      <c r="L716" s="45">
        <f>Pressure!Q716</f>
        <v>2.436719639065458</v>
      </c>
      <c r="M716" s="10">
        <f t="shared" si="84"/>
        <v>0.29836105332808138</v>
      </c>
      <c r="N716" s="10">
        <f t="shared" si="90"/>
        <v>2.9545467240956045</v>
      </c>
    </row>
    <row r="717" spans="3:14">
      <c r="C717" s="4">
        <f>Pressure!AB717*1000000</f>
        <v>488159.04458710854</v>
      </c>
      <c r="D717" s="84">
        <f>Pressure!I717</f>
        <v>1.4801552192482141E-4</v>
      </c>
      <c r="E717" s="40">
        <f>Pressure!H717</f>
        <v>148.0155219248214</v>
      </c>
      <c r="F717" s="10">
        <f t="shared" si="86"/>
        <v>8</v>
      </c>
      <c r="G717" s="4">
        <f t="shared" si="85"/>
        <v>101000</v>
      </c>
      <c r="H717" s="45">
        <f t="shared" si="87"/>
        <v>1.5044061886904843</v>
      </c>
      <c r="I717" s="10">
        <f t="shared" si="88"/>
        <v>0.91575137125769568</v>
      </c>
      <c r="J717" s="4">
        <f t="shared" si="89"/>
        <v>66.167721343906678</v>
      </c>
      <c r="K717" s="4">
        <f t="shared" si="83"/>
        <v>14.875167785600171</v>
      </c>
      <c r="L717" s="45">
        <f>Pressure!Q717</f>
        <v>2.4411808168188598</v>
      </c>
      <c r="M717" s="10">
        <f t="shared" si="84"/>
        <v>0.29645317532919258</v>
      </c>
      <c r="N717" s="10">
        <f t="shared" si="90"/>
        <v>2.9545467240956045</v>
      </c>
    </row>
    <row r="718" spans="3:14">
      <c r="C718" s="4">
        <f>Pressure!AB718*1000000</f>
        <v>484911.1349908291</v>
      </c>
      <c r="D718" s="84">
        <f>Pressure!I718</f>
        <v>1.4801552192482141E-4</v>
      </c>
      <c r="E718" s="40">
        <f>Pressure!H718</f>
        <v>148.0155219248214</v>
      </c>
      <c r="F718" s="10">
        <f t="shared" si="86"/>
        <v>8</v>
      </c>
      <c r="G718" s="4">
        <f t="shared" si="85"/>
        <v>101000</v>
      </c>
      <c r="H718" s="45">
        <f t="shared" si="87"/>
        <v>1.4984622813163038</v>
      </c>
      <c r="I718" s="10">
        <f t="shared" si="88"/>
        <v>0.91398278926047194</v>
      </c>
      <c r="J718" s="4">
        <f t="shared" si="89"/>
        <v>65.600543215733822</v>
      </c>
      <c r="K718" s="4">
        <f t="shared" si="83"/>
        <v>14.747660450459472</v>
      </c>
      <c r="L718" s="45">
        <f>Pressure!Q718</f>
        <v>2.4456514487823346</v>
      </c>
      <c r="M718" s="10">
        <f t="shared" si="84"/>
        <v>0.2945437076559701</v>
      </c>
      <c r="N718" s="10">
        <f t="shared" si="90"/>
        <v>2.9545467240956045</v>
      </c>
    </row>
    <row r="719" spans="3:14">
      <c r="C719" s="4">
        <f>Pressure!AB719*1000000</f>
        <v>481665.72675822966</v>
      </c>
      <c r="D719" s="84">
        <f>Pressure!I719</f>
        <v>1.4801552192482141E-4</v>
      </c>
      <c r="E719" s="40">
        <f>Pressure!H719</f>
        <v>148.0155219248214</v>
      </c>
      <c r="F719" s="10">
        <f t="shared" si="86"/>
        <v>8</v>
      </c>
      <c r="G719" s="4">
        <f t="shared" si="85"/>
        <v>101000</v>
      </c>
      <c r="H719" s="45">
        <f t="shared" si="87"/>
        <v>1.4925203400650211</v>
      </c>
      <c r="I719" s="10">
        <f t="shared" si="88"/>
        <v>0.91219883483150388</v>
      </c>
      <c r="J719" s="4">
        <f t="shared" si="89"/>
        <v>65.034307324009546</v>
      </c>
      <c r="K719" s="4">
        <f t="shared" ref="K719:K782" si="91">J719/4.4482</f>
        <v>14.620364939528248</v>
      </c>
      <c r="L719" s="45">
        <f>Pressure!Q719</f>
        <v>2.4501316111974303</v>
      </c>
      <c r="M719" s="10">
        <f t="shared" ref="M719:M782" si="92">(J719+J718)/2*(L719-L718)</f>
        <v>0.29263267374489693</v>
      </c>
      <c r="N719" s="10">
        <f t="shared" si="90"/>
        <v>2.9545467240956045</v>
      </c>
    </row>
    <row r="720" spans="3:14">
      <c r="C720" s="4">
        <f>Pressure!AB720*1000000</f>
        <v>478422.89392452169</v>
      </c>
      <c r="D720" s="84">
        <f>Pressure!I720</f>
        <v>1.4801552192482141E-4</v>
      </c>
      <c r="E720" s="40">
        <f>Pressure!H720</f>
        <v>148.0155219248214</v>
      </c>
      <c r="F720" s="10">
        <f t="shared" si="86"/>
        <v>8</v>
      </c>
      <c r="G720" s="4">
        <f t="shared" si="85"/>
        <v>101000</v>
      </c>
      <c r="H720" s="45">
        <f t="shared" si="87"/>
        <v>1.4865805833517436</v>
      </c>
      <c r="I720" s="10">
        <f t="shared" si="88"/>
        <v>0.91039929902040972</v>
      </c>
      <c r="J720" s="4">
        <f t="shared" si="89"/>
        <v>64.469029020528851</v>
      </c>
      <c r="K720" s="4">
        <f t="shared" si="91"/>
        <v>14.493284704044074</v>
      </c>
      <c r="L720" s="45">
        <f>Pressure!Q720</f>
        <v>2.4546213811980415</v>
      </c>
      <c r="M720" s="10">
        <f t="shared" si="92"/>
        <v>0.29072009724938774</v>
      </c>
      <c r="N720" s="10">
        <f t="shared" si="90"/>
        <v>2.9545467240956045</v>
      </c>
    </row>
    <row r="721" spans="3:14">
      <c r="C721" s="4">
        <f>Pressure!AB721*1000000</f>
        <v>475182.71103928826</v>
      </c>
      <c r="D721" s="84">
        <f>Pressure!I721</f>
        <v>1.4801552192482141E-4</v>
      </c>
      <c r="E721" s="40">
        <f>Pressure!H721</f>
        <v>148.0155219248214</v>
      </c>
      <c r="F721" s="10">
        <f t="shared" si="86"/>
        <v>8</v>
      </c>
      <c r="G721" s="4">
        <f t="shared" si="85"/>
        <v>101000</v>
      </c>
      <c r="H721" s="45">
        <f t="shared" si="87"/>
        <v>1.4806432342710525</v>
      </c>
      <c r="I721" s="10">
        <f t="shared" si="88"/>
        <v>0.90858396879246972</v>
      </c>
      <c r="J721" s="4">
        <f t="shared" si="89"/>
        <v>63.904723726146997</v>
      </c>
      <c r="K721" s="4">
        <f t="shared" si="91"/>
        <v>14.366423210769973</v>
      </c>
      <c r="L721" s="45">
        <f>Pressure!Q721</f>
        <v>2.459120836824471</v>
      </c>
      <c r="M721" s="10">
        <f t="shared" si="92"/>
        <v>0.28880600204095036</v>
      </c>
      <c r="N721" s="10">
        <f t="shared" si="90"/>
        <v>2.9545467240956045</v>
      </c>
    </row>
    <row r="722" spans="3:14">
      <c r="C722" s="4">
        <f>Pressure!AB722*1000000</f>
        <v>471945.2531711706</v>
      </c>
      <c r="D722" s="84">
        <f>Pressure!I722</f>
        <v>1.4801552192482141E-4</v>
      </c>
      <c r="E722" s="40">
        <f>Pressure!H722</f>
        <v>148.0155219248214</v>
      </c>
      <c r="F722" s="10">
        <f t="shared" si="86"/>
        <v>8</v>
      </c>
      <c r="G722" s="4">
        <f t="shared" si="85"/>
        <v>101000</v>
      </c>
      <c r="H722" s="45">
        <f t="shared" si="87"/>
        <v>1.4747085207429798</v>
      </c>
      <c r="I722" s="10">
        <f t="shared" si="88"/>
        <v>0.90675262692393799</v>
      </c>
      <c r="J722" s="4">
        <f t="shared" si="89"/>
        <v>63.341406930657406</v>
      </c>
      <c r="K722" s="4">
        <f t="shared" si="91"/>
        <v>14.239783941966955</v>
      </c>
      <c r="L722" s="45">
        <f>Pressure!Q722</f>
        <v>2.4636300570377592</v>
      </c>
      <c r="M722" s="10">
        <f t="shared" si="92"/>
        <v>0.28689041221018341</v>
      </c>
      <c r="N722" s="10">
        <f t="shared" si="90"/>
        <v>2.9545467240956045</v>
      </c>
    </row>
    <row r="723" spans="3:14">
      <c r="C723" s="4">
        <f>Pressure!AB723*1000000</f>
        <v>468710.59591344645</v>
      </c>
      <c r="D723" s="84">
        <f>Pressure!I723</f>
        <v>1.4801552192482141E-4</v>
      </c>
      <c r="E723" s="40">
        <f>Pressure!H723</f>
        <v>148.0155219248214</v>
      </c>
      <c r="F723" s="10">
        <f t="shared" si="86"/>
        <v>8</v>
      </c>
      <c r="G723" s="4">
        <f t="shared" si="85"/>
        <v>101000</v>
      </c>
      <c r="H723" s="45">
        <f t="shared" si="87"/>
        <v>1.4687766756664331</v>
      </c>
      <c r="I723" s="10">
        <f t="shared" si="88"/>
        <v>0.90490505189446468</v>
      </c>
      <c r="J723" s="4">
        <f t="shared" si="89"/>
        <v>62.779094192791916</v>
      </c>
      <c r="K723" s="4">
        <f t="shared" si="91"/>
        <v>14.113370395394073</v>
      </c>
      <c r="L723" s="45">
        <f>Pressure!Q723</f>
        <v>2.4681491217342897</v>
      </c>
      <c r="M723" s="10">
        <f t="shared" si="92"/>
        <v>0.28497335206785862</v>
      </c>
      <c r="N723" s="10">
        <f t="shared" si="90"/>
        <v>2.9545467240956045</v>
      </c>
    </row>
    <row r="724" spans="3:14">
      <c r="C724" s="4">
        <f>Pressure!AB724*1000000</f>
        <v>465478.8153886245</v>
      </c>
      <c r="D724" s="84">
        <f>Pressure!I724</f>
        <v>1.4801552192482141E-4</v>
      </c>
      <c r="E724" s="40">
        <f>Pressure!H724</f>
        <v>148.0155219248214</v>
      </c>
      <c r="F724" s="10">
        <f t="shared" si="86"/>
        <v>8</v>
      </c>
      <c r="G724" s="4">
        <f t="shared" si="85"/>
        <v>101000</v>
      </c>
      <c r="H724" s="45">
        <f t="shared" si="87"/>
        <v>1.462847937076903</v>
      </c>
      <c r="I724" s="10">
        <f t="shared" si="88"/>
        <v>0.90304101777544799</v>
      </c>
      <c r="J724" s="4">
        <f t="shared" si="89"/>
        <v>62.217801140015844</v>
      </c>
      <c r="K724" s="4">
        <f t="shared" si="91"/>
        <v>13.987186084262364</v>
      </c>
      <c r="L724" s="45">
        <f>Pressure!Q724</f>
        <v>2.4726781117606733</v>
      </c>
      <c r="M724" s="10">
        <f t="shared" si="92"/>
        <v>0.28305484614560228</v>
      </c>
      <c r="N724" s="10">
        <f t="shared" si="90"/>
        <v>2.9545467240956045</v>
      </c>
    </row>
    <row r="725" spans="3:14">
      <c r="C725" s="4">
        <f>Pressure!AB725*1000000</f>
        <v>462249.98825411138</v>
      </c>
      <c r="D725" s="84">
        <f>Pressure!I725</f>
        <v>1.4801552192482141E-4</v>
      </c>
      <c r="E725" s="40">
        <f>Pressure!H725</f>
        <v>148.0155219248214</v>
      </c>
      <c r="F725" s="10">
        <f t="shared" si="86"/>
        <v>8</v>
      </c>
      <c r="G725" s="4">
        <f t="shared" si="85"/>
        <v>101000</v>
      </c>
      <c r="H725" s="45">
        <f t="shared" si="87"/>
        <v>1.4569225483125452</v>
      </c>
      <c r="I725" s="10">
        <f t="shared" si="88"/>
        <v>0.90116029411533094</v>
      </c>
      <c r="J725" s="4">
        <f t="shared" si="89"/>
        <v>61.65754346847384</v>
      </c>
      <c r="K725" s="4">
        <f t="shared" si="91"/>
        <v>13.861234537222661</v>
      </c>
      <c r="L725" s="45">
        <f>Pressure!Q725</f>
        <v>2.4772171089289214</v>
      </c>
      <c r="M725" s="10">
        <f t="shared" si="92"/>
        <v>0.28113491919684774</v>
      </c>
      <c r="N725" s="10">
        <f t="shared" si="90"/>
        <v>2.9545467240956045</v>
      </c>
    </row>
    <row r="726" spans="3:14">
      <c r="C726" s="4">
        <f>Pressure!AB726*1000000</f>
        <v>459024.19170727674</v>
      </c>
      <c r="D726" s="84">
        <f>Pressure!I726</f>
        <v>1.4801552192482141E-4</v>
      </c>
      <c r="E726" s="40">
        <f>Pressure!H726</f>
        <v>148.0155219248214</v>
      </c>
      <c r="F726" s="10">
        <f t="shared" si="86"/>
        <v>8</v>
      </c>
      <c r="G726" s="4">
        <f t="shared" si="85"/>
        <v>101000</v>
      </c>
      <c r="H726" s="45">
        <f t="shared" si="87"/>
        <v>1.4510007581858744</v>
      </c>
      <c r="I726" s="10">
        <f t="shared" si="88"/>
        <v>0.89926264582076076</v>
      </c>
      <c r="J726" s="4">
        <f t="shared" si="89"/>
        <v>61.098336942794276</v>
      </c>
      <c r="K726" s="4">
        <f t="shared" si="91"/>
        <v>13.735519298321631</v>
      </c>
      <c r="L726" s="45">
        <f>Pressure!Q726</f>
        <v>2.4817661960319111</v>
      </c>
      <c r="M726" s="10">
        <f t="shared" si="92"/>
        <v>0.27921359619751823</v>
      </c>
      <c r="N726" s="10">
        <f t="shared" si="90"/>
        <v>2.9545467240956045</v>
      </c>
    </row>
    <row r="727" spans="3:14">
      <c r="C727" s="4">
        <f>Pressure!AB727*1000000</f>
        <v>455801.50349067821</v>
      </c>
      <c r="D727" s="84">
        <f>Pressure!I727</f>
        <v>1.4801552192482141E-4</v>
      </c>
      <c r="E727" s="40">
        <f>Pressure!H727</f>
        <v>148.0155219248214</v>
      </c>
      <c r="F727" s="10">
        <f t="shared" si="86"/>
        <v>8</v>
      </c>
      <c r="G727" s="4">
        <f t="shared" si="85"/>
        <v>101000</v>
      </c>
      <c r="H727" s="45">
        <f t="shared" si="87"/>
        <v>1.4450828211628184</v>
      </c>
      <c r="I727" s="10">
        <f t="shared" si="88"/>
        <v>0.89734783303387866</v>
      </c>
      <c r="J727" s="4">
        <f t="shared" si="89"/>
        <v>60.540197395883034</v>
      </c>
      <c r="K727" s="4">
        <f t="shared" si="91"/>
        <v>13.610043926955406</v>
      </c>
      <c r="L727" s="45">
        <f>Pressure!Q727</f>
        <v>2.4863254568591504</v>
      </c>
      <c r="M727" s="10">
        <f t="shared" si="92"/>
        <v>0.2772909023465695</v>
      </c>
      <c r="N727" s="10">
        <f t="shared" si="90"/>
        <v>2.9545467240956045</v>
      </c>
    </row>
    <row r="728" spans="3:14">
      <c r="C728" s="4">
        <f>Pressure!AB728*1000000</f>
        <v>452582.00189764425</v>
      </c>
      <c r="D728" s="84">
        <f>Pressure!I728</f>
        <v>1.4801552192482141E-4</v>
      </c>
      <c r="E728" s="40">
        <f>Pressure!H728</f>
        <v>148.0155219248214</v>
      </c>
      <c r="F728" s="10">
        <f t="shared" si="86"/>
        <v>8</v>
      </c>
      <c r="G728" s="4">
        <f t="shared" si="85"/>
        <v>101000</v>
      </c>
      <c r="H728" s="45">
        <f t="shared" si="87"/>
        <v>1.4391689975498518</v>
      </c>
      <c r="I728" s="10">
        <f t="shared" si="88"/>
        <v>0.89541561100570943</v>
      </c>
      <c r="J728" s="4">
        <f t="shared" si="89"/>
        <v>59.983140728739201</v>
      </c>
      <c r="K728" s="4">
        <f t="shared" si="91"/>
        <v>13.484811997828155</v>
      </c>
      <c r="L728" s="45">
        <f>Pressure!Q728</f>
        <v>2.4908949762128501</v>
      </c>
      <c r="M728" s="10">
        <f t="shared" si="92"/>
        <v>0.2753668630664739</v>
      </c>
      <c r="N728" s="10">
        <f t="shared" si="90"/>
        <v>2.9545467240956045</v>
      </c>
    </row>
    <row r="729" spans="3:14">
      <c r="C729" s="4">
        <f>Pressure!AB729*1000000</f>
        <v>449365.76577763056</v>
      </c>
      <c r="D729" s="84">
        <f>Pressure!I729</f>
        <v>1.4801552192482141E-4</v>
      </c>
      <c r="E729" s="40">
        <f>Pressure!H729</f>
        <v>148.0155219248214</v>
      </c>
      <c r="F729" s="10">
        <f t="shared" si="86"/>
        <v>8</v>
      </c>
      <c r="G729" s="4">
        <f t="shared" si="85"/>
        <v>101000</v>
      </c>
      <c r="H729" s="45">
        <f t="shared" si="87"/>
        <v>1.4332595536885169</v>
      </c>
      <c r="I729" s="10">
        <f t="shared" si="88"/>
        <v>0.89346572996514173</v>
      </c>
      <c r="J729" s="4">
        <f t="shared" si="89"/>
        <v>59.427182910190119</v>
      </c>
      <c r="K729" s="4">
        <f t="shared" si="91"/>
        <v>13.359827100892522</v>
      </c>
      <c r="L729" s="45">
        <f>Pressure!Q729</f>
        <v>2.4954748399243076</v>
      </c>
      <c r="M729" s="10">
        <f t="shared" si="92"/>
        <v>0.27344150400366862</v>
      </c>
      <c r="N729" s="10">
        <f t="shared" si="90"/>
        <v>2.9545467240956045</v>
      </c>
    </row>
    <row r="730" spans="3:14">
      <c r="C730" s="4">
        <f>Pressure!AB730*1000000</f>
        <v>446152.87454164959</v>
      </c>
      <c r="D730" s="84">
        <f>Pressure!I730</f>
        <v>1.4801552192482141E-4</v>
      </c>
      <c r="E730" s="40">
        <f>Pressure!H730</f>
        <v>148.0155219248214</v>
      </c>
      <c r="F730" s="10">
        <f t="shared" si="86"/>
        <v>8</v>
      </c>
      <c r="G730" s="4">
        <f t="shared" si="85"/>
        <v>101000</v>
      </c>
      <c r="H730" s="45">
        <f t="shared" si="87"/>
        <v>1.42735476215829</v>
      </c>
      <c r="I730" s="10">
        <f t="shared" si="88"/>
        <v>0.89149793498349561</v>
      </c>
      <c r="J730" s="4">
        <f t="shared" si="89"/>
        <v>58.872339976595498</v>
      </c>
      <c r="K730" s="4">
        <f t="shared" si="91"/>
        <v>13.235092841283103</v>
      </c>
      <c r="L730" s="45">
        <f>Pressure!Q730</f>
        <v>2.5000651348706122</v>
      </c>
      <c r="M730" s="10">
        <f t="shared" si="92"/>
        <v>0.2715148510287278</v>
      </c>
      <c r="N730" s="10">
        <f t="shared" si="90"/>
        <v>2.9545467240956045</v>
      </c>
    </row>
    <row r="731" spans="3:14">
      <c r="C731" s="4">
        <f>Pressure!AB731*1000000</f>
        <v>442943.40816781681</v>
      </c>
      <c r="D731" s="84">
        <f>Pressure!I731</f>
        <v>1.4801552192482141E-4</v>
      </c>
      <c r="E731" s="40">
        <f>Pressure!H731</f>
        <v>148.0155219248214</v>
      </c>
      <c r="F731" s="10">
        <f t="shared" si="86"/>
        <v>8</v>
      </c>
      <c r="G731" s="4">
        <f t="shared" si="85"/>
        <v>101000</v>
      </c>
      <c r="H731" s="45">
        <f t="shared" si="87"/>
        <v>1.4214549019883078</v>
      </c>
      <c r="I731" s="10">
        <f t="shared" si="88"/>
        <v>0.88951196583452108</v>
      </c>
      <c r="J731" s="4">
        <f t="shared" si="89"/>
        <v>58.318628031526714</v>
      </c>
      <c r="K731" s="4">
        <f t="shared" si="91"/>
        <v>13.11061283924435</v>
      </c>
      <c r="L731" s="45">
        <f>Pressure!Q731</f>
        <v>2.5046659489916769</v>
      </c>
      <c r="M731" s="10">
        <f t="shared" si="92"/>
        <v>0.26958693023650637</v>
      </c>
      <c r="N731" s="10">
        <f t="shared" si="90"/>
        <v>2.9545467240956045</v>
      </c>
    </row>
    <row r="732" spans="3:14">
      <c r="C732" s="4">
        <f>Pressure!AB732*1000000</f>
        <v>439737.4472069547</v>
      </c>
      <c r="D732" s="84">
        <f>Pressure!I732</f>
        <v>1.4801552192482141E-4</v>
      </c>
      <c r="E732" s="40">
        <f>Pressure!H732</f>
        <v>148.0155219248214</v>
      </c>
      <c r="F732" s="10">
        <f t="shared" si="86"/>
        <v>8</v>
      </c>
      <c r="G732" s="4">
        <f t="shared" ref="G732:G795" si="93">IF(C732/(1+(k-1)/2*N732^2)^(k/(k-1))&lt;patm*1000000,patm*1000000,C732/(1+(k-1)/2*N732^2)^(k/(k-1)))</f>
        <v>101000</v>
      </c>
      <c r="H732" s="45">
        <f t="shared" si="87"/>
        <v>1.4155602588782858</v>
      </c>
      <c r="I732" s="10">
        <f t="shared" si="88"/>
        <v>0.88750755684960747</v>
      </c>
      <c r="J732" s="4">
        <f t="shared" si="89"/>
        <v>57.766063245409185</v>
      </c>
      <c r="K732" s="4">
        <f t="shared" si="91"/>
        <v>12.986390730050175</v>
      </c>
      <c r="L732" s="45">
        <f>Pressure!Q732</f>
        <v>2.5092773713076046</v>
      </c>
      <c r="M732" s="10">
        <f t="shared" si="92"/>
        <v>0.2676577679460202</v>
      </c>
      <c r="N732" s="10">
        <f t="shared" si="90"/>
        <v>2.9545467240956045</v>
      </c>
    </row>
    <row r="733" spans="3:14">
      <c r="C733" s="4">
        <f>Pressure!AB733*1000000</f>
        <v>436535.07278837712</v>
      </c>
      <c r="D733" s="84">
        <f>Pressure!I733</f>
        <v>1.4801552192482141E-4</v>
      </c>
      <c r="E733" s="40">
        <f>Pressure!H733</f>
        <v>148.0155219248214</v>
      </c>
      <c r="F733" s="10">
        <f t="shared" ref="F733:F796" si="94">aexit/E733</f>
        <v>8</v>
      </c>
      <c r="G733" s="4">
        <f t="shared" si="93"/>
        <v>101000</v>
      </c>
      <c r="H733" s="45">
        <f t="shared" ref="H733:H796" si="95">1/(((k+1)/2)^(1/(k-1))*(patm*1000000/C733)^(1/k)*SQRT((k+1)/(k-1)*(1-(patm*1000000/C733)^((k-1)/k))))</f>
        <v>1.4096711254293528</v>
      </c>
      <c r="I733" s="10">
        <f t="shared" ref="I733:I796" si="96">etanoz*SQRT(2*k^2/(k-1)*(2/(k+1))^((k+1)/(k-1))*(1-(G733/C733)^((k-1)/k)))+(G733-patm*1000000)/C733*(aexit/E733)</f>
        <v>0.88548443676807298</v>
      </c>
      <c r="J733" s="4">
        <f t="shared" ref="J733:J796" si="97">I733*D733*C733</f>
        <v>57.214661855146588</v>
      </c>
      <c r="K733" s="4">
        <f t="shared" si="91"/>
        <v>12.86243016391947</v>
      </c>
      <c r="L733" s="45">
        <f>Pressure!Q733</f>
        <v>2.5138994919363946</v>
      </c>
      <c r="M733" s="10">
        <f t="shared" si="92"/>
        <v>0.26572739070025386</v>
      </c>
      <c r="N733" s="10">
        <f t="shared" si="90"/>
        <v>2.9545467240956045</v>
      </c>
    </row>
    <row r="734" spans="3:14">
      <c r="C734" s="4">
        <f>Pressure!AB734*1000000</f>
        <v>433336.36662546411</v>
      </c>
      <c r="D734" s="84">
        <f>Pressure!I734</f>
        <v>1.4801552192482141E-4</v>
      </c>
      <c r="E734" s="40">
        <f>Pressure!H734</f>
        <v>148.0155219248214</v>
      </c>
      <c r="F734" s="10">
        <f t="shared" si="94"/>
        <v>8</v>
      </c>
      <c r="G734" s="4">
        <f t="shared" si="93"/>
        <v>101000</v>
      </c>
      <c r="H734" s="45">
        <f t="shared" si="95"/>
        <v>1.4037878013845886</v>
      </c>
      <c r="I734" s="10">
        <f t="shared" si="96"/>
        <v>0.88344232858208172</v>
      </c>
      <c r="J734" s="4">
        <f t="shared" si="97"/>
        <v>56.664440163657972</v>
      </c>
      <c r="K734" s="4">
        <f t="shared" si="91"/>
        <v>12.738734805912047</v>
      </c>
      <c r="L734" s="45">
        <f>Pressure!Q734</f>
        <v>2.5185324021120019</v>
      </c>
      <c r="M734" s="10">
        <f t="shared" si="92"/>
        <v>0.26379582526597056</v>
      </c>
      <c r="N734" s="10">
        <f t="shared" ref="N734:N797" si="98">N733-1/834*(me-mef)</f>
        <v>2.9545467240956045</v>
      </c>
    </row>
    <row r="735" spans="3:14">
      <c r="C735" s="4">
        <f>Pressure!AB735*1000000</f>
        <v>430141.41102126235</v>
      </c>
      <c r="D735" s="84">
        <f>Pressure!I735</f>
        <v>1.4801552192482141E-4</v>
      </c>
      <c r="E735" s="40">
        <f>Pressure!H735</f>
        <v>148.0155219248214</v>
      </c>
      <c r="F735" s="10">
        <f t="shared" si="94"/>
        <v>8</v>
      </c>
      <c r="G735" s="4">
        <f t="shared" si="93"/>
        <v>101000</v>
      </c>
      <c r="H735" s="45">
        <f t="shared" si="95"/>
        <v>1.3979105938802494</v>
      </c>
      <c r="I735" s="10">
        <f t="shared" si="96"/>
        <v>0.88138094937610778</v>
      </c>
      <c r="J735" s="4">
        <f t="shared" si="97"/>
        <v>56.115414539366007</v>
      </c>
      <c r="K735" s="4">
        <f t="shared" si="91"/>
        <v>12.615308335813589</v>
      </c>
      <c r="L735" s="45">
        <f>Pressure!Q735</f>
        <v>2.5231761942027497</v>
      </c>
      <c r="M735" s="10">
        <f t="shared" si="92"/>
        <v>0.26186309863279628</v>
      </c>
      <c r="N735" s="10">
        <f t="shared" si="98"/>
        <v>2.9545467240956045</v>
      </c>
    </row>
    <row r="736" spans="3:14">
      <c r="C736" s="4">
        <f>Pressure!AB736*1000000</f>
        <v>426950.28887493996</v>
      </c>
      <c r="D736" s="84">
        <f>Pressure!I736</f>
        <v>1.4801552192482141E-4</v>
      </c>
      <c r="E736" s="40">
        <f>Pressure!H736</f>
        <v>148.0155219248214</v>
      </c>
      <c r="F736" s="10">
        <f t="shared" si="94"/>
        <v>8</v>
      </c>
      <c r="G736" s="4">
        <f t="shared" si="93"/>
        <v>101000</v>
      </c>
      <c r="H736" s="45">
        <f t="shared" si="95"/>
        <v>1.3920398177097695</v>
      </c>
      <c r="I736" s="10">
        <f t="shared" si="96"/>
        <v>0.8793000101612527</v>
      </c>
      <c r="J736" s="4">
        <f t="shared" si="97"/>
        <v>55.567601415776672</v>
      </c>
      <c r="K736" s="4">
        <f t="shared" si="91"/>
        <v>12.492154448041157</v>
      </c>
      <c r="L736" s="45">
        <f>Pressure!Q736</f>
        <v>2.5278309617301105</v>
      </c>
      <c r="M736" s="10">
        <f t="shared" si="92"/>
        <v>0.25992923801285339</v>
      </c>
      <c r="N736" s="10">
        <f t="shared" si="98"/>
        <v>2.9545467240956045</v>
      </c>
    </row>
    <row r="737" spans="3:14">
      <c r="C737" s="4">
        <f>Pressure!AB737*1000000</f>
        <v>423763.08368665195</v>
      </c>
      <c r="D737" s="84">
        <f>Pressure!I737</f>
        <v>1.4801552192482141E-4</v>
      </c>
      <c r="E737" s="40">
        <f>Pressure!H737</f>
        <v>148.0155219248214</v>
      </c>
      <c r="F737" s="10">
        <f t="shared" si="94"/>
        <v>8</v>
      </c>
      <c r="G737" s="4">
        <f t="shared" si="93"/>
        <v>101000</v>
      </c>
      <c r="H737" s="45">
        <f t="shared" si="95"/>
        <v>1.3861757955966809</v>
      </c>
      <c r="I737" s="10">
        <f t="shared" si="96"/>
        <v>0.87719921570258907</v>
      </c>
      <c r="J737" s="4">
        <f t="shared" si="97"/>
        <v>55.021017290727549</v>
      </c>
      <c r="K737" s="4">
        <f t="shared" si="91"/>
        <v>12.369276851474202</v>
      </c>
      <c r="L737" s="45">
        <f>Pressure!Q737</f>
        <v>2.5324967993878573</v>
      </c>
      <c r="M737" s="10">
        <f t="shared" si="92"/>
        <v>0.25799427083950827</v>
      </c>
      <c r="N737" s="10">
        <f t="shared" si="98"/>
        <v>2.9545467240956045</v>
      </c>
    </row>
    <row r="738" spans="3:14">
      <c r="C738" s="4">
        <f>Pressure!AB738*1000000</f>
        <v>420579.87956455152</v>
      </c>
      <c r="D738" s="84">
        <f>Pressure!I738</f>
        <v>1.4801552192482141E-4</v>
      </c>
      <c r="E738" s="40">
        <f>Pressure!H738</f>
        <v>148.0155219248214</v>
      </c>
      <c r="F738" s="10">
        <f t="shared" si="94"/>
        <v>8</v>
      </c>
      <c r="G738" s="4">
        <f t="shared" si="93"/>
        <v>101000</v>
      </c>
      <c r="H738" s="45">
        <f t="shared" si="95"/>
        <v>1.3803188584839567</v>
      </c>
      <c r="I738" s="10">
        <f t="shared" si="96"/>
        <v>0.87507826434169622</v>
      </c>
      <c r="J738" s="4">
        <f t="shared" si="97"/>
        <v>54.475678725944334</v>
      </c>
      <c r="K738" s="4">
        <f t="shared" si="91"/>
        <v>12.246679269354871</v>
      </c>
      <c r="L738" s="45">
        <f>Pressure!Q738</f>
        <v>2.5371738030616</v>
      </c>
      <c r="M738" s="10">
        <f t="shared" si="92"/>
        <v>0.25605822476633022</v>
      </c>
      <c r="N738" s="10">
        <f t="shared" si="98"/>
        <v>2.9545467240956045</v>
      </c>
    </row>
    <row r="739" spans="3:14">
      <c r="C739" s="4">
        <f>Pressure!AB739*1000000</f>
        <v>417400.76123000274</v>
      </c>
      <c r="D739" s="84">
        <f>Pressure!I739</f>
        <v>1.4801552192482141E-4</v>
      </c>
      <c r="E739" s="40">
        <f>Pressure!H739</f>
        <v>148.0155219248214</v>
      </c>
      <c r="F739" s="10">
        <f t="shared" si="94"/>
        <v>8</v>
      </c>
      <c r="G739" s="4">
        <f t="shared" si="93"/>
        <v>101000</v>
      </c>
      <c r="H739" s="45">
        <f t="shared" si="95"/>
        <v>1.3744693458332307</v>
      </c>
      <c r="I739" s="10">
        <f t="shared" si="96"/>
        <v>0.87293684781154846</v>
      </c>
      <c r="J739" s="4">
        <f t="shared" si="97"/>
        <v>53.931602346225205</v>
      </c>
      <c r="K739" s="4">
        <f t="shared" si="91"/>
        <v>12.124365439104627</v>
      </c>
      <c r="L739" s="45">
        <f>Pressure!Q739</f>
        <v>2.5418620698487082</v>
      </c>
      <c r="M739" s="10">
        <f t="shared" si="92"/>
        <v>0.2541211276656784</v>
      </c>
      <c r="N739" s="10">
        <f t="shared" si="98"/>
        <v>2.9545467240956045</v>
      </c>
    </row>
    <row r="740" spans="3:14">
      <c r="C740" s="4">
        <f>Pressure!AB740*1000000</f>
        <v>414225.81402389001</v>
      </c>
      <c r="D740" s="84">
        <f>Pressure!I740</f>
        <v>1.4801552192482141E-4</v>
      </c>
      <c r="E740" s="40">
        <f>Pressure!H740</f>
        <v>148.0155219248214</v>
      </c>
      <c r="F740" s="10">
        <f t="shared" si="94"/>
        <v>8</v>
      </c>
      <c r="G740" s="4">
        <f t="shared" si="93"/>
        <v>101000</v>
      </c>
      <c r="H740" s="45">
        <f t="shared" si="95"/>
        <v>1.3686276059399562</v>
      </c>
      <c r="I740" s="10">
        <f t="shared" si="96"/>
        <v>0.87077465104535312</v>
      </c>
      <c r="J740" s="4">
        <f t="shared" si="97"/>
        <v>53.388804838747234</v>
      </c>
      <c r="K740" s="4">
        <f t="shared" si="91"/>
        <v>12.002339112168345</v>
      </c>
      <c r="L740" s="45">
        <f>Pressure!Q740</f>
        <v>2.5465616980786359</v>
      </c>
      <c r="M740" s="10">
        <f t="shared" si="92"/>
        <v>0.25218300762691298</v>
      </c>
      <c r="N740" s="10">
        <f t="shared" si="98"/>
        <v>2.9545467240956045</v>
      </c>
    </row>
    <row r="741" spans="3:14">
      <c r="C741" s="4">
        <f>Pressure!AB741*1000000</f>
        <v>411055.12391276844</v>
      </c>
      <c r="D741" s="84">
        <f>Pressure!I741</f>
        <v>1.4801552192482141E-4</v>
      </c>
      <c r="E741" s="40">
        <f>Pressure!H741</f>
        <v>148.0155219248214</v>
      </c>
      <c r="F741" s="10">
        <f t="shared" si="94"/>
        <v>8</v>
      </c>
      <c r="G741" s="4">
        <f t="shared" si="93"/>
        <v>101000</v>
      </c>
      <c r="H741" s="45">
        <f t="shared" si="95"/>
        <v>1.3627939962629876</v>
      </c>
      <c r="I741" s="10">
        <f t="shared" si="96"/>
        <v>0.86859135197823134</v>
      </c>
      <c r="J741" s="4">
        <f t="shared" si="97"/>
        <v>52.84730295227655</v>
      </c>
      <c r="K741" s="4">
        <f t="shared" si="91"/>
        <v>11.880604053836732</v>
      </c>
      <c r="L741" s="45">
        <f>Pressure!Q741</f>
        <v>2.551272787333652</v>
      </c>
      <c r="M741" s="10">
        <f t="shared" si="92"/>
        <v>0.25024389295451621</v>
      </c>
      <c r="N741" s="10">
        <f t="shared" si="98"/>
        <v>2.9545467240956045</v>
      </c>
    </row>
    <row r="742" spans="3:14">
      <c r="C742" s="4">
        <f>Pressure!AB742*1000000</f>
        <v>407888.77749482339</v>
      </c>
      <c r="D742" s="84">
        <f>Pressure!I742</f>
        <v>1.4801552192482141E-4</v>
      </c>
      <c r="E742" s="40">
        <f>Pressure!H742</f>
        <v>148.0155219248214</v>
      </c>
      <c r="F742" s="10">
        <f t="shared" si="94"/>
        <v>8</v>
      </c>
      <c r="G742" s="4">
        <f t="shared" si="93"/>
        <v>101000</v>
      </c>
      <c r="H742" s="45">
        <f t="shared" si="95"/>
        <v>1.3569688837693603</v>
      </c>
      <c r="I742" s="10">
        <f t="shared" si="96"/>
        <v>0.86638662134137956</v>
      </c>
      <c r="J742" s="4">
        <f t="shared" si="97"/>
        <v>52.307113496273459</v>
      </c>
      <c r="K742" s="4">
        <f t="shared" si="91"/>
        <v>11.759164043045155</v>
      </c>
      <c r="L742" s="45">
        <f>Pressure!Q742</f>
        <v>2.5559954384699899</v>
      </c>
      <c r="M742" s="10">
        <f t="shared" si="92"/>
        <v>0.24830381216584421</v>
      </c>
      <c r="N742" s="10">
        <f t="shared" si="98"/>
        <v>2.9545467240956045</v>
      </c>
    </row>
    <row r="743" spans="3:14">
      <c r="C743" s="4">
        <f>Pressure!AB743*1000000</f>
        <v>404726.86200630572</v>
      </c>
      <c r="D743" s="84">
        <f>Pressure!I743</f>
        <v>1.4801552192482141E-4</v>
      </c>
      <c r="E743" s="40">
        <f>Pressure!H743</f>
        <v>148.0155219248214</v>
      </c>
      <c r="F743" s="10">
        <f t="shared" si="94"/>
        <v>8</v>
      </c>
      <c r="G743" s="4">
        <f t="shared" si="93"/>
        <v>101000</v>
      </c>
      <c r="H743" s="45">
        <f t="shared" si="95"/>
        <v>1.3511526452964031</v>
      </c>
      <c r="I743" s="10">
        <f t="shared" si="96"/>
        <v>0.86416012244884455</v>
      </c>
      <c r="J743" s="4">
        <f t="shared" si="97"/>
        <v>51.768253340003511</v>
      </c>
      <c r="K743" s="4">
        <f t="shared" si="91"/>
        <v>11.638022872173803</v>
      </c>
      <c r="L743" s="45">
        <f>Pressure!Q743</f>
        <v>2.5607297536394205</v>
      </c>
      <c r="M743" s="10">
        <f t="shared" si="92"/>
        <v>0.24636279398851865</v>
      </c>
      <c r="N743" s="10">
        <f t="shared" si="98"/>
        <v>2.9545467240956045</v>
      </c>
    </row>
    <row r="744" spans="3:14">
      <c r="C744" s="4">
        <f>Pressure!AB744*1000000</f>
        <v>401569.46532755066</v>
      </c>
      <c r="D744" s="84">
        <f>Pressure!I744</f>
        <v>1.4801552192482141E-4</v>
      </c>
      <c r="E744" s="40">
        <f>Pressure!H744</f>
        <v>148.0155219248214</v>
      </c>
      <c r="F744" s="10">
        <f t="shared" si="94"/>
        <v>8</v>
      </c>
      <c r="G744" s="4">
        <f t="shared" si="93"/>
        <v>101000</v>
      </c>
      <c r="H744" s="45">
        <f t="shared" si="95"/>
        <v>1.345345667930498</v>
      </c>
      <c r="I744" s="10">
        <f t="shared" si="96"/>
        <v>0.86191151097593433</v>
      </c>
      <c r="J744" s="4">
        <f t="shared" si="97"/>
        <v>51.230739411498163</v>
      </c>
      <c r="K744" s="4">
        <f t="shared" si="91"/>
        <v>11.517184346814028</v>
      </c>
      <c r="L744" s="45">
        <f>Pressure!Q744</f>
        <v>2.5654758363112635</v>
      </c>
      <c r="M744" s="10">
        <f t="shared" si="92"/>
        <v>0.24442086735759583</v>
      </c>
      <c r="N744" s="10">
        <f t="shared" si="98"/>
        <v>2.9545467240956045</v>
      </c>
    </row>
    <row r="745" spans="3:14">
      <c r="C745" s="4">
        <f>Pressure!AB745*1000000</f>
        <v>398416.67598937632</v>
      </c>
      <c r="D745" s="84">
        <f>Pressure!I745</f>
        <v>1.4801552192482141E-4</v>
      </c>
      <c r="E745" s="40">
        <f>Pressure!H745</f>
        <v>148.0155219248214</v>
      </c>
      <c r="F745" s="10">
        <f t="shared" si="94"/>
        <v>8</v>
      </c>
      <c r="G745" s="4">
        <f t="shared" si="93"/>
        <v>101000</v>
      </c>
      <c r="H745" s="45">
        <f t="shared" si="95"/>
        <v>1.3395483494049643</v>
      </c>
      <c r="I745" s="10">
        <f t="shared" si="96"/>
        <v>0.85964043472945173</v>
      </c>
      <c r="J745" s="4">
        <f t="shared" si="97"/>
        <v>50.694588696497746</v>
      </c>
      <c r="K745" s="4">
        <f t="shared" si="91"/>
        <v>11.39665228553072</v>
      </c>
      <c r="L745" s="45">
        <f>Pressure!Q745</f>
        <v>2.5702337912948447</v>
      </c>
      <c r="M745" s="10">
        <f t="shared" si="92"/>
        <v>0.24247806141229533</v>
      </c>
      <c r="N745" s="10">
        <f t="shared" si="98"/>
        <v>2.9545467240956045</v>
      </c>
    </row>
    <row r="746" spans="3:14">
      <c r="C746" s="4">
        <f>Pressure!AB746*1000000</f>
        <v>395268.58317941951</v>
      </c>
      <c r="D746" s="84">
        <f>Pressure!I746</f>
        <v>1.4801552192482141E-4</v>
      </c>
      <c r="E746" s="40">
        <f>Pressure!H746</f>
        <v>148.0155219248214</v>
      </c>
      <c r="F746" s="10">
        <f t="shared" si="94"/>
        <v>8</v>
      </c>
      <c r="G746" s="4">
        <f t="shared" si="93"/>
        <v>101000</v>
      </c>
      <c r="H746" s="45">
        <f t="shared" si="95"/>
        <v>1.3337610985173634</v>
      </c>
      <c r="I746" s="10">
        <f t="shared" si="96"/>
        <v>0.85734653340904243</v>
      </c>
      <c r="J746" s="4">
        <f t="shared" si="97"/>
        <v>50.159818237296797</v>
      </c>
      <c r="K746" s="4">
        <f t="shared" si="91"/>
        <v>11.276430519602716</v>
      </c>
      <c r="L746" s="45">
        <f>Pressure!Q746</f>
        <v>2.5750037247624062</v>
      </c>
      <c r="M746" s="10">
        <f t="shared" si="92"/>
        <v>0.24053440549228625</v>
      </c>
      <c r="N746" s="10">
        <f t="shared" si="98"/>
        <v>2.9545467240956045</v>
      </c>
    </row>
    <row r="747" spans="3:14">
      <c r="C747" s="4">
        <f>Pressure!AB747*1000000</f>
        <v>392125.27674835437</v>
      </c>
      <c r="D747" s="84">
        <f>Pressure!I747</f>
        <v>1.4801552192482141E-4</v>
      </c>
      <c r="E747" s="40">
        <f>Pressure!H747</f>
        <v>148.0155219248214</v>
      </c>
      <c r="F747" s="10">
        <f t="shared" si="94"/>
        <v>8</v>
      </c>
      <c r="G747" s="4">
        <f t="shared" si="93"/>
        <v>101000</v>
      </c>
      <c r="H747" s="45">
        <f t="shared" si="95"/>
        <v>1.3279843355672776</v>
      </c>
      <c r="I747" s="10">
        <f t="shared" si="96"/>
        <v>0.85502943835920198</v>
      </c>
      <c r="J747" s="4">
        <f t="shared" si="97"/>
        <v>49.626445131479002</v>
      </c>
      <c r="K747" s="4">
        <f t="shared" si="91"/>
        <v>11.156522892738412</v>
      </c>
      <c r="L747" s="45">
        <f>Pressure!Q747</f>
        <v>2.5797857442724856</v>
      </c>
      <c r="M747" s="10">
        <f t="shared" si="92"/>
        <v>0.23858992913370328</v>
      </c>
      <c r="N747" s="10">
        <f t="shared" si="98"/>
        <v>2.9545467240956045</v>
      </c>
    </row>
    <row r="748" spans="3:14">
      <c r="C748" s="4">
        <f>Pressure!AB748*1000000</f>
        <v>388986.84721666476</v>
      </c>
      <c r="D748" s="84">
        <f>Pressure!I748</f>
        <v>1.4801552192482141E-4</v>
      </c>
      <c r="E748" s="40">
        <f>Pressure!H748</f>
        <v>148.0155219248214</v>
      </c>
      <c r="F748" s="10">
        <f t="shared" si="94"/>
        <v>8</v>
      </c>
      <c r="G748" s="4">
        <f t="shared" si="93"/>
        <v>101000</v>
      </c>
      <c r="H748" s="45">
        <f t="shared" si="95"/>
        <v>1.3222184928170546</v>
      </c>
      <c r="I748" s="10">
        <f t="shared" si="96"/>
        <v>0.85268877231198836</v>
      </c>
      <c r="J748" s="4">
        <f t="shared" si="97"/>
        <v>49.09448653065072</v>
      </c>
      <c r="K748" s="4">
        <f t="shared" si="91"/>
        <v>11.036933260791043</v>
      </c>
      <c r="L748" s="45">
        <f>Pressure!Q748</f>
        <v>2.5845799587937708</v>
      </c>
      <c r="M748" s="10">
        <f t="shared" si="92"/>
        <v>0.23664466206469037</v>
      </c>
      <c r="N748" s="10">
        <f t="shared" si="98"/>
        <v>2.9545467240956045</v>
      </c>
    </row>
    <row r="749" spans="3:14">
      <c r="C749" s="4">
        <f>Pressure!AB749*1000000</f>
        <v>385853.38578078931</v>
      </c>
      <c r="D749" s="84">
        <f>Pressure!I749</f>
        <v>1.4801552192482141E-4</v>
      </c>
      <c r="E749" s="40">
        <f>Pressure!H749</f>
        <v>148.0155219248214</v>
      </c>
      <c r="F749" s="10">
        <f t="shared" si="94"/>
        <v>8</v>
      </c>
      <c r="G749" s="4">
        <f t="shared" si="93"/>
        <v>101000</v>
      </c>
      <c r="H749" s="45">
        <f t="shared" si="95"/>
        <v>1.3164640149746769</v>
      </c>
      <c r="I749" s="10">
        <f t="shared" si="96"/>
        <v>0.85032414911911536</v>
      </c>
      <c r="J749" s="4">
        <f t="shared" si="97"/>
        <v>48.563959638968377</v>
      </c>
      <c r="K749" s="4">
        <f t="shared" si="91"/>
        <v>10.917665491427629</v>
      </c>
      <c r="L749" s="45">
        <f>Pressure!Q749</f>
        <v>2.5893864787294407</v>
      </c>
      <c r="M749" s="10">
        <f t="shared" si="92"/>
        <v>0.23469863420041193</v>
      </c>
      <c r="N749" s="10">
        <f t="shared" si="98"/>
        <v>2.9545467240956045</v>
      </c>
    </row>
    <row r="750" spans="3:14">
      <c r="C750" s="4">
        <f>Pressure!AB750*1000000</f>
        <v>382724.98431987356</v>
      </c>
      <c r="D750" s="84">
        <f>Pressure!I750</f>
        <v>1.4801552192482141E-4</v>
      </c>
      <c r="E750" s="40">
        <f>Pressure!H750</f>
        <v>148.0155219248214</v>
      </c>
      <c r="F750" s="10">
        <f t="shared" si="94"/>
        <v>8</v>
      </c>
      <c r="G750" s="4">
        <f t="shared" si="93"/>
        <v>101000</v>
      </c>
      <c r="H750" s="45">
        <f t="shared" si="95"/>
        <v>1.3107213597024607</v>
      </c>
      <c r="I750" s="10">
        <f t="shared" si="96"/>
        <v>0.84793517347383762</v>
      </c>
      <c r="J750" s="4">
        <f t="shared" si="97"/>
        <v>48.034881711664113</v>
      </c>
      <c r="K750" s="4">
        <f t="shared" si="91"/>
        <v>10.798723463797517</v>
      </c>
      <c r="L750" s="45">
        <f>Pressure!Q750</f>
        <v>2.5942054159420049</v>
      </c>
      <c r="M750" s="10">
        <f t="shared" si="92"/>
        <v>0.23275187563757471</v>
      </c>
      <c r="N750" s="10">
        <f t="shared" si="98"/>
        <v>2.9545467240956045</v>
      </c>
    </row>
    <row r="751" spans="3:14">
      <c r="C751" s="4">
        <f>Pressure!AB751*1000000</f>
        <v>379601.73540194338</v>
      </c>
      <c r="D751" s="84">
        <f>Pressure!I751</f>
        <v>1.4801552192482141E-4</v>
      </c>
      <c r="E751" s="40">
        <f>Pressure!H751</f>
        <v>148.0155219248214</v>
      </c>
      <c r="F751" s="10">
        <f t="shared" si="94"/>
        <v>8</v>
      </c>
      <c r="G751" s="4">
        <f t="shared" si="93"/>
        <v>101000</v>
      </c>
      <c r="H751" s="45">
        <f t="shared" si="95"/>
        <v>1.3049909981509404</v>
      </c>
      <c r="I751" s="10">
        <f t="shared" si="96"/>
        <v>0.84552144062122037</v>
      </c>
      <c r="J751" s="4">
        <f t="shared" si="97"/>
        <v>47.507270053363527</v>
      </c>
      <c r="K751" s="4">
        <f t="shared" si="91"/>
        <v>10.680111068154204</v>
      </c>
      <c r="L751" s="45">
        <f>Pressure!Q751</f>
        <v>2.5990368837786542</v>
      </c>
      <c r="M751" s="10">
        <f t="shared" si="92"/>
        <v>0.23080441664849516</v>
      </c>
      <c r="N751" s="10">
        <f t="shared" si="98"/>
        <v>2.9545467240956045</v>
      </c>
    </row>
    <row r="752" spans="3:14">
      <c r="C752" s="4">
        <f>Pressure!AB752*1000000</f>
        <v>376483.73229103535</v>
      </c>
      <c r="D752" s="84">
        <f>Pressure!I752</f>
        <v>1.4801552192482141E-4</v>
      </c>
      <c r="E752" s="40">
        <f>Pressure!H752</f>
        <v>148.0155219248214</v>
      </c>
      <c r="F752" s="10">
        <f t="shared" si="94"/>
        <v>8</v>
      </c>
      <c r="G752" s="4">
        <f t="shared" si="93"/>
        <v>101000</v>
      </c>
      <c r="H752" s="45">
        <f t="shared" si="95"/>
        <v>1.2992734155223955</v>
      </c>
      <c r="I752" s="10">
        <f t="shared" si="96"/>
        <v>0.84308253605740968</v>
      </c>
      <c r="J752" s="4">
        <f t="shared" si="97"/>
        <v>46.981142016449859</v>
      </c>
      <c r="K752" s="4">
        <f t="shared" si="91"/>
        <v>10.561832205487582</v>
      </c>
      <c r="L752" s="45">
        <f>Pressure!Q752</f>
        <v>2.6038809970971291</v>
      </c>
      <c r="M752" s="10">
        <f t="shared" si="92"/>
        <v>0.22885628767446359</v>
      </c>
      <c r="N752" s="10">
        <f t="shared" si="98"/>
        <v>2.9545467240956045</v>
      </c>
    </row>
    <row r="753" spans="3:14">
      <c r="C753" s="4">
        <f>Pressure!AB753*1000000</f>
        <v>373371.06895344373</v>
      </c>
      <c r="D753" s="84">
        <f>Pressure!I753</f>
        <v>1.4801552192482141E-4</v>
      </c>
      <c r="E753" s="40">
        <f>Pressure!H753</f>
        <v>148.0155219248214</v>
      </c>
      <c r="F753" s="10">
        <f t="shared" si="94"/>
        <v>8</v>
      </c>
      <c r="G753" s="4">
        <f t="shared" si="93"/>
        <v>101000</v>
      </c>
      <c r="H753" s="45">
        <f t="shared" si="95"/>
        <v>1.2935691116624153</v>
      </c>
      <c r="I753" s="10">
        <f t="shared" si="96"/>
        <v>0.84061803521591538</v>
      </c>
      <c r="J753" s="4">
        <f t="shared" si="97"/>
        <v>46.456514999157569</v>
      </c>
      <c r="K753" s="4">
        <f t="shared" si="91"/>
        <v>10.443890787095357</v>
      </c>
      <c r="L753" s="45">
        <f>Pressure!Q753</f>
        <v>2.6087378722921231</v>
      </c>
      <c r="M753" s="10">
        <f t="shared" si="92"/>
        <v>0.22690751931873057</v>
      </c>
      <c r="N753" s="10">
        <f t="shared" si="98"/>
        <v>2.9545467240956045</v>
      </c>
    </row>
    <row r="754" spans="3:14">
      <c r="C754" s="4">
        <f>Pressure!AB754*1000000</f>
        <v>370263.84006447491</v>
      </c>
      <c r="D754" s="84">
        <f>Pressure!I754</f>
        <v>1.4801552192482141E-4</v>
      </c>
      <c r="E754" s="40">
        <f>Pressure!H754</f>
        <v>148.0155219248214</v>
      </c>
      <c r="F754" s="10">
        <f t="shared" si="94"/>
        <v>8</v>
      </c>
      <c r="G754" s="4">
        <f t="shared" si="93"/>
        <v>101000</v>
      </c>
      <c r="H754" s="45">
        <f t="shared" si="95"/>
        <v>1.2878786016839401</v>
      </c>
      <c r="I754" s="10">
        <f t="shared" si="96"/>
        <v>0.83812750314134055</v>
      </c>
      <c r="J754" s="4">
        <f t="shared" si="97"/>
        <v>45.933406443624193</v>
      </c>
      <c r="K754" s="4">
        <f t="shared" si="91"/>
        <v>10.326290734145092</v>
      </c>
      <c r="L754" s="45">
        <f>Pressure!Q754</f>
        <v>2.6136076273222293</v>
      </c>
      <c r="M754" s="10">
        <f t="shared" si="92"/>
        <v>0.22495814233855282</v>
      </c>
      <c r="N754" s="10">
        <f t="shared" si="98"/>
        <v>2.9545467240956045</v>
      </c>
    </row>
    <row r="755" spans="3:14">
      <c r="C755" s="4">
        <f>Pressure!AB755*1000000</f>
        <v>367162.14101504668</v>
      </c>
      <c r="D755" s="84">
        <f>Pressure!I755</f>
        <v>1.4801552192482141E-4</v>
      </c>
      <c r="E755" s="40">
        <f>Pressure!H755</f>
        <v>148.0155219248214</v>
      </c>
      <c r="F755" s="10">
        <f t="shared" si="94"/>
        <v>8</v>
      </c>
      <c r="G755" s="4">
        <f t="shared" si="93"/>
        <v>101000</v>
      </c>
      <c r="H755" s="45">
        <f t="shared" si="95"/>
        <v>1.2822024166246004</v>
      </c>
      <c r="I755" s="10">
        <f t="shared" si="96"/>
        <v>0.83561049414939681</v>
      </c>
      <c r="J755" s="4">
        <f t="shared" si="97"/>
        <v>45.411833833782033</v>
      </c>
      <c r="K755" s="4">
        <f t="shared" si="91"/>
        <v>10.209035977200223</v>
      </c>
      <c r="L755" s="45">
        <f>Pressure!Q755</f>
        <v>2.6184903817374447</v>
      </c>
      <c r="M755" s="10">
        <f t="shared" si="92"/>
        <v>0.22300818763671124</v>
      </c>
      <c r="N755" s="10">
        <f t="shared" si="98"/>
        <v>2.9545467240956045</v>
      </c>
    </row>
    <row r="756" spans="3:14">
      <c r="C756" s="4">
        <f>Pressure!AB756*1000000</f>
        <v>364066.06791866064</v>
      </c>
      <c r="D756" s="84">
        <f>Pressure!I756</f>
        <v>1.4801552192482141E-4</v>
      </c>
      <c r="E756" s="40">
        <f>Pressure!H756</f>
        <v>148.0155219248214</v>
      </c>
      <c r="F756" s="10">
        <f t="shared" si="94"/>
        <v>8</v>
      </c>
      <c r="G756" s="4">
        <f t="shared" si="93"/>
        <v>101000</v>
      </c>
      <c r="H756" s="45">
        <f t="shared" si="95"/>
        <v>1.2765411041405104</v>
      </c>
      <c r="I756" s="10">
        <f t="shared" si="96"/>
        <v>0.83306655147292308</v>
      </c>
      <c r="J756" s="4">
        <f t="shared" si="97"/>
        <v>44.891814693171519</v>
      </c>
      <c r="K756" s="4">
        <f t="shared" si="91"/>
        <v>10.092130455728501</v>
      </c>
      <c r="L756" s="45">
        <f>Pressure!Q756</f>
        <v>2.6233862567072435</v>
      </c>
      <c r="M756" s="10">
        <f t="shared" si="92"/>
        <v>0.22105768625230593</v>
      </c>
      <c r="N756" s="10">
        <f t="shared" si="98"/>
        <v>2.9545467240956045</v>
      </c>
    </row>
    <row r="757" spans="3:14">
      <c r="C757" s="4">
        <f>Pressure!AB757*1000000</f>
        <v>360975.7176177993</v>
      </c>
      <c r="D757" s="84">
        <f>Pressure!I757</f>
        <v>1.4801552192482141E-4</v>
      </c>
      <c r="E757" s="40">
        <f>Pressure!H757</f>
        <v>148.0155219248214</v>
      </c>
      <c r="F757" s="10">
        <f t="shared" si="94"/>
        <v>8</v>
      </c>
      <c r="G757" s="4">
        <f t="shared" si="93"/>
        <v>101000</v>
      </c>
      <c r="H757" s="45">
        <f t="shared" si="95"/>
        <v>1.2708952292371278</v>
      </c>
      <c r="I757" s="10">
        <f t="shared" si="96"/>
        <v>0.83049520689239975</v>
      </c>
      <c r="J757" s="4">
        <f t="shared" si="97"/>
        <v>44.373366582509277</v>
      </c>
      <c r="K757" s="4">
        <f t="shared" si="91"/>
        <v>9.9755781175552531</v>
      </c>
      <c r="L757" s="45">
        <f>Pressure!Q757</f>
        <v>2.6282953750492304</v>
      </c>
      <c r="M757" s="10">
        <f t="shared" si="92"/>
        <v>0.21910666935061637</v>
      </c>
      <c r="N757" s="10">
        <f t="shared" si="98"/>
        <v>2.9545467240956045</v>
      </c>
    </row>
    <row r="758" spans="3:14">
      <c r="C758" s="4">
        <f>Pressure!AB758*1000000</f>
        <v>357891.18769105128</v>
      </c>
      <c r="D758" s="84">
        <f>Pressure!I758</f>
        <v>1.4801552192482141E-4</v>
      </c>
      <c r="E758" s="40">
        <f>Pressure!H758</f>
        <v>148.0155219248214</v>
      </c>
      <c r="F758" s="10">
        <f t="shared" si="94"/>
        <v>8</v>
      </c>
      <c r="G758" s="4">
        <f t="shared" si="93"/>
        <v>101000</v>
      </c>
      <c r="H758" s="45">
        <f t="shared" si="95"/>
        <v>1.2652653750421003</v>
      </c>
      <c r="I758" s="10">
        <f t="shared" si="96"/>
        <v>0.8278959803512288</v>
      </c>
      <c r="J758" s="4">
        <f t="shared" si="97"/>
        <v>43.856507097222114</v>
      </c>
      <c r="K758" s="4">
        <f t="shared" si="91"/>
        <v>9.859382918309004</v>
      </c>
      <c r="L758" s="45">
        <f>Pressure!Q758</f>
        <v>2.6332178612583927</v>
      </c>
      <c r="M758" s="10">
        <f t="shared" si="92"/>
        <v>0.21715516821230732</v>
      </c>
      <c r="N758" s="10">
        <f t="shared" si="98"/>
        <v>2.9545467240956045</v>
      </c>
    </row>
    <row r="759" spans="3:14">
      <c r="C759" s="4">
        <f>Pressure!AB759*1000000</f>
        <v>354812.57645950676</v>
      </c>
      <c r="D759" s="84">
        <f>Pressure!I759</f>
        <v>1.4801552192482141E-4</v>
      </c>
      <c r="E759" s="40">
        <f>Pressure!H759</f>
        <v>148.0155219248214</v>
      </c>
      <c r="F759" s="10">
        <f t="shared" si="94"/>
        <v>8</v>
      </c>
      <c r="G759" s="4">
        <f t="shared" si="93"/>
        <v>101000</v>
      </c>
      <c r="H759" s="45">
        <f t="shared" si="95"/>
        <v>1.2596521436201593</v>
      </c>
      <c r="I759" s="10">
        <f t="shared" si="96"/>
        <v>0.82526837955373844</v>
      </c>
      <c r="J759" s="4">
        <f t="shared" si="97"/>
        <v>43.341253864693606</v>
      </c>
      <c r="K759" s="4">
        <f t="shared" si="91"/>
        <v>9.7435488208024825</v>
      </c>
      <c r="L759" s="45">
        <f>Pressure!Q759</f>
        <v>2.6381538415369579</v>
      </c>
      <c r="M759" s="10">
        <f t="shared" si="92"/>
        <v>0.21520321422152583</v>
      </c>
      <c r="N759" s="10">
        <f t="shared" si="98"/>
        <v>2.9545467240956045</v>
      </c>
    </row>
    <row r="760" spans="3:14">
      <c r="C760" s="4">
        <f>Pressure!AB760*1000000</f>
        <v>351739.98299387458</v>
      </c>
      <c r="D760" s="84">
        <f>Pressure!I760</f>
        <v>1.4801552192482141E-4</v>
      </c>
      <c r="E760" s="40">
        <f>Pressure!H760</f>
        <v>148.0155219248214</v>
      </c>
      <c r="F760" s="10">
        <f t="shared" si="94"/>
        <v>8</v>
      </c>
      <c r="G760" s="4">
        <f t="shared" si="93"/>
        <v>101000</v>
      </c>
      <c r="H760" s="45">
        <f t="shared" si="95"/>
        <v>1.2540561568356519</v>
      </c>
      <c r="I760" s="10">
        <f t="shared" si="96"/>
        <v>0.82261189954622504</v>
      </c>
      <c r="J760" s="4">
        <f t="shared" si="97"/>
        <v>42.827624541457759</v>
      </c>
      <c r="K760" s="4">
        <f t="shared" si="91"/>
        <v>9.6280797944017262</v>
      </c>
      <c r="L760" s="45">
        <f>Pressure!Q760</f>
        <v>2.6431034438248746</v>
      </c>
      <c r="M760" s="10">
        <f t="shared" si="92"/>
        <v>0.21325083885315324</v>
      </c>
      <c r="N760" s="10">
        <f t="shared" si="98"/>
        <v>2.9545467240956045</v>
      </c>
    </row>
    <row r="761" spans="3:14">
      <c r="C761" s="4">
        <f>Pressure!AB761*1000000</f>
        <v>348673.50712108769</v>
      </c>
      <c r="D761" s="84">
        <f>Pressure!I761</f>
        <v>1.4801552192482141E-4</v>
      </c>
      <c r="E761" s="40">
        <f>Pressure!H761</f>
        <v>148.0155219248214</v>
      </c>
      <c r="F761" s="10">
        <f t="shared" si="94"/>
        <v>8</v>
      </c>
      <c r="G761" s="4">
        <f t="shared" si="93"/>
        <v>101000</v>
      </c>
      <c r="H761" s="45">
        <f t="shared" si="95"/>
        <v>1.2484780572636387</v>
      </c>
      <c r="I761" s="10">
        <f t="shared" si="96"/>
        <v>0.81992602227904643</v>
      </c>
      <c r="J761" s="4">
        <f t="shared" si="97"/>
        <v>42.315636810123429</v>
      </c>
      <c r="K761" s="4">
        <f t="shared" si="91"/>
        <v>9.5129798143346598</v>
      </c>
      <c r="L761" s="45">
        <f>Pressure!Q761</f>
        <v>2.6480667978309289</v>
      </c>
      <c r="M761" s="10">
        <f t="shared" si="92"/>
        <v>0.21129807365894934</v>
      </c>
      <c r="N761" s="10">
        <f t="shared" si="98"/>
        <v>2.9545467240956045</v>
      </c>
    </row>
    <row r="762" spans="3:14">
      <c r="C762" s="4">
        <f>Pressure!AB762*1000000</f>
        <v>345613.24943135399</v>
      </c>
      <c r="D762" s="84">
        <f>Pressure!I762</f>
        <v>1.4801552192482141E-4</v>
      </c>
      <c r="E762" s="40">
        <f>Pressure!H762</f>
        <v>148.0155219248214</v>
      </c>
      <c r="F762" s="10">
        <f t="shared" si="94"/>
        <v>8</v>
      </c>
      <c r="G762" s="4">
        <f t="shared" si="93"/>
        <v>101000</v>
      </c>
      <c r="H762" s="45">
        <f t="shared" si="95"/>
        <v>1.2429185091547166</v>
      </c>
      <c r="I762" s="10">
        <f t="shared" si="96"/>
        <v>0.81721021614956302</v>
      </c>
      <c r="J762" s="4">
        <f t="shared" si="97"/>
        <v>41.80530837617934</v>
      </c>
      <c r="K762" s="4">
        <f t="shared" si="91"/>
        <v>9.3982528609728302</v>
      </c>
      <c r="L762" s="45">
        <f>Pressure!Q762</f>
        <v>2.6530440350645113</v>
      </c>
      <c r="M762" s="10">
        <f t="shared" si="92"/>
        <v>0.20934495025270278</v>
      </c>
      <c r="N762" s="10">
        <f t="shared" si="98"/>
        <v>2.9545467240956045</v>
      </c>
    </row>
    <row r="763" spans="3:14">
      <c r="C763" s="4">
        <f>Pressure!AB763*1000000</f>
        <v>342559.31128458225</v>
      </c>
      <c r="D763" s="84">
        <f>Pressure!I763</f>
        <v>1.4801552192482141E-4</v>
      </c>
      <c r="E763" s="40">
        <f>Pressure!H763</f>
        <v>148.0155219248214</v>
      </c>
      <c r="F763" s="10">
        <f t="shared" si="94"/>
        <v>8</v>
      </c>
      <c r="G763" s="4">
        <f t="shared" si="93"/>
        <v>101000</v>
      </c>
      <c r="H763" s="45">
        <f t="shared" si="95"/>
        <v>1.2373781994553326</v>
      </c>
      <c r="I763" s="10">
        <f t="shared" si="96"/>
        <v>0.81446393552391383</v>
      </c>
      <c r="J763" s="4">
        <f t="shared" si="97"/>
        <v>41.296656964490154</v>
      </c>
      <c r="K763" s="4">
        <f t="shared" si="91"/>
        <v>9.2839029190436921</v>
      </c>
      <c r="L763" s="45">
        <f>Pressure!Q763</f>
        <v>2.6580352888680467</v>
      </c>
      <c r="M763" s="10">
        <f t="shared" si="92"/>
        <v>0.20739150029394551</v>
      </c>
      <c r="N763" s="10">
        <f t="shared" si="98"/>
        <v>2.9545467240956045</v>
      </c>
    </row>
    <row r="764" spans="3:14">
      <c r="C764" s="4">
        <f>Pressure!AB764*1000000</f>
        <v>339511.79481750465</v>
      </c>
      <c r="D764" s="84">
        <f>Pressure!I764</f>
        <v>1.4801552192482141E-4</v>
      </c>
      <c r="E764" s="40">
        <f>Pressure!H764</f>
        <v>148.0155219248214</v>
      </c>
      <c r="F764" s="10">
        <f t="shared" si="94"/>
        <v>8</v>
      </c>
      <c r="G764" s="4">
        <f t="shared" si="93"/>
        <v>101000</v>
      </c>
      <c r="H764" s="45">
        <f t="shared" si="95"/>
        <v>1.2318578388899841</v>
      </c>
      <c r="I764" s="10">
        <f t="shared" si="96"/>
        <v>0.81168662023762495</v>
      </c>
      <c r="J764" s="4">
        <f t="shared" si="97"/>
        <v>40.789700315692201</v>
      </c>
      <c r="K764" s="4">
        <f t="shared" si="91"/>
        <v>9.1699339768203316</v>
      </c>
      <c r="L764" s="45">
        <f>Pressure!Q764</f>
        <v>2.6630406944501077</v>
      </c>
      <c r="M764" s="10">
        <f t="shared" si="92"/>
        <v>0.20543775547063808</v>
      </c>
      <c r="N764" s="10">
        <f t="shared" si="98"/>
        <v>2.9545467240956045</v>
      </c>
    </row>
    <row r="765" spans="3:14">
      <c r="C765" s="4">
        <f>Pressure!AB765*1000000</f>
        <v>336470.8029503522</v>
      </c>
      <c r="D765" s="84">
        <f>Pressure!I765</f>
        <v>1.4801552192482141E-4</v>
      </c>
      <c r="E765" s="40">
        <f>Pressure!H765</f>
        <v>148.0155219248214</v>
      </c>
      <c r="F765" s="10">
        <f t="shared" si="94"/>
        <v>8</v>
      </c>
      <c r="G765" s="4">
        <f t="shared" si="93"/>
        <v>101000</v>
      </c>
      <c r="H765" s="45">
        <f t="shared" si="95"/>
        <v>1.2263581631075631</v>
      </c>
      <c r="I765" s="10">
        <f t="shared" si="96"/>
        <v>0.8088776950728167</v>
      </c>
      <c r="J765" s="4">
        <f t="shared" si="97"/>
        <v>40.284456182285695</v>
      </c>
      <c r="K765" s="4">
        <f t="shared" si="91"/>
        <v>9.056350025242951</v>
      </c>
      <c r="L765" s="45">
        <f>Pressure!Q765</f>
        <v>2.6680603889192178</v>
      </c>
      <c r="M765" s="10">
        <f t="shared" si="92"/>
        <v>0.20348374748033329</v>
      </c>
      <c r="N765" s="10">
        <f t="shared" si="98"/>
        <v>2.9545467240956045</v>
      </c>
    </row>
    <row r="766" spans="3:14">
      <c r="C766" s="4">
        <f>Pressure!AB766*1000000</f>
        <v>333436.43939386052</v>
      </c>
      <c r="D766" s="84">
        <f>Pressure!I766</f>
        <v>1.4801552192482141E-4</v>
      </c>
      <c r="E766" s="40">
        <f>Pressure!H766</f>
        <v>148.0155219248214</v>
      </c>
      <c r="F766" s="10">
        <f t="shared" si="94"/>
        <v>8</v>
      </c>
      <c r="G766" s="4">
        <f t="shared" si="93"/>
        <v>101000</v>
      </c>
      <c r="H766" s="45">
        <f t="shared" si="95"/>
        <v>1.2208799338979486</v>
      </c>
      <c r="I766" s="10">
        <f t="shared" si="96"/>
        <v>0.80603656921137978</v>
      </c>
      <c r="J766" s="4">
        <f t="shared" si="97"/>
        <v>39.780942324539424</v>
      </c>
      <c r="K766" s="4">
        <f t="shared" si="91"/>
        <v>8.9431550569982079</v>
      </c>
      <c r="L766" s="45">
        <f>Pressure!Q766</f>
        <v>2.6730945113183666</v>
      </c>
      <c r="M766" s="10">
        <f t="shared" si="92"/>
        <v>0.20152950800999159</v>
      </c>
      <c r="N766" s="10">
        <f t="shared" si="98"/>
        <v>2.9545467240956045</v>
      </c>
    </row>
    <row r="767" spans="3:14">
      <c r="C767" s="4">
        <f>Pressure!AB767*1000000</f>
        <v>330408.80865560001</v>
      </c>
      <c r="D767" s="84">
        <f>Pressure!I767</f>
        <v>1.4801552192482141E-4</v>
      </c>
      <c r="E767" s="40">
        <f>Pressure!H767</f>
        <v>148.0155219248214</v>
      </c>
      <c r="F767" s="10">
        <f t="shared" si="94"/>
        <v>8</v>
      </c>
      <c r="G767" s="4">
        <f t="shared" si="93"/>
        <v>101000</v>
      </c>
      <c r="H767" s="45">
        <f t="shared" si="95"/>
        <v>1.2154239404821088</v>
      </c>
      <c r="I767" s="10">
        <f t="shared" si="96"/>
        <v>0.80316263566177648</v>
      </c>
      <c r="J767" s="4">
        <f t="shared" si="97"/>
        <v>39.279176506026303</v>
      </c>
      <c r="K767" s="4">
        <f t="shared" si="91"/>
        <v>8.830353065515558</v>
      </c>
      <c r="L767" s="45">
        <f>Pressure!Q767</f>
        <v>2.6781432026602512</v>
      </c>
      <c r="M767" s="10">
        <f t="shared" si="92"/>
        <v>0.19957506871412123</v>
      </c>
      <c r="N767" s="10">
        <f t="shared" si="98"/>
        <v>2.9545467240956045</v>
      </c>
    </row>
    <row r="768" spans="3:14">
      <c r="C768" s="4">
        <f>Pressure!AB768*1000000</f>
        <v>327388.01604725851</v>
      </c>
      <c r="D768" s="84">
        <f>Pressure!I768</f>
        <v>1.4801552192482141E-4</v>
      </c>
      <c r="E768" s="40">
        <f>Pressure!H768</f>
        <v>148.0155219248214</v>
      </c>
      <c r="F768" s="10">
        <f t="shared" si="94"/>
        <v>8</v>
      </c>
      <c r="G768" s="4">
        <f t="shared" si="93"/>
        <v>101000</v>
      </c>
      <c r="H768" s="45">
        <f t="shared" si="95"/>
        <v>1.209991000884181</v>
      </c>
      <c r="I768" s="10">
        <f t="shared" si="96"/>
        <v>0.80025527065947721</v>
      </c>
      <c r="J768" s="4">
        <f t="shared" si="97"/>
        <v>38.779176489045007</v>
      </c>
      <c r="K768" s="4">
        <f t="shared" si="91"/>
        <v>8.7179480439379997</v>
      </c>
      <c r="L768" s="45">
        <f>Pressure!Q768</f>
        <v>2.683206605963258</v>
      </c>
      <c r="M768" s="10">
        <f t="shared" si="92"/>
        <v>0.19762046119125773</v>
      </c>
      <c r="N768" s="10">
        <f t="shared" si="98"/>
        <v>2.9545467240956045</v>
      </c>
    </row>
    <row r="769" spans="3:14">
      <c r="C769" s="4">
        <f>Pressure!AB769*1000000</f>
        <v>324374.16769067978</v>
      </c>
      <c r="D769" s="84">
        <f>Pressure!I769</f>
        <v>1.4801552192482141E-4</v>
      </c>
      <c r="E769" s="40">
        <f>Pressure!H769</f>
        <v>148.0155219248214</v>
      </c>
      <c r="F769" s="10">
        <f t="shared" si="94"/>
        <v>8</v>
      </c>
      <c r="G769" s="4">
        <f t="shared" si="93"/>
        <v>101000</v>
      </c>
      <c r="H769" s="45">
        <f t="shared" si="95"/>
        <v>1.2045819633875539</v>
      </c>
      <c r="I769" s="10">
        <f t="shared" si="96"/>
        <v>0.79731383303733538</v>
      </c>
      <c r="J769" s="4">
        <f t="shared" si="97"/>
        <v>38.280960029546328</v>
      </c>
      <c r="K769" s="4">
        <f t="shared" si="91"/>
        <v>8.6059439839814598</v>
      </c>
      <c r="L769" s="45">
        <f>Pressure!Q769</f>
        <v>2.6882848662882024</v>
      </c>
      <c r="M769" s="10">
        <f t="shared" si="92"/>
        <v>0.19566571695858095</v>
      </c>
      <c r="N769" s="10">
        <f t="shared" si="98"/>
        <v>2.9545467240956045</v>
      </c>
    </row>
    <row r="770" spans="3:14">
      <c r="C770" s="4">
        <f>Pressure!AB770*1000000</f>
        <v>321367.37052540004</v>
      </c>
      <c r="D770" s="84">
        <f>Pressure!I770</f>
        <v>1.4801552192482141E-4</v>
      </c>
      <c r="E770" s="40">
        <f>Pressure!H770</f>
        <v>148.0155219248214</v>
      </c>
      <c r="F770" s="10">
        <f t="shared" si="94"/>
        <v>8</v>
      </c>
      <c r="G770" s="4">
        <f t="shared" si="93"/>
        <v>101000</v>
      </c>
      <c r="H770" s="45">
        <f t="shared" si="95"/>
        <v>1.1991977080864094</v>
      </c>
      <c r="I770" s="10">
        <f t="shared" si="96"/>
        <v>0.7943376635667887</v>
      </c>
      <c r="J770" s="4">
        <f t="shared" si="97"/>
        <v>37.784544872001064</v>
      </c>
      <c r="K770" s="4">
        <f t="shared" si="91"/>
        <v>8.4943448747810493</v>
      </c>
      <c r="L770" s="45">
        <f>Pressure!Q770</f>
        <v>2.693378130775844</v>
      </c>
      <c r="M770" s="10">
        <f t="shared" si="92"/>
        <v>0.19371086742478896</v>
      </c>
      <c r="N770" s="10">
        <f t="shared" si="98"/>
        <v>2.9545467240956045</v>
      </c>
    </row>
    <row r="771" spans="3:14">
      <c r="C771" s="4">
        <f>Pressure!AB771*1000000</f>
        <v>318367.73231458088</v>
      </c>
      <c r="D771" s="84">
        <f>Pressure!I771</f>
        <v>1.4801552192482141E-4</v>
      </c>
      <c r="E771" s="40">
        <f>Pressure!H771</f>
        <v>148.0155219248214</v>
      </c>
      <c r="F771" s="10">
        <f t="shared" si="94"/>
        <v>8</v>
      </c>
      <c r="G771" s="4">
        <f t="shared" si="93"/>
        <v>101000</v>
      </c>
      <c r="H771" s="45">
        <f t="shared" si="95"/>
        <v>1.193839148534229</v>
      </c>
      <c r="I771" s="10">
        <f t="shared" si="96"/>
        <v>0.79132608426502904</v>
      </c>
      <c r="J771" s="4">
        <f t="shared" si="97"/>
        <v>37.289948743676739</v>
      </c>
      <c r="K771" s="4">
        <f t="shared" si="91"/>
        <v>8.3831547016044112</v>
      </c>
      <c r="L771" s="45">
        <f>Pressure!Q771</f>
        <v>2.6984865486851914</v>
      </c>
      <c r="M771" s="10">
        <f t="shared" si="92"/>
        <v>0.19175594386076009</v>
      </c>
      <c r="N771" s="10">
        <f t="shared" si="98"/>
        <v>2.9545467240956045</v>
      </c>
    </row>
    <row r="772" spans="3:14">
      <c r="C772" s="4">
        <f>Pressure!AB772*1000000</f>
        <v>315375.36165175919</v>
      </c>
      <c r="D772" s="84">
        <f>Pressure!I772</f>
        <v>1.4801552192482141E-4</v>
      </c>
      <c r="E772" s="40">
        <f>Pressure!H772</f>
        <v>148.0155219248214</v>
      </c>
      <c r="F772" s="10">
        <f t="shared" si="94"/>
        <v>8</v>
      </c>
      <c r="G772" s="4">
        <f t="shared" si="93"/>
        <v>101000</v>
      </c>
      <c r="H772" s="45">
        <f t="shared" si="95"/>
        <v>1.1885072335013493</v>
      </c>
      <c r="I772" s="10">
        <f t="shared" si="96"/>
        <v>0.78827839766846963</v>
      </c>
      <c r="J772" s="4">
        <f t="shared" si="97"/>
        <v>36.797189348703277</v>
      </c>
      <c r="K772" s="4">
        <f t="shared" si="91"/>
        <v>8.2723774445176197</v>
      </c>
      <c r="L772" s="45">
        <f>Pressure!Q772</f>
        <v>2.7036102714326171</v>
      </c>
      <c r="M772" s="10">
        <f t="shared" si="92"/>
        <v>0.18980097736779733</v>
      </c>
      <c r="N772" s="10">
        <f t="shared" si="98"/>
        <v>2.9545467240956045</v>
      </c>
    </row>
    <row r="773" spans="3:14">
      <c r="C773" s="4">
        <f>Pressure!AB773*1000000</f>
        <v>312390.36796757404</v>
      </c>
      <c r="D773" s="84">
        <f>Pressure!I773</f>
        <v>1.4801552192482141E-4</v>
      </c>
      <c r="E773" s="40">
        <f>Pressure!H773</f>
        <v>148.0155219248214</v>
      </c>
      <c r="F773" s="10">
        <f t="shared" si="94"/>
        <v>8</v>
      </c>
      <c r="G773" s="4">
        <f t="shared" si="93"/>
        <v>101000</v>
      </c>
      <c r="H773" s="45">
        <f t="shared" si="95"/>
        <v>1.1832029488484497</v>
      </c>
      <c r="I773" s="10">
        <f t="shared" si="96"/>
        <v>0.7851938860695663</v>
      </c>
      <c r="J773" s="4">
        <f t="shared" si="97"/>
        <v>36.30628436176611</v>
      </c>
      <c r="K773" s="4">
        <f t="shared" si="91"/>
        <v>8.1620170769673379</v>
      </c>
      <c r="L773" s="45">
        <f>Pressure!Q773</f>
        <v>2.7087494526317983</v>
      </c>
      <c r="M773" s="10">
        <f t="shared" si="92"/>
        <v>0.18784599884384143</v>
      </c>
      <c r="N773" s="10">
        <f t="shared" si="98"/>
        <v>2.9545467240956045</v>
      </c>
    </row>
    <row r="774" spans="3:14">
      <c r="C774" s="4">
        <f>Pressure!AB774*1000000</f>
        <v>309412.86153597641</v>
      </c>
      <c r="D774" s="84">
        <f>Pressure!I774</f>
        <v>1.4801552192482141E-4</v>
      </c>
      <c r="E774" s="40">
        <f>Pressure!H774</f>
        <v>148.0155219248214</v>
      </c>
      <c r="F774" s="10">
        <f t="shared" si="94"/>
        <v>8</v>
      </c>
      <c r="G774" s="4">
        <f t="shared" si="93"/>
        <v>101000</v>
      </c>
      <c r="H774" s="45">
        <f t="shared" si="95"/>
        <v>1.1779273195242852</v>
      </c>
      <c r="I774" s="10">
        <f t="shared" si="96"/>
        <v>0.78207181071416276</v>
      </c>
      <c r="J774" s="4">
        <f t="shared" si="97"/>
        <v>35.817251421321735</v>
      </c>
      <c r="K774" s="4">
        <f t="shared" si="91"/>
        <v>8.052077564255594</v>
      </c>
      <c r="L774" s="45">
        <f>Pressure!Q774</f>
        <v>2.7139042481345004</v>
      </c>
      <c r="M774" s="10">
        <f t="shared" si="92"/>
        <v>0.1858910389468153</v>
      </c>
      <c r="N774" s="10">
        <f t="shared" si="98"/>
        <v>2.9545467240956045</v>
      </c>
    </row>
    <row r="775" spans="3:14">
      <c r="C775" s="4">
        <f>Pressure!AB775*1000000</f>
        <v>306442.95348072064</v>
      </c>
      <c r="D775" s="84">
        <f>Pressure!I775</f>
        <v>1.4801552192482141E-4</v>
      </c>
      <c r="E775" s="40">
        <f>Pressure!H775</f>
        <v>148.0155219248214</v>
      </c>
      <c r="F775" s="10">
        <f t="shared" si="94"/>
        <v>8</v>
      </c>
      <c r="G775" s="4">
        <f t="shared" si="93"/>
        <v>101000</v>
      </c>
      <c r="H775" s="45">
        <f t="shared" si="95"/>
        <v>1.1726814116991229</v>
      </c>
      <c r="I775" s="10">
        <f t="shared" si="96"/>
        <v>0.77891141095766547</v>
      </c>
      <c r="J775" s="4">
        <f t="shared" si="97"/>
        <v>35.33010812244126</v>
      </c>
      <c r="K775" s="4">
        <f t="shared" si="91"/>
        <v>7.9425628619309521</v>
      </c>
      <c r="L775" s="45">
        <f>Pressure!Q775</f>
        <v>2.7190748160722236</v>
      </c>
      <c r="M775" s="10">
        <f t="shared" si="92"/>
        <v>0.18393612805532256</v>
      </c>
      <c r="N775" s="10">
        <f t="shared" si="98"/>
        <v>2.9545467240956045</v>
      </c>
    </row>
    <row r="776" spans="3:14">
      <c r="C776" s="4">
        <f>Pressure!AB776*1000000</f>
        <v>303480.75578159274</v>
      </c>
      <c r="D776" s="84">
        <f>Pressure!I776</f>
        <v>1.4801552192482141E-4</v>
      </c>
      <c r="E776" s="40">
        <f>Pressure!H776</f>
        <v>148.0155219248214</v>
      </c>
      <c r="F776" s="10">
        <f t="shared" si="94"/>
        <v>8</v>
      </c>
      <c r="G776" s="4">
        <f t="shared" si="93"/>
        <v>101000</v>
      </c>
      <c r="H776" s="45">
        <f t="shared" si="95"/>
        <v>1.1674663350438661</v>
      </c>
      <c r="I776" s="10">
        <f t="shared" si="96"/>
        <v>0.77571190337681206</v>
      </c>
      <c r="J776" s="4">
        <f t="shared" si="97"/>
        <v>34.844872009164604</v>
      </c>
      <c r="K776" s="4">
        <f t="shared" si="91"/>
        <v>7.8334769140696467</v>
      </c>
      <c r="L776" s="45">
        <f>Pressure!Q776</f>
        <v>2.7242613168987293</v>
      </c>
      <c r="M776" s="10">
        <f t="shared" si="92"/>
        <v>0.18198129622629869</v>
      </c>
      <c r="N776" s="10">
        <f t="shared" si="98"/>
        <v>2.9545467240956045</v>
      </c>
    </row>
    <row r="777" spans="3:14">
      <c r="C777" s="4">
        <f>Pressure!AB777*1000000</f>
        <v>300526.38128049276</v>
      </c>
      <c r="D777" s="84">
        <f>Pressure!I777</f>
        <v>1.4801552192482141E-4</v>
      </c>
      <c r="E777" s="40">
        <f>Pressure!H777</f>
        <v>148.0155219248214</v>
      </c>
      <c r="F777" s="10">
        <f t="shared" si="94"/>
        <v>8</v>
      </c>
      <c r="G777" s="4">
        <f t="shared" si="93"/>
        <v>101000</v>
      </c>
      <c r="H777" s="45">
        <f t="shared" si="95"/>
        <v>1.1622832451670855</v>
      </c>
      <c r="I777" s="10">
        <f t="shared" si="96"/>
        <v>0.7724724808342377</v>
      </c>
      <c r="J777" s="4">
        <f t="shared" si="97"/>
        <v>34.361560566354513</v>
      </c>
      <c r="K777" s="4">
        <f t="shared" si="91"/>
        <v>7.7248236514442947</v>
      </c>
      <c r="L777" s="45">
        <f>Pressure!Q777</f>
        <v>2.7294639134334666</v>
      </c>
      <c r="M777" s="10">
        <f t="shared" si="92"/>
        <v>0.18002657314946366</v>
      </c>
      <c r="N777" s="10">
        <f t="shared" si="98"/>
        <v>2.9545467240956045</v>
      </c>
    </row>
    <row r="778" spans="3:14">
      <c r="C778" s="4">
        <f>Pressure!AB778*1000000</f>
        <v>297579.94368772919</v>
      </c>
      <c r="D778" s="84">
        <f>Pressure!I778</f>
        <v>1.4801552192482141E-4</v>
      </c>
      <c r="E778" s="40">
        <f>Pressure!H778</f>
        <v>148.0155219248214</v>
      </c>
      <c r="F778" s="10">
        <f t="shared" si="94"/>
        <v>8</v>
      </c>
      <c r="G778" s="4">
        <f t="shared" si="93"/>
        <v>101000</v>
      </c>
      <c r="H778" s="45">
        <f t="shared" si="95"/>
        <v>1.1571333462237379</v>
      </c>
      <c r="I778" s="10">
        <f t="shared" si="96"/>
        <v>0.76919231149309875</v>
      </c>
      <c r="J778" s="4">
        <f t="shared" si="97"/>
        <v>33.880191211076152</v>
      </c>
      <c r="K778" s="4">
        <f t="shared" si="91"/>
        <v>7.6166069895859341</v>
      </c>
      <c r="L778" s="45">
        <f>Pressure!Q778</f>
        <v>2.7346827709059167</v>
      </c>
      <c r="M778" s="10">
        <f t="shared" si="92"/>
        <v>0.17807198809836447</v>
      </c>
      <c r="N778" s="10">
        <f t="shared" si="98"/>
        <v>2.9545467240956045</v>
      </c>
    </row>
    <row r="779" spans="3:14">
      <c r="C779" s="4">
        <f>Pressure!AB779*1000000</f>
        <v>294641.55758766155</v>
      </c>
      <c r="D779" s="84">
        <f>Pressure!I779</f>
        <v>1.4801552192482141E-4</v>
      </c>
      <c r="E779" s="40">
        <f>Pressure!H779</f>
        <v>148.0155219248214</v>
      </c>
      <c r="F779" s="10">
        <f t="shared" si="94"/>
        <v>8</v>
      </c>
      <c r="G779" s="4">
        <f t="shared" si="93"/>
        <v>101000</v>
      </c>
      <c r="H779" s="45">
        <f t="shared" si="95"/>
        <v>1.1520178937084766</v>
      </c>
      <c r="I779" s="10">
        <f t="shared" si="96"/>
        <v>0.76587053777742198</v>
      </c>
      <c r="J779" s="4">
        <f t="shared" si="97"/>
        <v>33.400781283325699</v>
      </c>
      <c r="K779" s="4">
        <f t="shared" si="91"/>
        <v>7.5088308266997208</v>
      </c>
      <c r="L779" s="45">
        <f>Pressure!Q779</f>
        <v>2.7399180570008728</v>
      </c>
      <c r="M779" s="10">
        <f t="shared" si="92"/>
        <v>0.17611756987753119</v>
      </c>
      <c r="N779" s="10">
        <f t="shared" si="98"/>
        <v>2.9545467240956045</v>
      </c>
    </row>
    <row r="780" spans="3:14">
      <c r="C780" s="4">
        <f>Pressure!AB780*1000000</f>
        <v>291711.33844490699</v>
      </c>
      <c r="D780" s="84">
        <f>Pressure!I780</f>
        <v>1.4801552192482141E-4</v>
      </c>
      <c r="E780" s="40">
        <f>Pressure!H780</f>
        <v>148.0155219248214</v>
      </c>
      <c r="F780" s="10">
        <f t="shared" si="94"/>
        <v>8</v>
      </c>
      <c r="G780" s="4">
        <f t="shared" si="93"/>
        <v>101000</v>
      </c>
      <c r="H780" s="45">
        <f t="shared" si="95"/>
        <v>1.1469381974515303</v>
      </c>
      <c r="I780" s="10">
        <f t="shared" si="96"/>
        <v>0.76250627527585579</v>
      </c>
      <c r="J780" s="4">
        <f t="shared" si="97"/>
        <v>32.923348036268308</v>
      </c>
      <c r="K780" s="4">
        <f t="shared" si="91"/>
        <v>7.401499041470327</v>
      </c>
      <c r="L780" s="45">
        <f>Pressure!Q780</f>
        <v>2.7451699419046807</v>
      </c>
      <c r="M780" s="10">
        <f t="shared" si="92"/>
        <v>0.1741633467658894</v>
      </c>
      <c r="N780" s="10">
        <f t="shared" si="98"/>
        <v>2.9545467240956045</v>
      </c>
    </row>
    <row r="781" spans="3:14">
      <c r="C781" s="4">
        <f>Pressure!AB781*1000000</f>
        <v>288789.40260942653</v>
      </c>
      <c r="D781" s="84">
        <f>Pressure!I781</f>
        <v>1.4801552192482141E-4</v>
      </c>
      <c r="E781" s="40">
        <f>Pressure!H781</f>
        <v>148.0155219248214</v>
      </c>
      <c r="F781" s="10">
        <f t="shared" si="94"/>
        <v>8</v>
      </c>
      <c r="G781" s="4">
        <f t="shared" si="93"/>
        <v>101000</v>
      </c>
      <c r="H781" s="45">
        <f t="shared" si="95"/>
        <v>1.1418956248316297</v>
      </c>
      <c r="I781" s="10">
        <f t="shared" si="96"/>
        <v>0.75909861158295455</v>
      </c>
      <c r="J781" s="4">
        <f t="shared" si="97"/>
        <v>32.447908625668639</v>
      </c>
      <c r="K781" s="4">
        <f t="shared" si="91"/>
        <v>7.2946154906858141</v>
      </c>
      <c r="L781" s="45">
        <f>Pressure!Q781</f>
        <v>2.7504385983524515</v>
      </c>
      <c r="M781" s="10">
        <f t="shared" si="92"/>
        <v>0.17220934645539887</v>
      </c>
      <c r="N781" s="10">
        <f t="shared" si="98"/>
        <v>2.9545467240956045</v>
      </c>
    </row>
    <row r="782" spans="3:14">
      <c r="C782" s="4">
        <f>Pressure!AB782*1000000</f>
        <v>285875.86732256558</v>
      </c>
      <c r="D782" s="84">
        <f>Pressure!I782</f>
        <v>1.4801552192482141E-4</v>
      </c>
      <c r="E782" s="40">
        <f>Pressure!H782</f>
        <v>148.0155219248214</v>
      </c>
      <c r="F782" s="10">
        <f t="shared" si="94"/>
        <v>8</v>
      </c>
      <c r="G782" s="4">
        <f t="shared" si="93"/>
        <v>101000</v>
      </c>
      <c r="H782" s="45">
        <f t="shared" si="95"/>
        <v>1.136891604228766</v>
      </c>
      <c r="I782" s="10">
        <f t="shared" si="96"/>
        <v>0.75564660507604764</v>
      </c>
      <c r="J782" s="4">
        <f t="shared" si="97"/>
        <v>31.974480098807366</v>
      </c>
      <c r="K782" s="4">
        <f t="shared" si="91"/>
        <v>7.1881840067459573</v>
      </c>
      <c r="L782" s="45">
        <f>Pressure!Q782</f>
        <v>2.7557242016762764</v>
      </c>
      <c r="M782" s="10">
        <f t="shared" si="92"/>
        <v>0.17025559598541454</v>
      </c>
      <c r="N782" s="10">
        <f t="shared" si="98"/>
        <v>2.9545467240956045</v>
      </c>
    </row>
    <row r="783" spans="3:14">
      <c r="C783" s="4">
        <f>Pressure!AB783*1000000</f>
        <v>282970.85072210152</v>
      </c>
      <c r="D783" s="84">
        <f>Pressure!I783</f>
        <v>1.4801552192482141E-4</v>
      </c>
      <c r="E783" s="40">
        <f>Pressure!H783</f>
        <v>148.0155219248214</v>
      </c>
      <c r="F783" s="10">
        <f t="shared" si="94"/>
        <v>8</v>
      </c>
      <c r="G783" s="4">
        <f t="shared" si="93"/>
        <v>101000</v>
      </c>
      <c r="H783" s="45">
        <f t="shared" si="95"/>
        <v>1.1319276287345346</v>
      </c>
      <c r="I783" s="10">
        <f t="shared" si="96"/>
        <v>0.7521492836207907</v>
      </c>
      <c r="J783" s="4">
        <f t="shared" si="97"/>
        <v>31.503079382516297</v>
      </c>
      <c r="K783" s="4">
        <f t="shared" ref="K783:K846" si="99">J783/4.4482</f>
        <v>7.0822083949724153</v>
      </c>
      <c r="L783" s="45">
        <f>Pressure!Q783</f>
        <v>2.7610269298544554</v>
      </c>
      <c r="M783" s="10">
        <f t="shared" ref="M783:M846" si="100">(J783+J782)/2*(L783-L782)</f>
        <v>0.16830212167182446</v>
      </c>
      <c r="N783" s="10">
        <f t="shared" si="98"/>
        <v>2.9545467240956045</v>
      </c>
    </row>
    <row r="784" spans="3:14">
      <c r="C784" s="4">
        <f>Pressure!AB784*1000000</f>
        <v>280074.47184739629</v>
      </c>
      <c r="D784" s="84">
        <f>Pressure!I784</f>
        <v>1.4801552192482141E-4</v>
      </c>
      <c r="E784" s="40">
        <f>Pressure!H784</f>
        <v>148.0155219248214</v>
      </c>
      <c r="F784" s="10">
        <f t="shared" si="94"/>
        <v>8</v>
      </c>
      <c r="G784" s="4">
        <f t="shared" si="93"/>
        <v>101000</v>
      </c>
      <c r="H784" s="45">
        <f t="shared" si="95"/>
        <v>1.1270052601452876</v>
      </c>
      <c r="I784" s="10">
        <f t="shared" si="96"/>
        <v>0.74860564320157374</v>
      </c>
      <c r="J784" s="4">
        <f t="shared" si="97"/>
        <v>31.033723270457966</v>
      </c>
      <c r="K784" s="4">
        <f t="shared" si="99"/>
        <v>6.9766924307490594</v>
      </c>
      <c r="L784" s="45">
        <f>Pressure!Q784</f>
        <v>2.7663469635617641</v>
      </c>
      <c r="M784" s="10">
        <f t="shared" si="100"/>
        <v>0.16634894903056802</v>
      </c>
      <c r="N784" s="10">
        <f t="shared" si="98"/>
        <v>2.9545467240956045</v>
      </c>
    </row>
    <row r="785" spans="3:14">
      <c r="C785" s="4">
        <f>Pressure!AB785*1000000</f>
        <v>277186.85064426577</v>
      </c>
      <c r="D785" s="84">
        <f>Pressure!I785</f>
        <v>1.4801552192482141E-4</v>
      </c>
      <c r="E785" s="40">
        <f>Pressure!H785</f>
        <v>148.0155219248214</v>
      </c>
      <c r="F785" s="10">
        <f t="shared" si="94"/>
        <v>8</v>
      </c>
      <c r="G785" s="4">
        <f t="shared" si="93"/>
        <v>101000</v>
      </c>
      <c r="H785" s="45">
        <f t="shared" si="95"/>
        <v>1.1221261332631971</v>
      </c>
      <c r="I785" s="10">
        <f t="shared" si="96"/>
        <v>0.74501464647080218</v>
      </c>
      <c r="J785" s="4">
        <f t="shared" si="97"/>
        <v>30.566428409527376</v>
      </c>
      <c r="K785" s="4">
        <f t="shared" si="99"/>
        <v>6.871639856464947</v>
      </c>
      <c r="L785" s="45">
        <f>Pressure!Q785</f>
        <v>2.7716844862207806</v>
      </c>
      <c r="M785" s="10">
        <f t="shared" si="100"/>
        <v>0.16439610269538557</v>
      </c>
      <c r="N785" s="10">
        <f t="shared" si="98"/>
        <v>2.9545467240956045</v>
      </c>
    </row>
    <row r="786" spans="3:14">
      <c r="C786" s="4">
        <f>Pressure!AB786*1000000</f>
        <v>274308.10796983266</v>
      </c>
      <c r="D786" s="84">
        <f>Pressure!I786</f>
        <v>1.4801552192482141E-4</v>
      </c>
      <c r="E786" s="40">
        <f>Pressure!H786</f>
        <v>148.0155219248214</v>
      </c>
      <c r="F786" s="10">
        <f t="shared" si="94"/>
        <v>8</v>
      </c>
      <c r="G786" s="4">
        <f t="shared" si="93"/>
        <v>101000</v>
      </c>
      <c r="H786" s="45">
        <f t="shared" si="95"/>
        <v>1.1172919605342011</v>
      </c>
      <c r="I786" s="10">
        <f t="shared" si="96"/>
        <v>0.74137522121135713</v>
      </c>
      <c r="J786" s="4">
        <f t="shared" si="97"/>
        <v>30.101211285355067</v>
      </c>
      <c r="K786" s="4">
        <f t="shared" si="99"/>
        <v>6.7670543782552643</v>
      </c>
      <c r="L786" s="45">
        <f>Pressure!Q786</f>
        <v>2.7770396840542908</v>
      </c>
      <c r="M786" s="10">
        <f t="shared" si="100"/>
        <v>0.16244360632910712</v>
      </c>
      <c r="N786" s="10">
        <f t="shared" si="98"/>
        <v>2.9545467240956045</v>
      </c>
    </row>
    <row r="787" spans="3:14">
      <c r="C787" s="4">
        <f>Pressure!AB787*1000000</f>
        <v>271438.36559676507</v>
      </c>
      <c r="D787" s="84">
        <f>Pressure!I787</f>
        <v>1.4801552192482141E-4</v>
      </c>
      <c r="E787" s="40">
        <f>Pressure!H787</f>
        <v>148.0155219248214</v>
      </c>
      <c r="F787" s="10">
        <f t="shared" si="94"/>
        <v>8</v>
      </c>
      <c r="G787" s="4">
        <f t="shared" si="93"/>
        <v>101000</v>
      </c>
      <c r="H787" s="45">
        <f t="shared" si="95"/>
        <v>1.1125045370533928</v>
      </c>
      <c r="I787" s="10">
        <f t="shared" si="96"/>
        <v>0.7376862587049271</v>
      </c>
      <c r="J787" s="4">
        <f t="shared" si="97"/>
        <v>29.638088206744804</v>
      </c>
      <c r="K787" s="4">
        <f t="shared" si="99"/>
        <v>6.6629396625027661</v>
      </c>
      <c r="L787" s="45">
        <f>Pressure!Q787</f>
        <v>2.782412746138796</v>
      </c>
      <c r="M787" s="10">
        <f t="shared" si="100"/>
        <v>0.16049148252795023</v>
      </c>
      <c r="N787" s="10">
        <f t="shared" si="98"/>
        <v>2.9545467240956045</v>
      </c>
    </row>
    <row r="788" spans="3:14">
      <c r="C788" s="4">
        <f>Pressure!AB788*1000000</f>
        <v>268577.74621765927</v>
      </c>
      <c r="D788" s="84">
        <f>Pressure!I788</f>
        <v>1.4801552192482141E-4</v>
      </c>
      <c r="E788" s="40">
        <f>Pressure!H788</f>
        <v>148.0155219248214</v>
      </c>
      <c r="F788" s="10">
        <f t="shared" si="94"/>
        <v>8</v>
      </c>
      <c r="G788" s="4">
        <f t="shared" si="93"/>
        <v>101000</v>
      </c>
      <c r="H788" s="45">
        <f t="shared" si="95"/>
        <v>1.1077657459742023</v>
      </c>
      <c r="I788" s="10">
        <f t="shared" si="96"/>
        <v>0.73394661199997691</v>
      </c>
      <c r="J788" s="4">
        <f t="shared" si="97"/>
        <v>29.177075289091544</v>
      </c>
      <c r="K788" s="4">
        <f t="shared" si="99"/>
        <v>6.5592993321099646</v>
      </c>
      <c r="L788" s="45">
        <f>Pressure!Q788</f>
        <v>2.7878038644591419</v>
      </c>
      <c r="M788" s="10">
        <f t="shared" si="100"/>
        <v>0.15853975271827103</v>
      </c>
      <c r="N788" s="10">
        <f t="shared" si="98"/>
        <v>2.9545467240956045</v>
      </c>
    </row>
    <row r="789" spans="3:14">
      <c r="C789" s="4">
        <f>Pressure!AB789*1000000</f>
        <v>265726.37344879709</v>
      </c>
      <c r="D789" s="84">
        <f>Pressure!I789</f>
        <v>1.4801552192482141E-4</v>
      </c>
      <c r="E789" s="40">
        <f>Pressure!H789</f>
        <v>148.0155219248214</v>
      </c>
      <c r="F789" s="10">
        <f t="shared" si="94"/>
        <v>8</v>
      </c>
      <c r="G789" s="4">
        <f t="shared" si="93"/>
        <v>101000</v>
      </c>
      <c r="H789" s="45">
        <f t="shared" si="95"/>
        <v>1.1030775643590056</v>
      </c>
      <c r="I789" s="10">
        <f t="shared" si="96"/>
        <v>0.7301550940705458</v>
      </c>
      <c r="J789" s="4">
        <f t="shared" si="97"/>
        <v>28.718188436571261</v>
      </c>
      <c r="K789" s="4">
        <f t="shared" si="99"/>
        <v>6.4561369624952256</v>
      </c>
      <c r="L789" s="45">
        <f>Pressure!Q789</f>
        <v>2.7932132339642903</v>
      </c>
      <c r="M789" s="10">
        <f t="shared" si="100"/>
        <v>0.15658843704506453</v>
      </c>
      <c r="N789" s="10">
        <f t="shared" si="98"/>
        <v>2.9545467240956045</v>
      </c>
    </row>
    <row r="790" spans="3:14">
      <c r="C790" s="4">
        <f>Pressure!AB790*1000000</f>
        <v>262884.37183373317</v>
      </c>
      <c r="D790" s="84">
        <f>Pressure!I790</f>
        <v>1.4801552192482141E-4</v>
      </c>
      <c r="E790" s="40">
        <f>Pressure!H790</f>
        <v>148.0155219248214</v>
      </c>
      <c r="F790" s="10">
        <f t="shared" si="94"/>
        <v>8</v>
      </c>
      <c r="G790" s="4">
        <f t="shared" si="93"/>
        <v>101000</v>
      </c>
      <c r="H790" s="45">
        <f t="shared" si="95"/>
        <v>1.0984420695152697</v>
      </c>
      <c r="I790" s="10">
        <f t="shared" si="96"/>
        <v>0.72631047585785236</v>
      </c>
      <c r="J790" s="4">
        <f t="shared" si="97"/>
        <v>28.261443323083565</v>
      </c>
      <c r="K790" s="4">
        <f t="shared" si="99"/>
        <v>6.3534560773084765</v>
      </c>
      <c r="L790" s="45">
        <f>Pressure!Q790</f>
        <v>2.7986410526242596</v>
      </c>
      <c r="M790" s="10">
        <f t="shared" si="100"/>
        <v>0.1546375542516146</v>
      </c>
      <c r="N790" s="10">
        <f t="shared" si="98"/>
        <v>2.9545467240956045</v>
      </c>
    </row>
    <row r="791" spans="3:14">
      <c r="C791" s="4">
        <f>Pressure!AB791*1000000</f>
        <v>260051.86684675695</v>
      </c>
      <c r="D791" s="84">
        <f>Pressure!I791</f>
        <v>1.4801552192482141E-4</v>
      </c>
      <c r="E791" s="40">
        <f>Pressure!H791</f>
        <v>148.0155219248214</v>
      </c>
      <c r="F791" s="10">
        <f t="shared" si="94"/>
        <v>8</v>
      </c>
      <c r="G791" s="4">
        <f t="shared" si="93"/>
        <v>101000</v>
      </c>
      <c r="H791" s="45">
        <f t="shared" si="95"/>
        <v>1.0938614458655742</v>
      </c>
      <c r="I791" s="10">
        <f t="shared" si="96"/>
        <v>0.72241148418538081</v>
      </c>
      <c r="J791" s="4">
        <f t="shared" si="97"/>
        <v>27.8068553718524</v>
      </c>
      <c r="K791" s="4">
        <f t="shared" si="99"/>
        <v>6.2512601438452409</v>
      </c>
      <c r="L791" s="45">
        <f>Pressure!Q791</f>
        <v>2.804087521488249</v>
      </c>
      <c r="M791" s="10">
        <f t="shared" si="100"/>
        <v>0.15268712154941516</v>
      </c>
      <c r="N791" s="10">
        <f t="shared" si="98"/>
        <v>2.9545467240956045</v>
      </c>
    </row>
    <row r="792" spans="3:14">
      <c r="C792" s="4">
        <f>Pressure!AB792*1000000</f>
        <v>257228.98489549296</v>
      </c>
      <c r="D792" s="84">
        <f>Pressure!I792</f>
        <v>1.4801552192482141E-4</v>
      </c>
      <c r="E792" s="40">
        <f>Pressure!H792</f>
        <v>148.0155219248214</v>
      </c>
      <c r="F792" s="10">
        <f t="shared" si="94"/>
        <v>8</v>
      </c>
      <c r="G792" s="4">
        <f t="shared" si="93"/>
        <v>101000</v>
      </c>
      <c r="H792" s="45">
        <f t="shared" si="95"/>
        <v>1.0893379924042232</v>
      </c>
      <c r="I792" s="10">
        <f t="shared" si="96"/>
        <v>0.71845679953611019</v>
      </c>
      <c r="J792" s="4">
        <f t="shared" si="97"/>
        <v>27.354439733454516</v>
      </c>
      <c r="K792" s="4">
        <f t="shared" si="99"/>
        <v>6.1495525681072154</v>
      </c>
      <c r="L792" s="45">
        <f>Pressure!Q792</f>
        <v>2.8095528447439753</v>
      </c>
      <c r="M792" s="10">
        <f t="shared" si="100"/>
        <v>0.15073715447750596</v>
      </c>
      <c r="N792" s="10">
        <f t="shared" si="98"/>
        <v>2.9545467240956045</v>
      </c>
    </row>
    <row r="793" spans="3:14">
      <c r="C793" s="4">
        <f>Pressure!AB793*1000000</f>
        <v>254415.85332377127</v>
      </c>
      <c r="D793" s="84">
        <f>Pressure!I793</f>
        <v>1.4801552192482141E-4</v>
      </c>
      <c r="E793" s="40">
        <f>Pressure!H793</f>
        <v>148.0155219248214</v>
      </c>
      <c r="F793" s="10">
        <f t="shared" si="94"/>
        <v>8</v>
      </c>
      <c r="G793" s="4">
        <f t="shared" si="93"/>
        <v>101000</v>
      </c>
      <c r="H793" s="45">
        <f t="shared" si="95"/>
        <v>1.0848741308025351</v>
      </c>
      <c r="I793" s="10">
        <f t="shared" si="96"/>
        <v>0.71444505368206601</v>
      </c>
      <c r="J793" s="4">
        <f t="shared" si="97"/>
        <v>26.904211262333725</v>
      </c>
      <c r="K793" s="4">
        <f t="shared" si="99"/>
        <v>6.0483366895224417</v>
      </c>
      <c r="L793" s="45">
        <f>Pressure!Q793</f>
        <v>2.8150372297782376</v>
      </c>
      <c r="M793" s="10">
        <f t="shared" si="100"/>
        <v>0.14878766675028102</v>
      </c>
      <c r="N793" s="10">
        <f t="shared" si="98"/>
        <v>2.9545467240956045</v>
      </c>
    </row>
    <row r="794" spans="3:14">
      <c r="C794" s="4">
        <f>Pressure!AB794*1000000</f>
        <v>251612.60041352251</v>
      </c>
      <c r="D794" s="84">
        <f>Pressure!I794</f>
        <v>1.4801552192482141E-4</v>
      </c>
      <c r="E794" s="40">
        <f>Pressure!H794</f>
        <v>148.0155219248214</v>
      </c>
      <c r="F794" s="10">
        <f t="shared" si="94"/>
        <v>8</v>
      </c>
      <c r="G794" s="4">
        <f t="shared" si="93"/>
        <v>101000</v>
      </c>
      <c r="H794" s="45">
        <f t="shared" si="95"/>
        <v>1.0804724142282711</v>
      </c>
      <c r="I794" s="10">
        <f t="shared" si="96"/>
        <v>0.7103748271519853</v>
      </c>
      <c r="J794" s="4">
        <f t="shared" si="97"/>
        <v>26.45618449146459</v>
      </c>
      <c r="K794" s="4">
        <f t="shared" si="99"/>
        <v>5.9476157752494467</v>
      </c>
      <c r="L794" s="45">
        <f>Pressure!Q794</f>
        <v>2.8205408872387379</v>
      </c>
      <c r="M794" s="10">
        <f t="shared" si="100"/>
        <v>0.14683867009282031</v>
      </c>
      <c r="N794" s="10">
        <f t="shared" si="98"/>
        <v>2.9545467240956045</v>
      </c>
    </row>
    <row r="795" spans="3:14">
      <c r="C795" s="4">
        <f>Pressure!AB795*1000000</f>
        <v>248819.3553866279</v>
      </c>
      <c r="D795" s="84">
        <f>Pressure!I795</f>
        <v>1.4801552192482141E-4</v>
      </c>
      <c r="E795" s="40">
        <f>Pressure!H795</f>
        <v>148.0155219248214</v>
      </c>
      <c r="F795" s="10">
        <f t="shared" si="94"/>
        <v>8</v>
      </c>
      <c r="G795" s="4">
        <f t="shared" si="93"/>
        <v>101000</v>
      </c>
      <c r="H795" s="45">
        <f t="shared" si="95"/>
        <v>1.0761355369563987</v>
      </c>
      <c r="I795" s="10">
        <f t="shared" si="96"/>
        <v>0.70624464652458818</v>
      </c>
      <c r="J795" s="4">
        <f t="shared" si="97"/>
        <v>26.010373605163473</v>
      </c>
      <c r="K795" s="4">
        <f t="shared" si="99"/>
        <v>5.8473930140648962</v>
      </c>
      <c r="L795" s="45">
        <f>Pressure!Q795</f>
        <v>2.8260640310971752</v>
      </c>
      <c r="M795" s="10">
        <f t="shared" si="100"/>
        <v>0.14489017406236832</v>
      </c>
      <c r="N795" s="10">
        <f t="shared" si="98"/>
        <v>2.9545467240956045</v>
      </c>
    </row>
    <row r="796" spans="3:14">
      <c r="C796" s="4">
        <f>Pressure!AB796*1000000</f>
        <v>246036.24840621994</v>
      </c>
      <c r="D796" s="84">
        <f>Pressure!I796</f>
        <v>1.4801552192482141E-4</v>
      </c>
      <c r="E796" s="40">
        <f>Pressure!H796</f>
        <v>148.0155219248214</v>
      </c>
      <c r="F796" s="10">
        <f t="shared" si="94"/>
        <v>8</v>
      </c>
      <c r="G796" s="4">
        <f t="shared" ref="G796:G862" si="101">IF(C796/(1+(k-1)/2*N796^2)^(k/(k-1))&lt;patm*1000000,patm*1000000,C796/(1+(k-1)/2*N796^2)^(k/(k-1)))</f>
        <v>101000</v>
      </c>
      <c r="H796" s="45">
        <f t="shared" si="95"/>
        <v>1.0718663448554127</v>
      </c>
      <c r="I796" s="10">
        <f t="shared" si="96"/>
        <v>0.70205298153154316</v>
      </c>
      <c r="J796" s="4">
        <f t="shared" si="97"/>
        <v>25.566792409798687</v>
      </c>
      <c r="K796" s="4">
        <f t="shared" si="99"/>
        <v>5.7476715097789413</v>
      </c>
      <c r="L796" s="45">
        <f>Pressure!Q796</f>
        <v>2.8316068787136364</v>
      </c>
      <c r="M796" s="10">
        <f t="shared" si="100"/>
        <v>0.14294218585492771</v>
      </c>
      <c r="N796" s="10">
        <f t="shared" si="98"/>
        <v>2.9545467240956045</v>
      </c>
    </row>
    <row r="797" spans="3:14">
      <c r="C797" s="4">
        <f>Pressure!AB797*1000000</f>
        <v>243263.41057722256</v>
      </c>
      <c r="D797" s="84">
        <f>Pressure!I797</f>
        <v>1.4801552192482141E-4</v>
      </c>
      <c r="E797" s="40">
        <f>Pressure!H797</f>
        <v>148.0155219248214</v>
      </c>
      <c r="F797" s="10">
        <f t="shared" ref="F797:F860" si="102">aexit/E797</f>
        <v>8</v>
      </c>
      <c r="G797" s="4">
        <f t="shared" si="101"/>
        <v>101000</v>
      </c>
      <c r="H797" s="45">
        <f t="shared" ref="H797:H860" si="103">1/(((k+1)/2)^(1/(k-1))*(patm*1000000/C797)^(1/k)*SQRT((k+1)/(k-1)*(1-(patm*1000000/C797)^((k-1)/k))))</f>
        <v>1.0676678468446568</v>
      </c>
      <c r="I797" s="10">
        <f t="shared" ref="I797:I860" si="104">etanoz*SQRT(2*k^2/(k-1)*(2/(k+1))^((k+1)/(k-1))*(1-(G797/C797)^((k-1)/k)))+(G797-patm*1000000)/C797*(aexit/E797)</f>
        <v>0.69779824195294515</v>
      </c>
      <c r="J797" s="4">
        <f t="shared" ref="J797:J860" si="105">I797*D797*C797</f>
        <v>25.125454302180273</v>
      </c>
      <c r="K797" s="4">
        <f t="shared" si="99"/>
        <v>5.6484542741289223</v>
      </c>
      <c r="L797" s="45">
        <f>Pressure!Q797</f>
        <v>2.8371696509023061</v>
      </c>
      <c r="M797" s="10">
        <f t="shared" si="100"/>
        <v>0.14099471009529083</v>
      </c>
      <c r="N797" s="10">
        <f t="shared" si="98"/>
        <v>2.9545467240956045</v>
      </c>
    </row>
    <row r="798" spans="3:14">
      <c r="C798" s="4">
        <f>Pressure!AB798*1000000</f>
        <v>240500.97394688069</v>
      </c>
      <c r="D798" s="84">
        <f>Pressure!I798</f>
        <v>1.4801552192482141E-4</v>
      </c>
      <c r="E798" s="40">
        <f>Pressure!H798</f>
        <v>148.0155219248214</v>
      </c>
      <c r="F798" s="10">
        <f t="shared" si="102"/>
        <v>8</v>
      </c>
      <c r="G798" s="4">
        <f t="shared" si="101"/>
        <v>101000</v>
      </c>
      <c r="H798" s="45">
        <f t="shared" si="103"/>
        <v>1.0635432274317791</v>
      </c>
      <c r="I798" s="10">
        <f t="shared" si="104"/>
        <v>0.69347877428778504</v>
      </c>
      <c r="J798" s="4">
        <f t="shared" si="105"/>
        <v>24.686372235542123</v>
      </c>
      <c r="K798" s="4">
        <f t="shared" si="99"/>
        <v>5.5497442191318118</v>
      </c>
      <c r="L798" s="45">
        <f>Pressure!Q798</f>
        <v>2.8427525719985169</v>
      </c>
      <c r="M798" s="10">
        <f t="shared" si="100"/>
        <v>0.13904774860912256</v>
      </c>
      <c r="N798" s="10">
        <f t="shared" ref="N798:N861" si="106">N797-1/834*(me-mef)</f>
        <v>2.9545467240956045</v>
      </c>
    </row>
    <row r="799" spans="3:14">
      <c r="C799" s="4">
        <f>Pressure!AB799*1000000</f>
        <v>237749.07150432622</v>
      </c>
      <c r="D799" s="84">
        <f>Pressure!I799</f>
        <v>1.4801552192482141E-4</v>
      </c>
      <c r="E799" s="40">
        <f>Pressure!H799</f>
        <v>148.0155219248214</v>
      </c>
      <c r="F799" s="10">
        <f t="shared" si="102"/>
        <v>8</v>
      </c>
      <c r="G799" s="4">
        <f t="shared" si="101"/>
        <v>101000</v>
      </c>
      <c r="H799" s="45">
        <f t="shared" si="103"/>
        <v>1.0594958604508731</v>
      </c>
      <c r="I799" s="10">
        <f t="shared" si="104"/>
        <v>0.68909285817728527</v>
      </c>
      <c r="J799" s="4">
        <f t="shared" si="105"/>
        <v>24.249558682734271</v>
      </c>
      <c r="K799" s="4">
        <f t="shared" si="99"/>
        <v>5.4515441488094671</v>
      </c>
      <c r="L799" s="45">
        <f>Pressure!Q799</f>
        <v>2.8483558699271612</v>
      </c>
      <c r="M799" s="10">
        <f t="shared" si="100"/>
        <v>0.13710130017532748</v>
      </c>
      <c r="N799" s="10">
        <f t="shared" si="106"/>
        <v>2.9545467240956045</v>
      </c>
    </row>
    <row r="800" spans="3:14">
      <c r="C800" s="4">
        <f>Pressure!AB800*1000000</f>
        <v>235007.83717958099</v>
      </c>
      <c r="D800" s="84">
        <f>Pressure!I800</f>
        <v>1.4801552192482141E-4</v>
      </c>
      <c r="E800" s="40">
        <f>Pressure!H800</f>
        <v>148.0155219248214</v>
      </c>
      <c r="F800" s="10">
        <f t="shared" si="102"/>
        <v>8</v>
      </c>
      <c r="G800" s="4">
        <f t="shared" si="101"/>
        <v>101000</v>
      </c>
      <c r="H800" s="45">
        <f t="shared" si="103"/>
        <v>1.0555293241401054</v>
      </c>
      <c r="I800" s="10">
        <f t="shared" si="104"/>
        <v>0.68463870255866965</v>
      </c>
      <c r="J800" s="4">
        <f t="shared" si="105"/>
        <v>23.815025596432296</v>
      </c>
      <c r="K800" s="4">
        <f t="shared" si="99"/>
        <v>5.3538567502433114</v>
      </c>
      <c r="L800" s="45">
        <f>Pressure!Q800</f>
        <v>2.8539797762724852</v>
      </c>
      <c r="M800" s="10">
        <f t="shared" si="100"/>
        <v>0.13515536025648395</v>
      </c>
      <c r="N800" s="10">
        <f t="shared" si="106"/>
        <v>2.9545467240956045</v>
      </c>
    </row>
    <row r="801" spans="3:14">
      <c r="C801" s="4">
        <f>Pressure!AB801*1000000</f>
        <v>232277.40584235734</v>
      </c>
      <c r="D801" s="84">
        <f>Pressure!I801</f>
        <v>1.4801552192482141E-4</v>
      </c>
      <c r="E801" s="40">
        <f>Pressure!H801</f>
        <v>148.0155219248214</v>
      </c>
      <c r="F801" s="10">
        <f t="shared" si="102"/>
        <v>8</v>
      </c>
      <c r="G801" s="4">
        <f t="shared" si="101"/>
        <v>101000</v>
      </c>
      <c r="H801" s="45">
        <f t="shared" si="103"/>
        <v>1.0516474177160888</v>
      </c>
      <c r="I801" s="10">
        <f t="shared" si="104"/>
        <v>0.68011444152435974</v>
      </c>
      <c r="J801" s="4">
        <f t="shared" si="105"/>
        <v>23.382784366133702</v>
      </c>
      <c r="K801" s="4">
        <f t="shared" si="99"/>
        <v>5.256684583906682</v>
      </c>
      <c r="L801" s="45">
        <f>Pressure!Q801</f>
        <v>2.8596245263492883</v>
      </c>
      <c r="M801" s="10">
        <f t="shared" si="100"/>
        <v>0.13320992070556617</v>
      </c>
      <c r="N801" s="10">
        <f t="shared" si="106"/>
        <v>2.9545467240956045</v>
      </c>
    </row>
    <row r="802" spans="3:14">
      <c r="C802" s="4">
        <f>Pressure!AB802*1000000</f>
        <v>229557.91329960356</v>
      </c>
      <c r="D802" s="84">
        <f>Pressure!I802</f>
        <v>1.4801552192482141E-4</v>
      </c>
      <c r="E802" s="40">
        <f>Pressure!H802</f>
        <v>148.0155219248214</v>
      </c>
      <c r="F802" s="10">
        <f t="shared" si="102"/>
        <v>8</v>
      </c>
      <c r="G802" s="4">
        <f t="shared" si="101"/>
        <v>101000</v>
      </c>
      <c r="H802" s="45">
        <f t="shared" si="103"/>
        <v>1.0478541796217196</v>
      </c>
      <c r="I802" s="10">
        <f t="shared" si="104"/>
        <v>0.67551812985630943</v>
      </c>
      <c r="J802" s="4">
        <f t="shared" si="105"/>
        <v>22.952845771452179</v>
      </c>
      <c r="K802" s="4">
        <f t="shared" si="99"/>
        <v>5.1600300731649158</v>
      </c>
      <c r="L802" s="45">
        <f>Pressure!Q802</f>
        <v>2.8652903592755443</v>
      </c>
      <c r="M802" s="10">
        <f t="shared" si="100"/>
        <v>0.13126496944617691</v>
      </c>
      <c r="N802" s="10">
        <f t="shared" si="106"/>
        <v>2.9545467240956045</v>
      </c>
    </row>
    <row r="803" spans="3:14">
      <c r="C803" s="4">
        <f>Pressure!AB803*1000000</f>
        <v>226849.49629268874</v>
      </c>
      <c r="D803" s="84">
        <f>Pressure!I803</f>
        <v>1.4801552192482141E-4</v>
      </c>
      <c r="E803" s="40">
        <f>Pressure!H803</f>
        <v>148.0155219248214</v>
      </c>
      <c r="F803" s="10">
        <f t="shared" si="102"/>
        <v>8</v>
      </c>
      <c r="G803" s="4">
        <f t="shared" si="101"/>
        <v>101000</v>
      </c>
      <c r="H803" s="45">
        <f t="shared" si="103"/>
        <v>1.044153907651886</v>
      </c>
      <c r="I803" s="10">
        <f t="shared" si="104"/>
        <v>0.67084773820495813</v>
      </c>
      <c r="J803" s="4">
        <f t="shared" si="105"/>
        <v>22.525219931490721</v>
      </c>
      <c r="K803" s="4">
        <f t="shared" si="99"/>
        <v>5.0638954928939173</v>
      </c>
      <c r="L803" s="45">
        <f>Pressure!Q803</f>
        <v>2.8709775180464674</v>
      </c>
      <c r="M803" s="10">
        <f t="shared" si="100"/>
        <v>0.12932049012355376</v>
      </c>
      <c r="N803" s="10">
        <f t="shared" si="106"/>
        <v>2.9545467240956045</v>
      </c>
    </row>
    <row r="804" spans="3:14">
      <c r="C804" s="4">
        <f>Pressure!AB804*1000000</f>
        <v>224152.29249384211</v>
      </c>
      <c r="D804" s="84">
        <f>Pressure!I804</f>
        <v>1.4801552192482141E-4</v>
      </c>
      <c r="E804" s="40">
        <f>Pressure!H804</f>
        <v>148.0155219248214</v>
      </c>
      <c r="F804" s="10">
        <f t="shared" si="102"/>
        <v>8</v>
      </c>
      <c r="G804" s="4">
        <f t="shared" si="101"/>
        <v>101000</v>
      </c>
      <c r="H804" s="45">
        <f t="shared" si="103"/>
        <v>1.0405511811884682</v>
      </c>
      <c r="I804" s="10">
        <f t="shared" si="104"/>
        <v>0.66610114787641383</v>
      </c>
      <c r="J804" s="4">
        <f t="shared" si="105"/>
        <v>22.099916249826144</v>
      </c>
      <c r="K804" s="4">
        <f t="shared" si="99"/>
        <v>4.9682829571121232</v>
      </c>
      <c r="L804" s="45">
        <f>Pressure!Q804</f>
        <v>2.876686249610044</v>
      </c>
      <c r="M804" s="10">
        <f t="shared" si="100"/>
        <v>0.12737646172359501</v>
      </c>
      <c r="N804" s="10">
        <f t="shared" si="106"/>
        <v>2.9545467240956045</v>
      </c>
    </row>
    <row r="805" spans="3:14">
      <c r="C805" s="4">
        <f>Pressure!AB805*1000000</f>
        <v>221466.44050188398</v>
      </c>
      <c r="D805" s="84">
        <f>Pressure!I805</f>
        <v>1.4801552192482141E-4</v>
      </c>
      <c r="E805" s="40">
        <f>Pressure!H805</f>
        <v>148.0155219248214</v>
      </c>
      <c r="F805" s="10">
        <f t="shared" si="102"/>
        <v>8</v>
      </c>
      <c r="G805" s="4">
        <f t="shared" si="101"/>
        <v>101000</v>
      </c>
      <c r="H805" s="45">
        <f t="shared" si="103"/>
        <v>1.0370508858102285</v>
      </c>
      <c r="I805" s="10">
        <f t="shared" si="104"/>
        <v>0.66127614518777611</v>
      </c>
      <c r="J805" s="4">
        <f t="shared" si="105"/>
        <v>21.676943354652959</v>
      </c>
      <c r="K805" s="4">
        <f t="shared" si="99"/>
        <v>4.8731944055242478</v>
      </c>
      <c r="L805" s="45">
        <f>Pressure!Q805</f>
        <v>2.8824168049440453</v>
      </c>
      <c r="M805" s="10">
        <f t="shared" si="100"/>
        <v>0.12543285815613558</v>
      </c>
      <c r="N805" s="10">
        <f t="shared" si="106"/>
        <v>2.9545467240956045</v>
      </c>
    </row>
    <row r="806" spans="3:14">
      <c r="C806" s="4">
        <f>Pressure!AB806*1000000</f>
        <v>218792.07983645855</v>
      </c>
      <c r="D806" s="84">
        <f>Pressure!I806</f>
        <v>1.4801552192482141E-4</v>
      </c>
      <c r="E806" s="40">
        <f>Pressure!H806</f>
        <v>148.0155219248214</v>
      </c>
      <c r="F806" s="10">
        <f t="shared" si="102"/>
        <v>8</v>
      </c>
      <c r="G806" s="4">
        <f t="shared" si="101"/>
        <v>101000</v>
      </c>
      <c r="H806" s="45">
        <f t="shared" si="103"/>
        <v>1.0336582405813661</v>
      </c>
      <c r="I806" s="10">
        <f t="shared" si="104"/>
        <v>0.65637041534399165</v>
      </c>
      <c r="J806" s="4">
        <f t="shared" si="105"/>
        <v>21.256309033445216</v>
      </c>
      <c r="K806" s="4">
        <f t="shared" si="99"/>
        <v>4.7786315888326101</v>
      </c>
      <c r="L806" s="45">
        <f>Pressure!Q806</f>
        <v>2.8881694391345385</v>
      </c>
      <c r="M806" s="10">
        <f t="shared" si="100"/>
        <v>0.12348964779842393</v>
      </c>
      <c r="N806" s="10">
        <f t="shared" si="106"/>
        <v>2.9545467240956045</v>
      </c>
    </row>
    <row r="807" spans="3:14">
      <c r="C807" s="4">
        <f>Pressure!AB807*1000000</f>
        <v>216129.35093269648</v>
      </c>
      <c r="D807" s="84">
        <f>Pressure!I807</f>
        <v>1.4801552192482141E-4</v>
      </c>
      <c r="E807" s="40">
        <f>Pressure!H807</f>
        <v>148.0155219248214</v>
      </c>
      <c r="F807" s="10">
        <f t="shared" si="102"/>
        <v>8</v>
      </c>
      <c r="G807" s="4">
        <f t="shared" si="101"/>
        <v>101000</v>
      </c>
      <c r="H807" s="45">
        <f t="shared" si="103"/>
        <v>1.0303788283719049</v>
      </c>
      <c r="I807" s="10">
        <f t="shared" si="104"/>
        <v>0.65138153578879865</v>
      </c>
      <c r="J807" s="4">
        <f t="shared" si="105"/>
        <v>20.838020161854484</v>
      </c>
      <c r="K807" s="4">
        <f t="shared" si="99"/>
        <v>4.6845960527526831</v>
      </c>
      <c r="L807" s="45">
        <f>Pressure!Q807</f>
        <v>2.8939444114559238</v>
      </c>
      <c r="M807" s="10">
        <f t="shared" si="100"/>
        <v>0.12154679299506956</v>
      </c>
      <c r="N807" s="10">
        <f t="shared" si="106"/>
        <v>2.9545467240956045</v>
      </c>
    </row>
    <row r="808" spans="3:14">
      <c r="C808" s="4">
        <f>Pressure!AB808*1000000</f>
        <v>213478.39513342862</v>
      </c>
      <c r="D808" s="84">
        <f>Pressure!I808</f>
        <v>1.4801552192482141E-4</v>
      </c>
      <c r="E808" s="40">
        <f>Pressure!H808</f>
        <v>148.0155219248214</v>
      </c>
      <c r="F808" s="10">
        <f t="shared" si="102"/>
        <v>8</v>
      </c>
      <c r="G808" s="4">
        <f t="shared" si="101"/>
        <v>101000</v>
      </c>
      <c r="H808" s="45">
        <f t="shared" si="103"/>
        <v>1.0272186296106969</v>
      </c>
      <c r="I808" s="10">
        <f t="shared" si="104"/>
        <v>0.64630696896704065</v>
      </c>
      <c r="J808" s="4">
        <f t="shared" si="105"/>
        <v>20.422082625726688</v>
      </c>
      <c r="K808" s="4">
        <f t="shared" si="99"/>
        <v>4.5910891204816977</v>
      </c>
      <c r="L808" s="45">
        <f>Pressure!Q808</f>
        <v>2.8997419854524966</v>
      </c>
      <c r="M808" s="10">
        <f t="shared" si="100"/>
        <v>0.11960424950860012</v>
      </c>
      <c r="N808" s="10">
        <f t="shared" si="106"/>
        <v>2.9545467240956045</v>
      </c>
    </row>
    <row r="809" spans="3:14">
      <c r="C809" s="4">
        <f>Pressure!AB809*1000000</f>
        <v>210839.35468165966</v>
      </c>
      <c r="D809" s="84">
        <f>Pressure!I809</f>
        <v>1.4801552192482141E-4</v>
      </c>
      <c r="E809" s="40">
        <f>Pressure!H809</f>
        <v>148.0155219248214</v>
      </c>
      <c r="F809" s="10">
        <f t="shared" si="102"/>
        <v>8</v>
      </c>
      <c r="G809" s="4">
        <f t="shared" si="101"/>
        <v>101000</v>
      </c>
      <c r="H809" s="45">
        <f t="shared" si="103"/>
        <v>1.024184059942445</v>
      </c>
      <c r="I809" s="10">
        <f t="shared" si="104"/>
        <v>0.64114405443813194</v>
      </c>
      <c r="J809" s="4">
        <f t="shared" si="105"/>
        <v>20.008501235908387</v>
      </c>
      <c r="K809" s="4">
        <f t="shared" si="99"/>
        <v>4.4981118735462404</v>
      </c>
      <c r="L809" s="45">
        <f>Pressure!Q809</f>
        <v>2.9055624290215678</v>
      </c>
      <c r="M809" s="10">
        <f t="shared" si="100"/>
        <v>0.1176619659156236</v>
      </c>
      <c r="N809" s="10">
        <f t="shared" si="106"/>
        <v>2.9545467240956045</v>
      </c>
    </row>
    <row r="810" spans="3:14">
      <c r="C810" s="4">
        <f>Pressure!AB810*1000000</f>
        <v>208212.37271101482</v>
      </c>
      <c r="D810" s="84">
        <f>Pressure!I810</f>
        <v>1.4801552192482141E-4</v>
      </c>
      <c r="E810" s="40">
        <f>Pressure!H810</f>
        <v>148.0155219248214</v>
      </c>
      <c r="F810" s="10">
        <f t="shared" si="102"/>
        <v>8</v>
      </c>
      <c r="G810" s="4">
        <f t="shared" si="101"/>
        <v>101000</v>
      </c>
      <c r="H810" s="45">
        <f t="shared" si="103"/>
        <v>1.0212820123286996</v>
      </c>
      <c r="I810" s="10">
        <f t="shared" si="104"/>
        <v>0.63589000026247455</v>
      </c>
      <c r="J810" s="4">
        <f t="shared" si="105"/>
        <v>19.597279634621859</v>
      </c>
      <c r="K810" s="4">
        <f t="shared" si="99"/>
        <v>4.4056651307544312</v>
      </c>
      <c r="L810" s="45">
        <f>Pressure!Q810</f>
        <v>2.9114060144981462</v>
      </c>
      <c r="M810" s="10">
        <f t="shared" si="100"/>
        <v>0.11571988294178803</v>
      </c>
      <c r="N810" s="10">
        <f t="shared" si="106"/>
        <v>2.9545467240956045</v>
      </c>
    </row>
    <row r="811" spans="3:14">
      <c r="C811" s="4">
        <f>Pressure!AB811*1000000</f>
        <v>205597.59323607071</v>
      </c>
      <c r="D811" s="84">
        <f>Pressure!I811</f>
        <v>1.4801552192482141E-4</v>
      </c>
      <c r="E811" s="40">
        <f>Pressure!H811</f>
        <v>148.0155219248214</v>
      </c>
      <c r="F811" s="10">
        <f t="shared" si="102"/>
        <v>8</v>
      </c>
      <c r="G811" s="4">
        <f t="shared" si="101"/>
        <v>101000</v>
      </c>
      <c r="H811" s="45">
        <f t="shared" si="103"/>
        <v>1.0185199042266297</v>
      </c>
      <c r="I811" s="10">
        <f t="shared" si="104"/>
        <v>0.63054187358030922</v>
      </c>
      <c r="J811" s="4">
        <f t="shared" si="105"/>
        <v>19.188420192723886</v>
      </c>
      <c r="K811" s="4">
        <f t="shared" si="99"/>
        <v>4.3137494250986661</v>
      </c>
      <c r="L811" s="45">
        <f>Pressure!Q811</f>
        <v>2.9172730187412004</v>
      </c>
      <c r="M811" s="10">
        <f t="shared" si="100"/>
        <v>0.11377793272843195</v>
      </c>
      <c r="N811" s="10">
        <f t="shared" si="106"/>
        <v>2.9545467240956045</v>
      </c>
    </row>
    <row r="812" spans="3:14">
      <c r="C812" s="4">
        <f>Pressure!AB812*1000000</f>
        <v>202995.16114056396</v>
      </c>
      <c r="D812" s="84">
        <f>Pressure!I812</f>
        <v>1.4801552192482141E-4</v>
      </c>
      <c r="E812" s="40">
        <f>Pressure!H812</f>
        <v>148.0155219248214</v>
      </c>
      <c r="F812" s="10">
        <f t="shared" si="102"/>
        <v>8</v>
      </c>
      <c r="G812" s="4">
        <f t="shared" si="101"/>
        <v>101000</v>
      </c>
      <c r="H812" s="45">
        <f t="shared" si="103"/>
        <v>1.0159057305803052</v>
      </c>
      <c r="I812" s="10">
        <f t="shared" si="104"/>
        <v>0.62509659028301956</v>
      </c>
      <c r="J812" s="4">
        <f t="shared" si="105"/>
        <v>18.781923896404887</v>
      </c>
      <c r="K812" s="4">
        <f t="shared" si="99"/>
        <v>4.2223649782844497</v>
      </c>
      <c r="L812" s="45">
        <f>Pressure!Q812</f>
        <v>2.9231637232215109</v>
      </c>
      <c r="M812" s="10">
        <f t="shared" si="100"/>
        <v>0.11183603802238075</v>
      </c>
      <c r="N812" s="10">
        <f t="shared" si="106"/>
        <v>2.9545467240956045</v>
      </c>
    </row>
    <row r="813" spans="3:14">
      <c r="C813" s="4">
        <f>Pressure!AB813*1000000</f>
        <v>200405.22216518101</v>
      </c>
      <c r="D813" s="84">
        <f>Pressure!I813</f>
        <v>1.4801552192482141E-4</v>
      </c>
      <c r="E813" s="40">
        <f>Pressure!H813</f>
        <v>148.0155219248214</v>
      </c>
      <c r="F813" s="10">
        <f t="shared" si="102"/>
        <v>8</v>
      </c>
      <c r="G813" s="4">
        <f t="shared" si="101"/>
        <v>101000</v>
      </c>
      <c r="H813" s="45">
        <f t="shared" si="103"/>
        <v>1.0134481234892931</v>
      </c>
      <c r="I813" s="10">
        <f t="shared" si="104"/>
        <v>0.6195509036703496</v>
      </c>
      <c r="J813" s="4">
        <f t="shared" si="105"/>
        <v>18.377790222297442</v>
      </c>
      <c r="K813" s="4">
        <f t="shared" si="99"/>
        <v>4.1315116726535326</v>
      </c>
      <c r="L813" s="45">
        <f>Pressure!Q813</f>
        <v>2.9290784141111224</v>
      </c>
      <c r="M813" s="10">
        <f t="shared" si="100"/>
        <v>0.10989411127922816</v>
      </c>
      <c r="N813" s="10">
        <f t="shared" si="106"/>
        <v>2.9545467240956045</v>
      </c>
    </row>
    <row r="814" spans="3:14">
      <c r="C814" s="4">
        <f>Pressure!AB814*1000000</f>
        <v>197827.92289321695</v>
      </c>
      <c r="D814" s="84">
        <f>Pressure!I814</f>
        <v>1.4801552192482141E-4</v>
      </c>
      <c r="E814" s="40">
        <f>Pressure!H814</f>
        <v>148.0155219248214</v>
      </c>
      <c r="F814" s="10">
        <f t="shared" si="102"/>
        <v>8</v>
      </c>
      <c r="G814" s="4">
        <f t="shared" si="101"/>
        <v>101000</v>
      </c>
      <c r="H814" s="45">
        <f t="shared" si="103"/>
        <v>1.0111564195664418</v>
      </c>
      <c r="I814" s="10">
        <f t="shared" si="104"/>
        <v>0.61390139196385907</v>
      </c>
      <c r="J814" s="4">
        <f t="shared" si="105"/>
        <v>17.976016999230136</v>
      </c>
      <c r="K814" s="4">
        <f t="shared" si="99"/>
        <v>4.0411890201047926</v>
      </c>
      <c r="L814" s="45">
        <f>Pressure!Q814</f>
        <v>2.9350173823744075</v>
      </c>
      <c r="M814" s="10">
        <f t="shared" si="100"/>
        <v>0.10795205366911856</v>
      </c>
      <c r="N814" s="10">
        <f t="shared" si="106"/>
        <v>2.9545467240956045</v>
      </c>
    </row>
    <row r="815" spans="3:14">
      <c r="C815" s="4">
        <f>Pressure!AB815*1000000</f>
        <v>195263.41073602921</v>
      </c>
      <c r="D815" s="84">
        <f>Pressure!I815</f>
        <v>1.4801552192482141E-4</v>
      </c>
      <c r="E815" s="40">
        <f>Pressure!H815</f>
        <v>148.0155219248214</v>
      </c>
      <c r="F815" s="10">
        <f t="shared" si="102"/>
        <v>8</v>
      </c>
      <c r="G815" s="4">
        <f t="shared" si="101"/>
        <v>101000</v>
      </c>
      <c r="H815" s="45">
        <f t="shared" si="103"/>
        <v>1.0090407361816642</v>
      </c>
      <c r="I815" s="10">
        <f t="shared" si="104"/>
        <v>0.60814444453547145</v>
      </c>
      <c r="J815" s="4">
        <f t="shared" si="105"/>
        <v>17.576600255196972</v>
      </c>
      <c r="K815" s="4">
        <f t="shared" si="99"/>
        <v>3.9513961276914196</v>
      </c>
      <c r="L815" s="45">
        <f>Pressure!Q815</f>
        <v>2.9409809238607498</v>
      </c>
      <c r="M815" s="10">
        <f t="shared" si="100"/>
        <v>0.10600975397241384</v>
      </c>
      <c r="N815" s="10">
        <f t="shared" si="106"/>
        <v>2.9545467240956045</v>
      </c>
    </row>
    <row r="816" spans="3:14">
      <c r="C816" s="4">
        <f>Pressure!AB816*1000000</f>
        <v>192711.83391582308</v>
      </c>
      <c r="D816" s="84">
        <f>Pressure!I816</f>
        <v>1.4801552192482141E-4</v>
      </c>
      <c r="E816" s="40">
        <f>Pressure!H816</f>
        <v>148.0155219248214</v>
      </c>
      <c r="F816" s="10">
        <f t="shared" si="102"/>
        <v>8</v>
      </c>
      <c r="G816" s="4">
        <f t="shared" si="101"/>
        <v>101000</v>
      </c>
      <c r="H816" s="45">
        <f t="shared" si="103"/>
        <v>1.0071120580031327</v>
      </c>
      <c r="I816" s="10">
        <f t="shared" si="104"/>
        <v>0.60227624667811275</v>
      </c>
      <c r="J816" s="4">
        <f t="shared" si="105"/>
        <v>17.179534047150497</v>
      </c>
      <c r="K816" s="4">
        <f t="shared" si="99"/>
        <v>3.8621316593567054</v>
      </c>
      <c r="L816" s="45">
        <f>Pressure!Q816</f>
        <v>2.9469693393988439</v>
      </c>
      <c r="M816" s="10">
        <f t="shared" si="100"/>
        <v>0.1040670873501304</v>
      </c>
      <c r="N816" s="10">
        <f t="shared" si="106"/>
        <v>2.9545467240956045</v>
      </c>
    </row>
    <row r="817" spans="3:14">
      <c r="C817" s="4">
        <f>Pressure!AB817*1000000</f>
        <v>190173.34144780957</v>
      </c>
      <c r="D817" s="84">
        <f>Pressure!I817</f>
        <v>1.4801552192482141E-4</v>
      </c>
      <c r="E817" s="40">
        <f>Pressure!H817</f>
        <v>148.0155219248214</v>
      </c>
      <c r="F817" s="10">
        <f t="shared" si="102"/>
        <v>8</v>
      </c>
      <c r="G817" s="4">
        <f t="shared" si="101"/>
        <v>101000</v>
      </c>
      <c r="H817" s="45">
        <f t="shared" si="103"/>
        <v>1.0053823355167795</v>
      </c>
      <c r="I817" s="10">
        <f t="shared" si="104"/>
        <v>0.59629276272854215</v>
      </c>
      <c r="J817" s="4">
        <f t="shared" si="105"/>
        <v>16.784810271600112</v>
      </c>
      <c r="K817" s="4">
        <f t="shared" si="99"/>
        <v>3.7733937933546406</v>
      </c>
      <c r="L817" s="45">
        <f>Pressure!Q817</f>
        <v>2.9529829348926269</v>
      </c>
      <c r="M817" s="10">
        <f t="shared" si="100"/>
        <v>0.10212391397226639</v>
      </c>
      <c r="N817" s="10">
        <f t="shared" si="106"/>
        <v>2.9545467240956045</v>
      </c>
    </row>
    <row r="818" spans="3:14">
      <c r="C818" s="4">
        <f>Pressure!AB818*1000000</f>
        <v>187648.08312044933</v>
      </c>
      <c r="D818" s="84">
        <f>Pressure!I818</f>
        <v>1.4801552192482141E-4</v>
      </c>
      <c r="E818" s="40">
        <f>Pressure!H818</f>
        <v>148.0155219248214</v>
      </c>
      <c r="F818" s="10">
        <f t="shared" si="102"/>
        <v>8</v>
      </c>
      <c r="G818" s="4">
        <f t="shared" si="101"/>
        <v>101000</v>
      </c>
      <c r="H818" s="45">
        <f t="shared" si="103"/>
        <v>1.0038645975249274</v>
      </c>
      <c r="I818" s="10">
        <f t="shared" si="104"/>
        <v>0.5901897173136792</v>
      </c>
      <c r="J818" s="4">
        <f t="shared" si="105"/>
        <v>16.392418453085121</v>
      </c>
      <c r="K818" s="4">
        <f t="shared" si="99"/>
        <v>3.6851801746965336</v>
      </c>
      <c r="L818" s="45">
        <f>Pressure!Q818</f>
        <v>2.9590220214188334</v>
      </c>
      <c r="M818" s="10">
        <f t="shared" si="100"/>
        <v>0.10018007748405976</v>
      </c>
      <c r="N818" s="10">
        <f t="shared" si="106"/>
        <v>2.9545467240956045</v>
      </c>
    </row>
    <row r="819" spans="3:14">
      <c r="C819" s="4">
        <f>Pressure!AB819*1000000</f>
        <v>185136.2094739879</v>
      </c>
      <c r="D819" s="84">
        <f>Pressure!I819</f>
        <v>1.4801552192482141E-4</v>
      </c>
      <c r="E819" s="40">
        <f>Pressure!H819</f>
        <v>148.0155219248214</v>
      </c>
      <c r="F819" s="10">
        <f t="shared" si="102"/>
        <v>8</v>
      </c>
      <c r="G819" s="4">
        <f t="shared" si="101"/>
        <v>101000</v>
      </c>
      <c r="H819" s="45">
        <f t="shared" si="103"/>
        <v>1.0025730800214263</v>
      </c>
      <c r="I819" s="10">
        <f t="shared" si="104"/>
        <v>0.58396257445723943</v>
      </c>
      <c r="J819" s="4">
        <f t="shared" si="105"/>
        <v>16.002345507354569</v>
      </c>
      <c r="K819" s="4">
        <f t="shared" si="99"/>
        <v>3.5974878619114627</v>
      </c>
      <c r="L819" s="45">
        <f>Pressure!Q819</f>
        <v>2.9650869153261774</v>
      </c>
      <c r="M819" s="10">
        <f t="shared" si="100"/>
        <v>9.8235403286758727E-2</v>
      </c>
      <c r="N819" s="10">
        <f t="shared" si="106"/>
        <v>2.9545467240956045</v>
      </c>
    </row>
    <row r="820" spans="3:14">
      <c r="C820" s="4">
        <f>Pressure!AB820*1000000</f>
        <v>182637.87177755247</v>
      </c>
      <c r="D820" s="84">
        <f>Pressure!I820</f>
        <v>1.4801552192482141E-4</v>
      </c>
      <c r="E820" s="40">
        <f>Pressure!H820</f>
        <v>148.0155219248214</v>
      </c>
      <c r="F820" s="10">
        <f t="shared" si="102"/>
        <v>8</v>
      </c>
      <c r="G820" s="4">
        <f t="shared" si="101"/>
        <v>101000</v>
      </c>
      <c r="H820" s="45">
        <f t="shared" si="103"/>
        <v>1.0015233743262588</v>
      </c>
      <c r="I820" s="10">
        <f t="shared" si="104"/>
        <v>0.57760651423864595</v>
      </c>
      <c r="J820" s="4">
        <f t="shared" si="105"/>
        <v>15.614575475529596</v>
      </c>
      <c r="K820" s="4">
        <f t="shared" si="99"/>
        <v>3.5103132672833048</v>
      </c>
      <c r="L820" s="45">
        <f>Pressure!Q820</f>
        <v>2.9711779383361536</v>
      </c>
      <c r="M820" s="10">
        <f t="shared" si="100"/>
        <v>9.6289696605673644E-2</v>
      </c>
      <c r="N820" s="10">
        <f t="shared" si="106"/>
        <v>2.9545467240956045</v>
      </c>
    </row>
    <row r="821" spans="3:14">
      <c r="C821" s="4">
        <f>Pressure!AB821*1000000</f>
        <v>180153.22200410411</v>
      </c>
      <c r="D821" s="84">
        <f>Pressure!I821</f>
        <v>1.4801552192482141E-4</v>
      </c>
      <c r="E821" s="40">
        <f>Pressure!H821</f>
        <v>148.0155219248214</v>
      </c>
      <c r="F821" s="10">
        <f t="shared" si="102"/>
        <v>8</v>
      </c>
      <c r="G821" s="4">
        <f t="shared" si="101"/>
        <v>101000</v>
      </c>
      <c r="H821" s="45">
        <f t="shared" si="103"/>
        <v>1.0007325979621822</v>
      </c>
      <c r="I821" s="10">
        <f t="shared" si="104"/>
        <v>0.57111640663947871</v>
      </c>
      <c r="J821" s="4">
        <f t="shared" si="105"/>
        <v>15.229089224688673</v>
      </c>
      <c r="K821" s="4">
        <f t="shared" si="99"/>
        <v>3.4236520895392908</v>
      </c>
      <c r="L821" s="45">
        <f>Pressure!Q821</f>
        <v>2.9772954176454545</v>
      </c>
      <c r="M821" s="10">
        <f t="shared" si="100"/>
        <v>9.4342740313299034E-2</v>
      </c>
      <c r="N821" s="10">
        <f t="shared" si="106"/>
        <v>2.9545467240956045</v>
      </c>
    </row>
    <row r="822" spans="3:14">
      <c r="C822" s="4">
        <f>Pressure!AB822*1000000</f>
        <v>177682.41280334303</v>
      </c>
      <c r="D822" s="84">
        <f>Pressure!I822</f>
        <v>1.4801552192482141E-4</v>
      </c>
      <c r="E822" s="40">
        <f>Pressure!H822</f>
        <v>148.0155219248214</v>
      </c>
      <c r="F822" s="10">
        <f t="shared" si="102"/>
        <v>8</v>
      </c>
      <c r="G822" s="4">
        <f t="shared" si="101"/>
        <v>101000</v>
      </c>
      <c r="H822" s="45">
        <f t="shared" si="103"/>
        <v>1.0002195925020878</v>
      </c>
      <c r="I822" s="10">
        <f t="shared" si="104"/>
        <v>0.56448678214891701</v>
      </c>
      <c r="J822" s="4">
        <f t="shared" si="105"/>
        <v>14.845864109610858</v>
      </c>
      <c r="K822" s="4">
        <f t="shared" si="99"/>
        <v>3.3374992378064965</v>
      </c>
      <c r="L822" s="45">
        <f>Pressure!Q822</f>
        <v>2.9834396860299872</v>
      </c>
      <c r="M822" s="10">
        <f t="shared" si="100"/>
        <v>9.2394292469117165E-2</v>
      </c>
      <c r="N822" s="10">
        <f t="shared" si="106"/>
        <v>2.9545467240956045</v>
      </c>
    </row>
    <row r="823" spans="3:14">
      <c r="C823" s="4">
        <f>Pressure!AB823*1000000</f>
        <v>175225.59747367341</v>
      </c>
      <c r="D823" s="84">
        <f>Pressure!I823</f>
        <v>1.4801552192482141E-4</v>
      </c>
      <c r="E823" s="40">
        <f>Pressure!H823</f>
        <v>148.0155219248214</v>
      </c>
      <c r="F823" s="10">
        <f t="shared" si="102"/>
        <v>8</v>
      </c>
      <c r="G823" s="4">
        <f t="shared" si="101"/>
        <v>101000</v>
      </c>
      <c r="H823" s="45">
        <f t="shared" si="103"/>
        <v>1.0000051535469539</v>
      </c>
      <c r="I823" s="10">
        <f t="shared" si="104"/>
        <v>0.55771179862279086</v>
      </c>
      <c r="J823" s="4">
        <f t="shared" si="105"/>
        <v>14.464873589555857</v>
      </c>
      <c r="K823" s="4">
        <f t="shared" si="99"/>
        <v>3.2518487454601539</v>
      </c>
      <c r="L823" s="45">
        <f>Pressure!Q823</f>
        <v>2.9896110819504891</v>
      </c>
      <c r="M823" s="10">
        <f t="shared" si="100"/>
        <v>9.0444083531768846E-2</v>
      </c>
      <c r="N823" s="10">
        <f t="shared" si="106"/>
        <v>2.9545467240956045</v>
      </c>
    </row>
    <row r="824" spans="3:14">
      <c r="C824" s="4">
        <f>Pressure!AB824*1000000</f>
        <v>172782.92993032368</v>
      </c>
      <c r="D824" s="84">
        <f>Pressure!I824</f>
        <v>1.4801552192482141E-4</v>
      </c>
      <c r="E824" s="40">
        <f>Pressure!H824</f>
        <v>148.0155219248214</v>
      </c>
      <c r="F824" s="10">
        <f t="shared" si="102"/>
        <v>8</v>
      </c>
      <c r="G824" s="4">
        <f t="shared" si="101"/>
        <v>101000</v>
      </c>
      <c r="H824" s="45">
        <f t="shared" si="103"/>
        <v>1.0001122991638236</v>
      </c>
      <c r="I824" s="10">
        <f t="shared" si="104"/>
        <v>0.55078520378263662</v>
      </c>
      <c r="J824" s="4">
        <f t="shared" si="105"/>
        <v>14.086086792094918</v>
      </c>
      <c r="K824" s="4">
        <f t="shared" si="99"/>
        <v>3.1666936720684586</v>
      </c>
      <c r="L824" s="45">
        <f>Pressure!Q824</f>
        <v>2.9958099496597024</v>
      </c>
      <c r="M824" s="10">
        <f t="shared" si="100"/>
        <v>8.8491813188421559E-2</v>
      </c>
      <c r="N824" s="10">
        <f t="shared" si="106"/>
        <v>2.9545467240956045</v>
      </c>
    </row>
    <row r="825" spans="3:14">
      <c r="C825" s="4">
        <f>Pressure!AB825*1000000</f>
        <v>170354.56467297132</v>
      </c>
      <c r="D825" s="84">
        <f>Pressure!I825</f>
        <v>1.4801552192482141E-4</v>
      </c>
      <c r="E825" s="40">
        <f>Pressure!H825</f>
        <v>148.0155219248214</v>
      </c>
      <c r="F825" s="10">
        <f t="shared" si="102"/>
        <v>8</v>
      </c>
      <c r="G825" s="4">
        <f t="shared" si="101"/>
        <v>101000</v>
      </c>
      <c r="H825" s="45">
        <f t="shared" si="103"/>
        <v>1.0005665845945437</v>
      </c>
      <c r="I825" s="10">
        <f t="shared" si="104"/>
        <v>0.54370029263830988</v>
      </c>
      <c r="J825" s="4">
        <f t="shared" si="105"/>
        <v>13.709468015445342</v>
      </c>
      <c r="K825" s="4">
        <f t="shared" si="99"/>
        <v>3.0820259915123742</v>
      </c>
      <c r="L825" s="45">
        <f>Pressure!Q825</f>
        <v>3.0020366393111142</v>
      </c>
      <c r="M825" s="10">
        <f t="shared" si="100"/>
        <v>8.6537146737680509E-2</v>
      </c>
      <c r="N825" s="10">
        <f t="shared" si="106"/>
        <v>2.9545467240956045</v>
      </c>
    </row>
    <row r="826" spans="3:14">
      <c r="C826" s="4">
        <f>Pressure!AB826*1000000</f>
        <v>167940.65674971428</v>
      </c>
      <c r="D826" s="84">
        <f>Pressure!I826</f>
        <v>1.4801552192482141E-4</v>
      </c>
      <c r="E826" s="40">
        <f>Pressure!H826</f>
        <v>148.0155219248214</v>
      </c>
      <c r="F826" s="10">
        <f t="shared" si="102"/>
        <v>8</v>
      </c>
      <c r="G826" s="4">
        <f t="shared" si="101"/>
        <v>101000</v>
      </c>
      <c r="H826" s="45">
        <f t="shared" si="103"/>
        <v>1.0013964729289708</v>
      </c>
      <c r="I826" s="10">
        <f t="shared" si="104"/>
        <v>0.53644985895232511</v>
      </c>
      <c r="J826" s="4">
        <f t="shared" si="105"/>
        <v>13.334976157850814</v>
      </c>
      <c r="K826" s="4">
        <f t="shared" si="99"/>
        <v>2.9978364637046031</v>
      </c>
      <c r="L826" s="45">
        <f>Pressure!Q826</f>
        <v>3.0082915070692144</v>
      </c>
      <c r="M826" s="10">
        <f t="shared" si="100"/>
        <v>8.4579710947646103E-2</v>
      </c>
      <c r="N826" s="10">
        <f t="shared" si="106"/>
        <v>2.9545467240956045</v>
      </c>
    </row>
    <row r="827" spans="3:14">
      <c r="C827" s="4">
        <f>Pressure!AB827*1000000</f>
        <v>165541.36172003852</v>
      </c>
      <c r="D827" s="84">
        <f>Pressure!I827</f>
        <v>1.4801552192482141E-4</v>
      </c>
      <c r="E827" s="40">
        <f>Pressure!H827</f>
        <v>148.0155219248214</v>
      </c>
      <c r="F827" s="10">
        <f t="shared" si="102"/>
        <v>8</v>
      </c>
      <c r="G827" s="4">
        <f t="shared" si="101"/>
        <v>101000</v>
      </c>
      <c r="H827" s="45">
        <f t="shared" si="103"/>
        <v>1.0026337738518167</v>
      </c>
      <c r="I827" s="10">
        <f t="shared" si="104"/>
        <v>0.52902613969665413</v>
      </c>
      <c r="J827" s="4">
        <f t="shared" si="105"/>
        <v>12.962564061078943</v>
      </c>
      <c r="K827" s="4">
        <f t="shared" si="99"/>
        <v>2.9141144870012461</v>
      </c>
      <c r="L827" s="45">
        <f>Pressure!Q827</f>
        <v>3.0145749152212562</v>
      </c>
      <c r="M827" s="10">
        <f t="shared" si="100"/>
        <v>8.2619089295134618E-2</v>
      </c>
      <c r="N827" s="10">
        <f t="shared" si="106"/>
        <v>2.9545467240956045</v>
      </c>
    </row>
    <row r="828" spans="3:14">
      <c r="C828" s="4">
        <f>Pressure!AB828*1000000</f>
        <v>163156.83561382044</v>
      </c>
      <c r="D828" s="84">
        <f>Pressure!I828</f>
        <v>1.4801552192482141E-4</v>
      </c>
      <c r="E828" s="40">
        <f>Pressure!H828</f>
        <v>148.0155219248214</v>
      </c>
      <c r="F828" s="10">
        <f t="shared" si="102"/>
        <v>8</v>
      </c>
      <c r="G828" s="4">
        <f t="shared" si="101"/>
        <v>101000</v>
      </c>
      <c r="H828" s="45">
        <f t="shared" si="103"/>
        <v>1.004314165692584</v>
      </c>
      <c r="I828" s="10">
        <f t="shared" si="104"/>
        <v>0.52142075120678688</v>
      </c>
      <c r="J828" s="4">
        <f t="shared" si="105"/>
        <v>12.592177751256482</v>
      </c>
      <c r="K828" s="4">
        <f t="shared" si="99"/>
        <v>2.8308479275339424</v>
      </c>
      <c r="L828" s="45">
        <f>Pressure!Q828</f>
        <v>3.0208872322904723</v>
      </c>
      <c r="M828" s="10">
        <f t="shared" si="100"/>
        <v>8.0654816470707505E-2</v>
      </c>
      <c r="N828" s="10">
        <f t="shared" si="106"/>
        <v>2.9545467240956045</v>
      </c>
    </row>
    <row r="829" spans="3:14">
      <c r="C829" s="4">
        <f>Pressure!AB829*1000000</f>
        <v>160787.23488888354</v>
      </c>
      <c r="D829" s="84">
        <f>Pressure!I829</f>
        <v>1.4801552192482141E-4</v>
      </c>
      <c r="E829" s="40">
        <f>Pressure!H829</f>
        <v>148.0155219248214</v>
      </c>
      <c r="F829" s="10">
        <f t="shared" si="102"/>
        <v>8</v>
      </c>
      <c r="G829" s="4">
        <f t="shared" si="101"/>
        <v>101000</v>
      </c>
      <c r="H829" s="45">
        <f t="shared" si="103"/>
        <v>1.0064778200677809</v>
      </c>
      <c r="I829" s="10">
        <f t="shared" si="104"/>
        <v>0.51362461546460714</v>
      </c>
      <c r="J829" s="4">
        <f t="shared" si="105"/>
        <v>12.223755557342045</v>
      </c>
      <c r="K829" s="4">
        <f t="shared" si="99"/>
        <v>2.7480229210336868</v>
      </c>
      <c r="L829" s="45">
        <f>Pressure!Q829</f>
        <v>3.0272288331507218</v>
      </c>
      <c r="M829" s="10">
        <f t="shared" si="100"/>
        <v>7.8686372008851146E-2</v>
      </c>
      <c r="N829" s="10">
        <f t="shared" si="106"/>
        <v>2.9545467240956045</v>
      </c>
    </row>
    <row r="830" spans="3:14">
      <c r="C830" s="4">
        <f>Pressure!AB830*1000000</f>
        <v>158432.71638507475</v>
      </c>
      <c r="D830" s="84">
        <f>Pressure!I830</f>
        <v>1.4801552192482141E-4</v>
      </c>
      <c r="E830" s="40">
        <f>Pressure!H830</f>
        <v>148.0155219248214</v>
      </c>
      <c r="F830" s="10">
        <f t="shared" si="102"/>
        <v>8</v>
      </c>
      <c r="G830" s="4">
        <f t="shared" si="101"/>
        <v>101000</v>
      </c>
      <c r="H830" s="45">
        <f t="shared" si="103"/>
        <v>1.0091701537376696</v>
      </c>
      <c r="I830" s="10">
        <f t="shared" si="104"/>
        <v>0.50562787456068692</v>
      </c>
      <c r="J830" s="4">
        <f t="shared" si="105"/>
        <v>11.857227082022961</v>
      </c>
      <c r="K830" s="4">
        <f t="shared" si="99"/>
        <v>2.6656236414781174</v>
      </c>
      <c r="L830" s="45">
        <f>Pressure!Q830</f>
        <v>3.0336000991425101</v>
      </c>
      <c r="M830" s="10">
        <f t="shared" si="100"/>
        <v>7.6713172869515081E-2</v>
      </c>
      <c r="N830" s="10">
        <f t="shared" si="106"/>
        <v>2.9545467240956045</v>
      </c>
    </row>
    <row r="831" spans="3:14">
      <c r="C831" s="4">
        <f>Pressure!AB831*1000000</f>
        <v>156093.43727617708</v>
      </c>
      <c r="D831" s="84">
        <f>Pressure!I831</f>
        <v>1.4801552192482141E-4</v>
      </c>
      <c r="E831" s="40">
        <f>Pressure!H831</f>
        <v>148.0155219248214</v>
      </c>
      <c r="F831" s="10">
        <f t="shared" si="102"/>
        <v>8</v>
      </c>
      <c r="G831" s="4">
        <f t="shared" si="101"/>
        <v>101000</v>
      </c>
      <c r="H831" s="45">
        <f t="shared" si="103"/>
        <v>1.0124427393607014</v>
      </c>
      <c r="I831" s="10">
        <f t="shared" si="104"/>
        <v>0.49741979092713157</v>
      </c>
      <c r="J831" s="4">
        <f t="shared" si="105"/>
        <v>11.492511994168529</v>
      </c>
      <c r="K831" s="4">
        <f t="shared" si="99"/>
        <v>2.5836320296228878</v>
      </c>
      <c r="L831" s="45">
        <f>Pressure!Q831</f>
        <v>3.0400014181903394</v>
      </c>
      <c r="M831" s="10">
        <f t="shared" si="100"/>
        <v>7.4734564755135152E-2</v>
      </c>
      <c r="N831" s="10">
        <f t="shared" si="106"/>
        <v>2.9545467240956045</v>
      </c>
    </row>
    <row r="832" spans="3:14">
      <c r="C832" s="4">
        <f>Pressure!AB832*1000000</f>
        <v>153769.55501827272</v>
      </c>
      <c r="D832" s="84">
        <f>Pressure!I832</f>
        <v>1.4801552192482141E-4</v>
      </c>
      <c r="E832" s="40">
        <f>Pressure!H832</f>
        <v>148.0155219248214</v>
      </c>
      <c r="F832" s="10">
        <f t="shared" si="102"/>
        <v>8</v>
      </c>
      <c r="G832" s="4">
        <f t="shared" si="101"/>
        <v>101000</v>
      </c>
      <c r="H832" s="45">
        <f t="shared" si="103"/>
        <v>1.0163544162771907</v>
      </c>
      <c r="I832" s="10">
        <f t="shared" si="104"/>
        <v>0.4889886303172214</v>
      </c>
      <c r="J832" s="4">
        <f t="shared" si="105"/>
        <v>11.129518603550375</v>
      </c>
      <c r="K832" s="4">
        <f t="shared" si="99"/>
        <v>2.5020274725845004</v>
      </c>
      <c r="L832" s="45">
        <f>Pressure!Q832</f>
        <v>3.0464331849213289</v>
      </c>
      <c r="M832" s="10">
        <f t="shared" si="100"/>
        <v>7.2749811892916807E-2</v>
      </c>
      <c r="N832" s="10">
        <f t="shared" si="106"/>
        <v>2.9545467240956045</v>
      </c>
    </row>
    <row r="833" spans="3:14">
      <c r="C833" s="4">
        <f>Pressure!AB833*1000000</f>
        <v>151461.22729534761</v>
      </c>
      <c r="D833" s="84">
        <f>Pressure!I833</f>
        <v>1.4801552192482141E-4</v>
      </c>
      <c r="E833" s="40">
        <f>Pressure!H833</f>
        <v>148.0155219248214</v>
      </c>
      <c r="F833" s="10">
        <f t="shared" si="102"/>
        <v>8</v>
      </c>
      <c r="G833" s="4">
        <f t="shared" si="101"/>
        <v>101000</v>
      </c>
      <c r="H833" s="45">
        <f t="shared" si="103"/>
        <v>1.0209726552168634</v>
      </c>
      <c r="I833" s="10">
        <f t="shared" si="104"/>
        <v>0.48032152372613801</v>
      </c>
      <c r="J833" s="4">
        <f t="shared" si="105"/>
        <v>10.768142168418594</v>
      </c>
      <c r="K833" s="4">
        <f t="shared" si="99"/>
        <v>2.4207864233664389</v>
      </c>
      <c r="L833" s="45">
        <f>Pressure!Q833</f>
        <v>3.0528958007850435</v>
      </c>
      <c r="M833" s="10">
        <f t="shared" si="100"/>
        <v>7.0758084941584434E-2</v>
      </c>
      <c r="N833" s="10">
        <f t="shared" si="106"/>
        <v>2.9545467240956045</v>
      </c>
    </row>
    <row r="834" spans="3:14">
      <c r="C834" s="4">
        <f>Pressure!AB834*1000000</f>
        <v>149168.61196191475</v>
      </c>
      <c r="D834" s="84">
        <f>Pressure!I834</f>
        <v>1.4801552192482141E-4</v>
      </c>
      <c r="E834" s="40">
        <f>Pressure!H834</f>
        <v>148.0155219248214</v>
      </c>
      <c r="F834" s="10">
        <f t="shared" si="102"/>
        <v>8</v>
      </c>
      <c r="G834" s="4">
        <f t="shared" si="101"/>
        <v>101000</v>
      </c>
      <c r="H834" s="45">
        <f t="shared" si="103"/>
        <v>1.0263752482670607</v>
      </c>
      <c r="I834" s="10">
        <f t="shared" si="104"/>
        <v>0.47140430340659623</v>
      </c>
      <c r="J834" s="4">
        <f t="shared" si="105"/>
        <v>10.408262872553708</v>
      </c>
      <c r="K834" s="4">
        <f t="shared" si="99"/>
        <v>2.3398819460801468</v>
      </c>
      <c r="L834" s="45">
        <f>Pressure!Q834</f>
        <v>3.0593896741744611</v>
      </c>
      <c r="M834" s="10">
        <f t="shared" si="100"/>
        <v>6.8758446589548716E-2</v>
      </c>
      <c r="N834" s="10">
        <f t="shared" si="106"/>
        <v>2.9545467240956045</v>
      </c>
    </row>
    <row r="835" spans="3:14">
      <c r="C835" s="4">
        <f>Pressure!AB835*1000000</f>
        <v>146891.8669817544</v>
      </c>
      <c r="D835" s="84">
        <f>Pressure!I835</f>
        <v>1.4801552192482141E-4</v>
      </c>
      <c r="E835" s="40">
        <f>Pressure!H835</f>
        <v>148.0155219248214</v>
      </c>
      <c r="F835" s="10">
        <f t="shared" si="102"/>
        <v>8</v>
      </c>
      <c r="G835" s="4">
        <f t="shared" si="101"/>
        <v>101000</v>
      </c>
      <c r="H835" s="45">
        <f t="shared" si="103"/>
        <v>1.0326524195578735</v>
      </c>
      <c r="I835" s="10">
        <f t="shared" si="104"/>
        <v>0.46222130675237832</v>
      </c>
      <c r="J835" s="4">
        <f t="shared" si="105"/>
        <v>10.04974338988097</v>
      </c>
      <c r="K835" s="4">
        <f t="shared" si="99"/>
        <v>2.2592831684458816</v>
      </c>
      <c r="L835" s="45">
        <f>Pressure!Q835</f>
        <v>3.0659152205479998</v>
      </c>
      <c r="M835" s="10">
        <f t="shared" si="100"/>
        <v>6.6749834287831822E-2</v>
      </c>
      <c r="N835" s="10">
        <f t="shared" si="106"/>
        <v>2.9545467240956045</v>
      </c>
    </row>
    <row r="836" spans="3:14">
      <c r="C836" s="4">
        <f>Pressure!AB836*1000000</f>
        <v>144631.15036382334</v>
      </c>
      <c r="D836" s="84">
        <f>Pressure!I836</f>
        <v>1.4801552192482141E-4</v>
      </c>
      <c r="E836" s="40">
        <f>Pressure!H836</f>
        <v>148.0155219248214</v>
      </c>
      <c r="F836" s="10">
        <f t="shared" si="102"/>
        <v>8</v>
      </c>
      <c r="G836" s="4">
        <f t="shared" si="101"/>
        <v>101000</v>
      </c>
      <c r="H836" s="45">
        <f t="shared" si="103"/>
        <v>1.0399094858969633</v>
      </c>
      <c r="I836" s="10">
        <f t="shared" si="104"/>
        <v>0.45275513997879846</v>
      </c>
      <c r="J836" s="4">
        <f t="shared" si="105"/>
        <v>9.6924259301749203</v>
      </c>
      <c r="K836" s="4">
        <f t="shared" si="99"/>
        <v>2.1789546176374532</v>
      </c>
      <c r="L836" s="45">
        <f>Pressure!Q836</f>
        <v>3.0724728625525239</v>
      </c>
      <c r="M836" s="10">
        <f t="shared" si="100"/>
        <v>6.4731039396813073E-2</v>
      </c>
      <c r="N836" s="10">
        <f t="shared" si="106"/>
        <v>2.9545467240956045</v>
      </c>
    </row>
    <row r="837" spans="3:14">
      <c r="C837" s="4">
        <f>Pressure!AB837*1000000</f>
        <v>142386.62009441596</v>
      </c>
      <c r="D837" s="84">
        <f>Pressure!I837</f>
        <v>1.4801552192482141E-4</v>
      </c>
      <c r="E837" s="40">
        <f>Pressure!H837</f>
        <v>148.0155219248214</v>
      </c>
      <c r="F837" s="10">
        <f t="shared" si="102"/>
        <v>8</v>
      </c>
      <c r="G837" s="4">
        <f t="shared" si="101"/>
        <v>101000</v>
      </c>
      <c r="H837" s="45">
        <f t="shared" si="103"/>
        <v>1.0482702445709289</v>
      </c>
      <c r="I837" s="10">
        <f t="shared" si="104"/>
        <v>0.44298639100373305</v>
      </c>
      <c r="J837" s="4">
        <f t="shared" si="105"/>
        <v>9.3361286251084312</v>
      </c>
      <c r="K837" s="4">
        <f t="shared" si="99"/>
        <v>2.098855407829781</v>
      </c>
      <c r="L837" s="45">
        <f>Pressure!Q837</f>
        <v>3.0790630301472315</v>
      </c>
      <c r="M837" s="10">
        <f t="shared" si="100"/>
        <v>6.2700681802176444E-2</v>
      </c>
      <c r="N837" s="10">
        <f t="shared" si="106"/>
        <v>2.9545467240956045</v>
      </c>
    </row>
    <row r="838" spans="3:14">
      <c r="C838" s="4">
        <f>Pressure!AB838*1000000</f>
        <v>140158.4340654767</v>
      </c>
      <c r="D838" s="84">
        <f>Pressure!I838</f>
        <v>1.4801552192482141E-4</v>
      </c>
      <c r="E838" s="40">
        <f>Pressure!H838</f>
        <v>148.0155219248214</v>
      </c>
      <c r="F838" s="10">
        <f t="shared" si="102"/>
        <v>8</v>
      </c>
      <c r="G838" s="4">
        <f t="shared" si="101"/>
        <v>101000</v>
      </c>
      <c r="H838" s="45">
        <f t="shared" si="103"/>
        <v>1.0578813347211846</v>
      </c>
      <c r="I838" s="10">
        <f t="shared" si="104"/>
        <v>0.43289327746472661</v>
      </c>
      <c r="J838" s="4">
        <f t="shared" si="105"/>
        <v>8.980641067004397</v>
      </c>
      <c r="K838" s="4">
        <f t="shared" si="99"/>
        <v>2.0189382372655</v>
      </c>
      <c r="L838" s="45">
        <f>Pressure!Q838</f>
        <v>3.0856861607283248</v>
      </c>
      <c r="M838" s="10">
        <f t="shared" si="100"/>
        <v>6.065717874733785E-2</v>
      </c>
      <c r="N838" s="10">
        <f t="shared" si="106"/>
        <v>2.9545467240956045</v>
      </c>
    </row>
    <row r="839" spans="3:14">
      <c r="C839" s="4">
        <f>Pressure!AB839*1000000</f>
        <v>137946.74999947834</v>
      </c>
      <c r="D839" s="84">
        <f>Pressure!I839</f>
        <v>1.4801552192482141E-4</v>
      </c>
      <c r="E839" s="40">
        <f>Pressure!H839</f>
        <v>148.0155219248214</v>
      </c>
      <c r="F839" s="10">
        <f t="shared" si="102"/>
        <v>8</v>
      </c>
      <c r="G839" s="4">
        <f t="shared" si="101"/>
        <v>101000</v>
      </c>
      <c r="H839" s="45">
        <f t="shared" si="103"/>
        <v>1.0689179201488279</v>
      </c>
      <c r="I839" s="10">
        <f t="shared" si="104"/>
        <v>0.42245121095560667</v>
      </c>
      <c r="J839" s="4">
        <f t="shared" si="105"/>
        <v>8.6257187466766005</v>
      </c>
      <c r="K839" s="4">
        <f t="shared" si="99"/>
        <v>1.9391481378257724</v>
      </c>
      <c r="L839" s="45">
        <f>Pressure!Q839</f>
        <v>3.0923426992543548</v>
      </c>
      <c r="M839" s="10">
        <f t="shared" si="100"/>
        <v>5.8598706201456845E-2</v>
      </c>
      <c r="N839" s="10">
        <f t="shared" si="106"/>
        <v>2.9545467240956045</v>
      </c>
    </row>
    <row r="840" spans="3:14">
      <c r="C840" s="4">
        <f>Pressure!AB840*1000000</f>
        <v>135751.72536999502</v>
      </c>
      <c r="D840" s="84">
        <f>Pressure!I840</f>
        <v>1.4801552192482141E-4</v>
      </c>
      <c r="E840" s="40">
        <f>Pressure!H840</f>
        <v>148.0155219248214</v>
      </c>
      <c r="F840" s="10">
        <f t="shared" si="102"/>
        <v>8</v>
      </c>
      <c r="G840" s="4">
        <f t="shared" si="101"/>
        <v>101000</v>
      </c>
      <c r="H840" s="45">
        <f t="shared" si="103"/>
        <v>1.0815911928808195</v>
      </c>
      <c r="I840" s="10">
        <f t="shared" si="104"/>
        <v>0.41163225166150896</v>
      </c>
      <c r="J840" s="4">
        <f t="shared" si="105"/>
        <v>8.2710760422601908</v>
      </c>
      <c r="K840" s="4">
        <f t="shared" si="99"/>
        <v>1.8594208988490155</v>
      </c>
      <c r="L840" s="45">
        <f>Pressure!Q840</f>
        <v>3.0990330983721153</v>
      </c>
      <c r="M840" s="10">
        <f t="shared" si="100"/>
        <v>5.6523150474441307E-2</v>
      </c>
      <c r="N840" s="10">
        <f t="shared" si="106"/>
        <v>2.9545467240956045</v>
      </c>
    </row>
    <row r="841" spans="3:14">
      <c r="C841" s="4">
        <f>Pressure!AB841*1000000</f>
        <v>133573.51731869244</v>
      </c>
      <c r="D841" s="84">
        <f>Pressure!I841</f>
        <v>1.4801552192482141E-4</v>
      </c>
      <c r="E841" s="40">
        <f>Pressure!H841</f>
        <v>148.0155219248214</v>
      </c>
      <c r="F841" s="10">
        <f t="shared" si="102"/>
        <v>8</v>
      </c>
      <c r="G841" s="4">
        <f t="shared" si="101"/>
        <v>101000</v>
      </c>
      <c r="H841" s="45">
        <f t="shared" si="103"/>
        <v>1.0961584275618441</v>
      </c>
      <c r="I841" s="10">
        <f t="shared" si="104"/>
        <v>0.40040441760009865</v>
      </c>
      <c r="J841" s="4">
        <f t="shared" si="105"/>
        <v>7.9163772742244927</v>
      </c>
      <c r="K841" s="4">
        <f t="shared" si="99"/>
        <v>1.7796810562080152</v>
      </c>
      <c r="L841" s="45">
        <f>Pressure!Q841</f>
        <v>3.1057578185429668</v>
      </c>
      <c r="M841" s="10">
        <f t="shared" si="100"/>
        <v>5.4428046916041375E-2</v>
      </c>
      <c r="N841" s="10">
        <f t="shared" si="106"/>
        <v>2.9545467240956045</v>
      </c>
    </row>
    <row r="842" spans="3:14">
      <c r="C842" s="4">
        <f>Pressure!AB842*1000000</f>
        <v>131412.28256774755</v>
      </c>
      <c r="D842" s="84">
        <f>Pressure!I842</f>
        <v>1.4801552192482141E-4</v>
      </c>
      <c r="E842" s="40">
        <f>Pressure!H842</f>
        <v>148.0155219248214</v>
      </c>
      <c r="F842" s="10">
        <f t="shared" si="102"/>
        <v>8</v>
      </c>
      <c r="G842" s="4">
        <f t="shared" si="101"/>
        <v>101000</v>
      </c>
      <c r="H842" s="45">
        <f t="shared" si="103"/>
        <v>1.112936676110474</v>
      </c>
      <c r="I842" s="10">
        <f t="shared" si="104"/>
        <v>0.38873079795318111</v>
      </c>
      <c r="J842" s="4">
        <f t="shared" si="105"/>
        <v>7.5612251386148852</v>
      </c>
      <c r="K842" s="4">
        <f t="shared" si="99"/>
        <v>1.6998392919866205</v>
      </c>
      <c r="L842" s="45">
        <f>Pressure!Q842</f>
        <v>3.1125173281694396</v>
      </c>
      <c r="M842" s="10">
        <f t="shared" si="100"/>
        <v>5.2310501252152891E-2</v>
      </c>
      <c r="N842" s="10">
        <f t="shared" si="106"/>
        <v>2.9545467240956045</v>
      </c>
    </row>
    <row r="843" spans="3:14">
      <c r="C843" s="4">
        <f>Pressure!AB843*1000000</f>
        <v>129268.1773282841</v>
      </c>
      <c r="D843" s="84">
        <f>Pressure!I843</f>
        <v>1.4801552192482141E-4</v>
      </c>
      <c r="E843" s="40">
        <f>Pressure!H843</f>
        <v>148.0155219248214</v>
      </c>
      <c r="F843" s="10">
        <f t="shared" si="102"/>
        <v>8</v>
      </c>
      <c r="G843" s="4">
        <f t="shared" si="101"/>
        <v>101000</v>
      </c>
      <c r="H843" s="45">
        <f t="shared" si="103"/>
        <v>1.1323217657646762</v>
      </c>
      <c r="I843" s="10">
        <f t="shared" si="104"/>
        <v>0.37656839780281182</v>
      </c>
      <c r="J843" s="4">
        <f t="shared" si="105"/>
        <v>7.2051455237382784</v>
      </c>
      <c r="K843" s="4">
        <f t="shared" si="99"/>
        <v>1.6197890211182677</v>
      </c>
      <c r="L843" s="45">
        <f>Pressure!Q843</f>
        <v>3.1193121037219735</v>
      </c>
      <c r="M843" s="10">
        <f t="shared" si="100"/>
        <v>5.0167087188105829E-2</v>
      </c>
      <c r="N843" s="10">
        <f t="shared" si="106"/>
        <v>2.9545467240956045</v>
      </c>
    </row>
    <row r="844" spans="3:14">
      <c r="C844" s="4">
        <f>Pressure!AB844*1000000</f>
        <v>127141.35720438583</v>
      </c>
      <c r="D844" s="84">
        <f>Pressure!I844</f>
        <v>1.4801552192482141E-4</v>
      </c>
      <c r="E844" s="40">
        <f>Pressure!H844</f>
        <v>148.0155219248214</v>
      </c>
      <c r="F844" s="10">
        <f t="shared" si="102"/>
        <v>8</v>
      </c>
      <c r="G844" s="4">
        <f t="shared" si="101"/>
        <v>101000</v>
      </c>
      <c r="H844" s="45">
        <f t="shared" si="103"/>
        <v>1.1548152052076741</v>
      </c>
      <c r="I844" s="10">
        <f t="shared" si="104"/>
        <v>0.36386660733702947</v>
      </c>
      <c r="J844" s="4">
        <f t="shared" si="105"/>
        <v>6.8475672390899662</v>
      </c>
      <c r="K844" s="4">
        <f t="shared" si="99"/>
        <v>1.5394018342453051</v>
      </c>
      <c r="L844" s="45">
        <f>Pressure!Q844</f>
        <v>3.1261426298656345</v>
      </c>
      <c r="M844" s="10">
        <f t="shared" si="100"/>
        <v>4.7993710957928294E-2</v>
      </c>
      <c r="N844" s="10">
        <f t="shared" si="106"/>
        <v>2.9545467240956045</v>
      </c>
    </row>
    <row r="845" spans="3:14">
      <c r="C845" s="4">
        <f>Pressure!AB845*1000000</f>
        <v>125031.97709230338</v>
      </c>
      <c r="D845" s="84">
        <f>Pressure!I845</f>
        <v>1.4801552192482141E-4</v>
      </c>
      <c r="E845" s="40">
        <f>Pressure!H845</f>
        <v>148.0155219248214</v>
      </c>
      <c r="F845" s="10">
        <f t="shared" si="102"/>
        <v>8</v>
      </c>
      <c r="G845" s="4">
        <f t="shared" si="101"/>
        <v>101000</v>
      </c>
      <c r="H845" s="45">
        <f t="shared" si="103"/>
        <v>1.1810631978590531</v>
      </c>
      <c r="I845" s="10">
        <f t="shared" si="104"/>
        <v>0.35056513424599645</v>
      </c>
      <c r="J845" s="4">
        <f t="shared" si="105"/>
        <v>6.487794426200999</v>
      </c>
      <c r="K845" s="4">
        <f t="shared" si="99"/>
        <v>1.4585212954006113</v>
      </c>
      <c r="L845" s="45">
        <f>Pressure!Q845</f>
        <v>3.1330093995866273</v>
      </c>
      <c r="M845" s="10">
        <f t="shared" si="100"/>
        <v>4.5785428850853793E-2</v>
      </c>
      <c r="N845" s="10">
        <f t="shared" si="106"/>
        <v>2.9545467240956045</v>
      </c>
    </row>
    <row r="846" spans="3:14">
      <c r="C846" s="4">
        <f>Pressure!AB846*1000000</f>
        <v>122940.19107592707</v>
      </c>
      <c r="D846" s="84">
        <f>Pressure!I846</f>
        <v>1.4801552192482141E-4</v>
      </c>
      <c r="E846" s="40">
        <f>Pressure!H846</f>
        <v>148.0155219248214</v>
      </c>
      <c r="F846" s="10">
        <f t="shared" si="102"/>
        <v>8</v>
      </c>
      <c r="G846" s="4">
        <f t="shared" si="101"/>
        <v>101000</v>
      </c>
      <c r="H846" s="45">
        <f t="shared" si="103"/>
        <v>1.211914759125484</v>
      </c>
      <c r="I846" s="10">
        <f t="shared" si="104"/>
        <v>0.33659114906795023</v>
      </c>
      <c r="J846" s="4">
        <f t="shared" si="105"/>
        <v>6.1249681730248229</v>
      </c>
      <c r="K846" s="4">
        <f t="shared" si="99"/>
        <v>1.3769543125364918</v>
      </c>
      <c r="L846" s="45">
        <f>Pressure!Q846</f>
        <v>3.1399129143184332</v>
      </c>
      <c r="M846" s="10">
        <f t="shared" si="100"/>
        <v>4.353619620626327E-2</v>
      </c>
      <c r="N846" s="10">
        <f t="shared" si="106"/>
        <v>2.9545467240956045</v>
      </c>
    </row>
    <row r="847" spans="3:14">
      <c r="C847" s="4">
        <f>Pressure!AB847*1000000</f>
        <v>120866.15231611149</v>
      </c>
      <c r="D847" s="84">
        <f>Pressure!I847</f>
        <v>1.4801552192482141E-4</v>
      </c>
      <c r="E847" s="40">
        <f>Pressure!H847</f>
        <v>148.0155219248214</v>
      </c>
      <c r="F847" s="10">
        <f t="shared" si="102"/>
        <v>8</v>
      </c>
      <c r="G847" s="4">
        <f t="shared" si="101"/>
        <v>101000</v>
      </c>
      <c r="H847" s="45">
        <f t="shared" si="103"/>
        <v>1.2485110489090683</v>
      </c>
      <c r="I847" s="10">
        <f t="shared" si="104"/>
        <v>0.32185524225585038</v>
      </c>
      <c r="J847" s="4">
        <f t="shared" si="105"/>
        <v>5.7580117253464493</v>
      </c>
      <c r="K847" s="4">
        <f t="shared" ref="K847:K910" si="107">J847/4.4482</f>
        <v>1.294458820499629</v>
      </c>
      <c r="L847" s="45">
        <f>Pressure!Q847</f>
        <v>3.1468536840673567</v>
      </c>
      <c r="M847" s="10">
        <f t="shared" ref="M847:M910" si="108">(J847+J846)/2*(L847-L846)</f>
        <v>4.1238513702840304E-2</v>
      </c>
      <c r="N847" s="10">
        <f t="shared" si="106"/>
        <v>2.9545467240956045</v>
      </c>
    </row>
    <row r="848" spans="3:14">
      <c r="C848" s="4">
        <f>Pressure!AB848*1000000</f>
        <v>118810.01293703019</v>
      </c>
      <c r="D848" s="84">
        <f>Pressure!I848</f>
        <v>1.4801552192482141E-4</v>
      </c>
      <c r="E848" s="40">
        <f>Pressure!H848</f>
        <v>148.0155219248214</v>
      </c>
      <c r="F848" s="10">
        <f t="shared" si="102"/>
        <v>8</v>
      </c>
      <c r="G848" s="4">
        <f t="shared" si="101"/>
        <v>101000</v>
      </c>
      <c r="H848" s="45">
        <f t="shared" si="103"/>
        <v>1.2924278364132629</v>
      </c>
      <c r="I848" s="10">
        <f t="shared" si="104"/>
        <v>0.30624552473652294</v>
      </c>
      <c r="J848" s="4">
        <f t="shared" si="105"/>
        <v>5.3855499096404804</v>
      </c>
      <c r="K848" s="4">
        <f t="shared" si="107"/>
        <v>1.2107256664809318</v>
      </c>
      <c r="L848" s="45">
        <f>Pressure!Q848</f>
        <v>3.1538322275372983</v>
      </c>
      <c r="M848" s="10">
        <f t="shared" si="108"/>
        <v>3.8882914639865145E-2</v>
      </c>
      <c r="N848" s="10">
        <f t="shared" si="106"/>
        <v>2.9545467240956045</v>
      </c>
    </row>
    <row r="849" spans="3:14">
      <c r="C849" s="4">
        <f>Pressure!AB849*1000000</f>
        <v>116771.92390587072</v>
      </c>
      <c r="D849" s="84">
        <f>Pressure!I849</f>
        <v>1.4801552192482141E-4</v>
      </c>
      <c r="E849" s="40">
        <f>Pressure!H849</f>
        <v>148.0155219248214</v>
      </c>
      <c r="F849" s="10">
        <f t="shared" si="102"/>
        <v>8</v>
      </c>
      <c r="G849" s="4">
        <f t="shared" si="101"/>
        <v>101000</v>
      </c>
      <c r="H849" s="45">
        <f t="shared" si="103"/>
        <v>1.34591290141194</v>
      </c>
      <c r="I849" s="10">
        <f t="shared" si="104"/>
        <v>0.28961870766250492</v>
      </c>
      <c r="J849" s="4">
        <f t="shared" si="105"/>
        <v>5.0057863277017214</v>
      </c>
      <c r="K849" s="4">
        <f t="shared" si="107"/>
        <v>1.1253510021360824</v>
      </c>
      <c r="L849" s="45">
        <f>Pressure!Q849</f>
        <v>3.1608490722535003</v>
      </c>
      <c r="M849" s="10">
        <f t="shared" si="108"/>
        <v>3.6457196385636548E-2</v>
      </c>
      <c r="N849" s="10">
        <f t="shared" si="106"/>
        <v>2.9545467240956045</v>
      </c>
    </row>
    <row r="850" spans="3:14">
      <c r="C850" s="4">
        <f>Pressure!AB850*1000000</f>
        <v>114752.03490906373</v>
      </c>
      <c r="D850" s="84">
        <f>Pressure!I850</f>
        <v>1.4801552192482141E-4</v>
      </c>
      <c r="E850" s="40">
        <f>Pressure!H850</f>
        <v>148.0155219248214</v>
      </c>
      <c r="F850" s="10">
        <f t="shared" si="102"/>
        <v>8</v>
      </c>
      <c r="G850" s="4">
        <f t="shared" si="101"/>
        <v>101000</v>
      </c>
      <c r="H850" s="45">
        <f t="shared" si="103"/>
        <v>1.4123033204973447</v>
      </c>
      <c r="I850" s="10">
        <f t="shared" si="104"/>
        <v>0.27178602016984138</v>
      </c>
      <c r="J850" s="4">
        <f t="shared" si="105"/>
        <v>4.6163079311739779</v>
      </c>
      <c r="K850" s="4">
        <f t="shared" si="107"/>
        <v>1.0377923499784132</v>
      </c>
      <c r="L850" s="45">
        <f>Pressure!Q850</f>
        <v>3.1679047546850607</v>
      </c>
      <c r="M850" s="10">
        <f t="shared" si="108"/>
        <v>3.3945220708583752E-2</v>
      </c>
      <c r="N850" s="10">
        <f t="shared" si="106"/>
        <v>2.9545467240956045</v>
      </c>
    </row>
    <row r="851" spans="3:14">
      <c r="C851" s="4">
        <f>Pressure!AB851*1000000</f>
        <v>112750.49422243924</v>
      </c>
      <c r="D851" s="84">
        <f>Pressure!I851</f>
        <v>1.4801552192482141E-4</v>
      </c>
      <c r="E851" s="40">
        <f>Pressure!H851</f>
        <v>148.0155219248214</v>
      </c>
      <c r="F851" s="10">
        <f t="shared" si="102"/>
        <v>8</v>
      </c>
      <c r="G851" s="4">
        <f t="shared" si="101"/>
        <v>101000</v>
      </c>
      <c r="H851" s="45">
        <f t="shared" si="103"/>
        <v>1.4968092427198258</v>
      </c>
      <c r="I851" s="10">
        <f t="shared" si="104"/>
        <v>0.25248975728547185</v>
      </c>
      <c r="J851" s="4">
        <f t="shared" si="105"/>
        <v>4.2137569316756593</v>
      </c>
      <c r="K851" s="4">
        <f t="shared" si="107"/>
        <v>0.94729484548259058</v>
      </c>
      <c r="L851" s="45">
        <f>Pressure!Q851</f>
        <v>3.1749998203659366</v>
      </c>
      <c r="M851" s="10">
        <f t="shared" si="108"/>
        <v>3.1324945084156411E-2</v>
      </c>
      <c r="N851" s="10">
        <f t="shared" si="106"/>
        <v>2.9545467240956045</v>
      </c>
    </row>
    <row r="852" spans="3:14">
      <c r="C852" s="4">
        <f>Pressure!AB852*1000000</f>
        <v>110767.44857679369</v>
      </c>
      <c r="D852" s="84">
        <f>Pressure!I852</f>
        <v>1.4801552192482141E-4</v>
      </c>
      <c r="E852" s="40">
        <f>Pressure!H852</f>
        <v>148.0155219248214</v>
      </c>
      <c r="F852" s="10">
        <f t="shared" si="102"/>
        <v>8</v>
      </c>
      <c r="G852" s="4">
        <f t="shared" si="101"/>
        <v>101000</v>
      </c>
      <c r="H852" s="45">
        <f t="shared" si="103"/>
        <v>1.6081165055068556</v>
      </c>
      <c r="I852" s="10">
        <f t="shared" si="104"/>
        <v>0.23136146889086032</v>
      </c>
      <c r="J852" s="4">
        <f t="shared" si="105"/>
        <v>3.793241087315264</v>
      </c>
      <c r="K852" s="4">
        <f t="shared" si="107"/>
        <v>0.85275866357521335</v>
      </c>
      <c r="L852" s="45">
        <f>Pressure!Q852</f>
        <v>3.1821348240141965</v>
      </c>
      <c r="M852" s="10">
        <f t="shared" si="108"/>
        <v>2.8564980038554649E-2</v>
      </c>
      <c r="N852" s="10">
        <f t="shared" si="106"/>
        <v>2.9545467240956045</v>
      </c>
    </row>
    <row r="853" spans="3:14">
      <c r="C853" s="4">
        <f>Pressure!AB853*1000000</f>
        <v>108803.04301866367</v>
      </c>
      <c r="D853" s="84">
        <f>Pressure!I853</f>
        <v>1.4801552192482141E-4</v>
      </c>
      <c r="E853" s="40">
        <f>Pressure!H853</f>
        <v>148.0155219248214</v>
      </c>
      <c r="F853" s="10">
        <f t="shared" si="102"/>
        <v>8</v>
      </c>
      <c r="G853" s="4">
        <f t="shared" si="101"/>
        <v>101000</v>
      </c>
      <c r="H853" s="45">
        <f t="shared" si="103"/>
        <v>1.7620561458743043</v>
      </c>
      <c r="I853" s="10">
        <f t="shared" si="104"/>
        <v>0.20784037650747411</v>
      </c>
      <c r="J853" s="4">
        <f t="shared" si="105"/>
        <v>3.3471734906860591</v>
      </c>
      <c r="K853" s="4">
        <f t="shared" si="107"/>
        <v>0.75247819133268723</v>
      </c>
      <c r="L853" s="45">
        <f>Pressure!Q853</f>
        <v>3.1893103296492331</v>
      </c>
      <c r="M853" s="10">
        <f t="shared" si="108"/>
        <v>2.5618042520473207E-2</v>
      </c>
      <c r="N853" s="10">
        <f t="shared" si="106"/>
        <v>2.9545467240956045</v>
      </c>
    </row>
    <row r="854" spans="3:14">
      <c r="C854" s="4">
        <f>Pressure!AB854*1000000</f>
        <v>106857.42076478945</v>
      </c>
      <c r="D854" s="84">
        <f>Pressure!I854</f>
        <v>1.4801552192482141E-4</v>
      </c>
      <c r="E854" s="40">
        <f>Pressure!H854</f>
        <v>148.0155219248214</v>
      </c>
      <c r="F854" s="10">
        <f t="shared" si="102"/>
        <v>8</v>
      </c>
      <c r="G854" s="4">
        <f t="shared" si="101"/>
        <v>101000</v>
      </c>
      <c r="H854" s="45">
        <f t="shared" si="103"/>
        <v>1.9914616559396259</v>
      </c>
      <c r="I854" s="10">
        <f t="shared" si="104"/>
        <v>0.18099277946204356</v>
      </c>
      <c r="J854" s="4">
        <f t="shared" si="105"/>
        <v>2.8626825959438609</v>
      </c>
      <c r="K854" s="4">
        <f t="shared" si="107"/>
        <v>0.64355977607658399</v>
      </c>
      <c r="L854" s="45">
        <f>Pressure!Q854</f>
        <v>3.1965269107066372</v>
      </c>
      <c r="M854" s="10">
        <f t="shared" si="108"/>
        <v>2.2406964901989457E-2</v>
      </c>
      <c r="N854" s="10">
        <f t="shared" si="106"/>
        <v>2.9545467240956045</v>
      </c>
    </row>
    <row r="855" spans="3:14">
      <c r="C855" s="4">
        <f>Pressure!AB855*1000000</f>
        <v>104930.72305335816</v>
      </c>
      <c r="D855" s="84">
        <f>Pressure!I855</f>
        <v>1.4801552192482141E-4</v>
      </c>
      <c r="E855" s="40">
        <f>Pressure!H855</f>
        <v>148.0155219248214</v>
      </c>
      <c r="F855" s="10">
        <f t="shared" si="102"/>
        <v>8</v>
      </c>
      <c r="G855" s="4">
        <f t="shared" si="101"/>
        <v>101000</v>
      </c>
      <c r="H855" s="45">
        <f t="shared" si="103"/>
        <v>2.3800811103841917</v>
      </c>
      <c r="I855" s="10">
        <f t="shared" si="104"/>
        <v>0.14902770628510636</v>
      </c>
      <c r="J855" s="4">
        <f t="shared" si="105"/>
        <v>2.3146053017893733</v>
      </c>
      <c r="K855" s="4">
        <f t="shared" si="107"/>
        <v>0.52034650011001604</v>
      </c>
      <c r="L855" s="45">
        <f>Pressure!Q855</f>
        <v>3.2037851501504488</v>
      </c>
      <c r="M855" s="10">
        <f t="shared" si="108"/>
        <v>1.8788997615648038E-2</v>
      </c>
      <c r="N855" s="10">
        <f t="shared" si="106"/>
        <v>2.9545467240956045</v>
      </c>
    </row>
    <row r="856" spans="3:14">
      <c r="C856" s="4">
        <f>Pressure!AB856*1000000</f>
        <v>103023.08898752932</v>
      </c>
      <c r="D856" s="84">
        <f>Pressure!I856</f>
        <v>1.4801552192482141E-4</v>
      </c>
      <c r="E856" s="40">
        <f>Pressure!H856</f>
        <v>148.0155219248214</v>
      </c>
      <c r="F856" s="10">
        <f t="shared" si="102"/>
        <v>8</v>
      </c>
      <c r="G856" s="4">
        <f t="shared" si="101"/>
        <v>101000</v>
      </c>
      <c r="H856" s="45">
        <f t="shared" si="103"/>
        <v>3.2475241070982221</v>
      </c>
      <c r="I856" s="10">
        <f t="shared" si="104"/>
        <v>0.1074666343636994</v>
      </c>
      <c r="J856" s="4">
        <f t="shared" si="105"/>
        <v>1.6387604576992536</v>
      </c>
      <c r="K856" s="4">
        <f t="shared" si="107"/>
        <v>0.36840979670411711</v>
      </c>
      <c r="L856" s="45">
        <f>Pressure!Q856</f>
        <v>3.2110856405824268</v>
      </c>
      <c r="M856" s="10">
        <f t="shared" si="108"/>
        <v>1.4430754450628084E-2</v>
      </c>
      <c r="N856" s="10">
        <f t="shared" si="106"/>
        <v>2.9545467240956045</v>
      </c>
    </row>
    <row r="857" spans="3:14">
      <c r="C857" s="4">
        <f>Pressure!AB857*1000000</f>
        <v>101134.65537678063</v>
      </c>
      <c r="D857" s="84">
        <f>Pressure!I857</f>
        <v>1.4801552192482141E-4</v>
      </c>
      <c r="E857" s="40">
        <f>Pressure!H857</f>
        <v>148.0155219248214</v>
      </c>
      <c r="F857" s="10">
        <f t="shared" si="102"/>
        <v>8</v>
      </c>
      <c r="G857" s="4">
        <f t="shared" si="101"/>
        <v>101000</v>
      </c>
      <c r="H857" s="45">
        <f t="shared" si="103"/>
        <v>12.319942777508611</v>
      </c>
      <c r="I857" s="10">
        <f t="shared" si="104"/>
        <v>2.7869291620970474E-2</v>
      </c>
      <c r="J857" s="4">
        <f t="shared" si="105"/>
        <v>0.41718932748480247</v>
      </c>
      <c r="K857" s="4">
        <f t="shared" si="107"/>
        <v>9.3788347530417357E-2</v>
      </c>
      <c r="L857" s="45">
        <f>Pressure!Q857</f>
        <v>3.2184289843480509</v>
      </c>
      <c r="M857" s="10">
        <f t="shared" si="108"/>
        <v>7.5487730187337385E-3</v>
      </c>
      <c r="N857" s="10">
        <f t="shared" si="106"/>
        <v>2.9545467240956045</v>
      </c>
    </row>
    <row r="858" spans="3:14">
      <c r="C858" s="4">
        <f>Pressure!AB858*1000000</f>
        <v>101000</v>
      </c>
      <c r="D858" s="84">
        <f>Pressure!I858</f>
        <v>1.4801552192482141E-4</v>
      </c>
      <c r="E858" s="40">
        <f>Pressure!H858</f>
        <v>148.0155219248214</v>
      </c>
      <c r="F858" s="10">
        <f t="shared" si="102"/>
        <v>8</v>
      </c>
      <c r="G858" s="4">
        <f t="shared" si="101"/>
        <v>101000</v>
      </c>
      <c r="H858" s="45" t="e">
        <f t="shared" si="103"/>
        <v>#DIV/0!</v>
      </c>
      <c r="I858" s="10">
        <f t="shared" si="104"/>
        <v>0</v>
      </c>
      <c r="J858" s="4">
        <f t="shared" si="105"/>
        <v>0</v>
      </c>
      <c r="K858" s="4">
        <f t="shared" si="107"/>
        <v>0</v>
      </c>
      <c r="L858" s="45">
        <f>Pressure!Q858</f>
        <v>3.2258157936388456</v>
      </c>
      <c r="M858" s="10">
        <f t="shared" si="108"/>
        <v>1.5408490001425691E-3</v>
      </c>
      <c r="N858" s="10">
        <f t="shared" si="106"/>
        <v>2.9545467240956045</v>
      </c>
    </row>
    <row r="859" spans="3:14">
      <c r="C859" s="4">
        <f>Pressure!AB859*1000000</f>
        <v>101000</v>
      </c>
      <c r="D859" s="84">
        <f>Pressure!I859</f>
        <v>1.4801552192482141E-4</v>
      </c>
      <c r="E859" s="40">
        <f>Pressure!H859</f>
        <v>148.0155219248214</v>
      </c>
      <c r="F859" s="10">
        <f t="shared" si="102"/>
        <v>8</v>
      </c>
      <c r="G859" s="4">
        <f t="shared" si="101"/>
        <v>101000</v>
      </c>
      <c r="H859" s="45" t="e">
        <f t="shared" si="103"/>
        <v>#DIV/0!</v>
      </c>
      <c r="I859" s="10">
        <f t="shared" si="104"/>
        <v>0</v>
      </c>
      <c r="J859" s="4">
        <f t="shared" si="105"/>
        <v>0</v>
      </c>
      <c r="K859" s="4">
        <f t="shared" si="107"/>
        <v>0</v>
      </c>
      <c r="L859" s="45">
        <f>Pressure!Q859</f>
        <v>3.23320574309736</v>
      </c>
      <c r="M859" s="10">
        <f t="shared" si="108"/>
        <v>0</v>
      </c>
      <c r="N859" s="10">
        <f t="shared" si="106"/>
        <v>2.9545467240956045</v>
      </c>
    </row>
    <row r="860" spans="3:14">
      <c r="C860" s="4">
        <f>Pressure!AB860*1000000</f>
        <v>101000</v>
      </c>
      <c r="D860" s="84">
        <f>Pressure!I860</f>
        <v>1.4801552192482141E-4</v>
      </c>
      <c r="E860" s="40">
        <f>Pressure!H860</f>
        <v>148.0155219248214</v>
      </c>
      <c r="F860" s="10">
        <f t="shared" si="102"/>
        <v>8</v>
      </c>
      <c r="G860" s="4">
        <f t="shared" si="101"/>
        <v>101000</v>
      </c>
      <c r="H860" s="45" t="e">
        <f t="shared" si="103"/>
        <v>#DIV/0!</v>
      </c>
      <c r="I860" s="10">
        <f t="shared" si="104"/>
        <v>0</v>
      </c>
      <c r="J860" s="4">
        <f t="shared" si="105"/>
        <v>0</v>
      </c>
      <c r="K860" s="4">
        <f t="shared" si="107"/>
        <v>0</v>
      </c>
      <c r="L860" s="45">
        <f>Pressure!Q860</f>
        <v>3.2405956925558743</v>
      </c>
      <c r="M860" s="10">
        <f t="shared" si="108"/>
        <v>0</v>
      </c>
      <c r="N860" s="10">
        <f t="shared" si="106"/>
        <v>2.9545467240956045</v>
      </c>
    </row>
    <row r="861" spans="3:14">
      <c r="C861" s="4">
        <f>Pressure!AB861*1000000</f>
        <v>101000</v>
      </c>
      <c r="D861" s="84">
        <f>Pressure!I861</f>
        <v>1.4801552192482141E-4</v>
      </c>
      <c r="E861" s="40">
        <f>Pressure!H861</f>
        <v>148.0155219248214</v>
      </c>
      <c r="F861" s="10">
        <f>aexit/E861</f>
        <v>8</v>
      </c>
      <c r="G861" s="4">
        <f t="shared" si="101"/>
        <v>101000</v>
      </c>
      <c r="H861" s="45" t="e">
        <f t="shared" ref="H861:H909" si="109">1/(((k+1)/2)^(1/(k-1))*(patm*1000000/C861)^(1/k)*SQRT((k+1)/(k-1)*(1-(patm*1000000/C861)^((k-1)/k))))</f>
        <v>#DIV/0!</v>
      </c>
      <c r="I861" s="10">
        <f t="shared" ref="I861:I909" si="110">etanoz*SQRT(2*k^2/(k-1)*(2/(k+1))^((k+1)/(k-1))*(1-(G861/C861)^((k-1)/k)))+(G861-patm*1000000)/C861*(aexit/E861)</f>
        <v>0</v>
      </c>
      <c r="J861" s="4">
        <f t="shared" ref="J861:J910" si="111">I861*D861*C861</f>
        <v>0</v>
      </c>
      <c r="K861" s="4">
        <f t="shared" si="107"/>
        <v>0</v>
      </c>
      <c r="L861" s="45">
        <f>Pressure!Q861</f>
        <v>3.2479856420143887</v>
      </c>
      <c r="M861" s="10">
        <f t="shared" si="108"/>
        <v>0</v>
      </c>
      <c r="N861" s="10">
        <f t="shared" si="106"/>
        <v>2.9545467240956045</v>
      </c>
    </row>
    <row r="862" spans="3:14">
      <c r="C862" s="4">
        <f>Pressure!AB862*1000000</f>
        <v>101000</v>
      </c>
      <c r="D862" s="84">
        <f>Pressure!I862</f>
        <v>1.4801552192482141E-4</v>
      </c>
      <c r="E862" s="121">
        <f>Pressure!H862</f>
        <v>148.0155219248214</v>
      </c>
      <c r="F862" s="122">
        <f>aexit/E862</f>
        <v>8</v>
      </c>
      <c r="G862" s="4">
        <f t="shared" si="101"/>
        <v>101000</v>
      </c>
      <c r="H862" s="45" t="e">
        <f t="shared" si="109"/>
        <v>#DIV/0!</v>
      </c>
      <c r="I862" s="10">
        <f t="shared" si="110"/>
        <v>0</v>
      </c>
      <c r="J862" s="4">
        <f t="shared" si="111"/>
        <v>0</v>
      </c>
      <c r="K862" s="4">
        <f t="shared" si="107"/>
        <v>0</v>
      </c>
      <c r="L862" s="45">
        <f>Pressure!Q862</f>
        <v>3.255375591472903</v>
      </c>
      <c r="M862" s="10">
        <f t="shared" si="108"/>
        <v>0</v>
      </c>
      <c r="N862" s="122">
        <f>N861-1/834*(me-mef)</f>
        <v>2.9545467240956045</v>
      </c>
    </row>
    <row r="863" spans="3:14">
      <c r="C863" s="4">
        <f>Pressure!AB863*1000000</f>
        <v>67676.947436044444</v>
      </c>
      <c r="D863" s="86">
        <f>astarf</f>
        <v>1.4801552192482141E-4</v>
      </c>
      <c r="E863" s="40">
        <f>atfinal</f>
        <v>148.0155219248214</v>
      </c>
      <c r="G863" s="4">
        <f t="shared" ref="G863:G910" si="112">IF(C863/(1+(k-1)/2*mef^2)^(k/(k-1))&lt;patm*1000000,patm*1000000,C863/(1+(k-1)/2*mef^2)^(k/(k-1)))</f>
        <v>101000</v>
      </c>
      <c r="H863" s="45" t="e">
        <f t="shared" si="109"/>
        <v>#NUM!</v>
      </c>
      <c r="I863" s="10" t="e">
        <f t="shared" si="110"/>
        <v>#NUM!</v>
      </c>
      <c r="J863" s="4" t="e">
        <f t="shared" si="111"/>
        <v>#NUM!</v>
      </c>
      <c r="K863" s="4" t="e">
        <f t="shared" si="107"/>
        <v>#NUM!</v>
      </c>
      <c r="L863" s="45">
        <f>Pressure!Q863</f>
        <v>3.2571421283557895</v>
      </c>
      <c r="M863" s="10" t="e">
        <f t="shared" si="108"/>
        <v>#NUM!</v>
      </c>
    </row>
    <row r="864" spans="3:14">
      <c r="C864" s="4">
        <f>Pressure!AB864*1000000</f>
        <v>45348.210042189312</v>
      </c>
      <c r="D864" s="86">
        <f t="shared" ref="D864:D910" si="113">astarf</f>
        <v>1.4801552192482141E-4</v>
      </c>
      <c r="E864" s="40">
        <f t="shared" ref="E864:E910" si="114">atfinal</f>
        <v>148.0155219248214</v>
      </c>
      <c r="G864" s="4">
        <f t="shared" si="112"/>
        <v>101000</v>
      </c>
      <c r="H864" s="45" t="e">
        <f t="shared" si="109"/>
        <v>#NUM!</v>
      </c>
      <c r="I864" s="10" t="e">
        <f t="shared" si="110"/>
        <v>#NUM!</v>
      </c>
      <c r="J864" s="4" t="e">
        <f t="shared" si="111"/>
        <v>#NUM!</v>
      </c>
      <c r="K864" s="4" t="e">
        <f t="shared" si="107"/>
        <v>#NUM!</v>
      </c>
      <c r="L864" s="45">
        <f>Pressure!Q864</f>
        <v>3.2589086652386761</v>
      </c>
      <c r="M864" s="10" t="e">
        <f t="shared" si="108"/>
        <v>#NUM!</v>
      </c>
    </row>
    <row r="865" spans="3:13">
      <c r="C865" s="4">
        <f>Pressure!AB865*1000000</f>
        <v>30386.420072712357</v>
      </c>
      <c r="D865" s="86">
        <f t="shared" si="113"/>
        <v>1.4801552192482141E-4</v>
      </c>
      <c r="E865" s="40">
        <f t="shared" si="114"/>
        <v>148.0155219248214</v>
      </c>
      <c r="G865" s="4">
        <f t="shared" si="112"/>
        <v>101000</v>
      </c>
      <c r="H865" s="45" t="e">
        <f t="shared" si="109"/>
        <v>#NUM!</v>
      </c>
      <c r="I865" s="10" t="e">
        <f t="shared" si="110"/>
        <v>#NUM!</v>
      </c>
      <c r="J865" s="4" t="e">
        <f t="shared" si="111"/>
        <v>#NUM!</v>
      </c>
      <c r="K865" s="4" t="e">
        <f t="shared" si="107"/>
        <v>#NUM!</v>
      </c>
      <c r="L865" s="45">
        <f>Pressure!Q865</f>
        <v>3.2606752021215626</v>
      </c>
      <c r="M865" s="10" t="e">
        <f t="shared" si="108"/>
        <v>#NUM!</v>
      </c>
    </row>
    <row r="866" spans="3:13">
      <c r="C866" s="4">
        <f>Pressure!AB866*1000000</f>
        <v>20360.991624064551</v>
      </c>
      <c r="D866" s="86">
        <f t="shared" si="113"/>
        <v>1.4801552192482141E-4</v>
      </c>
      <c r="E866" s="40">
        <f t="shared" si="114"/>
        <v>148.0155219248214</v>
      </c>
      <c r="G866" s="4">
        <f t="shared" si="112"/>
        <v>101000</v>
      </c>
      <c r="H866" s="45" t="e">
        <f t="shared" si="109"/>
        <v>#NUM!</v>
      </c>
      <c r="I866" s="10" t="e">
        <f t="shared" si="110"/>
        <v>#NUM!</v>
      </c>
      <c r="J866" s="4" t="e">
        <f t="shared" si="111"/>
        <v>#NUM!</v>
      </c>
      <c r="K866" s="4" t="e">
        <f t="shared" si="107"/>
        <v>#NUM!</v>
      </c>
      <c r="L866" s="45">
        <f>Pressure!Q866</f>
        <v>3.2624417390044491</v>
      </c>
      <c r="M866" s="10" t="e">
        <f t="shared" si="108"/>
        <v>#NUM!</v>
      </c>
    </row>
    <row r="867" spans="3:13">
      <c r="C867" s="4">
        <f>Pressure!AB867*1000000</f>
        <v>13643.264949381752</v>
      </c>
      <c r="D867" s="86">
        <f t="shared" si="113"/>
        <v>1.4801552192482141E-4</v>
      </c>
      <c r="E867" s="40">
        <f t="shared" si="114"/>
        <v>148.0155219248214</v>
      </c>
      <c r="G867" s="4">
        <f t="shared" si="112"/>
        <v>101000</v>
      </c>
      <c r="H867" s="45" t="e">
        <f t="shared" si="109"/>
        <v>#NUM!</v>
      </c>
      <c r="I867" s="10" t="e">
        <f t="shared" si="110"/>
        <v>#NUM!</v>
      </c>
      <c r="J867" s="4" t="e">
        <f t="shared" si="111"/>
        <v>#NUM!</v>
      </c>
      <c r="K867" s="4" t="e">
        <f t="shared" si="107"/>
        <v>#NUM!</v>
      </c>
      <c r="L867" s="45">
        <f>Pressure!Q867</f>
        <v>3.2642082758873356</v>
      </c>
      <c r="M867" s="10" t="e">
        <f t="shared" si="108"/>
        <v>#NUM!</v>
      </c>
    </row>
    <row r="868" spans="3:13">
      <c r="C868" s="4">
        <f>Pressure!AB868*1000000</f>
        <v>9141.9259884686762</v>
      </c>
      <c r="D868" s="86">
        <f t="shared" si="113"/>
        <v>1.4801552192482141E-4</v>
      </c>
      <c r="E868" s="40">
        <f t="shared" si="114"/>
        <v>148.0155219248214</v>
      </c>
      <c r="G868" s="4">
        <f t="shared" si="112"/>
        <v>101000</v>
      </c>
      <c r="H868" s="45" t="e">
        <f t="shared" si="109"/>
        <v>#NUM!</v>
      </c>
      <c r="I868" s="10" t="e">
        <f t="shared" si="110"/>
        <v>#NUM!</v>
      </c>
      <c r="J868" s="4" t="e">
        <f t="shared" si="111"/>
        <v>#NUM!</v>
      </c>
      <c r="K868" s="4" t="e">
        <f t="shared" si="107"/>
        <v>#NUM!</v>
      </c>
      <c r="L868" s="45">
        <f>Pressure!Q868</f>
        <v>3.2659748127702222</v>
      </c>
      <c r="M868" s="10" t="e">
        <f t="shared" si="108"/>
        <v>#NUM!</v>
      </c>
    </row>
    <row r="869" spans="3:13">
      <c r="C869" s="4">
        <f>Pressure!AB869*1000000</f>
        <v>6125.7192533247835</v>
      </c>
      <c r="D869" s="86">
        <f t="shared" si="113"/>
        <v>1.4801552192482141E-4</v>
      </c>
      <c r="E869" s="40">
        <f t="shared" si="114"/>
        <v>148.0155219248214</v>
      </c>
      <c r="G869" s="4">
        <f t="shared" si="112"/>
        <v>101000</v>
      </c>
      <c r="H869" s="45" t="e">
        <f t="shared" si="109"/>
        <v>#NUM!</v>
      </c>
      <c r="I869" s="10" t="e">
        <f t="shared" si="110"/>
        <v>#NUM!</v>
      </c>
      <c r="J869" s="4" t="e">
        <f t="shared" si="111"/>
        <v>#NUM!</v>
      </c>
      <c r="K869" s="4" t="e">
        <f t="shared" si="107"/>
        <v>#NUM!</v>
      </c>
      <c r="L869" s="45">
        <f>Pressure!Q869</f>
        <v>3.2677413496531087</v>
      </c>
      <c r="M869" s="10" t="e">
        <f t="shared" si="108"/>
        <v>#NUM!</v>
      </c>
    </row>
    <row r="870" spans="3:13">
      <c r="C870" s="4">
        <f>Pressure!AB870*1000000</f>
        <v>4104.6532664873939</v>
      </c>
      <c r="D870" s="86">
        <f t="shared" si="113"/>
        <v>1.4801552192482141E-4</v>
      </c>
      <c r="E870" s="40">
        <f t="shared" si="114"/>
        <v>148.0155219248214</v>
      </c>
      <c r="G870" s="4">
        <f t="shared" si="112"/>
        <v>101000</v>
      </c>
      <c r="H870" s="45" t="e">
        <f t="shared" si="109"/>
        <v>#NUM!</v>
      </c>
      <c r="I870" s="10" t="e">
        <f t="shared" si="110"/>
        <v>#NUM!</v>
      </c>
      <c r="J870" s="4" t="e">
        <f t="shared" si="111"/>
        <v>#NUM!</v>
      </c>
      <c r="K870" s="4" t="e">
        <f t="shared" si="107"/>
        <v>#NUM!</v>
      </c>
      <c r="L870" s="45">
        <f>Pressure!Q870</f>
        <v>3.2695078865359952</v>
      </c>
      <c r="M870" s="10" t="e">
        <f t="shared" si="108"/>
        <v>#NUM!</v>
      </c>
    </row>
    <row r="871" spans="3:13">
      <c r="C871" s="4">
        <f>Pressure!AB871*1000000</f>
        <v>2750.400033259953</v>
      </c>
      <c r="D871" s="86">
        <f t="shared" si="113"/>
        <v>1.4801552192482141E-4</v>
      </c>
      <c r="E871" s="40">
        <f t="shared" si="114"/>
        <v>148.0155219248214</v>
      </c>
      <c r="G871" s="4">
        <f t="shared" si="112"/>
        <v>101000</v>
      </c>
      <c r="H871" s="45" t="e">
        <f t="shared" si="109"/>
        <v>#NUM!</v>
      </c>
      <c r="I871" s="10" t="e">
        <f t="shared" si="110"/>
        <v>#NUM!</v>
      </c>
      <c r="J871" s="4" t="e">
        <f t="shared" si="111"/>
        <v>#NUM!</v>
      </c>
      <c r="K871" s="4" t="e">
        <f t="shared" si="107"/>
        <v>#NUM!</v>
      </c>
      <c r="L871" s="45">
        <f>Pressure!Q871</f>
        <v>3.2712744234188817</v>
      </c>
      <c r="M871" s="10" t="e">
        <f t="shared" si="108"/>
        <v>#NUM!</v>
      </c>
    </row>
    <row r="872" spans="3:13">
      <c r="C872" s="4">
        <f>Pressure!AB872*1000000</f>
        <v>1842.9572126636504</v>
      </c>
      <c r="D872" s="86">
        <f t="shared" si="113"/>
        <v>1.4801552192482141E-4</v>
      </c>
      <c r="E872" s="40">
        <f t="shared" si="114"/>
        <v>148.0155219248214</v>
      </c>
      <c r="G872" s="4">
        <f t="shared" si="112"/>
        <v>101000</v>
      </c>
      <c r="H872" s="45" t="e">
        <f t="shared" si="109"/>
        <v>#NUM!</v>
      </c>
      <c r="I872" s="10" t="e">
        <f t="shared" si="110"/>
        <v>#NUM!</v>
      </c>
      <c r="J872" s="4" t="e">
        <f t="shared" si="111"/>
        <v>#NUM!</v>
      </c>
      <c r="K872" s="4" t="e">
        <f t="shared" si="107"/>
        <v>#NUM!</v>
      </c>
      <c r="L872" s="45">
        <f>Pressure!Q872</f>
        <v>3.2730409603017683</v>
      </c>
      <c r="M872" s="10" t="e">
        <f t="shared" si="108"/>
        <v>#NUM!</v>
      </c>
    </row>
    <row r="873" spans="3:13">
      <c r="C873" s="4">
        <f>Pressure!AB873*1000000</f>
        <v>1234.9081030526427</v>
      </c>
      <c r="D873" s="86">
        <f t="shared" si="113"/>
        <v>1.4801552192482141E-4</v>
      </c>
      <c r="E873" s="40">
        <f t="shared" si="114"/>
        <v>148.0155219248214</v>
      </c>
      <c r="G873" s="4">
        <f t="shared" si="112"/>
        <v>101000</v>
      </c>
      <c r="H873" s="45" t="e">
        <f t="shared" si="109"/>
        <v>#NUM!</v>
      </c>
      <c r="I873" s="10" t="e">
        <f t="shared" si="110"/>
        <v>#NUM!</v>
      </c>
      <c r="J873" s="4" t="e">
        <f t="shared" si="111"/>
        <v>#NUM!</v>
      </c>
      <c r="K873" s="4" t="e">
        <f t="shared" si="107"/>
        <v>#NUM!</v>
      </c>
      <c r="L873" s="45">
        <f>Pressure!Q873</f>
        <v>3.2748074971846548</v>
      </c>
      <c r="M873" s="10" t="e">
        <f t="shared" si="108"/>
        <v>#NUM!</v>
      </c>
    </row>
    <row r="874" spans="3:13">
      <c r="C874" s="4">
        <f>Pressure!AB874*1000000</f>
        <v>827.47337404593088</v>
      </c>
      <c r="D874" s="86">
        <f t="shared" si="113"/>
        <v>1.4801552192482141E-4</v>
      </c>
      <c r="E874" s="40">
        <f t="shared" si="114"/>
        <v>148.0155219248214</v>
      </c>
      <c r="G874" s="4">
        <f t="shared" si="112"/>
        <v>101000</v>
      </c>
      <c r="H874" s="45" t="e">
        <f t="shared" si="109"/>
        <v>#NUM!</v>
      </c>
      <c r="I874" s="10" t="e">
        <f t="shared" si="110"/>
        <v>#NUM!</v>
      </c>
      <c r="J874" s="4" t="e">
        <f t="shared" si="111"/>
        <v>#NUM!</v>
      </c>
      <c r="K874" s="4" t="e">
        <f t="shared" si="107"/>
        <v>#NUM!</v>
      </c>
      <c r="L874" s="45">
        <f>Pressure!Q874</f>
        <v>3.2765740340675413</v>
      </c>
      <c r="M874" s="10" t="e">
        <f t="shared" si="108"/>
        <v>#NUM!</v>
      </c>
    </row>
    <row r="875" spans="3:13">
      <c r="C875" s="4">
        <f>Pressure!AB875*1000000</f>
        <v>554.46407960428451</v>
      </c>
      <c r="D875" s="86">
        <f t="shared" si="113"/>
        <v>1.4801552192482141E-4</v>
      </c>
      <c r="E875" s="40">
        <f t="shared" si="114"/>
        <v>148.0155219248214</v>
      </c>
      <c r="G875" s="4">
        <f t="shared" si="112"/>
        <v>101000</v>
      </c>
      <c r="H875" s="45" t="e">
        <f t="shared" si="109"/>
        <v>#NUM!</v>
      </c>
      <c r="I875" s="10" t="e">
        <f t="shared" si="110"/>
        <v>#NUM!</v>
      </c>
      <c r="J875" s="4" t="e">
        <f t="shared" si="111"/>
        <v>#NUM!</v>
      </c>
      <c r="K875" s="4" t="e">
        <f t="shared" si="107"/>
        <v>#NUM!</v>
      </c>
      <c r="L875" s="45">
        <f>Pressure!Q875</f>
        <v>3.2783405709504279</v>
      </c>
      <c r="M875" s="10" t="e">
        <f t="shared" si="108"/>
        <v>#NUM!</v>
      </c>
    </row>
    <row r="876" spans="3:13">
      <c r="C876" s="4">
        <f>Pressure!AB876*1000000</f>
        <v>371.52907297578162</v>
      </c>
      <c r="D876" s="86">
        <f t="shared" si="113"/>
        <v>1.4801552192482141E-4</v>
      </c>
      <c r="E876" s="40">
        <f t="shared" si="114"/>
        <v>148.0155219248214</v>
      </c>
      <c r="G876" s="4">
        <f t="shared" si="112"/>
        <v>101000</v>
      </c>
      <c r="H876" s="45" t="e">
        <f t="shared" si="109"/>
        <v>#NUM!</v>
      </c>
      <c r="I876" s="10" t="e">
        <f t="shared" si="110"/>
        <v>#NUM!</v>
      </c>
      <c r="J876" s="4" t="e">
        <f t="shared" si="111"/>
        <v>#NUM!</v>
      </c>
      <c r="K876" s="4" t="e">
        <f t="shared" si="107"/>
        <v>#NUM!</v>
      </c>
      <c r="L876" s="45">
        <f>Pressure!Q876</f>
        <v>3.2801071078333144</v>
      </c>
      <c r="M876" s="10" t="e">
        <f t="shared" si="108"/>
        <v>#NUM!</v>
      </c>
    </row>
    <row r="877" spans="3:13">
      <c r="C877" s="4">
        <f>Pressure!AB877*1000000</f>
        <v>248.95003507667627</v>
      </c>
      <c r="D877" s="86">
        <f t="shared" si="113"/>
        <v>1.4801552192482141E-4</v>
      </c>
      <c r="E877" s="40">
        <f t="shared" si="114"/>
        <v>148.0155219248214</v>
      </c>
      <c r="G877" s="4">
        <f t="shared" si="112"/>
        <v>101000</v>
      </c>
      <c r="H877" s="45" t="e">
        <f t="shared" si="109"/>
        <v>#NUM!</v>
      </c>
      <c r="I877" s="10" t="e">
        <f t="shared" si="110"/>
        <v>#NUM!</v>
      </c>
      <c r="J877" s="4" t="e">
        <f t="shared" si="111"/>
        <v>#NUM!</v>
      </c>
      <c r="K877" s="4" t="e">
        <f t="shared" si="107"/>
        <v>#NUM!</v>
      </c>
      <c r="L877" s="45">
        <f>Pressure!Q877</f>
        <v>3.2818736447162009</v>
      </c>
      <c r="M877" s="10" t="e">
        <f t="shared" si="108"/>
        <v>#NUM!</v>
      </c>
    </row>
    <row r="878" spans="3:13">
      <c r="C878" s="4">
        <f>Pressure!AB878*1000000</f>
        <v>166.81364790183795</v>
      </c>
      <c r="D878" s="86">
        <f t="shared" si="113"/>
        <v>1.4801552192482141E-4</v>
      </c>
      <c r="E878" s="40">
        <f t="shared" si="114"/>
        <v>148.0155219248214</v>
      </c>
      <c r="G878" s="4">
        <f t="shared" si="112"/>
        <v>101000</v>
      </c>
      <c r="H878" s="45" t="e">
        <f t="shared" si="109"/>
        <v>#NUM!</v>
      </c>
      <c r="I878" s="10" t="e">
        <f t="shared" si="110"/>
        <v>#NUM!</v>
      </c>
      <c r="J878" s="4" t="e">
        <f t="shared" si="111"/>
        <v>#NUM!</v>
      </c>
      <c r="K878" s="4" t="e">
        <f t="shared" si="107"/>
        <v>#NUM!</v>
      </c>
      <c r="L878" s="45">
        <f>Pressure!Q878</f>
        <v>3.2836401815990874</v>
      </c>
      <c r="M878" s="10" t="e">
        <f t="shared" si="108"/>
        <v>#NUM!</v>
      </c>
    </row>
    <row r="879" spans="3:13">
      <c r="C879" s="4">
        <f>Pressure!AB879*1000000</f>
        <v>111.7766186204704</v>
      </c>
      <c r="D879" s="86">
        <f t="shared" si="113"/>
        <v>1.4801552192482141E-4</v>
      </c>
      <c r="E879" s="40">
        <f t="shared" si="114"/>
        <v>148.0155219248214</v>
      </c>
      <c r="G879" s="4">
        <f t="shared" si="112"/>
        <v>101000</v>
      </c>
      <c r="H879" s="45" t="e">
        <f t="shared" si="109"/>
        <v>#NUM!</v>
      </c>
      <c r="I879" s="10" t="e">
        <f t="shared" si="110"/>
        <v>#NUM!</v>
      </c>
      <c r="J879" s="4" t="e">
        <f t="shared" si="111"/>
        <v>#NUM!</v>
      </c>
      <c r="K879" s="4" t="e">
        <f t="shared" si="107"/>
        <v>#NUM!</v>
      </c>
      <c r="L879" s="45">
        <f>Pressure!Q879</f>
        <v>3.285406718481974</v>
      </c>
      <c r="M879" s="10" t="e">
        <f t="shared" si="108"/>
        <v>#NUM!</v>
      </c>
    </row>
    <row r="880" spans="3:13">
      <c r="C880" s="4">
        <f>Pressure!AB880*1000000</f>
        <v>74.898023197587634</v>
      </c>
      <c r="D880" s="86">
        <f t="shared" si="113"/>
        <v>1.4801552192482141E-4</v>
      </c>
      <c r="E880" s="40">
        <f t="shared" si="114"/>
        <v>148.0155219248214</v>
      </c>
      <c r="G880" s="4">
        <f t="shared" si="112"/>
        <v>101000</v>
      </c>
      <c r="H880" s="45" t="e">
        <f t="shared" si="109"/>
        <v>#NUM!</v>
      </c>
      <c r="I880" s="10" t="e">
        <f t="shared" si="110"/>
        <v>#NUM!</v>
      </c>
      <c r="J880" s="4" t="e">
        <f t="shared" si="111"/>
        <v>#NUM!</v>
      </c>
      <c r="K880" s="4" t="e">
        <f t="shared" si="107"/>
        <v>#NUM!</v>
      </c>
      <c r="L880" s="45">
        <f>Pressure!Q880</f>
        <v>3.2871732553648605</v>
      </c>
      <c r="M880" s="10" t="e">
        <f t="shared" si="108"/>
        <v>#NUM!</v>
      </c>
    </row>
    <row r="881" spans="3:13">
      <c r="C881" s="4">
        <f>Pressure!AB881*1000000</f>
        <v>50.186827514918598</v>
      </c>
      <c r="D881" s="86">
        <f t="shared" si="113"/>
        <v>1.4801552192482141E-4</v>
      </c>
      <c r="E881" s="40">
        <f t="shared" si="114"/>
        <v>148.0155219248214</v>
      </c>
      <c r="G881" s="4">
        <f t="shared" si="112"/>
        <v>101000</v>
      </c>
      <c r="H881" s="45" t="e">
        <f t="shared" si="109"/>
        <v>#NUM!</v>
      </c>
      <c r="I881" s="10" t="e">
        <f t="shared" si="110"/>
        <v>#NUM!</v>
      </c>
      <c r="J881" s="4" t="e">
        <f t="shared" si="111"/>
        <v>#NUM!</v>
      </c>
      <c r="K881" s="4" t="e">
        <f t="shared" si="107"/>
        <v>#NUM!</v>
      </c>
      <c r="L881" s="45">
        <f>Pressure!Q881</f>
        <v>3.288939792247747</v>
      </c>
      <c r="M881" s="10" t="e">
        <f t="shared" si="108"/>
        <v>#NUM!</v>
      </c>
    </row>
    <row r="882" spans="3:13">
      <c r="C882" s="4">
        <f>Pressure!AB882*1000000</f>
        <v>33.628626610979907</v>
      </c>
      <c r="D882" s="86">
        <f t="shared" si="113"/>
        <v>1.4801552192482141E-4</v>
      </c>
      <c r="E882" s="40">
        <f t="shared" si="114"/>
        <v>148.0155219248214</v>
      </c>
      <c r="G882" s="4">
        <f t="shared" si="112"/>
        <v>101000</v>
      </c>
      <c r="H882" s="45" t="e">
        <f t="shared" si="109"/>
        <v>#NUM!</v>
      </c>
      <c r="I882" s="10" t="e">
        <f t="shared" si="110"/>
        <v>#NUM!</v>
      </c>
      <c r="J882" s="4" t="e">
        <f t="shared" si="111"/>
        <v>#NUM!</v>
      </c>
      <c r="K882" s="4" t="e">
        <f t="shared" si="107"/>
        <v>#NUM!</v>
      </c>
      <c r="L882" s="45">
        <f>Pressure!Q882</f>
        <v>3.2907063291306335</v>
      </c>
      <c r="M882" s="10" t="e">
        <f t="shared" si="108"/>
        <v>#NUM!</v>
      </c>
    </row>
    <row r="883" spans="3:13">
      <c r="C883" s="4">
        <f>Pressure!AB883*1000000</f>
        <v>22.533493024729264</v>
      </c>
      <c r="D883" s="86">
        <f t="shared" si="113"/>
        <v>1.4801552192482141E-4</v>
      </c>
      <c r="E883" s="40">
        <f t="shared" si="114"/>
        <v>148.0155219248214</v>
      </c>
      <c r="G883" s="4">
        <f t="shared" si="112"/>
        <v>101000</v>
      </c>
      <c r="H883" s="45" t="e">
        <f t="shared" si="109"/>
        <v>#NUM!</v>
      </c>
      <c r="I883" s="10" t="e">
        <f t="shared" si="110"/>
        <v>#NUM!</v>
      </c>
      <c r="J883" s="4" t="e">
        <f t="shared" si="111"/>
        <v>#NUM!</v>
      </c>
      <c r="K883" s="4" t="e">
        <f t="shared" si="107"/>
        <v>#NUM!</v>
      </c>
      <c r="L883" s="45">
        <f>Pressure!Q883</f>
        <v>3.2924728660135201</v>
      </c>
      <c r="M883" s="10" t="e">
        <f t="shared" si="108"/>
        <v>#NUM!</v>
      </c>
    </row>
    <row r="884" spans="3:13">
      <c r="C884" s="4">
        <f>Pressure!AB884*1000000</f>
        <v>15.098990326584909</v>
      </c>
      <c r="D884" s="86">
        <f t="shared" si="113"/>
        <v>1.4801552192482141E-4</v>
      </c>
      <c r="E884" s="40">
        <f t="shared" si="114"/>
        <v>148.0155219248214</v>
      </c>
      <c r="G884" s="4">
        <f t="shared" si="112"/>
        <v>101000</v>
      </c>
      <c r="H884" s="45" t="e">
        <f t="shared" si="109"/>
        <v>#NUM!</v>
      </c>
      <c r="I884" s="10" t="e">
        <f t="shared" si="110"/>
        <v>#NUM!</v>
      </c>
      <c r="J884" s="4" t="e">
        <f t="shared" si="111"/>
        <v>#NUM!</v>
      </c>
      <c r="K884" s="4" t="e">
        <f t="shared" si="107"/>
        <v>#NUM!</v>
      </c>
      <c r="L884" s="45">
        <f>Pressure!Q884</f>
        <v>3.2942394028964066</v>
      </c>
      <c r="M884" s="10" t="e">
        <f t="shared" si="108"/>
        <v>#NUM!</v>
      </c>
    </row>
    <row r="885" spans="3:13">
      <c r="C885" s="4">
        <f>Pressure!AB885*1000000</f>
        <v>10.117362125441865</v>
      </c>
      <c r="D885" s="86">
        <f t="shared" si="113"/>
        <v>1.4801552192482141E-4</v>
      </c>
      <c r="E885" s="40">
        <f t="shared" si="114"/>
        <v>148.0155219248214</v>
      </c>
      <c r="G885" s="4">
        <f t="shared" si="112"/>
        <v>101000</v>
      </c>
      <c r="H885" s="45" t="e">
        <f t="shared" si="109"/>
        <v>#NUM!</v>
      </c>
      <c r="I885" s="10" t="e">
        <f t="shared" si="110"/>
        <v>#NUM!</v>
      </c>
      <c r="J885" s="4" t="e">
        <f t="shared" si="111"/>
        <v>#NUM!</v>
      </c>
      <c r="K885" s="4" t="e">
        <f t="shared" si="107"/>
        <v>#NUM!</v>
      </c>
      <c r="L885" s="45">
        <f>Pressure!Q885</f>
        <v>3.2960059397792931</v>
      </c>
      <c r="M885" s="10" t="e">
        <f t="shared" si="108"/>
        <v>#NUM!</v>
      </c>
    </row>
    <row r="886" spans="3:13">
      <c r="C886" s="4">
        <f>Pressure!AB886*1000000</f>
        <v>6.7793285619302672</v>
      </c>
      <c r="D886" s="86">
        <f t="shared" si="113"/>
        <v>1.4801552192482141E-4</v>
      </c>
      <c r="E886" s="40">
        <f t="shared" si="114"/>
        <v>148.0155219248214</v>
      </c>
      <c r="G886" s="4">
        <f t="shared" si="112"/>
        <v>101000</v>
      </c>
      <c r="H886" s="45" t="e">
        <f t="shared" si="109"/>
        <v>#NUM!</v>
      </c>
      <c r="I886" s="10" t="e">
        <f t="shared" si="110"/>
        <v>#NUM!</v>
      </c>
      <c r="J886" s="4" t="e">
        <f t="shared" si="111"/>
        <v>#NUM!</v>
      </c>
      <c r="K886" s="4" t="e">
        <f t="shared" si="107"/>
        <v>#NUM!</v>
      </c>
      <c r="L886" s="45">
        <f>Pressure!Q886</f>
        <v>3.2977724766621797</v>
      </c>
      <c r="M886" s="10" t="e">
        <f t="shared" si="108"/>
        <v>#NUM!</v>
      </c>
    </row>
    <row r="887" spans="3:13">
      <c r="C887" s="4">
        <f>Pressure!AB887*1000000</f>
        <v>4.5426164627468237</v>
      </c>
      <c r="D887" s="86">
        <f t="shared" si="113"/>
        <v>1.4801552192482141E-4</v>
      </c>
      <c r="E887" s="40">
        <f t="shared" si="114"/>
        <v>148.0155219248214</v>
      </c>
      <c r="G887" s="4">
        <f t="shared" si="112"/>
        <v>101000</v>
      </c>
      <c r="H887" s="45" t="e">
        <f t="shared" si="109"/>
        <v>#NUM!</v>
      </c>
      <c r="I887" s="10" t="e">
        <f t="shared" si="110"/>
        <v>#NUM!</v>
      </c>
      <c r="J887" s="4" t="e">
        <f t="shared" si="111"/>
        <v>#NUM!</v>
      </c>
      <c r="K887" s="4" t="e">
        <f t="shared" si="107"/>
        <v>#NUM!</v>
      </c>
      <c r="L887" s="45">
        <f>Pressure!Q887</f>
        <v>3.2995390135450662</v>
      </c>
      <c r="M887" s="10" t="e">
        <f t="shared" si="108"/>
        <v>#NUM!</v>
      </c>
    </row>
    <row r="888" spans="3:13">
      <c r="C888" s="4">
        <f>Pressure!AB888*1000000</f>
        <v>3.0438655007071906</v>
      </c>
      <c r="D888" s="86">
        <f t="shared" si="113"/>
        <v>1.4801552192482141E-4</v>
      </c>
      <c r="E888" s="40">
        <f t="shared" si="114"/>
        <v>148.0155219248214</v>
      </c>
      <c r="G888" s="4">
        <f t="shared" si="112"/>
        <v>101000</v>
      </c>
      <c r="H888" s="45" t="e">
        <f t="shared" si="109"/>
        <v>#NUM!</v>
      </c>
      <c r="I888" s="10" t="e">
        <f t="shared" si="110"/>
        <v>#NUM!</v>
      </c>
      <c r="J888" s="4" t="e">
        <f t="shared" si="111"/>
        <v>#NUM!</v>
      </c>
      <c r="K888" s="4" t="e">
        <f t="shared" si="107"/>
        <v>#NUM!</v>
      </c>
      <c r="L888" s="45">
        <f>Pressure!Q888</f>
        <v>3.3013055504279527</v>
      </c>
      <c r="M888" s="10" t="e">
        <f t="shared" si="108"/>
        <v>#NUM!</v>
      </c>
    </row>
    <row r="889" spans="3:13">
      <c r="C889" s="4">
        <f>Pressure!AB889*1000000</f>
        <v>2.039599262314356</v>
      </c>
      <c r="D889" s="86">
        <f t="shared" si="113"/>
        <v>1.4801552192482141E-4</v>
      </c>
      <c r="E889" s="40">
        <f t="shared" si="114"/>
        <v>148.0155219248214</v>
      </c>
      <c r="G889" s="4">
        <f t="shared" si="112"/>
        <v>101000</v>
      </c>
      <c r="H889" s="45" t="e">
        <f t="shared" si="109"/>
        <v>#NUM!</v>
      </c>
      <c r="I889" s="10" t="e">
        <f t="shared" si="110"/>
        <v>#NUM!</v>
      </c>
      <c r="J889" s="4" t="e">
        <f t="shared" si="111"/>
        <v>#NUM!</v>
      </c>
      <c r="K889" s="4" t="e">
        <f t="shared" si="107"/>
        <v>#NUM!</v>
      </c>
      <c r="L889" s="45">
        <f>Pressure!Q889</f>
        <v>3.3030720873108392</v>
      </c>
      <c r="M889" s="10" t="e">
        <f t="shared" si="108"/>
        <v>#NUM!</v>
      </c>
    </row>
    <row r="890" spans="3:13">
      <c r="C890" s="4">
        <f>Pressure!AB890*1000000</f>
        <v>1.3666718026360756</v>
      </c>
      <c r="D890" s="86">
        <f t="shared" si="113"/>
        <v>1.4801552192482141E-4</v>
      </c>
      <c r="E890" s="40">
        <f t="shared" si="114"/>
        <v>148.0155219248214</v>
      </c>
      <c r="G890" s="4">
        <f t="shared" si="112"/>
        <v>101000</v>
      </c>
      <c r="H890" s="45" t="e">
        <f t="shared" si="109"/>
        <v>#NUM!</v>
      </c>
      <c r="I890" s="10" t="e">
        <f t="shared" si="110"/>
        <v>#NUM!</v>
      </c>
      <c r="J890" s="4" t="e">
        <f t="shared" si="111"/>
        <v>#NUM!</v>
      </c>
      <c r="K890" s="4" t="e">
        <f t="shared" si="107"/>
        <v>#NUM!</v>
      </c>
      <c r="L890" s="45">
        <f>Pressure!Q890</f>
        <v>3.3048386241937258</v>
      </c>
      <c r="M890" s="10" t="e">
        <f t="shared" si="108"/>
        <v>#NUM!</v>
      </c>
    </row>
    <row r="891" spans="3:13">
      <c r="C891" s="4">
        <f>Pressure!AB891*1000000</f>
        <v>0.91576411632995647</v>
      </c>
      <c r="D891" s="86">
        <f t="shared" si="113"/>
        <v>1.4801552192482141E-4</v>
      </c>
      <c r="E891" s="40">
        <f t="shared" si="114"/>
        <v>148.0155219248214</v>
      </c>
      <c r="G891" s="4">
        <f t="shared" si="112"/>
        <v>101000</v>
      </c>
      <c r="H891" s="45" t="e">
        <f t="shared" si="109"/>
        <v>#NUM!</v>
      </c>
      <c r="I891" s="10" t="e">
        <f t="shared" si="110"/>
        <v>#NUM!</v>
      </c>
      <c r="J891" s="4" t="e">
        <f t="shared" si="111"/>
        <v>#NUM!</v>
      </c>
      <c r="K891" s="4" t="e">
        <f t="shared" si="107"/>
        <v>#NUM!</v>
      </c>
      <c r="L891" s="45">
        <f>Pressure!Q891</f>
        <v>3.3066051610766123</v>
      </c>
      <c r="M891" s="10" t="e">
        <f t="shared" si="108"/>
        <v>#NUM!</v>
      </c>
    </row>
    <row r="892" spans="3:13">
      <c r="C892" s="4">
        <f>Pressure!AB892*1000000</f>
        <v>0.61362495014533014</v>
      </c>
      <c r="D892" s="86">
        <f t="shared" si="113"/>
        <v>1.4801552192482141E-4</v>
      </c>
      <c r="E892" s="40">
        <f t="shared" si="114"/>
        <v>148.0155219248214</v>
      </c>
      <c r="G892" s="4">
        <f t="shared" si="112"/>
        <v>101000</v>
      </c>
      <c r="H892" s="45" t="e">
        <f t="shared" si="109"/>
        <v>#NUM!</v>
      </c>
      <c r="I892" s="10" t="e">
        <f t="shared" si="110"/>
        <v>#NUM!</v>
      </c>
      <c r="J892" s="4" t="e">
        <f t="shared" si="111"/>
        <v>#NUM!</v>
      </c>
      <c r="K892" s="4" t="e">
        <f t="shared" si="107"/>
        <v>#NUM!</v>
      </c>
      <c r="L892" s="45">
        <f>Pressure!Q892</f>
        <v>3.3083716979594988</v>
      </c>
      <c r="M892" s="10" t="e">
        <f t="shared" si="108"/>
        <v>#NUM!</v>
      </c>
    </row>
    <row r="893" spans="3:13">
      <c r="C893" s="4">
        <f>Pressure!AB893*1000000</f>
        <v>0.4111709257072364</v>
      </c>
      <c r="D893" s="86">
        <f t="shared" si="113"/>
        <v>1.4801552192482141E-4</v>
      </c>
      <c r="E893" s="40">
        <f t="shared" si="114"/>
        <v>148.0155219248214</v>
      </c>
      <c r="G893" s="4">
        <f t="shared" si="112"/>
        <v>101000</v>
      </c>
      <c r="H893" s="45" t="e">
        <f t="shared" si="109"/>
        <v>#NUM!</v>
      </c>
      <c r="I893" s="10" t="e">
        <f t="shared" si="110"/>
        <v>#NUM!</v>
      </c>
      <c r="J893" s="4" t="e">
        <f t="shared" si="111"/>
        <v>#NUM!</v>
      </c>
      <c r="K893" s="4" t="e">
        <f t="shared" si="107"/>
        <v>#NUM!</v>
      </c>
      <c r="L893" s="45">
        <f>Pressure!Q893</f>
        <v>3.3101382348423853</v>
      </c>
      <c r="M893" s="10" t="e">
        <f t="shared" si="108"/>
        <v>#NUM!</v>
      </c>
    </row>
    <row r="894" spans="3:13">
      <c r="C894" s="4">
        <f>Pressure!AB894*1000000</f>
        <v>0.27551280323087496</v>
      </c>
      <c r="D894" s="86">
        <f t="shared" si="113"/>
        <v>1.4801552192482141E-4</v>
      </c>
      <c r="E894" s="40">
        <f t="shared" si="114"/>
        <v>148.0155219248214</v>
      </c>
      <c r="G894" s="4">
        <f t="shared" si="112"/>
        <v>101000</v>
      </c>
      <c r="H894" s="45" t="e">
        <f t="shared" si="109"/>
        <v>#NUM!</v>
      </c>
      <c r="I894" s="10" t="e">
        <f t="shared" si="110"/>
        <v>#NUM!</v>
      </c>
      <c r="J894" s="4" t="e">
        <f t="shared" si="111"/>
        <v>#NUM!</v>
      </c>
      <c r="K894" s="4" t="e">
        <f t="shared" si="107"/>
        <v>#NUM!</v>
      </c>
      <c r="L894" s="45">
        <f>Pressure!Q894</f>
        <v>3.3119047717252719</v>
      </c>
      <c r="M894" s="10" t="e">
        <f t="shared" si="108"/>
        <v>#NUM!</v>
      </c>
    </row>
    <row r="895" spans="3:13">
      <c r="C895" s="4">
        <f>Pressure!AB895*1000000</f>
        <v>0.18461252972488287</v>
      </c>
      <c r="D895" s="86">
        <f t="shared" si="113"/>
        <v>1.4801552192482141E-4</v>
      </c>
      <c r="E895" s="40">
        <f t="shared" si="114"/>
        <v>148.0155219248214</v>
      </c>
      <c r="G895" s="4">
        <f t="shared" si="112"/>
        <v>101000</v>
      </c>
      <c r="H895" s="45" t="e">
        <f t="shared" si="109"/>
        <v>#NUM!</v>
      </c>
      <c r="I895" s="10" t="e">
        <f t="shared" si="110"/>
        <v>#NUM!</v>
      </c>
      <c r="J895" s="4" t="e">
        <f t="shared" si="111"/>
        <v>#NUM!</v>
      </c>
      <c r="K895" s="4" t="e">
        <f t="shared" si="107"/>
        <v>#NUM!</v>
      </c>
      <c r="L895" s="45">
        <f>Pressure!Q895</f>
        <v>3.3136713086081584</v>
      </c>
      <c r="M895" s="10" t="e">
        <f t="shared" si="108"/>
        <v>#NUM!</v>
      </c>
    </row>
    <row r="896" spans="3:13">
      <c r="C896" s="4">
        <f>Pressure!AB896*1000000</f>
        <v>0.1237030937646147</v>
      </c>
      <c r="D896" s="86">
        <f t="shared" si="113"/>
        <v>1.4801552192482141E-4</v>
      </c>
      <c r="E896" s="40">
        <f t="shared" si="114"/>
        <v>148.0155219248214</v>
      </c>
      <c r="G896" s="4">
        <f t="shared" si="112"/>
        <v>101000</v>
      </c>
      <c r="H896" s="45" t="e">
        <f t="shared" si="109"/>
        <v>#NUM!</v>
      </c>
      <c r="I896" s="10" t="e">
        <f t="shared" si="110"/>
        <v>#NUM!</v>
      </c>
      <c r="J896" s="4" t="e">
        <f t="shared" si="111"/>
        <v>#NUM!</v>
      </c>
      <c r="K896" s="4" t="e">
        <f t="shared" si="107"/>
        <v>#NUM!</v>
      </c>
      <c r="L896" s="45">
        <f>Pressure!Q896</f>
        <v>3.3154378454910449</v>
      </c>
      <c r="M896" s="10" t="e">
        <f t="shared" si="108"/>
        <v>#NUM!</v>
      </c>
    </row>
    <row r="897" spans="3:13">
      <c r="C897" s="4">
        <f>Pressure!AB897*1000000</f>
        <v>8.28895819245931E-2</v>
      </c>
      <c r="D897" s="86">
        <f t="shared" si="113"/>
        <v>1.4801552192482141E-4</v>
      </c>
      <c r="E897" s="40">
        <f t="shared" si="114"/>
        <v>148.0155219248214</v>
      </c>
      <c r="G897" s="4">
        <f t="shared" si="112"/>
        <v>101000</v>
      </c>
      <c r="H897" s="45" t="e">
        <f t="shared" si="109"/>
        <v>#NUM!</v>
      </c>
      <c r="I897" s="10" t="e">
        <f t="shared" si="110"/>
        <v>#NUM!</v>
      </c>
      <c r="J897" s="4" t="e">
        <f t="shared" si="111"/>
        <v>#NUM!</v>
      </c>
      <c r="K897" s="4" t="e">
        <f t="shared" si="107"/>
        <v>#NUM!</v>
      </c>
      <c r="L897" s="45">
        <f>Pressure!Q897</f>
        <v>3.3172043823739314</v>
      </c>
      <c r="M897" s="10" t="e">
        <f t="shared" si="108"/>
        <v>#NUM!</v>
      </c>
    </row>
    <row r="898" spans="3:13">
      <c r="C898" s="4">
        <f>Pressure!AB898*1000000</f>
        <v>5.5541721573330448E-2</v>
      </c>
      <c r="D898" s="86">
        <f t="shared" si="113"/>
        <v>1.4801552192482141E-4</v>
      </c>
      <c r="E898" s="40">
        <f t="shared" si="114"/>
        <v>148.0155219248214</v>
      </c>
      <c r="G898" s="4">
        <f t="shared" si="112"/>
        <v>101000</v>
      </c>
      <c r="H898" s="45" t="e">
        <f t="shared" si="109"/>
        <v>#NUM!</v>
      </c>
      <c r="I898" s="10" t="e">
        <f t="shared" si="110"/>
        <v>#NUM!</v>
      </c>
      <c r="J898" s="4" t="e">
        <f t="shared" si="111"/>
        <v>#NUM!</v>
      </c>
      <c r="K898" s="4" t="e">
        <f t="shared" si="107"/>
        <v>#NUM!</v>
      </c>
      <c r="L898" s="45">
        <f>Pressure!Q898</f>
        <v>3.318970919256818</v>
      </c>
      <c r="M898" s="10" t="e">
        <f t="shared" si="108"/>
        <v>#NUM!</v>
      </c>
    </row>
    <row r="899" spans="3:13">
      <c r="C899" s="4">
        <f>Pressure!AB899*1000000</f>
        <v>3.7216773974511938E-2</v>
      </c>
      <c r="D899" s="86">
        <f t="shared" si="113"/>
        <v>1.4801552192482141E-4</v>
      </c>
      <c r="E899" s="40">
        <f t="shared" si="114"/>
        <v>148.0155219248214</v>
      </c>
      <c r="G899" s="4">
        <f t="shared" si="112"/>
        <v>101000</v>
      </c>
      <c r="H899" s="45" t="e">
        <f t="shared" si="109"/>
        <v>#NUM!</v>
      </c>
      <c r="I899" s="10" t="e">
        <f t="shared" si="110"/>
        <v>#NUM!</v>
      </c>
      <c r="J899" s="4" t="e">
        <f t="shared" si="111"/>
        <v>#NUM!</v>
      </c>
      <c r="K899" s="4" t="e">
        <f t="shared" si="107"/>
        <v>#NUM!</v>
      </c>
      <c r="L899" s="45">
        <f>Pressure!Q899</f>
        <v>3.3207374561397045</v>
      </c>
      <c r="M899" s="10" t="e">
        <f t="shared" si="108"/>
        <v>#NUM!</v>
      </c>
    </row>
    <row r="900" spans="3:13">
      <c r="C900" s="4">
        <f>Pressure!AB900*1000000</f>
        <v>2.4937798574378119E-2</v>
      </c>
      <c r="D900" s="86">
        <f t="shared" si="113"/>
        <v>1.4801552192482141E-4</v>
      </c>
      <c r="E900" s="40">
        <f t="shared" si="114"/>
        <v>148.0155219248214</v>
      </c>
      <c r="G900" s="4">
        <f t="shared" si="112"/>
        <v>101000</v>
      </c>
      <c r="H900" s="45" t="e">
        <f t="shared" si="109"/>
        <v>#NUM!</v>
      </c>
      <c r="I900" s="10" t="e">
        <f t="shared" si="110"/>
        <v>#NUM!</v>
      </c>
      <c r="J900" s="4" t="e">
        <f t="shared" si="111"/>
        <v>#NUM!</v>
      </c>
      <c r="K900" s="4" t="e">
        <f t="shared" si="107"/>
        <v>#NUM!</v>
      </c>
      <c r="L900" s="45">
        <f>Pressure!Q900</f>
        <v>3.322503993022591</v>
      </c>
      <c r="M900" s="10" t="e">
        <f t="shared" si="108"/>
        <v>#NUM!</v>
      </c>
    </row>
    <row r="901" spans="3:13">
      <c r="C901" s="4">
        <f>Pressure!AB901*1000000</f>
        <v>1.6710040428602461E-2</v>
      </c>
      <c r="D901" s="86">
        <f t="shared" si="113"/>
        <v>1.4801552192482141E-4</v>
      </c>
      <c r="E901" s="40">
        <f t="shared" si="114"/>
        <v>148.0155219248214</v>
      </c>
      <c r="G901" s="4">
        <f t="shared" si="112"/>
        <v>101000</v>
      </c>
      <c r="H901" s="45" t="e">
        <f t="shared" si="109"/>
        <v>#NUM!</v>
      </c>
      <c r="I901" s="10" t="e">
        <f t="shared" si="110"/>
        <v>#NUM!</v>
      </c>
      <c r="J901" s="4" t="e">
        <f t="shared" si="111"/>
        <v>#NUM!</v>
      </c>
      <c r="K901" s="4" t="e">
        <f t="shared" si="107"/>
        <v>#NUM!</v>
      </c>
      <c r="L901" s="45">
        <f>Pressure!Q901</f>
        <v>3.3242705299054776</v>
      </c>
      <c r="M901" s="10" t="e">
        <f t="shared" si="108"/>
        <v>#NUM!</v>
      </c>
    </row>
    <row r="902" spans="3:13">
      <c r="C902" s="4">
        <f>Pressure!AB902*1000000</f>
        <v>1.1196876512284218E-2</v>
      </c>
      <c r="D902" s="86">
        <f t="shared" si="113"/>
        <v>1.4801552192482141E-4</v>
      </c>
      <c r="E902" s="40">
        <f t="shared" si="114"/>
        <v>148.0155219248214</v>
      </c>
      <c r="G902" s="4">
        <f t="shared" si="112"/>
        <v>101000</v>
      </c>
      <c r="H902" s="45" t="e">
        <f t="shared" si="109"/>
        <v>#NUM!</v>
      </c>
      <c r="I902" s="10" t="e">
        <f t="shared" si="110"/>
        <v>#NUM!</v>
      </c>
      <c r="J902" s="4" t="e">
        <f t="shared" si="111"/>
        <v>#NUM!</v>
      </c>
      <c r="K902" s="4" t="e">
        <f t="shared" si="107"/>
        <v>#NUM!</v>
      </c>
      <c r="L902" s="45">
        <f>Pressure!Q902</f>
        <v>3.3260370667883641</v>
      </c>
      <c r="M902" s="10" t="e">
        <f t="shared" si="108"/>
        <v>#NUM!</v>
      </c>
    </row>
    <row r="903" spans="3:13">
      <c r="C903" s="4">
        <f>Pressure!AB903*1000000</f>
        <v>7.5026774571261444E-3</v>
      </c>
      <c r="D903" s="86">
        <f t="shared" si="113"/>
        <v>1.4801552192482141E-4</v>
      </c>
      <c r="E903" s="40">
        <f t="shared" si="114"/>
        <v>148.0155219248214</v>
      </c>
      <c r="G903" s="4">
        <f t="shared" si="112"/>
        <v>101000</v>
      </c>
      <c r="H903" s="45" t="e">
        <f t="shared" si="109"/>
        <v>#NUM!</v>
      </c>
      <c r="I903" s="10" t="e">
        <f t="shared" si="110"/>
        <v>#NUM!</v>
      </c>
      <c r="J903" s="4" t="e">
        <f t="shared" si="111"/>
        <v>#NUM!</v>
      </c>
      <c r="K903" s="4" t="e">
        <f t="shared" si="107"/>
        <v>#NUM!</v>
      </c>
      <c r="L903" s="45">
        <f>Pressure!Q903</f>
        <v>3.3278036036712506</v>
      </c>
      <c r="M903" s="10" t="e">
        <f t="shared" si="108"/>
        <v>#NUM!</v>
      </c>
    </row>
    <row r="904" spans="3:13">
      <c r="C904" s="4">
        <f>Pressure!AB904*1000000</f>
        <v>5.0273099791635877E-3</v>
      </c>
      <c r="D904" s="86">
        <f t="shared" si="113"/>
        <v>1.4801552192482141E-4</v>
      </c>
      <c r="E904" s="40">
        <f t="shared" si="114"/>
        <v>148.0155219248214</v>
      </c>
      <c r="G904" s="4">
        <f t="shared" si="112"/>
        <v>101000</v>
      </c>
      <c r="H904" s="45" t="e">
        <f t="shared" si="109"/>
        <v>#NUM!</v>
      </c>
      <c r="I904" s="10" t="e">
        <f t="shared" si="110"/>
        <v>#NUM!</v>
      </c>
      <c r="J904" s="4" t="e">
        <f t="shared" si="111"/>
        <v>#NUM!</v>
      </c>
      <c r="K904" s="4" t="e">
        <f t="shared" si="107"/>
        <v>#NUM!</v>
      </c>
      <c r="L904" s="45">
        <f>Pressure!Q904</f>
        <v>3.3295701405541371</v>
      </c>
      <c r="M904" s="10" t="e">
        <f t="shared" si="108"/>
        <v>#NUM!</v>
      </c>
    </row>
    <row r="905" spans="3:13">
      <c r="C905" s="4">
        <f>Pressure!AB905*1000000</f>
        <v>3.3686434970748151E-3</v>
      </c>
      <c r="D905" s="86">
        <f t="shared" si="113"/>
        <v>1.4801552192482141E-4</v>
      </c>
      <c r="E905" s="40">
        <f t="shared" si="114"/>
        <v>148.0155219248214</v>
      </c>
      <c r="G905" s="4">
        <f t="shared" si="112"/>
        <v>101000</v>
      </c>
      <c r="H905" s="45" t="e">
        <f t="shared" si="109"/>
        <v>#NUM!</v>
      </c>
      <c r="I905" s="10" t="e">
        <f t="shared" si="110"/>
        <v>#NUM!</v>
      </c>
      <c r="J905" s="4" t="e">
        <f t="shared" si="111"/>
        <v>#NUM!</v>
      </c>
      <c r="K905" s="4" t="e">
        <f t="shared" si="107"/>
        <v>#NUM!</v>
      </c>
      <c r="L905" s="45">
        <f>Pressure!Q905</f>
        <v>3.3313366774370237</v>
      </c>
      <c r="M905" s="10" t="e">
        <f t="shared" si="108"/>
        <v>#NUM!</v>
      </c>
    </row>
    <row r="906" spans="3:13">
      <c r="C906" s="4">
        <f>Pressure!AB906*1000000</f>
        <v>2.2572228602208383E-3</v>
      </c>
      <c r="D906" s="86">
        <f t="shared" si="113"/>
        <v>1.4801552192482141E-4</v>
      </c>
      <c r="E906" s="40">
        <f t="shared" si="114"/>
        <v>148.0155219248214</v>
      </c>
      <c r="G906" s="4">
        <f t="shared" si="112"/>
        <v>101000</v>
      </c>
      <c r="H906" s="45" t="e">
        <f t="shared" si="109"/>
        <v>#NUM!</v>
      </c>
      <c r="I906" s="10" t="e">
        <f t="shared" si="110"/>
        <v>#NUM!</v>
      </c>
      <c r="J906" s="4" t="e">
        <f t="shared" si="111"/>
        <v>#NUM!</v>
      </c>
      <c r="K906" s="4" t="e">
        <f t="shared" si="107"/>
        <v>#NUM!</v>
      </c>
      <c r="L906" s="45">
        <f>Pressure!Q906</f>
        <v>3.3331032143199102</v>
      </c>
      <c r="M906" s="10" t="e">
        <f t="shared" si="108"/>
        <v>#NUM!</v>
      </c>
    </row>
    <row r="907" spans="3:13">
      <c r="C907" s="4">
        <f>Pressure!AB907*1000000</f>
        <v>1.5124945827980575E-3</v>
      </c>
      <c r="D907" s="86">
        <f t="shared" si="113"/>
        <v>1.4801552192482141E-4</v>
      </c>
      <c r="E907" s="40">
        <f t="shared" si="114"/>
        <v>148.0155219248214</v>
      </c>
      <c r="G907" s="4">
        <f t="shared" si="112"/>
        <v>101000</v>
      </c>
      <c r="H907" s="45" t="e">
        <f t="shared" si="109"/>
        <v>#NUM!</v>
      </c>
      <c r="I907" s="10" t="e">
        <f t="shared" si="110"/>
        <v>#NUM!</v>
      </c>
      <c r="J907" s="4" t="e">
        <f t="shared" si="111"/>
        <v>#NUM!</v>
      </c>
      <c r="K907" s="4" t="e">
        <f t="shared" si="107"/>
        <v>#NUM!</v>
      </c>
      <c r="L907" s="45">
        <f>Pressure!Q907</f>
        <v>3.3348697512027967</v>
      </c>
      <c r="M907" s="10" t="e">
        <f t="shared" si="108"/>
        <v>#NUM!</v>
      </c>
    </row>
    <row r="908" spans="3:13">
      <c r="C908" s="4">
        <f>Pressure!AB908*1000000</f>
        <v>1.0134754096764902E-3</v>
      </c>
      <c r="D908" s="86">
        <f t="shared" si="113"/>
        <v>1.4801552192482141E-4</v>
      </c>
      <c r="E908" s="40">
        <f t="shared" si="114"/>
        <v>148.0155219248214</v>
      </c>
      <c r="G908" s="4">
        <f t="shared" si="112"/>
        <v>101000</v>
      </c>
      <c r="H908" s="45" t="e">
        <f t="shared" si="109"/>
        <v>#NUM!</v>
      </c>
      <c r="I908" s="10" t="e">
        <f t="shared" si="110"/>
        <v>#NUM!</v>
      </c>
      <c r="J908" s="4" t="e">
        <f t="shared" si="111"/>
        <v>#NUM!</v>
      </c>
      <c r="K908" s="4" t="e">
        <f t="shared" si="107"/>
        <v>#NUM!</v>
      </c>
      <c r="L908" s="45">
        <f>Pressure!Q908</f>
        <v>3.3366362880856832</v>
      </c>
      <c r="M908" s="10" t="e">
        <f t="shared" si="108"/>
        <v>#NUM!</v>
      </c>
    </row>
    <row r="909" spans="3:13">
      <c r="C909" s="4">
        <f>Pressure!AB909*1000000</f>
        <v>6.790982379049459E-4</v>
      </c>
      <c r="D909" s="86">
        <f t="shared" si="113"/>
        <v>1.4801552192482141E-4</v>
      </c>
      <c r="E909" s="40">
        <f t="shared" si="114"/>
        <v>148.0155219248214</v>
      </c>
      <c r="G909" s="4">
        <f t="shared" si="112"/>
        <v>101000</v>
      </c>
      <c r="H909" s="45" t="e">
        <f t="shared" si="109"/>
        <v>#NUM!</v>
      </c>
      <c r="I909" s="10" t="e">
        <f t="shared" si="110"/>
        <v>#NUM!</v>
      </c>
      <c r="J909" s="4" t="e">
        <f t="shared" si="111"/>
        <v>#NUM!</v>
      </c>
      <c r="K909" s="4" t="e">
        <f t="shared" si="107"/>
        <v>#NUM!</v>
      </c>
      <c r="L909" s="45">
        <f>Pressure!Q909</f>
        <v>3.3384028249685698</v>
      </c>
      <c r="M909" s="10" t="e">
        <f t="shared" si="108"/>
        <v>#NUM!</v>
      </c>
    </row>
    <row r="910" spans="3:13">
      <c r="C910" s="4">
        <f>Pressure!AB910*1000000</f>
        <v>0</v>
      </c>
      <c r="D910" s="86">
        <f t="shared" si="113"/>
        <v>1.4801552192482141E-4</v>
      </c>
      <c r="E910" s="40">
        <f t="shared" si="114"/>
        <v>148.0155219248214</v>
      </c>
      <c r="G910" s="4">
        <f t="shared" si="112"/>
        <v>101000</v>
      </c>
      <c r="H910" s="45">
        <v>1</v>
      </c>
      <c r="I910" s="62" t="e">
        <f>I909</f>
        <v>#NUM!</v>
      </c>
      <c r="J910" s="4" t="e">
        <f t="shared" si="111"/>
        <v>#NUM!</v>
      </c>
      <c r="K910" s="4" t="e">
        <f t="shared" si="107"/>
        <v>#NUM!</v>
      </c>
      <c r="L910" s="45">
        <f>Pressure!Q910</f>
        <v>3.3401693618514563</v>
      </c>
      <c r="M910" s="10" t="e">
        <f t="shared" si="108"/>
        <v>#NUM!</v>
      </c>
    </row>
    <row r="911" spans="3:13">
      <c r="L911" s="63" t="e">
        <f>SUM(M28:M910)</f>
        <v>#NUM!</v>
      </c>
    </row>
  </sheetData>
  <sheetProtection password="C7BC" sheet="1"/>
  <customSheetViews>
    <customSheetView guid="{136183A0-5E83-4B15-A2A6-F3C23DCC406A}" showGridLines="0" printArea="1">
      <selection activeCell="C11" sqref="C11"/>
      <pageMargins left="0.75" right="0.75" top="1" bottom="1" header="0.5" footer="0.5"/>
      <pageSetup orientation="landscape" r:id="rId1"/>
      <headerFooter alignWithMargins="0"/>
    </customSheetView>
  </customSheetViews>
  <phoneticPr fontId="0" type="noConversion"/>
  <pageMargins left="0.75" right="0.75" top="1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Pict="0" macro="[0]!Macro4">
                <anchor moveWithCells="1" sizeWithCells="1">
                  <from>
                    <xdr:col>4</xdr:col>
                    <xdr:colOff>285750</xdr:colOff>
                    <xdr:row>20</xdr:row>
                    <xdr:rowOff>0</xdr:rowOff>
                  </from>
                  <to>
                    <xdr:col>5</xdr:col>
                    <xdr:colOff>723900</xdr:colOff>
                    <xdr:row>22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8" tint="0.39997558519241921"/>
  </sheetPr>
  <dimension ref="B2:AB29"/>
  <sheetViews>
    <sheetView showGridLines="0" zoomScaleNormal="100" workbookViewId="0">
      <selection activeCell="C5" sqref="C5"/>
    </sheetView>
  </sheetViews>
  <sheetFormatPr defaultColWidth="8.85546875" defaultRowHeight="12.75"/>
  <cols>
    <col min="1" max="1" width="5.7109375" style="352" customWidth="1"/>
    <col min="2" max="4" width="8.85546875" style="352" customWidth="1"/>
    <col min="5" max="5" width="26.28515625" style="352" customWidth="1"/>
    <col min="6" max="6" width="21.42578125" style="352" customWidth="1"/>
    <col min="7" max="16384" width="8.85546875" style="352"/>
  </cols>
  <sheetData>
    <row r="2" spans="2:28">
      <c r="B2" s="353" t="s">
        <v>501</v>
      </c>
      <c r="Y2" s="354"/>
    </row>
    <row r="4" spans="2:28">
      <c r="Y4" s="354"/>
      <c r="AB4" s="355"/>
    </row>
    <row r="5" spans="2:28">
      <c r="B5" s="356" t="s">
        <v>507</v>
      </c>
      <c r="C5" s="351">
        <v>35</v>
      </c>
      <c r="D5" s="354" t="s">
        <v>508</v>
      </c>
      <c r="E5" s="354" t="s">
        <v>510</v>
      </c>
      <c r="F5" s="391"/>
      <c r="G5" s="367"/>
      <c r="H5" s="355"/>
    </row>
    <row r="6" spans="2:28">
      <c r="B6" s="356" t="s">
        <v>506</v>
      </c>
      <c r="C6" s="351">
        <v>12</v>
      </c>
      <c r="D6" s="354" t="s">
        <v>508</v>
      </c>
      <c r="E6" s="354" t="s">
        <v>509</v>
      </c>
      <c r="F6" s="391"/>
      <c r="G6" s="367"/>
      <c r="Y6" s="356"/>
      <c r="AA6" s="355"/>
    </row>
    <row r="7" spans="2:28">
      <c r="B7" s="356"/>
      <c r="C7" s="390"/>
      <c r="D7" s="354"/>
      <c r="E7" s="354"/>
      <c r="F7" s="391"/>
      <c r="G7" s="367"/>
      <c r="Y7" s="356"/>
      <c r="AA7" s="355"/>
    </row>
    <row r="8" spans="2:28">
      <c r="F8" s="392" t="s">
        <v>518</v>
      </c>
      <c r="G8" s="367"/>
      <c r="Y8" s="356"/>
    </row>
    <row r="9" spans="2:28">
      <c r="B9" s="356" t="s">
        <v>0</v>
      </c>
      <c r="C9" s="352">
        <f>dc</f>
        <v>48.4</v>
      </c>
      <c r="D9" s="354" t="s">
        <v>2</v>
      </c>
      <c r="E9" s="354" t="s">
        <v>502</v>
      </c>
      <c r="F9" s="393" t="s">
        <v>310</v>
      </c>
      <c r="G9" s="367"/>
      <c r="X9" s="357"/>
      <c r="Y9" s="358">
        <f>C6/180*PI()</f>
        <v>0.20943951023931953</v>
      </c>
      <c r="Z9" s="359" t="s">
        <v>506</v>
      </c>
      <c r="AA9" s="360"/>
      <c r="AB9" s="361"/>
    </row>
    <row r="10" spans="2:28">
      <c r="B10" s="356" t="s">
        <v>516</v>
      </c>
      <c r="C10" s="362">
        <f>dto</f>
        <v>13.728044862590489</v>
      </c>
      <c r="D10" s="354" t="s">
        <v>2</v>
      </c>
      <c r="E10" s="354" t="s">
        <v>503</v>
      </c>
      <c r="F10" s="393" t="s">
        <v>310</v>
      </c>
      <c r="G10" s="367"/>
      <c r="X10" s="363"/>
      <c r="Y10" s="364">
        <f>C5/180*PI()</f>
        <v>0.6108652381980153</v>
      </c>
      <c r="Z10" s="365" t="s">
        <v>507</v>
      </c>
      <c r="AA10" s="366"/>
      <c r="AB10" s="361"/>
    </row>
    <row r="11" spans="2:28">
      <c r="B11" s="355" t="s">
        <v>203</v>
      </c>
      <c r="C11" s="362">
        <f>Performance!C11</f>
        <v>38.828774459083519</v>
      </c>
      <c r="D11" s="354" t="s">
        <v>2</v>
      </c>
      <c r="E11" s="354" t="s">
        <v>204</v>
      </c>
      <c r="F11" s="393" t="s">
        <v>307</v>
      </c>
      <c r="G11" s="367"/>
      <c r="X11" s="363"/>
      <c r="Y11" s="367"/>
      <c r="Z11" s="367"/>
      <c r="AA11" s="366"/>
      <c r="AB11" s="361"/>
    </row>
    <row r="12" spans="2:28">
      <c r="B12" s="356" t="s">
        <v>504</v>
      </c>
      <c r="C12" s="362" t="e">
        <f>SQRT(Performance!C13)*C10</f>
        <v>#DIV/0!</v>
      </c>
      <c r="D12" s="354" t="s">
        <v>2</v>
      </c>
      <c r="E12" s="354" t="s">
        <v>505</v>
      </c>
      <c r="F12" s="393" t="s">
        <v>307</v>
      </c>
      <c r="G12" s="367"/>
      <c r="X12" s="363"/>
      <c r="Y12" s="368" t="s">
        <v>511</v>
      </c>
      <c r="Z12" s="368"/>
      <c r="AA12" s="366"/>
      <c r="AB12" s="361"/>
    </row>
    <row r="13" spans="2:28">
      <c r="B13" s="355"/>
      <c r="F13" s="367"/>
      <c r="G13" s="367"/>
      <c r="X13" s="369" t="s">
        <v>496</v>
      </c>
      <c r="Y13" s="370" t="s">
        <v>497</v>
      </c>
      <c r="Z13" s="370" t="s">
        <v>498</v>
      </c>
      <c r="AA13" s="371" t="s">
        <v>499</v>
      </c>
      <c r="AB13" s="372"/>
    </row>
    <row r="14" spans="2:28">
      <c r="B14" s="394" t="s">
        <v>1</v>
      </c>
      <c r="C14" s="395">
        <f>(dcplot-C10)/2/TAN(beta)</f>
        <v>24.758341809671709</v>
      </c>
      <c r="D14" s="354" t="s">
        <v>2</v>
      </c>
      <c r="E14" s="396" t="s">
        <v>513</v>
      </c>
      <c r="F14" s="367"/>
      <c r="G14" s="367"/>
      <c r="X14" s="363">
        <v>1</v>
      </c>
      <c r="Y14" s="368">
        <v>0</v>
      </c>
      <c r="Z14" s="373">
        <f>dcplot/2</f>
        <v>24.2</v>
      </c>
      <c r="AA14" s="374">
        <f>-Z14</f>
        <v>-24.2</v>
      </c>
      <c r="AB14" s="361"/>
    </row>
    <row r="15" spans="2:28">
      <c r="B15" s="394" t="s">
        <v>512</v>
      </c>
      <c r="C15" s="395">
        <f>(C11-C10)/2/TAN(alpha)</f>
        <v>59.04482411476905</v>
      </c>
      <c r="D15" s="354" t="s">
        <v>2</v>
      </c>
      <c r="E15" s="396" t="s">
        <v>514</v>
      </c>
      <c r="X15" s="363">
        <v>2</v>
      </c>
      <c r="Y15" s="373">
        <f>(C9-C10)/2/TAN(beta)</f>
        <v>24.758341809671709</v>
      </c>
      <c r="Z15" s="373">
        <f>C10/2</f>
        <v>6.8640224312952443</v>
      </c>
      <c r="AA15" s="374">
        <f>-Z15</f>
        <v>-6.8640224312952443</v>
      </c>
      <c r="AB15" s="361"/>
    </row>
    <row r="16" spans="2:28">
      <c r="B16" s="394" t="s">
        <v>8</v>
      </c>
      <c r="C16" s="395">
        <f>C15+C14</f>
        <v>83.803165924440762</v>
      </c>
      <c r="D16" s="354" t="s">
        <v>2</v>
      </c>
      <c r="E16" s="396" t="s">
        <v>515</v>
      </c>
      <c r="X16" s="363">
        <v>3</v>
      </c>
      <c r="Y16" s="373">
        <f>((C11-C10)/2/TAN(alpha)+Y15)</f>
        <v>83.803165924440762</v>
      </c>
      <c r="Z16" s="373">
        <f>C11/2</f>
        <v>19.414387229541759</v>
      </c>
      <c r="AA16" s="374">
        <f>-Z16</f>
        <v>-19.414387229541759</v>
      </c>
      <c r="AB16" s="361"/>
    </row>
    <row r="17" spans="2:28">
      <c r="B17" s="355"/>
      <c r="X17" s="363">
        <v>4</v>
      </c>
      <c r="Y17" s="373" t="e">
        <f>((C12-C10)/2/TAN(alpha)+Y15)</f>
        <v>#DIV/0!</v>
      </c>
      <c r="Z17" s="373" t="e">
        <f>C12/2</f>
        <v>#DIV/0!</v>
      </c>
      <c r="AA17" s="374" t="e">
        <f>-Z17</f>
        <v>#DIV/0!</v>
      </c>
      <c r="AB17" s="361"/>
    </row>
    <row r="18" spans="2:28">
      <c r="X18" s="363"/>
      <c r="Y18" s="373"/>
      <c r="Z18" s="373"/>
      <c r="AA18" s="366"/>
      <c r="AB18" s="361"/>
    </row>
    <row r="19" spans="2:28">
      <c r="B19" s="355"/>
      <c r="X19" s="363"/>
      <c r="Y19" s="373"/>
      <c r="Z19" s="373"/>
      <c r="AA19" s="366"/>
      <c r="AB19" s="361"/>
    </row>
    <row r="20" spans="2:28">
      <c r="B20" s="355"/>
      <c r="X20" s="363">
        <v>1</v>
      </c>
      <c r="Y20" s="373">
        <f t="shared" ref="Y20:AA23" si="0">Y14/dcplot</f>
        <v>0</v>
      </c>
      <c r="Z20" s="373">
        <f t="shared" si="0"/>
        <v>0.5</v>
      </c>
      <c r="AA20" s="374">
        <f t="shared" si="0"/>
        <v>-0.5</v>
      </c>
      <c r="AB20" s="361"/>
    </row>
    <row r="21" spans="2:28">
      <c r="B21" s="355"/>
      <c r="X21" s="363">
        <v>2</v>
      </c>
      <c r="Y21" s="373">
        <f t="shared" si="0"/>
        <v>0.51153598780313447</v>
      </c>
      <c r="Z21" s="373">
        <f t="shared" si="0"/>
        <v>0.14181864527469512</v>
      </c>
      <c r="AA21" s="374">
        <f t="shared" si="0"/>
        <v>-0.14181864527469512</v>
      </c>
      <c r="AB21" s="361"/>
    </row>
    <row r="22" spans="2:28">
      <c r="B22" s="355"/>
      <c r="X22" s="363">
        <v>3</v>
      </c>
      <c r="Y22" s="373">
        <f t="shared" si="0"/>
        <v>1.7314703703396852</v>
      </c>
      <c r="Z22" s="373">
        <f t="shared" si="0"/>
        <v>0.4011237030897058</v>
      </c>
      <c r="AA22" s="374">
        <f t="shared" si="0"/>
        <v>-0.4011237030897058</v>
      </c>
      <c r="AB22" s="361"/>
    </row>
    <row r="23" spans="2:28">
      <c r="B23" s="355"/>
      <c r="X23" s="363">
        <v>4</v>
      </c>
      <c r="Y23" s="373" t="e">
        <f t="shared" si="0"/>
        <v>#DIV/0!</v>
      </c>
      <c r="Z23" s="373" t="e">
        <f t="shared" si="0"/>
        <v>#DIV/0!</v>
      </c>
      <c r="AA23" s="374" t="e">
        <f t="shared" si="0"/>
        <v>#DIV/0!</v>
      </c>
      <c r="AB23" s="361"/>
    </row>
    <row r="24" spans="2:28">
      <c r="B24" s="355"/>
      <c r="X24" s="363"/>
      <c r="Y24" s="373">
        <f>Y22</f>
        <v>1.7314703703396852</v>
      </c>
      <c r="Z24" s="373">
        <f>Z22</f>
        <v>0.4011237030897058</v>
      </c>
      <c r="AA24" s="366"/>
      <c r="AB24" s="361"/>
    </row>
    <row r="25" spans="2:28">
      <c r="B25" s="355"/>
      <c r="X25" s="363"/>
      <c r="Y25" s="373">
        <f>Y22</f>
        <v>1.7314703703396852</v>
      </c>
      <c r="Z25" s="373">
        <f>-Z22</f>
        <v>-0.4011237030897058</v>
      </c>
      <c r="AA25" s="366"/>
      <c r="AB25" s="361"/>
    </row>
    <row r="26" spans="2:28">
      <c r="X26" s="363"/>
      <c r="Y26" s="373" t="e">
        <f>Y23</f>
        <v>#DIV/0!</v>
      </c>
      <c r="Z26" s="373" t="e">
        <f>Z23</f>
        <v>#DIV/0!</v>
      </c>
      <c r="AA26" s="366"/>
      <c r="AB26" s="361"/>
    </row>
    <row r="27" spans="2:28">
      <c r="X27" s="363"/>
      <c r="Y27" s="373" t="e">
        <f>Y23</f>
        <v>#DIV/0!</v>
      </c>
      <c r="Z27" s="373" t="e">
        <f>-Z23</f>
        <v>#DIV/0!</v>
      </c>
      <c r="AA27" s="366"/>
      <c r="AB27" s="361"/>
    </row>
    <row r="28" spans="2:28">
      <c r="X28" s="363"/>
      <c r="Y28" s="373">
        <f>Y24</f>
        <v>1.7314703703396852</v>
      </c>
      <c r="Z28" s="368">
        <v>1</v>
      </c>
      <c r="AA28" s="366"/>
      <c r="AB28" s="361"/>
    </row>
    <row r="29" spans="2:28">
      <c r="X29" s="375"/>
      <c r="Y29" s="376">
        <f>Y25</f>
        <v>1.7314703703396852</v>
      </c>
      <c r="Z29" s="377">
        <v>-1</v>
      </c>
      <c r="AA29" s="378"/>
      <c r="AB29" s="361"/>
    </row>
  </sheetData>
  <sheetProtection password="C7BC" sheet="1" objects="1" scenarios="1"/>
  <phoneticPr fontId="0" type="noConversion"/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8" tint="0.39997558519241921"/>
    <pageSetUpPr autoPageBreaks="0"/>
  </sheetPr>
  <dimension ref="B2:N53"/>
  <sheetViews>
    <sheetView showGridLines="0" zoomScale="110" zoomScaleNormal="110" workbookViewId="0">
      <selection activeCell="I10" sqref="I10"/>
    </sheetView>
  </sheetViews>
  <sheetFormatPr defaultRowHeight="12.75"/>
  <cols>
    <col min="1" max="1" width="2.28515625" customWidth="1"/>
  </cols>
  <sheetData>
    <row r="2" spans="2:5">
      <c r="B2" s="82" t="s">
        <v>333</v>
      </c>
    </row>
    <row r="4" spans="2:5">
      <c r="B4" s="207" t="s">
        <v>335</v>
      </c>
    </row>
    <row r="5" spans="2:5">
      <c r="B5" s="207" t="s">
        <v>334</v>
      </c>
    </row>
    <row r="6" spans="2:5">
      <c r="B6" s="207"/>
    </row>
    <row r="7" spans="2:5">
      <c r="B7" s="209" t="str">
        <f>'Data and Kn'!C6</f>
        <v>Example Rocket Motor (L-Class)</v>
      </c>
      <c r="C7" s="210"/>
      <c r="D7" s="208"/>
      <c r="E7" s="176"/>
    </row>
    <row r="8" spans="2:5">
      <c r="B8" s="211" t="str">
        <f>'Data and Kn'!C7</f>
        <v>utilizing KNDX propellant.</v>
      </c>
      <c r="C8" s="212"/>
      <c r="D8" s="183"/>
      <c r="E8" s="180"/>
    </row>
    <row r="9" spans="2:5">
      <c r="B9" s="173"/>
      <c r="C9" s="174" t="s">
        <v>336</v>
      </c>
      <c r="D9" s="175">
        <f>mgrain</f>
        <v>0.3672703072742583</v>
      </c>
      <c r="E9" s="176" t="s">
        <v>28</v>
      </c>
    </row>
    <row r="10" spans="2:5">
      <c r="B10" s="177"/>
      <c r="C10" s="178"/>
      <c r="D10" s="179">
        <f>D9/0.4536</f>
        <v>0.80967880792384983</v>
      </c>
      <c r="E10" s="180" t="s">
        <v>338</v>
      </c>
    </row>
    <row r="11" spans="2:5">
      <c r="B11" s="173"/>
      <c r="C11" s="174" t="s">
        <v>176</v>
      </c>
      <c r="D11" s="181" t="e">
        <f>itot</f>
        <v>#NUM!</v>
      </c>
      <c r="E11" s="176" t="s">
        <v>174</v>
      </c>
    </row>
    <row r="12" spans="2:5">
      <c r="B12" s="177"/>
      <c r="C12" s="178"/>
      <c r="D12" s="182" t="e">
        <f>D11/4.448</f>
        <v>#NUM!</v>
      </c>
      <c r="E12" s="180" t="s">
        <v>339</v>
      </c>
    </row>
    <row r="13" spans="2:5">
      <c r="B13" s="173"/>
      <c r="C13" s="174" t="s">
        <v>340</v>
      </c>
      <c r="D13" s="181" t="e">
        <f>Performance!K22</f>
        <v>#NUM!</v>
      </c>
      <c r="E13" s="176" t="s">
        <v>168</v>
      </c>
    </row>
    <row r="14" spans="2:5">
      <c r="B14" s="177"/>
      <c r="C14" s="183"/>
      <c r="D14" s="182" t="e">
        <f>Performance!P22</f>
        <v>#NUM!</v>
      </c>
      <c r="E14" s="180" t="s">
        <v>338</v>
      </c>
    </row>
    <row r="15" spans="2:5">
      <c r="B15" s="184"/>
      <c r="C15" s="185" t="s">
        <v>341</v>
      </c>
      <c r="D15" s="186">
        <f>Performance!K23</f>
        <v>3.3384028249685698</v>
      </c>
      <c r="E15" s="187" t="s">
        <v>169</v>
      </c>
    </row>
    <row r="16" spans="2:5">
      <c r="B16" s="184"/>
      <c r="C16" s="185" t="s">
        <v>337</v>
      </c>
      <c r="D16" s="188" t="e">
        <f>Performance!C18</f>
        <v>#NUM!</v>
      </c>
      <c r="E16" s="187" t="s">
        <v>169</v>
      </c>
    </row>
    <row r="17" spans="2:14">
      <c r="B17" s="184"/>
      <c r="C17" s="185" t="s">
        <v>353</v>
      </c>
      <c r="D17" s="213" t="e">
        <f>Performance!C19</f>
        <v>#NUM!</v>
      </c>
      <c r="E17" s="214" t="e">
        <f>Performance!K22</f>
        <v>#NUM!</v>
      </c>
    </row>
    <row r="19" spans="2:14">
      <c r="B19" s="430" t="s">
        <v>350</v>
      </c>
      <c r="C19" s="431"/>
      <c r="D19" s="431"/>
      <c r="E19" s="432"/>
    </row>
    <row r="20" spans="2:14">
      <c r="B20" s="201" t="s">
        <v>349</v>
      </c>
      <c r="C20" s="202">
        <f>N47</f>
        <v>0.16111678882399283</v>
      </c>
      <c r="D20" s="43" t="s">
        <v>348</v>
      </c>
      <c r="E20" s="203"/>
    </row>
    <row r="21" spans="2:14">
      <c r="B21" s="204"/>
      <c r="C21" s="205"/>
      <c r="D21" s="205"/>
      <c r="E21" s="206"/>
    </row>
    <row r="22" spans="2:14">
      <c r="B22" s="189" t="s">
        <v>342</v>
      </c>
      <c r="C22" s="191" t="s">
        <v>343</v>
      </c>
      <c r="D22" s="193" t="s">
        <v>345</v>
      </c>
      <c r="E22" s="195" t="s">
        <v>345</v>
      </c>
    </row>
    <row r="23" spans="2:14">
      <c r="B23" s="190"/>
      <c r="C23" s="192" t="s">
        <v>344</v>
      </c>
      <c r="D23" s="194" t="s">
        <v>346</v>
      </c>
      <c r="E23" s="196" t="s">
        <v>347</v>
      </c>
    </row>
    <row r="24" spans="2:14">
      <c r="B24" s="197">
        <v>1</v>
      </c>
      <c r="C24" s="198">
        <f>Performance!L28</f>
        <v>0</v>
      </c>
      <c r="D24" s="199">
        <f>Performance!J28</f>
        <v>0</v>
      </c>
      <c r="E24" s="200">
        <f>Performance!K28</f>
        <v>0</v>
      </c>
      <c r="H24" s="45"/>
    </row>
    <row r="25" spans="2:14">
      <c r="B25" s="197">
        <f>B24+1</f>
        <v>2</v>
      </c>
      <c r="C25" s="198">
        <f>Performance!L70</f>
        <v>0.19736587565584399</v>
      </c>
      <c r="D25" s="199">
        <f>Performance!J70</f>
        <v>0</v>
      </c>
      <c r="E25" s="200">
        <f>Performance!K70</f>
        <v>0</v>
      </c>
      <c r="N25" s="346">
        <f t="shared" ref="N25:N46" si="0">C25-C24</f>
        <v>0.19736587565584399</v>
      </c>
    </row>
    <row r="26" spans="2:14">
      <c r="B26" s="197">
        <f t="shared" ref="B26:B45" si="1">B25+1</f>
        <v>3</v>
      </c>
      <c r="C26" s="198">
        <f>Performance!L71</f>
        <v>0.20475582511435814</v>
      </c>
      <c r="D26" s="199">
        <f>Performance!J71</f>
        <v>991.51450263055676</v>
      </c>
      <c r="E26" s="200">
        <f>Performance!K71</f>
        <v>222.90241055495633</v>
      </c>
      <c r="N26" s="346">
        <f t="shared" si="0"/>
        <v>7.3899494585141501E-3</v>
      </c>
    </row>
    <row r="27" spans="2:14">
      <c r="B27" s="197">
        <f t="shared" si="1"/>
        <v>4</v>
      </c>
      <c r="C27" s="198">
        <f>Performance!L112</f>
        <v>0.39054801711148535</v>
      </c>
      <c r="D27" s="199">
        <f>Performance!J112</f>
        <v>174.68211717237983</v>
      </c>
      <c r="E27" s="200">
        <f>Performance!K112</f>
        <v>39.270292966229</v>
      </c>
      <c r="N27" s="347">
        <f t="shared" si="0"/>
        <v>0.18579219199712721</v>
      </c>
    </row>
    <row r="28" spans="2:14">
      <c r="B28" s="197">
        <f t="shared" si="1"/>
        <v>5</v>
      </c>
      <c r="C28" s="198">
        <f>Performance!L154</f>
        <v>0.52039686901546878</v>
      </c>
      <c r="D28" s="199">
        <f>Performance!J154</f>
        <v>272.49175788957416</v>
      </c>
      <c r="E28" s="200">
        <f>Performance!K154</f>
        <v>61.258881770058487</v>
      </c>
      <c r="N28" s="347">
        <f t="shared" si="0"/>
        <v>0.12984885190398343</v>
      </c>
    </row>
    <row r="29" spans="2:14">
      <c r="B29" s="197">
        <f t="shared" si="1"/>
        <v>6</v>
      </c>
      <c r="C29" s="198">
        <f>Performance!L196</f>
        <v>0.64951994983333528</v>
      </c>
      <c r="D29" s="199">
        <f>Performance!J196</f>
        <v>274.01665608272407</v>
      </c>
      <c r="E29" s="200">
        <f>Performance!K196</f>
        <v>61.601694187024883</v>
      </c>
      <c r="N29" s="347">
        <f t="shared" si="0"/>
        <v>0.1291230808178665</v>
      </c>
    </row>
    <row r="30" spans="2:14">
      <c r="B30" s="197">
        <f t="shared" si="1"/>
        <v>7</v>
      </c>
      <c r="C30" s="198">
        <f>Performance!L238</f>
        <v>0.77865720887809753</v>
      </c>
      <c r="D30" s="199">
        <f>Performance!J238</f>
        <v>272.19531612842451</v>
      </c>
      <c r="E30" s="200">
        <f>Performance!K238</f>
        <v>61.192238687204828</v>
      </c>
      <c r="N30" s="347">
        <f t="shared" si="0"/>
        <v>0.12913725904476225</v>
      </c>
    </row>
    <row r="31" spans="2:14">
      <c r="B31" s="197">
        <f t="shared" si="1"/>
        <v>8</v>
      </c>
      <c r="C31" s="198">
        <f>Performance!L280</f>
        <v>0.90824853448944376</v>
      </c>
      <c r="D31" s="199">
        <f>Performance!J280</f>
        <v>267.05201212723392</v>
      </c>
      <c r="E31" s="200">
        <f>Performance!K280</f>
        <v>60.035972332007084</v>
      </c>
      <c r="N31" s="347">
        <f t="shared" si="0"/>
        <v>0.12959132561134623</v>
      </c>
    </row>
    <row r="32" spans="2:14">
      <c r="B32" s="197">
        <f t="shared" si="1"/>
        <v>9</v>
      </c>
      <c r="C32" s="198">
        <f>Performance!L322</f>
        <v>1.0387484603854018</v>
      </c>
      <c r="D32" s="199">
        <f>Performance!J322</f>
        <v>258.65751351178756</v>
      </c>
      <c r="E32" s="200">
        <f>Performance!K322</f>
        <v>58.148804800096123</v>
      </c>
      <c r="N32" s="347">
        <f t="shared" si="0"/>
        <v>0.13049992589595805</v>
      </c>
    </row>
    <row r="33" spans="2:14">
      <c r="B33" s="197">
        <f t="shared" si="1"/>
        <v>10</v>
      </c>
      <c r="C33" s="198">
        <f>Performance!L364</f>
        <v>1.1706415716608354</v>
      </c>
      <c r="D33" s="199">
        <f>Performance!J364</f>
        <v>247.13064697537104</v>
      </c>
      <c r="E33" s="200">
        <f>Performance!K364</f>
        <v>55.557449524610192</v>
      </c>
      <c r="N33" s="347">
        <f t="shared" si="0"/>
        <v>0.13189311127543357</v>
      </c>
    </row>
    <row r="34" spans="2:14">
      <c r="B34" s="197">
        <f t="shared" si="1"/>
        <v>11</v>
      </c>
      <c r="C34" s="198">
        <f>Performance!L406</f>
        <v>1.3044607072467307</v>
      </c>
      <c r="D34" s="199">
        <f>Performance!J406</f>
        <v>232.6409771578623</v>
      </c>
      <c r="E34" s="200">
        <f>Performance!K406</f>
        <v>52.300026338263187</v>
      </c>
      <c r="N34" s="347">
        <f t="shared" si="0"/>
        <v>0.13381913558589531</v>
      </c>
    </row>
    <row r="35" spans="2:14">
      <c r="B35" s="197">
        <f t="shared" si="1"/>
        <v>12</v>
      </c>
      <c r="C35" s="198">
        <f>Performance!L448</f>
        <v>1.440809968075994</v>
      </c>
      <c r="D35" s="199">
        <f>Performance!J448</f>
        <v>215.41279659912905</v>
      </c>
      <c r="E35" s="200">
        <f>Performance!K448</f>
        <v>48.426958454909638</v>
      </c>
      <c r="N35" s="347">
        <f t="shared" si="0"/>
        <v>0.13634926082926335</v>
      </c>
    </row>
    <row r="36" spans="2:14">
      <c r="B36" s="197">
        <f t="shared" si="1"/>
        <v>13</v>
      </c>
      <c r="C36" s="198">
        <f>Performance!L490</f>
        <v>1.5803955174395223</v>
      </c>
      <c r="D36" s="199">
        <f>Performance!J490</f>
        <v>195.7307287302589</v>
      </c>
      <c r="E36" s="200">
        <f>Performance!K490</f>
        <v>44.002232078202177</v>
      </c>
      <c r="N36" s="347">
        <f t="shared" si="0"/>
        <v>0.13958554936352829</v>
      </c>
    </row>
    <row r="37" spans="2:14">
      <c r="B37" s="197">
        <f t="shared" si="1"/>
        <v>14</v>
      </c>
      <c r="C37" s="198">
        <f>Performance!L532</f>
        <v>1.7240689359795396</v>
      </c>
      <c r="D37" s="199">
        <f>Performance!J532</f>
        <v>173.94740865347111</v>
      </c>
      <c r="E37" s="200">
        <f>Performance!K532</f>
        <v>39.105123117996293</v>
      </c>
      <c r="N37" s="347">
        <f t="shared" si="0"/>
        <v>0.14367341854001725</v>
      </c>
    </row>
    <row r="38" spans="2:14">
      <c r="B38" s="197">
        <f t="shared" si="1"/>
        <v>15</v>
      </c>
      <c r="C38" s="198">
        <f>Performance!L574</f>
        <v>1.8728911773297494</v>
      </c>
      <c r="D38" s="199">
        <f>Performance!J574</f>
        <v>150.49394181537997</v>
      </c>
      <c r="E38" s="200">
        <f>Performance!K574</f>
        <v>33.832548405058219</v>
      </c>
      <c r="N38" s="347">
        <f t="shared" si="0"/>
        <v>0.14882224135020983</v>
      </c>
    </row>
    <row r="39" spans="2:14">
      <c r="B39" s="197">
        <f t="shared" si="1"/>
        <v>16</v>
      </c>
      <c r="C39" s="198">
        <f>Performance!L616</f>
        <v>2.0282314821101859</v>
      </c>
      <c r="D39" s="199">
        <f>Performance!J616</f>
        <v>125.89418031871575</v>
      </c>
      <c r="E39" s="200">
        <f>Performance!K616</f>
        <v>28.302275149209962</v>
      </c>
      <c r="N39" s="347">
        <f t="shared" si="0"/>
        <v>0.15534030478043648</v>
      </c>
    </row>
    <row r="40" spans="2:14">
      <c r="B40" s="197">
        <f t="shared" si="1"/>
        <v>17</v>
      </c>
      <c r="C40" s="198">
        <f>Performance!L658</f>
        <v>2.191928393343999</v>
      </c>
      <c r="D40" s="199">
        <f>Performance!J658</f>
        <v>100.78429318623361</v>
      </c>
      <c r="E40" s="200">
        <f>Performance!K658</f>
        <v>22.657320531053823</v>
      </c>
      <c r="N40" s="347">
        <f t="shared" si="0"/>
        <v>0.16369691123381314</v>
      </c>
    </row>
    <row r="41" spans="2:14">
      <c r="B41" s="197">
        <f t="shared" si="1"/>
        <v>18</v>
      </c>
      <c r="C41" s="198">
        <f>Performance!L700</f>
        <v>2.3665676088644236</v>
      </c>
      <c r="D41" s="199">
        <f>Performance!J700</f>
        <v>75.93937005640089</v>
      </c>
      <c r="E41" s="200">
        <f>Performance!K700</f>
        <v>17.071932479744817</v>
      </c>
      <c r="N41" s="347">
        <f t="shared" si="0"/>
        <v>0.17463921552042461</v>
      </c>
    </row>
    <row r="42" spans="2:14">
      <c r="B42" s="197">
        <f t="shared" si="1"/>
        <v>19</v>
      </c>
      <c r="C42" s="198">
        <f>Performance!L742</f>
        <v>2.5559954384699899</v>
      </c>
      <c r="D42" s="199">
        <f>Performance!J742</f>
        <v>52.307113496273459</v>
      </c>
      <c r="E42" s="200">
        <f>Performance!K742</f>
        <v>11.759164043045155</v>
      </c>
      <c r="N42" s="347">
        <f t="shared" si="0"/>
        <v>0.18942782960556626</v>
      </c>
    </row>
    <row r="43" spans="2:14">
      <c r="B43" s="197">
        <f t="shared" si="1"/>
        <v>20</v>
      </c>
      <c r="C43" s="198">
        <f>Performance!L784</f>
        <v>2.7663469635617641</v>
      </c>
      <c r="D43" s="199">
        <f>Performance!J784</f>
        <v>31.033723270457966</v>
      </c>
      <c r="E43" s="200">
        <f>Performance!K784</f>
        <v>6.9766924307490594</v>
      </c>
      <c r="N43" s="347">
        <f t="shared" si="0"/>
        <v>0.21035152509177424</v>
      </c>
    </row>
    <row r="44" spans="2:14">
      <c r="B44" s="197">
        <f t="shared" si="1"/>
        <v>21</v>
      </c>
      <c r="C44" s="198">
        <f>Performance!L826</f>
        <v>3.0082915070692144</v>
      </c>
      <c r="D44" s="199">
        <f>Performance!J826</f>
        <v>13.334976157850814</v>
      </c>
      <c r="E44" s="200">
        <f>Performance!K826</f>
        <v>2.9978364637046031</v>
      </c>
      <c r="N44" s="347">
        <f t="shared" si="0"/>
        <v>0.24194454350745032</v>
      </c>
    </row>
    <row r="45" spans="2:14">
      <c r="B45" s="197">
        <f t="shared" si="1"/>
        <v>22</v>
      </c>
      <c r="C45" s="198">
        <f>Performance!L868</f>
        <v>3.2659748127702222</v>
      </c>
      <c r="D45" s="199" t="e">
        <f>Performance!J868</f>
        <v>#NUM!</v>
      </c>
      <c r="E45" s="200" t="e">
        <f>Performance!K868</f>
        <v>#NUM!</v>
      </c>
      <c r="N45" s="347">
        <f t="shared" si="0"/>
        <v>0.25768330570100773</v>
      </c>
    </row>
    <row r="46" spans="2:14">
      <c r="B46" s="197">
        <v>23</v>
      </c>
      <c r="C46" s="198">
        <f>Performance!L910</f>
        <v>3.3401693618514563</v>
      </c>
      <c r="D46" s="199" t="e">
        <f>Performance!J910</f>
        <v>#NUM!</v>
      </c>
      <c r="E46" s="200" t="e">
        <f>Performance!K910</f>
        <v>#NUM!</v>
      </c>
      <c r="N46" s="347">
        <f t="shared" si="0"/>
        <v>7.4194549081234129E-2</v>
      </c>
    </row>
    <row r="47" spans="2:14">
      <c r="N47" s="348">
        <f>AVERAGE(N27:N45)</f>
        <v>0.16111678882399283</v>
      </c>
    </row>
    <row r="48" spans="2:14">
      <c r="B48" s="109" t="s">
        <v>351</v>
      </c>
      <c r="N48" s="60"/>
    </row>
    <row r="49" spans="2:9">
      <c r="B49" s="109" t="s">
        <v>352</v>
      </c>
    </row>
    <row r="53" spans="2:9">
      <c r="I53" s="2"/>
    </row>
  </sheetData>
  <sheetProtection password="C7BC" sheet="1"/>
  <customSheetViews>
    <customSheetView guid="{136183A0-5E83-4B15-A2A6-F3C23DCC406A}" scale="110" showGridLines="0" printArea="1" topLeftCell="A49">
      <selection activeCell="I48" sqref="I48"/>
      <pageMargins left="0.75" right="0.75" top="1" bottom="1" header="0.5" footer="0.5"/>
      <pageSetup orientation="portrait" r:id="rId1"/>
      <headerFooter alignWithMargins="0"/>
    </customSheetView>
  </customSheetViews>
  <mergeCells count="1">
    <mergeCell ref="B19:E19"/>
  </mergeCells>
  <phoneticPr fontId="0" type="noConversion"/>
  <pageMargins left="0.75" right="0.75" top="1" bottom="1" header="0.5" footer="0.5"/>
  <pageSetup orientation="portrait" r:id="rId2"/>
  <headerFooter alignWithMargins="0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C000"/>
  </sheetPr>
  <dimension ref="B3:L26"/>
  <sheetViews>
    <sheetView showGridLines="0" zoomScaleNormal="100" workbookViewId="0"/>
  </sheetViews>
  <sheetFormatPr defaultRowHeight="12.75"/>
  <cols>
    <col min="1" max="1" width="4.85546875" customWidth="1"/>
    <col min="2" max="2" width="26.7109375" customWidth="1"/>
    <col min="3" max="3" width="6.7109375" customWidth="1"/>
    <col min="4" max="4" width="8.140625" customWidth="1"/>
    <col min="5" max="5" width="5.42578125" customWidth="1"/>
    <col min="6" max="6" width="13.28515625" customWidth="1"/>
    <col min="7" max="7" width="12.42578125" customWidth="1"/>
    <col min="8" max="9" width="11.7109375" customWidth="1"/>
    <col min="10" max="10" width="11" customWidth="1"/>
    <col min="11" max="11" width="10.5703125" customWidth="1"/>
    <col min="13" max="13" width="13.28515625" customWidth="1"/>
  </cols>
  <sheetData>
    <row r="3" spans="2:12">
      <c r="B3" s="82" t="s">
        <v>199</v>
      </c>
      <c r="D3" s="39"/>
      <c r="E3" s="39"/>
    </row>
    <row r="6" spans="2:12">
      <c r="B6" s="433" t="s">
        <v>135</v>
      </c>
      <c r="C6" s="434"/>
      <c r="D6" s="434"/>
      <c r="E6" s="434"/>
      <c r="F6" s="434"/>
      <c r="G6" s="434"/>
      <c r="H6" s="434"/>
      <c r="I6" s="434"/>
      <c r="J6" s="434"/>
      <c r="K6" s="434"/>
      <c r="L6" s="435"/>
    </row>
    <row r="7" spans="2:12">
      <c r="B7" s="301" t="s">
        <v>111</v>
      </c>
      <c r="C7" s="398"/>
      <c r="D7" s="46"/>
      <c r="E7" s="46"/>
      <c r="F7" s="14"/>
      <c r="G7" s="14"/>
      <c r="H7" s="14"/>
      <c r="I7" s="398"/>
      <c r="J7" s="399"/>
      <c r="K7" s="399"/>
      <c r="L7" s="399"/>
    </row>
    <row r="8" spans="2:12" ht="13.5" thickBot="1">
      <c r="B8" s="302"/>
      <c r="C8" s="49" t="s">
        <v>136</v>
      </c>
      <c r="D8" s="49" t="s">
        <v>137</v>
      </c>
      <c r="E8" s="49" t="s">
        <v>138</v>
      </c>
      <c r="F8" s="227" t="s">
        <v>366</v>
      </c>
      <c r="G8" s="227" t="s">
        <v>365</v>
      </c>
      <c r="H8" s="227" t="s">
        <v>367</v>
      </c>
      <c r="I8" s="296" t="s">
        <v>472</v>
      </c>
      <c r="J8" s="303" t="s">
        <v>473</v>
      </c>
      <c r="K8" s="303" t="s">
        <v>536</v>
      </c>
      <c r="L8" s="303" t="s">
        <v>520</v>
      </c>
    </row>
    <row r="9" spans="2:12" ht="14.25">
      <c r="B9" s="304" t="s">
        <v>317</v>
      </c>
      <c r="C9" s="48" t="s">
        <v>29</v>
      </c>
      <c r="D9" s="12" t="s">
        <v>27</v>
      </c>
      <c r="E9" s="51" t="s">
        <v>142</v>
      </c>
      <c r="F9" s="12">
        <v>1.879</v>
      </c>
      <c r="G9" s="64">
        <v>1.841</v>
      </c>
      <c r="H9" s="250">
        <v>1.889</v>
      </c>
      <c r="I9" s="310">
        <v>1.82</v>
      </c>
      <c r="J9" s="305">
        <v>1.8540000000000001</v>
      </c>
      <c r="K9" s="305">
        <v>1.9419999999999999</v>
      </c>
      <c r="L9" s="305">
        <v>1.923</v>
      </c>
    </row>
    <row r="10" spans="2:12">
      <c r="B10" s="306" t="s">
        <v>314</v>
      </c>
      <c r="C10" s="13" t="s">
        <v>110</v>
      </c>
      <c r="D10" s="47" t="s">
        <v>64</v>
      </c>
      <c r="E10" s="50" t="s">
        <v>139</v>
      </c>
      <c r="F10" s="313">
        <v>1.1308</v>
      </c>
      <c r="G10" s="312">
        <v>1.137</v>
      </c>
      <c r="H10" s="65">
        <v>1.133</v>
      </c>
      <c r="I10" s="312">
        <v>1.1399999999999999</v>
      </c>
      <c r="J10" s="311">
        <v>1.1363000000000001</v>
      </c>
      <c r="K10" s="311">
        <f>ks_dx</f>
        <v>1.1308</v>
      </c>
      <c r="L10" s="311">
        <v>1.163</v>
      </c>
    </row>
    <row r="11" spans="2:12">
      <c r="B11" s="306" t="s">
        <v>121</v>
      </c>
      <c r="C11" s="13" t="s">
        <v>74</v>
      </c>
      <c r="D11" s="13" t="s">
        <v>115</v>
      </c>
      <c r="E11" s="50" t="s">
        <v>140</v>
      </c>
      <c r="F11" s="13">
        <v>42.42</v>
      </c>
      <c r="G11" s="297">
        <v>39.9</v>
      </c>
      <c r="H11" s="65">
        <v>42.02</v>
      </c>
      <c r="I11" s="65">
        <v>38.58</v>
      </c>
      <c r="J11" s="314">
        <v>39.826000000000001</v>
      </c>
      <c r="K11" s="314">
        <f>m_dx</f>
        <v>42.42</v>
      </c>
      <c r="L11" s="314">
        <v>36.39</v>
      </c>
    </row>
    <row r="12" spans="2:12" ht="13.5" thickBot="1">
      <c r="B12" s="307" t="s">
        <v>120</v>
      </c>
      <c r="C12" s="16" t="s">
        <v>117</v>
      </c>
      <c r="D12" s="16" t="s">
        <v>73</v>
      </c>
      <c r="E12" s="49" t="s">
        <v>141</v>
      </c>
      <c r="F12" s="16">
        <v>1710</v>
      </c>
      <c r="G12" s="308">
        <v>1600</v>
      </c>
      <c r="H12" s="308">
        <v>1720</v>
      </c>
      <c r="I12" s="308">
        <v>1608</v>
      </c>
      <c r="J12" s="309">
        <v>1616</v>
      </c>
      <c r="K12" s="309">
        <f>to_dx</f>
        <v>1710</v>
      </c>
      <c r="L12" s="309">
        <v>1858</v>
      </c>
    </row>
    <row r="13" spans="2:12">
      <c r="J13" s="2"/>
      <c r="K13" s="2"/>
      <c r="L13" s="43"/>
    </row>
    <row r="14" spans="2:12">
      <c r="B14" s="109"/>
      <c r="C14" s="138" t="s">
        <v>315</v>
      </c>
      <c r="D14" s="139" t="s">
        <v>142</v>
      </c>
      <c r="E14" s="139" t="s">
        <v>526</v>
      </c>
      <c r="F14" s="109"/>
      <c r="G14" s="109"/>
      <c r="J14" s="2"/>
      <c r="K14" s="2"/>
      <c r="L14" s="43"/>
    </row>
    <row r="15" spans="2:12">
      <c r="B15" s="109"/>
      <c r="C15" s="138"/>
      <c r="D15" s="139" t="s">
        <v>139</v>
      </c>
      <c r="E15" s="139" t="s">
        <v>527</v>
      </c>
      <c r="F15" s="109"/>
      <c r="G15" s="109"/>
      <c r="J15" s="2"/>
      <c r="K15" s="2"/>
    </row>
    <row r="16" spans="2:12">
      <c r="B16" s="109"/>
      <c r="C16" s="109"/>
      <c r="D16" s="140" t="s">
        <v>140</v>
      </c>
      <c r="E16" s="139" t="s">
        <v>319</v>
      </c>
      <c r="F16" s="109"/>
      <c r="G16" s="109"/>
      <c r="J16" s="2"/>
      <c r="K16" s="2"/>
    </row>
    <row r="17" spans="2:11">
      <c r="B17" s="109"/>
      <c r="C17" s="109"/>
      <c r="D17" s="140" t="s">
        <v>141</v>
      </c>
      <c r="E17" s="139" t="s">
        <v>318</v>
      </c>
      <c r="F17" s="109"/>
      <c r="G17" s="109"/>
      <c r="J17" s="2"/>
      <c r="K17" s="2"/>
    </row>
    <row r="18" spans="2:11">
      <c r="B18" s="109"/>
      <c r="C18" s="109"/>
      <c r="D18" s="140"/>
      <c r="E18" s="141"/>
      <c r="F18" s="109"/>
      <c r="G18" s="109"/>
      <c r="J18" s="2"/>
      <c r="K18" s="2"/>
    </row>
    <row r="19" spans="2:11">
      <c r="B19" s="109"/>
      <c r="C19" s="109"/>
      <c r="D19" s="139"/>
      <c r="E19" s="141"/>
      <c r="F19" s="109"/>
      <c r="G19" s="109"/>
      <c r="J19" s="2"/>
      <c r="K19" s="2"/>
    </row>
    <row r="20" spans="2:11">
      <c r="B20" s="109"/>
      <c r="C20" s="141" t="s">
        <v>316</v>
      </c>
      <c r="D20" s="139" t="s">
        <v>399</v>
      </c>
      <c r="E20" s="141"/>
      <c r="F20" s="109"/>
      <c r="G20" s="109"/>
      <c r="J20" s="2"/>
      <c r="K20" s="2"/>
    </row>
    <row r="21" spans="2:11">
      <c r="B21" s="109"/>
      <c r="C21" s="138"/>
      <c r="D21" s="139" t="s">
        <v>400</v>
      </c>
      <c r="E21" s="141"/>
      <c r="F21" s="109"/>
      <c r="G21" s="109"/>
      <c r="J21" s="2"/>
      <c r="K21" s="2"/>
    </row>
    <row r="22" spans="2:11">
      <c r="B22" s="109"/>
      <c r="C22" s="109"/>
      <c r="D22" s="139" t="s">
        <v>401</v>
      </c>
      <c r="E22" s="109"/>
      <c r="F22" s="109"/>
      <c r="G22" s="109"/>
      <c r="J22" s="2"/>
      <c r="K22" s="2"/>
    </row>
    <row r="23" spans="2:11">
      <c r="D23" s="139" t="s">
        <v>475</v>
      </c>
    </row>
    <row r="24" spans="2:11">
      <c r="D24" s="139" t="s">
        <v>474</v>
      </c>
    </row>
    <row r="25" spans="2:11">
      <c r="D25" s="139" t="s">
        <v>537</v>
      </c>
    </row>
    <row r="26" spans="2:11">
      <c r="D26" s="139" t="s">
        <v>521</v>
      </c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r:id="rId1"/>
      <headerFooter alignWithMargins="0"/>
    </customSheetView>
  </customSheetViews>
  <mergeCells count="1">
    <mergeCell ref="B6:L6"/>
  </mergeCells>
  <phoneticPr fontId="0" type="noConversion"/>
  <pageMargins left="0.75" right="0.75" top="1" bottom="1" header="0.5" footer="0.5"/>
  <pageSetup orientation="portrait" r:id="rId2"/>
  <headerFooter alignWithMargins="0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FFC000"/>
  </sheetPr>
  <dimension ref="A2:AJ107"/>
  <sheetViews>
    <sheetView showGridLines="0" topLeftCell="A24" zoomScaleNormal="100" workbookViewId="0">
      <selection activeCell="B60" sqref="B60:K60"/>
    </sheetView>
  </sheetViews>
  <sheetFormatPr defaultRowHeight="12.75"/>
  <cols>
    <col min="1" max="1" width="9" customWidth="1"/>
    <col min="2" max="2" width="7.140625" customWidth="1"/>
    <col min="3" max="3" width="4.140625" customWidth="1"/>
    <col min="4" max="4" width="7.5703125" customWidth="1"/>
    <col min="6" max="6" width="10.85546875" customWidth="1"/>
    <col min="7" max="7" width="7.85546875" customWidth="1"/>
    <col min="8" max="8" width="4.140625" customWidth="1"/>
    <col min="9" max="9" width="7.42578125" customWidth="1"/>
    <col min="12" max="12" width="22.140625" customWidth="1"/>
  </cols>
  <sheetData>
    <row r="2" spans="2:36">
      <c r="B2" s="82" t="s">
        <v>200</v>
      </c>
    </row>
    <row r="4" spans="2:36">
      <c r="L4" s="8"/>
    </row>
    <row r="5" spans="2:36">
      <c r="B5" s="444" t="s">
        <v>366</v>
      </c>
      <c r="C5" s="445"/>
      <c r="D5" s="445"/>
      <c r="E5" s="445"/>
      <c r="F5" s="445"/>
      <c r="G5" s="445"/>
      <c r="H5" s="445"/>
      <c r="I5" s="445"/>
      <c r="J5" s="445"/>
      <c r="K5" s="446"/>
      <c r="L5" s="8"/>
      <c r="M5" s="98">
        <v>0.25</v>
      </c>
      <c r="N5" s="98">
        <f>M69</f>
        <v>0</v>
      </c>
      <c r="O5" s="98"/>
      <c r="P5" s="98"/>
      <c r="Q5" s="98"/>
      <c r="R5" s="60">
        <v>0.25</v>
      </c>
      <c r="S5" s="60">
        <f>R69</f>
        <v>8.9440000000000026</v>
      </c>
      <c r="T5" s="60"/>
      <c r="U5" s="60"/>
    </row>
    <row r="6" spans="2:36">
      <c r="B6" s="439"/>
      <c r="C6" s="439"/>
      <c r="D6" s="439"/>
      <c r="E6" s="25" t="s">
        <v>80</v>
      </c>
      <c r="F6" s="25" t="s">
        <v>81</v>
      </c>
      <c r="G6" s="439"/>
      <c r="H6" s="439"/>
      <c r="I6" s="439"/>
      <c r="J6" s="25" t="s">
        <v>80</v>
      </c>
      <c r="K6" s="25" t="s">
        <v>81</v>
      </c>
      <c r="M6" s="98"/>
      <c r="N6" s="98"/>
      <c r="O6" s="98"/>
      <c r="P6" s="98"/>
      <c r="Q6" s="98"/>
      <c r="R6" s="60"/>
      <c r="S6" s="60"/>
      <c r="T6" s="60"/>
      <c r="U6" s="60"/>
    </row>
    <row r="7" spans="2:36" ht="13.5" thickBot="1">
      <c r="B7" s="440" t="s">
        <v>82</v>
      </c>
      <c r="C7" s="440"/>
      <c r="D7" s="440"/>
      <c r="E7" s="440" t="s">
        <v>83</v>
      </c>
      <c r="F7" s="440"/>
      <c r="G7" s="440" t="s">
        <v>84</v>
      </c>
      <c r="H7" s="440"/>
      <c r="I7" s="440"/>
      <c r="J7" s="440" t="s">
        <v>85</v>
      </c>
      <c r="K7" s="440"/>
      <c r="M7" s="98"/>
      <c r="N7" s="98"/>
      <c r="O7" s="98"/>
      <c r="P7" s="98"/>
      <c r="Q7" s="98"/>
      <c r="R7" s="60"/>
      <c r="S7" s="60"/>
      <c r="T7" s="60" t="s">
        <v>402</v>
      </c>
      <c r="U7" s="60"/>
      <c r="V7" s="60"/>
      <c r="W7" s="60" t="s">
        <v>403</v>
      </c>
      <c r="X7" s="60"/>
      <c r="Y7" s="60"/>
      <c r="Z7" s="60" t="s">
        <v>367</v>
      </c>
      <c r="AA7" s="60"/>
      <c r="AB7" s="60"/>
      <c r="AC7" s="60" t="s">
        <v>472</v>
      </c>
      <c r="AD7" s="60"/>
      <c r="AE7" s="60"/>
      <c r="AF7" s="60" t="s">
        <v>520</v>
      </c>
      <c r="AG7" s="60"/>
      <c r="AH7" s="60"/>
      <c r="AI7" s="60" t="s">
        <v>536</v>
      </c>
      <c r="AJ7" s="60"/>
    </row>
    <row r="8" spans="2:36" ht="13.5" thickTop="1">
      <c r="B8" s="26">
        <v>14.7</v>
      </c>
      <c r="C8" s="27" t="s">
        <v>86</v>
      </c>
      <c r="D8" s="28">
        <v>113</v>
      </c>
      <c r="E8" s="334">
        <v>1.6023622047244095E-2</v>
      </c>
      <c r="F8" s="29">
        <v>0.61929999999999996</v>
      </c>
      <c r="G8" s="30">
        <v>0.1</v>
      </c>
      <c r="H8" s="27" t="s">
        <v>86</v>
      </c>
      <c r="I8" s="31">
        <v>0.77913500000000002</v>
      </c>
      <c r="J8" s="29">
        <v>8.8754449677853557</v>
      </c>
      <c r="K8" s="29">
        <v>0.61929999999999996</v>
      </c>
      <c r="M8" s="241" t="s">
        <v>87</v>
      </c>
      <c r="N8" s="241" t="s">
        <v>80</v>
      </c>
      <c r="O8" s="241" t="s">
        <v>81</v>
      </c>
      <c r="P8" s="241" t="s">
        <v>88</v>
      </c>
      <c r="Q8" s="98"/>
      <c r="R8" s="95" t="s">
        <v>87</v>
      </c>
      <c r="S8" s="95" t="s">
        <v>80</v>
      </c>
      <c r="T8" s="95" t="s">
        <v>81</v>
      </c>
      <c r="U8" s="95" t="s">
        <v>88</v>
      </c>
      <c r="V8" s="95" t="s">
        <v>80</v>
      </c>
      <c r="W8" s="95" t="s">
        <v>81</v>
      </c>
      <c r="X8" s="95" t="s">
        <v>88</v>
      </c>
      <c r="Y8" s="95" t="s">
        <v>80</v>
      </c>
      <c r="Z8" s="95" t="s">
        <v>81</v>
      </c>
      <c r="AA8" s="95" t="s">
        <v>88</v>
      </c>
      <c r="AB8" s="95" t="s">
        <v>80</v>
      </c>
      <c r="AC8" s="95" t="s">
        <v>81</v>
      </c>
      <c r="AD8" s="95" t="s">
        <v>88</v>
      </c>
      <c r="AE8" s="95" t="s">
        <v>80</v>
      </c>
      <c r="AF8" s="95" t="s">
        <v>81</v>
      </c>
      <c r="AG8" s="95" t="s">
        <v>88</v>
      </c>
      <c r="AH8" s="95" t="s">
        <v>80</v>
      </c>
      <c r="AI8" s="95" t="s">
        <v>81</v>
      </c>
      <c r="AJ8" s="95" t="s">
        <v>88</v>
      </c>
    </row>
    <row r="9" spans="2:36">
      <c r="B9" s="32">
        <v>113</v>
      </c>
      <c r="C9" s="33" t="s">
        <v>86</v>
      </c>
      <c r="D9" s="34">
        <v>373</v>
      </c>
      <c r="E9" s="335">
        <v>0.31051181102362202</v>
      </c>
      <c r="F9" s="35">
        <v>-8.6999999999999994E-3</v>
      </c>
      <c r="G9" s="36">
        <v>0.77913500000000002</v>
      </c>
      <c r="H9" s="33" t="s">
        <v>86</v>
      </c>
      <c r="I9" s="37">
        <v>2.5718350000000001</v>
      </c>
      <c r="J9" s="35">
        <v>7.5527844238794399</v>
      </c>
      <c r="K9" s="35">
        <v>-8.6999999999999994E-3</v>
      </c>
      <c r="M9" s="98">
        <v>0.1</v>
      </c>
      <c r="N9" s="98">
        <f>VLOOKUP($M9,kndxbn_,4,TRUE)</f>
        <v>8.8754449677853557</v>
      </c>
      <c r="O9" s="98">
        <f>VLOOKUP($M9,kndxbn_,5,TRUE)</f>
        <v>0.61929999999999996</v>
      </c>
      <c r="P9" s="98">
        <f>N9*M9^O9</f>
        <v>2.1325053799737348</v>
      </c>
      <c r="Q9" s="98"/>
      <c r="R9" s="60">
        <v>0.10349999999999999</v>
      </c>
      <c r="S9" s="60">
        <f>VLOOKUP($R9,knsobn_,4,TRUE)</f>
        <v>10.707683798033065</v>
      </c>
      <c r="T9" s="60">
        <f>VLOOKUP($R9,knsobn_,5,TRUE)</f>
        <v>0.62470000000000003</v>
      </c>
      <c r="U9" s="60">
        <f>S9*R9^T9</f>
        <v>2.5961439795794132</v>
      </c>
      <c r="V9" s="96">
        <f>$J$28</f>
        <v>5.13</v>
      </c>
      <c r="W9" s="96">
        <f>$K$28</f>
        <v>0.22</v>
      </c>
      <c r="X9" s="60">
        <f>V9*R9^W9</f>
        <v>3.1146140765372103</v>
      </c>
      <c r="Y9" s="96">
        <f>$J$33</f>
        <v>8.26</v>
      </c>
      <c r="Z9" s="96">
        <f>$K$33</f>
        <v>0.31900000000000001</v>
      </c>
      <c r="AA9" s="60">
        <f>Y9*R9^Z9</f>
        <v>4.0063235406169513</v>
      </c>
      <c r="AB9" s="96">
        <f t="shared" ref="AB9:AB40" si="0">am_1</f>
        <v>2.9</v>
      </c>
      <c r="AC9" s="96">
        <f t="shared" ref="AC9:AC40" si="1">nm_1</f>
        <v>0.4</v>
      </c>
      <c r="AD9" s="60">
        <f>AB9*R9^AC9</f>
        <v>1.1705073303177296</v>
      </c>
      <c r="AE9" s="96">
        <f>$J$58</f>
        <v>6.5</v>
      </c>
      <c r="AF9" s="96">
        <f>$K$58</f>
        <v>0.628</v>
      </c>
      <c r="AG9" s="60">
        <f>AE9*R9^AF9</f>
        <v>1.5642130193513473</v>
      </c>
      <c r="AH9" s="96">
        <f>am_4</f>
        <v>7.4</v>
      </c>
      <c r="AI9" s="96">
        <f>nm_4</f>
        <v>0.25</v>
      </c>
      <c r="AJ9" s="60">
        <f>AH9*R9^AI9</f>
        <v>4.1972690333403282</v>
      </c>
    </row>
    <row r="10" spans="2:36">
      <c r="B10" s="32">
        <v>373</v>
      </c>
      <c r="C10" s="33" t="s">
        <v>86</v>
      </c>
      <c r="D10" s="34">
        <v>860</v>
      </c>
      <c r="E10" s="335">
        <v>4.921259842519685E-3</v>
      </c>
      <c r="F10" s="35">
        <v>0.68820000000000003</v>
      </c>
      <c r="G10" s="36">
        <v>2.5718350000000001</v>
      </c>
      <c r="H10" s="33" t="s">
        <v>86</v>
      </c>
      <c r="I10" s="37">
        <v>5.9297000000000004</v>
      </c>
      <c r="J10" s="35">
        <v>3.8408799049960156</v>
      </c>
      <c r="K10" s="35">
        <v>0.68820000000000003</v>
      </c>
      <c r="M10" s="98">
        <f>M9+($M$5-0.1)</f>
        <v>0.25</v>
      </c>
      <c r="N10" s="98">
        <f t="shared" ref="N10:N54" si="2">VLOOKUP($M10,kndxbn_,4,TRUE)</f>
        <v>8.8754449677853557</v>
      </c>
      <c r="O10" s="98">
        <f t="shared" ref="O10:O54" si="3">VLOOKUP($M10,kndxbn_,5,TRUE)</f>
        <v>0.61929999999999996</v>
      </c>
      <c r="P10" s="98">
        <f t="shared" ref="P10:P54" si="4">N10*M10^O10</f>
        <v>3.7612688985091727</v>
      </c>
      <c r="Q10" s="98"/>
      <c r="R10" s="60">
        <f>R9+($M$5-0.103)</f>
        <v>0.2505</v>
      </c>
      <c r="S10" s="60">
        <f t="shared" ref="S10:S73" si="5">VLOOKUP($R10,knsobn_,4,TRUE)</f>
        <v>10.707683798033065</v>
      </c>
      <c r="T10" s="60">
        <f t="shared" ref="T10:T73" si="6">VLOOKUP($R10,knsobn_,5,TRUE)</f>
        <v>0.62470000000000003</v>
      </c>
      <c r="U10" s="60">
        <f>S10*R10^T10</f>
        <v>4.5095242519879797</v>
      </c>
      <c r="V10" s="96">
        <f t="shared" ref="V10:V73" si="7">$J$28</f>
        <v>5.13</v>
      </c>
      <c r="W10" s="96">
        <f t="shared" ref="W10:W73" si="8">$K$28</f>
        <v>0.22</v>
      </c>
      <c r="X10" s="60">
        <f t="shared" ref="X10:X73" si="9">V10*R10^W10</f>
        <v>3.7831631063172546</v>
      </c>
      <c r="Y10" s="96">
        <f t="shared" ref="Y10:Y73" si="10">$J$33</f>
        <v>8.26</v>
      </c>
      <c r="Z10" s="96">
        <f t="shared" ref="Z10:Z73" si="11">$K$33</f>
        <v>0.31900000000000001</v>
      </c>
      <c r="AA10" s="60">
        <f t="shared" ref="AA10:AA73" si="12">Y10*R10^Z10</f>
        <v>5.3112863117496252</v>
      </c>
      <c r="AB10" s="96">
        <f t="shared" si="0"/>
        <v>2.9</v>
      </c>
      <c r="AC10" s="96">
        <f t="shared" si="1"/>
        <v>0.4</v>
      </c>
      <c r="AD10" s="60">
        <f t="shared" ref="AD10:AD73" si="13">AB10*R10^AC10</f>
        <v>1.6669443061951288</v>
      </c>
      <c r="AE10" s="96">
        <f t="shared" ref="AE10:AE73" si="14">$J$58</f>
        <v>6.5</v>
      </c>
      <c r="AF10" s="96">
        <f t="shared" ref="AF10:AF73" si="15">$K$58</f>
        <v>0.628</v>
      </c>
      <c r="AG10" s="60">
        <f t="shared" ref="AG10:AG73" si="16">AE10*R10^AF10</f>
        <v>2.7249881072410118</v>
      </c>
      <c r="AH10" s="96">
        <f>$J$58</f>
        <v>6.5</v>
      </c>
      <c r="AI10" s="96">
        <f>$K$58</f>
        <v>0.628</v>
      </c>
      <c r="AJ10" s="60">
        <f t="shared" ref="AJ10:AJ73" si="17">AH10*R10^AI10</f>
        <v>2.7249881072410118</v>
      </c>
    </row>
    <row r="11" spans="2:36">
      <c r="B11" s="32">
        <v>860</v>
      </c>
      <c r="C11" s="33" t="s">
        <v>86</v>
      </c>
      <c r="D11" s="34">
        <v>1233</v>
      </c>
      <c r="E11" s="335">
        <v>1.415511811023622</v>
      </c>
      <c r="F11" s="35">
        <v>-0.14810000000000001</v>
      </c>
      <c r="G11" s="36">
        <v>5.9297000000000004</v>
      </c>
      <c r="H11" s="33" t="s">
        <v>86</v>
      </c>
      <c r="I11" s="37">
        <v>8.5015350000000005</v>
      </c>
      <c r="J11" s="19">
        <v>17.20418640980624</v>
      </c>
      <c r="K11" s="35">
        <v>-0.14810000000000001</v>
      </c>
      <c r="M11" s="98">
        <f t="shared" ref="M11:M25" si="18">M10+$M$5</f>
        <v>0.5</v>
      </c>
      <c r="N11" s="98">
        <f t="shared" si="2"/>
        <v>8.8754449677853557</v>
      </c>
      <c r="O11" s="98">
        <f t="shared" si="3"/>
        <v>0.61929999999999996</v>
      </c>
      <c r="P11" s="98">
        <f t="shared" si="4"/>
        <v>5.7777967355870876</v>
      </c>
      <c r="Q11" s="98"/>
      <c r="R11" s="60">
        <f t="shared" ref="R11:R54" si="19">R10+($M$5-0.103)</f>
        <v>0.39750000000000002</v>
      </c>
      <c r="S11" s="60">
        <f t="shared" si="5"/>
        <v>10.707683798033065</v>
      </c>
      <c r="T11" s="60">
        <f t="shared" si="6"/>
        <v>0.62470000000000003</v>
      </c>
      <c r="U11" s="60">
        <f t="shared" ref="U11:U54" si="20">S11*R11^T11</f>
        <v>6.0172969584618192</v>
      </c>
      <c r="V11" s="96">
        <f t="shared" si="7"/>
        <v>5.13</v>
      </c>
      <c r="W11" s="96">
        <f t="shared" si="8"/>
        <v>0.22</v>
      </c>
      <c r="X11" s="60">
        <f t="shared" si="9"/>
        <v>4.1876611638803078</v>
      </c>
      <c r="Y11" s="96">
        <f t="shared" si="10"/>
        <v>8.26</v>
      </c>
      <c r="Z11" s="96">
        <f t="shared" si="11"/>
        <v>0.31900000000000001</v>
      </c>
      <c r="AA11" s="60">
        <f t="shared" si="12"/>
        <v>6.154157302027957</v>
      </c>
      <c r="AB11" s="96">
        <f t="shared" si="0"/>
        <v>2.9</v>
      </c>
      <c r="AC11" s="96">
        <f t="shared" si="1"/>
        <v>0.4</v>
      </c>
      <c r="AD11" s="60">
        <f t="shared" si="13"/>
        <v>2.0050852910630397</v>
      </c>
      <c r="AE11" s="96">
        <f t="shared" si="14"/>
        <v>6.5</v>
      </c>
      <c r="AF11" s="96">
        <f t="shared" si="15"/>
        <v>0.628</v>
      </c>
      <c r="AG11" s="60">
        <f t="shared" si="16"/>
        <v>3.6416405487216759</v>
      </c>
      <c r="AH11" s="96">
        <f t="shared" ref="AH11:AH42" si="21">am_4</f>
        <v>7.4</v>
      </c>
      <c r="AI11" s="96">
        <f t="shared" ref="AI11:AI42" si="22">nm_4</f>
        <v>0.25</v>
      </c>
      <c r="AJ11" s="60">
        <f t="shared" si="17"/>
        <v>5.8757864446362271</v>
      </c>
    </row>
    <row r="12" spans="2:36">
      <c r="B12" s="26">
        <v>1233</v>
      </c>
      <c r="C12" s="27" t="s">
        <v>86</v>
      </c>
      <c r="D12" s="28">
        <v>1625</v>
      </c>
      <c r="E12" s="335">
        <v>2.0866141732283464E-2</v>
      </c>
      <c r="F12" s="35">
        <v>0.44169999999999998</v>
      </c>
      <c r="G12" s="30">
        <v>8.5015350000000005</v>
      </c>
      <c r="H12" s="27" t="s">
        <v>86</v>
      </c>
      <c r="I12" s="38">
        <v>11.204375000000001</v>
      </c>
      <c r="J12" s="35">
        <v>4.7752408634765926</v>
      </c>
      <c r="K12" s="35">
        <v>0.44169999999999998</v>
      </c>
      <c r="M12" s="98">
        <v>0.77900000000000003</v>
      </c>
      <c r="N12" s="98">
        <f t="shared" si="2"/>
        <v>8.8754449677853557</v>
      </c>
      <c r="O12" s="98">
        <f t="shared" si="3"/>
        <v>0.61929999999999996</v>
      </c>
      <c r="P12" s="98">
        <f t="shared" si="4"/>
        <v>7.6036003680458659</v>
      </c>
      <c r="Q12" s="98"/>
      <c r="R12" s="60">
        <f t="shared" si="19"/>
        <v>0.54449999999999998</v>
      </c>
      <c r="S12" s="60">
        <f t="shared" si="5"/>
        <v>10.707683798033065</v>
      </c>
      <c r="T12" s="60">
        <f t="shared" si="6"/>
        <v>0.62470000000000003</v>
      </c>
      <c r="U12" s="60">
        <f t="shared" si="20"/>
        <v>7.3244229711811482</v>
      </c>
      <c r="V12" s="96">
        <f t="shared" si="7"/>
        <v>5.13</v>
      </c>
      <c r="W12" s="96">
        <f t="shared" si="8"/>
        <v>0.22</v>
      </c>
      <c r="X12" s="60">
        <f t="shared" si="9"/>
        <v>4.4878351897905322</v>
      </c>
      <c r="Y12" s="96">
        <f t="shared" si="10"/>
        <v>8.26</v>
      </c>
      <c r="Z12" s="96">
        <f t="shared" si="11"/>
        <v>0.31900000000000001</v>
      </c>
      <c r="AA12" s="60">
        <f t="shared" si="12"/>
        <v>6.8039853892487088</v>
      </c>
      <c r="AB12" s="96">
        <f t="shared" si="0"/>
        <v>2.9</v>
      </c>
      <c r="AC12" s="96">
        <f t="shared" si="1"/>
        <v>0.4</v>
      </c>
      <c r="AD12" s="60">
        <f t="shared" si="13"/>
        <v>2.2740350358343679</v>
      </c>
      <c r="AE12" s="96">
        <f t="shared" si="14"/>
        <v>6.5</v>
      </c>
      <c r="AF12" s="96">
        <f t="shared" si="15"/>
        <v>0.628</v>
      </c>
      <c r="AG12" s="60">
        <f t="shared" si="16"/>
        <v>4.4373126292294538</v>
      </c>
      <c r="AH12" s="96">
        <f t="shared" si="21"/>
        <v>7.4</v>
      </c>
      <c r="AI12" s="96">
        <f t="shared" si="22"/>
        <v>0.25</v>
      </c>
      <c r="AJ12" s="60">
        <f t="shared" si="17"/>
        <v>6.3566923165906974</v>
      </c>
    </row>
    <row r="13" spans="2:36">
      <c r="M13" s="98">
        <f t="shared" si="18"/>
        <v>1.0289999999999999</v>
      </c>
      <c r="N13" s="98">
        <f t="shared" si="2"/>
        <v>7.5527844238794399</v>
      </c>
      <c r="O13" s="98">
        <f t="shared" si="3"/>
        <v>-8.6999999999999994E-3</v>
      </c>
      <c r="P13" s="98">
        <f t="shared" si="4"/>
        <v>7.5509061978369258</v>
      </c>
      <c r="Q13" s="98"/>
      <c r="R13" s="60">
        <f t="shared" si="19"/>
        <v>0.6915</v>
      </c>
      <c r="S13" s="60">
        <f t="shared" si="5"/>
        <v>10.707683798033065</v>
      </c>
      <c r="T13" s="60">
        <f t="shared" si="6"/>
        <v>0.62470000000000003</v>
      </c>
      <c r="U13" s="60">
        <f t="shared" si="20"/>
        <v>8.5038132745340107</v>
      </c>
      <c r="V13" s="96">
        <f t="shared" si="7"/>
        <v>5.13</v>
      </c>
      <c r="W13" s="96">
        <f t="shared" si="8"/>
        <v>0.22</v>
      </c>
      <c r="X13" s="60">
        <f t="shared" si="9"/>
        <v>4.7301144132054924</v>
      </c>
      <c r="Y13" s="96">
        <f t="shared" si="10"/>
        <v>8.26</v>
      </c>
      <c r="Z13" s="96">
        <f t="shared" si="11"/>
        <v>0.31900000000000001</v>
      </c>
      <c r="AA13" s="60">
        <f t="shared" si="12"/>
        <v>7.3430038203476196</v>
      </c>
      <c r="AB13" s="96">
        <f t="shared" si="0"/>
        <v>2.9</v>
      </c>
      <c r="AC13" s="96">
        <f t="shared" si="1"/>
        <v>0.4</v>
      </c>
      <c r="AD13" s="60">
        <f t="shared" si="13"/>
        <v>2.502158816479831</v>
      </c>
      <c r="AE13" s="96">
        <f t="shared" si="14"/>
        <v>6.5</v>
      </c>
      <c r="AF13" s="96">
        <f t="shared" si="15"/>
        <v>0.628</v>
      </c>
      <c r="AG13" s="60">
        <f t="shared" si="16"/>
        <v>5.1558805653125406</v>
      </c>
      <c r="AH13" s="96">
        <f t="shared" si="21"/>
        <v>7.4</v>
      </c>
      <c r="AI13" s="96">
        <f t="shared" si="22"/>
        <v>0.25</v>
      </c>
      <c r="AJ13" s="60">
        <f t="shared" si="17"/>
        <v>6.7480729027969204</v>
      </c>
    </row>
    <row r="14" spans="2:36">
      <c r="M14" s="98">
        <f t="shared" si="18"/>
        <v>1.2789999999999999</v>
      </c>
      <c r="N14" s="98">
        <f t="shared" si="2"/>
        <v>7.5527844238794399</v>
      </c>
      <c r="O14" s="98">
        <f t="shared" si="3"/>
        <v>-8.6999999999999994E-3</v>
      </c>
      <c r="P14" s="98">
        <f t="shared" si="4"/>
        <v>7.5366320912941802</v>
      </c>
      <c r="Q14" s="98"/>
      <c r="R14" s="60">
        <v>0.80700000000000005</v>
      </c>
      <c r="S14" s="60">
        <f t="shared" si="5"/>
        <v>8.7632800710177339</v>
      </c>
      <c r="T14" s="60">
        <f t="shared" si="6"/>
        <v>-0.31419999999999998</v>
      </c>
      <c r="U14" s="60">
        <f t="shared" si="20"/>
        <v>9.3740448526367466</v>
      </c>
      <c r="V14" s="96">
        <f t="shared" si="7"/>
        <v>5.13</v>
      </c>
      <c r="W14" s="96">
        <f t="shared" si="8"/>
        <v>0.22</v>
      </c>
      <c r="X14" s="60">
        <f t="shared" si="9"/>
        <v>4.8936121159802841</v>
      </c>
      <c r="Y14" s="96">
        <f t="shared" si="10"/>
        <v>8.26</v>
      </c>
      <c r="Z14" s="96">
        <f t="shared" si="11"/>
        <v>0.31900000000000001</v>
      </c>
      <c r="AA14" s="60">
        <f t="shared" si="12"/>
        <v>7.7138769158553897</v>
      </c>
      <c r="AB14" s="96">
        <f t="shared" si="0"/>
        <v>2.9</v>
      </c>
      <c r="AC14" s="96">
        <f t="shared" si="1"/>
        <v>0.4</v>
      </c>
      <c r="AD14" s="60">
        <f t="shared" si="13"/>
        <v>2.6616283381672599</v>
      </c>
      <c r="AE14" s="96">
        <f t="shared" si="14"/>
        <v>6.5</v>
      </c>
      <c r="AF14" s="96">
        <f t="shared" si="15"/>
        <v>0.628</v>
      </c>
      <c r="AG14" s="60">
        <f t="shared" si="16"/>
        <v>5.6810673304710848</v>
      </c>
      <c r="AH14" s="96">
        <f t="shared" si="21"/>
        <v>7.4</v>
      </c>
      <c r="AI14" s="96">
        <f t="shared" si="22"/>
        <v>0.25</v>
      </c>
      <c r="AJ14" s="60">
        <f t="shared" si="17"/>
        <v>7.013747120498742</v>
      </c>
    </row>
    <row r="15" spans="2:36">
      <c r="M15" s="98">
        <f t="shared" si="18"/>
        <v>1.5289999999999999</v>
      </c>
      <c r="N15" s="98">
        <f t="shared" si="2"/>
        <v>7.5527844238794399</v>
      </c>
      <c r="O15" s="98">
        <f t="shared" si="3"/>
        <v>-8.6999999999999994E-3</v>
      </c>
      <c r="P15" s="98">
        <f t="shared" si="4"/>
        <v>7.5249348438442505</v>
      </c>
      <c r="Q15" s="98"/>
      <c r="R15" s="60">
        <f t="shared" si="19"/>
        <v>0.95400000000000007</v>
      </c>
      <c r="S15" s="60">
        <f t="shared" si="5"/>
        <v>8.7632800710177339</v>
      </c>
      <c r="T15" s="60">
        <f t="shared" si="6"/>
        <v>-0.31419999999999998</v>
      </c>
      <c r="U15" s="60">
        <f t="shared" si="20"/>
        <v>8.8939071755279144</v>
      </c>
      <c r="V15" s="96">
        <f t="shared" si="7"/>
        <v>5.13</v>
      </c>
      <c r="W15" s="96">
        <f t="shared" si="8"/>
        <v>0.22</v>
      </c>
      <c r="X15" s="60">
        <f t="shared" si="9"/>
        <v>5.0771267720387012</v>
      </c>
      <c r="Y15" s="96">
        <f t="shared" si="10"/>
        <v>8.26</v>
      </c>
      <c r="Z15" s="96">
        <f t="shared" si="11"/>
        <v>0.31900000000000001</v>
      </c>
      <c r="AA15" s="60">
        <f t="shared" si="12"/>
        <v>8.1368437956329398</v>
      </c>
      <c r="AB15" s="96">
        <f t="shared" si="0"/>
        <v>2.9</v>
      </c>
      <c r="AC15" s="96">
        <f t="shared" si="1"/>
        <v>0.4</v>
      </c>
      <c r="AD15" s="60">
        <f t="shared" si="13"/>
        <v>2.8458850077329401</v>
      </c>
      <c r="AE15" s="96">
        <f t="shared" si="14"/>
        <v>6.5</v>
      </c>
      <c r="AF15" s="96">
        <f t="shared" si="15"/>
        <v>0.628</v>
      </c>
      <c r="AG15" s="60">
        <f t="shared" si="16"/>
        <v>6.3105866731279221</v>
      </c>
      <c r="AH15" s="96">
        <f t="shared" si="21"/>
        <v>7.4</v>
      </c>
      <c r="AI15" s="96">
        <f t="shared" si="22"/>
        <v>0.25</v>
      </c>
      <c r="AJ15" s="60">
        <f t="shared" si="17"/>
        <v>7.3133913440034917</v>
      </c>
    </row>
    <row r="16" spans="2:36">
      <c r="B16" s="436" t="s">
        <v>402</v>
      </c>
      <c r="C16" s="437"/>
      <c r="D16" s="437"/>
      <c r="E16" s="437"/>
      <c r="F16" s="437"/>
      <c r="G16" s="437"/>
      <c r="H16" s="437"/>
      <c r="I16" s="437"/>
      <c r="J16" s="437"/>
      <c r="K16" s="438"/>
      <c r="M16" s="98">
        <f t="shared" si="18"/>
        <v>1.7789999999999999</v>
      </c>
      <c r="N16" s="98">
        <f t="shared" si="2"/>
        <v>7.5527844238794399</v>
      </c>
      <c r="O16" s="98">
        <f t="shared" si="3"/>
        <v>-8.6999999999999994E-3</v>
      </c>
      <c r="P16" s="98">
        <f t="shared" si="4"/>
        <v>7.5150272244598799</v>
      </c>
      <c r="Q16" s="98"/>
      <c r="R16" s="60">
        <f t="shared" si="19"/>
        <v>1.101</v>
      </c>
      <c r="S16" s="60">
        <f t="shared" si="5"/>
        <v>8.7632800710177339</v>
      </c>
      <c r="T16" s="60">
        <f t="shared" si="6"/>
        <v>-0.31419999999999998</v>
      </c>
      <c r="U16" s="60">
        <f t="shared" si="20"/>
        <v>8.5023135353635624</v>
      </c>
      <c r="V16" s="96">
        <f t="shared" si="7"/>
        <v>5.13</v>
      </c>
      <c r="W16" s="96">
        <f t="shared" si="8"/>
        <v>0.22</v>
      </c>
      <c r="X16" s="60">
        <f t="shared" si="9"/>
        <v>5.2397501080146469</v>
      </c>
      <c r="Y16" s="96">
        <f t="shared" si="10"/>
        <v>8.26</v>
      </c>
      <c r="Z16" s="96">
        <f t="shared" si="11"/>
        <v>0.31900000000000001</v>
      </c>
      <c r="AA16" s="60">
        <f t="shared" si="12"/>
        <v>8.5174619489981307</v>
      </c>
      <c r="AB16" s="96">
        <f t="shared" si="0"/>
        <v>2.9</v>
      </c>
      <c r="AC16" s="96">
        <f t="shared" si="1"/>
        <v>0.4</v>
      </c>
      <c r="AD16" s="60">
        <f t="shared" si="13"/>
        <v>3.0137895695176322</v>
      </c>
      <c r="AE16" s="96">
        <f t="shared" si="14"/>
        <v>6.5</v>
      </c>
      <c r="AF16" s="96">
        <f t="shared" si="15"/>
        <v>0.628</v>
      </c>
      <c r="AG16" s="60">
        <f t="shared" si="16"/>
        <v>6.904874555942639</v>
      </c>
      <c r="AH16" s="96">
        <f t="shared" si="21"/>
        <v>7.4</v>
      </c>
      <c r="AI16" s="96">
        <f t="shared" si="22"/>
        <v>0.25</v>
      </c>
      <c r="AJ16" s="60">
        <f t="shared" si="17"/>
        <v>7.5801630853860091</v>
      </c>
    </row>
    <row r="17" spans="2:36">
      <c r="B17" s="439"/>
      <c r="C17" s="439"/>
      <c r="D17" s="439"/>
      <c r="E17" s="25" t="s">
        <v>80</v>
      </c>
      <c r="F17" s="25" t="s">
        <v>81</v>
      </c>
      <c r="G17" s="439"/>
      <c r="H17" s="439"/>
      <c r="I17" s="439"/>
      <c r="J17" s="25" t="s">
        <v>80</v>
      </c>
      <c r="K17" s="25" t="s">
        <v>81</v>
      </c>
      <c r="M17" s="98">
        <f t="shared" si="18"/>
        <v>2.0289999999999999</v>
      </c>
      <c r="N17" s="98">
        <f t="shared" si="2"/>
        <v>7.5527844238794399</v>
      </c>
      <c r="O17" s="98">
        <f t="shared" si="3"/>
        <v>-8.6999999999999994E-3</v>
      </c>
      <c r="P17" s="98">
        <f t="shared" si="4"/>
        <v>7.5064351188758884</v>
      </c>
      <c r="Q17" s="98"/>
      <c r="R17" s="60">
        <f t="shared" si="19"/>
        <v>1.248</v>
      </c>
      <c r="S17" s="60">
        <f t="shared" si="5"/>
        <v>8.7632800710177339</v>
      </c>
      <c r="T17" s="60">
        <f t="shared" si="6"/>
        <v>-0.31419999999999998</v>
      </c>
      <c r="U17" s="60">
        <f t="shared" si="20"/>
        <v>8.1740270219434006</v>
      </c>
      <c r="V17" s="96">
        <f t="shared" si="7"/>
        <v>5.13</v>
      </c>
      <c r="W17" s="96">
        <f t="shared" si="8"/>
        <v>0.22</v>
      </c>
      <c r="X17" s="60">
        <f t="shared" si="9"/>
        <v>5.3862260238248547</v>
      </c>
      <c r="Y17" s="96">
        <f t="shared" si="10"/>
        <v>8.26</v>
      </c>
      <c r="Z17" s="96">
        <f t="shared" si="11"/>
        <v>0.31900000000000001</v>
      </c>
      <c r="AA17" s="60">
        <f t="shared" si="12"/>
        <v>8.8648726296577909</v>
      </c>
      <c r="AB17" s="96">
        <f t="shared" si="0"/>
        <v>2.9</v>
      </c>
      <c r="AC17" s="96">
        <f t="shared" si="1"/>
        <v>0.4</v>
      </c>
      <c r="AD17" s="60">
        <f t="shared" si="13"/>
        <v>3.1687197595398047</v>
      </c>
      <c r="AE17" s="96">
        <f t="shared" si="14"/>
        <v>6.5</v>
      </c>
      <c r="AF17" s="96">
        <f t="shared" si="15"/>
        <v>0.628</v>
      </c>
      <c r="AG17" s="60">
        <f t="shared" si="16"/>
        <v>7.4702668576959486</v>
      </c>
      <c r="AH17" s="96">
        <f t="shared" si="21"/>
        <v>7.4</v>
      </c>
      <c r="AI17" s="96">
        <f t="shared" si="22"/>
        <v>0.25</v>
      </c>
      <c r="AJ17" s="60">
        <f t="shared" si="17"/>
        <v>7.8214156508743988</v>
      </c>
    </row>
    <row r="18" spans="2:36" ht="13.5" thickBot="1">
      <c r="B18" s="440" t="s">
        <v>82</v>
      </c>
      <c r="C18" s="440"/>
      <c r="D18" s="440"/>
      <c r="E18" s="440" t="s">
        <v>83</v>
      </c>
      <c r="F18" s="440"/>
      <c r="G18" s="441" t="s">
        <v>84</v>
      </c>
      <c r="H18" s="442"/>
      <c r="I18" s="443"/>
      <c r="J18" s="441" t="s">
        <v>85</v>
      </c>
      <c r="K18" s="443"/>
      <c r="M18" s="98">
        <f t="shared" si="18"/>
        <v>2.2789999999999999</v>
      </c>
      <c r="N18" s="98">
        <f t="shared" si="2"/>
        <v>7.5527844238794399</v>
      </c>
      <c r="O18" s="98">
        <f t="shared" si="3"/>
        <v>-8.6999999999999994E-3</v>
      </c>
      <c r="P18" s="98">
        <f t="shared" si="4"/>
        <v>7.4988508095539634</v>
      </c>
      <c r="Q18" s="98"/>
      <c r="R18" s="60">
        <f t="shared" si="19"/>
        <v>1.395</v>
      </c>
      <c r="S18" s="60">
        <f t="shared" si="5"/>
        <v>8.7632800710177339</v>
      </c>
      <c r="T18" s="60">
        <f t="shared" si="6"/>
        <v>-0.31419999999999998</v>
      </c>
      <c r="U18" s="60">
        <f t="shared" si="20"/>
        <v>7.8929886040141852</v>
      </c>
      <c r="V18" s="96">
        <f t="shared" si="7"/>
        <v>5.13</v>
      </c>
      <c r="W18" s="96">
        <f t="shared" si="8"/>
        <v>0.22</v>
      </c>
      <c r="X18" s="60">
        <f t="shared" si="9"/>
        <v>5.5198044312655083</v>
      </c>
      <c r="Y18" s="96">
        <f t="shared" si="10"/>
        <v>8.26</v>
      </c>
      <c r="Z18" s="96">
        <f t="shared" si="11"/>
        <v>0.31900000000000001</v>
      </c>
      <c r="AA18" s="60">
        <f t="shared" si="12"/>
        <v>9.1854242404966282</v>
      </c>
      <c r="AB18" s="96">
        <f t="shared" si="0"/>
        <v>2.9</v>
      </c>
      <c r="AC18" s="96">
        <f t="shared" si="1"/>
        <v>0.4</v>
      </c>
      <c r="AD18" s="60">
        <f t="shared" si="13"/>
        <v>3.3130476405669254</v>
      </c>
      <c r="AE18" s="96">
        <f t="shared" si="14"/>
        <v>6.5</v>
      </c>
      <c r="AF18" s="96">
        <f t="shared" si="15"/>
        <v>0.628</v>
      </c>
      <c r="AG18" s="60">
        <f t="shared" si="16"/>
        <v>8.01135467453026</v>
      </c>
      <c r="AH18" s="96">
        <f t="shared" si="21"/>
        <v>7.4</v>
      </c>
      <c r="AI18" s="96">
        <f t="shared" si="22"/>
        <v>0.25</v>
      </c>
      <c r="AJ18" s="60">
        <f t="shared" si="17"/>
        <v>8.0422074505158729</v>
      </c>
    </row>
    <row r="19" spans="2:36" ht="13.5" thickTop="1">
      <c r="B19" s="26">
        <v>14</v>
      </c>
      <c r="C19" s="27" t="s">
        <v>86</v>
      </c>
      <c r="D19" s="28">
        <v>117</v>
      </c>
      <c r="E19" s="334">
        <v>1.8818897637795276E-2</v>
      </c>
      <c r="F19" s="29">
        <v>0.62470000000000003</v>
      </c>
      <c r="G19" s="30">
        <v>0.10100000000000001</v>
      </c>
      <c r="H19" s="27" t="s">
        <v>86</v>
      </c>
      <c r="I19" s="31">
        <v>0.80671499999999996</v>
      </c>
      <c r="J19" s="29">
        <v>10.707683798033065</v>
      </c>
      <c r="K19" s="29">
        <v>0.62470000000000003</v>
      </c>
      <c r="M19" s="98">
        <v>2.5720000000000001</v>
      </c>
      <c r="N19" s="98">
        <f t="shared" si="2"/>
        <v>3.8408799049960156</v>
      </c>
      <c r="O19" s="98">
        <f t="shared" si="3"/>
        <v>0.68820000000000003</v>
      </c>
      <c r="P19" s="98">
        <f t="shared" si="4"/>
        <v>7.3583290655181441</v>
      </c>
      <c r="Q19" s="98"/>
      <c r="R19" s="60">
        <v>1.5029999999999999</v>
      </c>
      <c r="S19" s="60">
        <f t="shared" si="5"/>
        <v>8.7632800710177339</v>
      </c>
      <c r="T19" s="60">
        <f t="shared" si="6"/>
        <v>-0.31419999999999998</v>
      </c>
      <c r="U19" s="60">
        <f t="shared" si="20"/>
        <v>7.7102095237583672</v>
      </c>
      <c r="V19" s="96">
        <f t="shared" si="7"/>
        <v>5.13</v>
      </c>
      <c r="W19" s="96">
        <f t="shared" si="8"/>
        <v>0.22</v>
      </c>
      <c r="X19" s="60">
        <f t="shared" si="9"/>
        <v>5.6111042914110296</v>
      </c>
      <c r="Y19" s="96">
        <f t="shared" si="10"/>
        <v>8.26</v>
      </c>
      <c r="Z19" s="96">
        <f t="shared" si="11"/>
        <v>0.31900000000000001</v>
      </c>
      <c r="AA19" s="60">
        <f t="shared" si="12"/>
        <v>9.4065412024390511</v>
      </c>
      <c r="AB19" s="96">
        <f t="shared" si="0"/>
        <v>2.9</v>
      </c>
      <c r="AC19" s="96">
        <f t="shared" si="1"/>
        <v>0.4</v>
      </c>
      <c r="AD19" s="60">
        <f t="shared" si="13"/>
        <v>3.4133560332957864</v>
      </c>
      <c r="AE19" s="96">
        <f t="shared" si="14"/>
        <v>6.5</v>
      </c>
      <c r="AF19" s="96">
        <f t="shared" si="15"/>
        <v>0.628</v>
      </c>
      <c r="AG19" s="60">
        <f t="shared" si="16"/>
        <v>8.3954425955308736</v>
      </c>
      <c r="AH19" s="96">
        <f t="shared" si="21"/>
        <v>7.4</v>
      </c>
      <c r="AI19" s="96">
        <f t="shared" si="22"/>
        <v>0.25</v>
      </c>
      <c r="AJ19" s="60">
        <f t="shared" si="17"/>
        <v>8.1935378614209071</v>
      </c>
    </row>
    <row r="20" spans="2:36">
      <c r="B20" s="32">
        <v>117</v>
      </c>
      <c r="C20" s="33" t="s">
        <v>86</v>
      </c>
      <c r="D20" s="34">
        <v>218</v>
      </c>
      <c r="E20" s="335">
        <v>1.648031496062992</v>
      </c>
      <c r="F20" s="35">
        <v>-0.31419999999999998</v>
      </c>
      <c r="G20" s="36">
        <v>0.80671499999999996</v>
      </c>
      <c r="H20" s="33" t="s">
        <v>86</v>
      </c>
      <c r="I20" s="37">
        <v>1.5031099999999999</v>
      </c>
      <c r="J20" s="35">
        <v>8.7632800710177339</v>
      </c>
      <c r="K20" s="35">
        <v>-0.31419999999999998</v>
      </c>
      <c r="M20" s="98">
        <f t="shared" si="18"/>
        <v>2.8220000000000001</v>
      </c>
      <c r="N20" s="98">
        <f t="shared" si="2"/>
        <v>3.8408799049960156</v>
      </c>
      <c r="O20" s="98">
        <f t="shared" si="3"/>
        <v>0.68820000000000003</v>
      </c>
      <c r="P20" s="98">
        <f t="shared" si="4"/>
        <v>7.8433945471532729</v>
      </c>
      <c r="Q20" s="98"/>
      <c r="R20" s="60">
        <f t="shared" si="19"/>
        <v>1.65</v>
      </c>
      <c r="S20" s="60">
        <f t="shared" si="5"/>
        <v>7.8521657949784069</v>
      </c>
      <c r="T20" s="60">
        <f t="shared" si="6"/>
        <v>-1.2999999999999999E-2</v>
      </c>
      <c r="U20" s="60">
        <f t="shared" si="20"/>
        <v>7.801213608674356</v>
      </c>
      <c r="V20" s="96">
        <f t="shared" si="7"/>
        <v>5.13</v>
      </c>
      <c r="W20" s="96">
        <f t="shared" si="8"/>
        <v>0.22</v>
      </c>
      <c r="X20" s="60">
        <f t="shared" si="9"/>
        <v>5.7274833168357899</v>
      </c>
      <c r="Y20" s="96">
        <f t="shared" si="10"/>
        <v>8.26</v>
      </c>
      <c r="Z20" s="96">
        <f t="shared" si="11"/>
        <v>0.31900000000000001</v>
      </c>
      <c r="AA20" s="60">
        <f t="shared" si="12"/>
        <v>9.6907507955007954</v>
      </c>
      <c r="AB20" s="96">
        <f t="shared" si="0"/>
        <v>2.9</v>
      </c>
      <c r="AC20" s="96">
        <f t="shared" si="1"/>
        <v>0.4</v>
      </c>
      <c r="AD20" s="60">
        <f t="shared" si="13"/>
        <v>3.5431666180067785</v>
      </c>
      <c r="AE20" s="96">
        <f t="shared" si="14"/>
        <v>6.5</v>
      </c>
      <c r="AF20" s="96">
        <f t="shared" si="15"/>
        <v>0.628</v>
      </c>
      <c r="AG20" s="60">
        <f t="shared" si="16"/>
        <v>8.9021165022776234</v>
      </c>
      <c r="AH20" s="96">
        <f t="shared" si="21"/>
        <v>7.4</v>
      </c>
      <c r="AI20" s="96">
        <f t="shared" si="22"/>
        <v>0.25</v>
      </c>
      <c r="AJ20" s="60">
        <f t="shared" si="17"/>
        <v>8.3869239653624046</v>
      </c>
    </row>
    <row r="21" spans="2:36">
      <c r="B21" s="32">
        <v>218</v>
      </c>
      <c r="C21" s="33" t="s">
        <v>86</v>
      </c>
      <c r="D21" s="34">
        <v>550</v>
      </c>
      <c r="E21" s="335">
        <v>0.3298031496062992</v>
      </c>
      <c r="F21" s="35">
        <v>-1.2999999999999999E-2</v>
      </c>
      <c r="G21" s="36">
        <v>1.5031099999999999</v>
      </c>
      <c r="H21" s="33" t="s">
        <v>86</v>
      </c>
      <c r="I21" s="37">
        <v>3.7922500000000001</v>
      </c>
      <c r="J21" s="35">
        <v>7.8521657949784069</v>
      </c>
      <c r="K21" s="35">
        <v>-1.2999999999999999E-2</v>
      </c>
      <c r="M21" s="98">
        <f t="shared" si="18"/>
        <v>3.0720000000000001</v>
      </c>
      <c r="N21" s="98">
        <f t="shared" si="2"/>
        <v>3.8408799049960156</v>
      </c>
      <c r="O21" s="98">
        <f t="shared" si="3"/>
        <v>0.68820000000000003</v>
      </c>
      <c r="P21" s="98">
        <f t="shared" si="4"/>
        <v>8.3152250095321865</v>
      </c>
      <c r="Q21" s="98"/>
      <c r="R21" s="60">
        <f t="shared" si="19"/>
        <v>1.7969999999999999</v>
      </c>
      <c r="S21" s="60">
        <f t="shared" si="5"/>
        <v>7.8521657949784069</v>
      </c>
      <c r="T21" s="60">
        <f t="shared" si="6"/>
        <v>-1.2999999999999999E-2</v>
      </c>
      <c r="U21" s="60">
        <f t="shared" si="20"/>
        <v>7.7925632490984515</v>
      </c>
      <c r="V21" s="96">
        <f t="shared" si="7"/>
        <v>5.13</v>
      </c>
      <c r="W21" s="96">
        <f t="shared" si="8"/>
        <v>0.22</v>
      </c>
      <c r="X21" s="60">
        <f t="shared" si="9"/>
        <v>5.8360357294929761</v>
      </c>
      <c r="Y21" s="96">
        <f t="shared" si="10"/>
        <v>8.26</v>
      </c>
      <c r="Z21" s="96">
        <f t="shared" si="11"/>
        <v>0.31900000000000001</v>
      </c>
      <c r="AA21" s="60">
        <f t="shared" si="12"/>
        <v>9.9582009066836878</v>
      </c>
      <c r="AB21" s="96">
        <f t="shared" si="0"/>
        <v>2.9</v>
      </c>
      <c r="AC21" s="96">
        <f t="shared" si="1"/>
        <v>0.4</v>
      </c>
      <c r="AD21" s="60">
        <f t="shared" si="13"/>
        <v>3.6662090804915897</v>
      </c>
      <c r="AE21" s="96">
        <f t="shared" si="14"/>
        <v>6.5</v>
      </c>
      <c r="AF21" s="96">
        <f t="shared" si="15"/>
        <v>0.628</v>
      </c>
      <c r="AG21" s="60">
        <f t="shared" si="16"/>
        <v>9.3922479475190634</v>
      </c>
      <c r="AH21" s="96">
        <f t="shared" si="21"/>
        <v>7.4</v>
      </c>
      <c r="AI21" s="96">
        <f t="shared" si="22"/>
        <v>0.25</v>
      </c>
      <c r="AJ21" s="60">
        <f t="shared" si="17"/>
        <v>8.5677885359303758</v>
      </c>
    </row>
    <row r="22" spans="2:36">
      <c r="B22" s="32">
        <v>550</v>
      </c>
      <c r="C22" s="33" t="s">
        <v>86</v>
      </c>
      <c r="D22" s="34">
        <v>1020</v>
      </c>
      <c r="E22" s="335">
        <v>1.0708661417322834E-2</v>
      </c>
      <c r="F22" s="35">
        <v>0.53539999999999999</v>
      </c>
      <c r="G22" s="36">
        <v>3.7922500000000001</v>
      </c>
      <c r="H22" s="33" t="s">
        <v>86</v>
      </c>
      <c r="I22" s="37">
        <v>7.0328999999999997</v>
      </c>
      <c r="J22" s="35">
        <v>3.9067683041390504</v>
      </c>
      <c r="K22" s="35">
        <v>0.53539999999999999</v>
      </c>
      <c r="M22" s="98">
        <f t="shared" si="18"/>
        <v>3.3220000000000001</v>
      </c>
      <c r="N22" s="98">
        <f t="shared" si="2"/>
        <v>3.8408799049960156</v>
      </c>
      <c r="O22" s="98">
        <f t="shared" si="3"/>
        <v>0.68820000000000003</v>
      </c>
      <c r="P22" s="98">
        <f t="shared" si="4"/>
        <v>8.7752187637091339</v>
      </c>
      <c r="Q22" s="98"/>
      <c r="R22" s="60">
        <f t="shared" si="19"/>
        <v>1.944</v>
      </c>
      <c r="S22" s="60">
        <f t="shared" si="5"/>
        <v>7.8521657949784069</v>
      </c>
      <c r="T22" s="60">
        <f t="shared" si="6"/>
        <v>-1.2999999999999999E-2</v>
      </c>
      <c r="U22" s="60">
        <f t="shared" si="20"/>
        <v>7.7846019298594484</v>
      </c>
      <c r="V22" s="96">
        <f t="shared" si="7"/>
        <v>5.13</v>
      </c>
      <c r="W22" s="96">
        <f t="shared" si="8"/>
        <v>0.22</v>
      </c>
      <c r="X22" s="60">
        <f t="shared" si="9"/>
        <v>5.937868048236747</v>
      </c>
      <c r="Y22" s="96">
        <f t="shared" si="10"/>
        <v>8.26</v>
      </c>
      <c r="Z22" s="96">
        <f t="shared" si="11"/>
        <v>0.31900000000000001</v>
      </c>
      <c r="AA22" s="60">
        <f t="shared" si="12"/>
        <v>10.211138208716385</v>
      </c>
      <c r="AB22" s="96">
        <f t="shared" si="0"/>
        <v>2.9</v>
      </c>
      <c r="AC22" s="96">
        <f t="shared" si="1"/>
        <v>0.4</v>
      </c>
      <c r="AD22" s="60">
        <f t="shared" si="13"/>
        <v>3.7833498443975704</v>
      </c>
      <c r="AE22" s="96">
        <f t="shared" si="14"/>
        <v>6.5</v>
      </c>
      <c r="AF22" s="96">
        <f t="shared" si="15"/>
        <v>0.628</v>
      </c>
      <c r="AG22" s="60">
        <f t="shared" si="16"/>
        <v>9.8676697988229947</v>
      </c>
      <c r="AH22" s="96">
        <f t="shared" si="21"/>
        <v>7.4</v>
      </c>
      <c r="AI22" s="96">
        <f t="shared" si="22"/>
        <v>0.25</v>
      </c>
      <c r="AJ22" s="60">
        <f t="shared" si="17"/>
        <v>8.7378741404185103</v>
      </c>
    </row>
    <row r="23" spans="2:36">
      <c r="B23" s="26">
        <v>1020</v>
      </c>
      <c r="C23" s="27" t="s">
        <v>86</v>
      </c>
      <c r="D23" s="28">
        <v>1548</v>
      </c>
      <c r="E23" s="335">
        <v>0.27665354330708658</v>
      </c>
      <c r="F23" s="35">
        <v>6.3799999999999996E-2</v>
      </c>
      <c r="G23" s="30">
        <v>7.0328999999999997</v>
      </c>
      <c r="H23" s="27" t="s">
        <v>86</v>
      </c>
      <c r="I23" s="38">
        <v>10.67346</v>
      </c>
      <c r="J23" s="35">
        <v>9.6532036198768516</v>
      </c>
      <c r="K23" s="35">
        <v>6.3799999999999996E-2</v>
      </c>
      <c r="M23" s="98">
        <f t="shared" si="18"/>
        <v>3.5720000000000001</v>
      </c>
      <c r="N23" s="98">
        <f t="shared" si="2"/>
        <v>3.8408799049960156</v>
      </c>
      <c r="O23" s="98">
        <f t="shared" si="3"/>
        <v>0.68820000000000003</v>
      </c>
      <c r="P23" s="98">
        <f t="shared" si="4"/>
        <v>9.2245329836184613</v>
      </c>
      <c r="Q23" s="98"/>
      <c r="R23" s="60">
        <f t="shared" si="19"/>
        <v>2.0910000000000002</v>
      </c>
      <c r="S23" s="60">
        <f t="shared" si="5"/>
        <v>7.8521657949784069</v>
      </c>
      <c r="T23" s="60">
        <f t="shared" si="6"/>
        <v>-1.2999999999999999E-2</v>
      </c>
      <c r="U23" s="60">
        <f t="shared" si="20"/>
        <v>7.7772284917136059</v>
      </c>
      <c r="V23" s="96">
        <f t="shared" si="7"/>
        <v>5.13</v>
      </c>
      <c r="W23" s="96">
        <f t="shared" si="8"/>
        <v>0.22</v>
      </c>
      <c r="X23" s="60">
        <f t="shared" si="9"/>
        <v>6.0338603202130594</v>
      </c>
      <c r="Y23" s="96">
        <f t="shared" si="10"/>
        <v>8.26</v>
      </c>
      <c r="Z23" s="96">
        <f t="shared" si="11"/>
        <v>0.31900000000000001</v>
      </c>
      <c r="AA23" s="60">
        <f t="shared" si="12"/>
        <v>10.451364245048202</v>
      </c>
      <c r="AB23" s="96">
        <f t="shared" si="0"/>
        <v>2.9</v>
      </c>
      <c r="AC23" s="96">
        <f t="shared" si="1"/>
        <v>0.4</v>
      </c>
      <c r="AD23" s="60">
        <f t="shared" si="13"/>
        <v>3.8952883413514137</v>
      </c>
      <c r="AE23" s="96">
        <f t="shared" si="14"/>
        <v>6.5</v>
      </c>
      <c r="AF23" s="96">
        <f t="shared" si="15"/>
        <v>0.628</v>
      </c>
      <c r="AG23" s="60">
        <f t="shared" si="16"/>
        <v>10.329889818849496</v>
      </c>
      <c r="AH23" s="96">
        <f t="shared" si="21"/>
        <v>7.4</v>
      </c>
      <c r="AI23" s="96">
        <f t="shared" si="22"/>
        <v>0.25</v>
      </c>
      <c r="AJ23" s="60">
        <f t="shared" si="17"/>
        <v>8.8985701392664716</v>
      </c>
    </row>
    <row r="24" spans="2:36">
      <c r="M24" s="98">
        <f t="shared" si="18"/>
        <v>3.8220000000000001</v>
      </c>
      <c r="N24" s="98">
        <f t="shared" si="2"/>
        <v>3.8408799049960156</v>
      </c>
      <c r="O24" s="98">
        <f t="shared" si="3"/>
        <v>0.68820000000000003</v>
      </c>
      <c r="P24" s="98">
        <f t="shared" si="4"/>
        <v>9.6641391797676466</v>
      </c>
      <c r="Q24" s="98"/>
      <c r="R24" s="60">
        <f t="shared" si="19"/>
        <v>2.2380000000000004</v>
      </c>
      <c r="S24" s="60">
        <f t="shared" si="5"/>
        <v>7.8521657949784069</v>
      </c>
      <c r="T24" s="60">
        <f t="shared" si="6"/>
        <v>-1.2999999999999999E-2</v>
      </c>
      <c r="U24" s="60">
        <f t="shared" si="20"/>
        <v>7.7703625013564839</v>
      </c>
      <c r="V24" s="96">
        <f t="shared" si="7"/>
        <v>5.13</v>
      </c>
      <c r="W24" s="96">
        <f t="shared" si="8"/>
        <v>0.22</v>
      </c>
      <c r="X24" s="60">
        <f t="shared" si="9"/>
        <v>6.1247248523620117</v>
      </c>
      <c r="Y24" s="96">
        <f t="shared" si="10"/>
        <v>8.26</v>
      </c>
      <c r="Z24" s="96">
        <f t="shared" si="11"/>
        <v>0.31900000000000001</v>
      </c>
      <c r="AA24" s="60">
        <f t="shared" si="12"/>
        <v>10.680348243691963</v>
      </c>
      <c r="AB24" s="96">
        <f t="shared" si="0"/>
        <v>2.9</v>
      </c>
      <c r="AC24" s="96">
        <f t="shared" si="1"/>
        <v>0.4</v>
      </c>
      <c r="AD24" s="60">
        <f t="shared" si="13"/>
        <v>4.002598522988575</v>
      </c>
      <c r="AE24" s="96">
        <f t="shared" si="14"/>
        <v>6.5</v>
      </c>
      <c r="AF24" s="96">
        <f t="shared" si="15"/>
        <v>0.628</v>
      </c>
      <c r="AG24" s="60">
        <f t="shared" si="16"/>
        <v>10.780166988144853</v>
      </c>
      <c r="AH24" s="96">
        <f t="shared" si="21"/>
        <v>7.4</v>
      </c>
      <c r="AI24" s="96">
        <f t="shared" si="22"/>
        <v>0.25</v>
      </c>
      <c r="AJ24" s="60">
        <f t="shared" si="17"/>
        <v>9.051003655134167</v>
      </c>
    </row>
    <row r="25" spans="2:36">
      <c r="B25" s="436" t="s">
        <v>476</v>
      </c>
      <c r="C25" s="437"/>
      <c r="D25" s="437"/>
      <c r="E25" s="437"/>
      <c r="F25" s="437"/>
      <c r="G25" s="437"/>
      <c r="H25" s="437"/>
      <c r="I25" s="437"/>
      <c r="J25" s="437"/>
      <c r="K25" s="438"/>
      <c r="M25" s="98">
        <f t="shared" si="18"/>
        <v>4.0720000000000001</v>
      </c>
      <c r="N25" s="98">
        <f t="shared" si="2"/>
        <v>3.8408799049960156</v>
      </c>
      <c r="O25" s="98">
        <f t="shared" si="3"/>
        <v>0.68820000000000003</v>
      </c>
      <c r="P25" s="98">
        <f t="shared" si="4"/>
        <v>10.094863127774543</v>
      </c>
      <c r="Q25" s="98"/>
      <c r="R25" s="60">
        <f t="shared" si="19"/>
        <v>2.3850000000000007</v>
      </c>
      <c r="S25" s="60">
        <f t="shared" si="5"/>
        <v>7.8521657949784069</v>
      </c>
      <c r="T25" s="60">
        <f t="shared" si="6"/>
        <v>-1.2999999999999999E-2</v>
      </c>
      <c r="U25" s="60">
        <f t="shared" si="20"/>
        <v>7.7639389539880135</v>
      </c>
      <c r="V25" s="96">
        <f t="shared" si="7"/>
        <v>5.13</v>
      </c>
      <c r="W25" s="96">
        <f t="shared" si="8"/>
        <v>0.22</v>
      </c>
      <c r="X25" s="60">
        <f t="shared" si="9"/>
        <v>6.2110469116140763</v>
      </c>
      <c r="Y25" s="96">
        <f t="shared" si="10"/>
        <v>8.26</v>
      </c>
      <c r="Z25" s="96">
        <f t="shared" si="11"/>
        <v>0.31900000000000001</v>
      </c>
      <c r="AA25" s="60">
        <f t="shared" si="12"/>
        <v>10.899305898790347</v>
      </c>
      <c r="AB25" s="96">
        <f t="shared" si="0"/>
        <v>2.9</v>
      </c>
      <c r="AC25" s="96">
        <f t="shared" si="1"/>
        <v>0.4</v>
      </c>
      <c r="AD25" s="60">
        <f t="shared" si="13"/>
        <v>4.1057580328790628</v>
      </c>
      <c r="AE25" s="96">
        <f t="shared" si="14"/>
        <v>6.5</v>
      </c>
      <c r="AF25" s="96">
        <f t="shared" si="15"/>
        <v>0.628</v>
      </c>
      <c r="AG25" s="60">
        <f t="shared" si="16"/>
        <v>11.219566096126943</v>
      </c>
      <c r="AH25" s="96">
        <f t="shared" si="21"/>
        <v>7.4</v>
      </c>
      <c r="AI25" s="96">
        <f t="shared" si="22"/>
        <v>0.25</v>
      </c>
      <c r="AJ25" s="60">
        <f t="shared" si="17"/>
        <v>9.1961027603038037</v>
      </c>
    </row>
    <row r="26" spans="2:36">
      <c r="B26" s="439"/>
      <c r="C26" s="439"/>
      <c r="D26" s="439"/>
      <c r="E26" s="25" t="s">
        <v>80</v>
      </c>
      <c r="F26" s="25" t="s">
        <v>81</v>
      </c>
      <c r="G26" s="439"/>
      <c r="H26" s="439"/>
      <c r="I26" s="439"/>
      <c r="J26" s="25" t="s">
        <v>80</v>
      </c>
      <c r="K26" s="25" t="s">
        <v>81</v>
      </c>
      <c r="M26" s="98">
        <f t="shared" ref="M26:M54" si="23">M25+$M$5</f>
        <v>4.3220000000000001</v>
      </c>
      <c r="N26" s="98">
        <f t="shared" si="2"/>
        <v>3.8408799049960156</v>
      </c>
      <c r="O26" s="98">
        <f t="shared" si="3"/>
        <v>0.68820000000000003</v>
      </c>
      <c r="P26" s="98">
        <f t="shared" si="4"/>
        <v>10.517414293326143</v>
      </c>
      <c r="Q26" s="98"/>
      <c r="R26" s="60">
        <f t="shared" si="19"/>
        <v>2.5320000000000009</v>
      </c>
      <c r="S26" s="60">
        <f t="shared" si="5"/>
        <v>7.8521657949784069</v>
      </c>
      <c r="T26" s="60">
        <f t="shared" si="6"/>
        <v>-1.2999999999999999E-2</v>
      </c>
      <c r="U26" s="60">
        <f t="shared" si="20"/>
        <v>7.7579045664627335</v>
      </c>
      <c r="V26" s="96">
        <f t="shared" si="7"/>
        <v>5.13</v>
      </c>
      <c r="W26" s="96">
        <f t="shared" si="8"/>
        <v>0.22</v>
      </c>
      <c r="X26" s="60">
        <f t="shared" si="9"/>
        <v>6.2933136860522163</v>
      </c>
      <c r="Y26" s="96">
        <f t="shared" si="10"/>
        <v>8.26</v>
      </c>
      <c r="Z26" s="96">
        <f t="shared" si="11"/>
        <v>0.31900000000000001</v>
      </c>
      <c r="AA26" s="60">
        <f t="shared" si="12"/>
        <v>11.109255829876441</v>
      </c>
      <c r="AB26" s="96">
        <f t="shared" si="0"/>
        <v>2.9</v>
      </c>
      <c r="AC26" s="96">
        <f t="shared" si="1"/>
        <v>0.4</v>
      </c>
      <c r="AD26" s="60">
        <f t="shared" si="13"/>
        <v>4.2051692348090439</v>
      </c>
      <c r="AE26" s="96">
        <f t="shared" si="14"/>
        <v>6.5</v>
      </c>
      <c r="AF26" s="96">
        <f t="shared" si="15"/>
        <v>0.628</v>
      </c>
      <c r="AG26" s="60">
        <f t="shared" si="16"/>
        <v>11.648997742109536</v>
      </c>
      <c r="AH26" s="96">
        <f t="shared" si="21"/>
        <v>7.4</v>
      </c>
      <c r="AI26" s="96">
        <f t="shared" si="22"/>
        <v>0.25</v>
      </c>
      <c r="AJ26" s="60">
        <f t="shared" si="17"/>
        <v>9.3346415362260817</v>
      </c>
    </row>
    <row r="27" spans="2:36" ht="13.5" thickBot="1">
      <c r="B27" s="440" t="s">
        <v>82</v>
      </c>
      <c r="C27" s="440"/>
      <c r="D27" s="440"/>
      <c r="E27" s="440" t="s">
        <v>83</v>
      </c>
      <c r="F27" s="440"/>
      <c r="G27" s="441" t="s">
        <v>84</v>
      </c>
      <c r="H27" s="442"/>
      <c r="I27" s="443"/>
      <c r="J27" s="441" t="s">
        <v>85</v>
      </c>
      <c r="K27" s="443"/>
      <c r="M27" s="98">
        <f t="shared" si="23"/>
        <v>4.5720000000000001</v>
      </c>
      <c r="N27" s="98">
        <f t="shared" si="2"/>
        <v>3.8408799049960156</v>
      </c>
      <c r="O27" s="98">
        <f t="shared" si="3"/>
        <v>0.68820000000000003</v>
      </c>
      <c r="P27" s="98">
        <f t="shared" si="4"/>
        <v>10.932407963195997</v>
      </c>
      <c r="Q27" s="98"/>
      <c r="R27" s="60">
        <f t="shared" si="19"/>
        <v>2.6790000000000012</v>
      </c>
      <c r="S27" s="60">
        <f t="shared" si="5"/>
        <v>7.8521657949784069</v>
      </c>
      <c r="T27" s="60">
        <f t="shared" si="6"/>
        <v>-1.2999999999999999E-2</v>
      </c>
      <c r="U27" s="60">
        <f t="shared" si="20"/>
        <v>7.7522151204058236</v>
      </c>
      <c r="V27" s="96">
        <f t="shared" si="7"/>
        <v>5.13</v>
      </c>
      <c r="W27" s="96">
        <f t="shared" si="8"/>
        <v>0.22</v>
      </c>
      <c r="X27" s="60">
        <f t="shared" si="9"/>
        <v>6.371935369505298</v>
      </c>
      <c r="Y27" s="96">
        <f t="shared" si="10"/>
        <v>8.26</v>
      </c>
      <c r="Z27" s="96">
        <f t="shared" si="11"/>
        <v>0.31900000000000001</v>
      </c>
      <c r="AA27" s="60">
        <f t="shared" si="12"/>
        <v>11.311060959363074</v>
      </c>
      <c r="AB27" s="96">
        <f t="shared" si="0"/>
        <v>2.9</v>
      </c>
      <c r="AC27" s="96">
        <f t="shared" si="1"/>
        <v>0.4</v>
      </c>
      <c r="AD27" s="60">
        <f t="shared" si="13"/>
        <v>4.3011747076556706</v>
      </c>
      <c r="AE27" s="96">
        <f t="shared" si="14"/>
        <v>6.5</v>
      </c>
      <c r="AF27" s="96">
        <f t="shared" si="15"/>
        <v>0.628</v>
      </c>
      <c r="AG27" s="60">
        <f t="shared" si="16"/>
        <v>12.069248263561752</v>
      </c>
      <c r="AH27" s="96">
        <f t="shared" si="21"/>
        <v>7.4</v>
      </c>
      <c r="AI27" s="96">
        <f t="shared" si="22"/>
        <v>0.25</v>
      </c>
      <c r="AJ27" s="60">
        <f t="shared" si="17"/>
        <v>9.4672729442092223</v>
      </c>
    </row>
    <row r="28" spans="2:36" ht="13.5" thickTop="1">
      <c r="B28" s="26">
        <v>14</v>
      </c>
      <c r="C28" s="27" t="s">
        <v>86</v>
      </c>
      <c r="D28" s="28">
        <v>1500</v>
      </c>
      <c r="E28" s="334">
        <v>6.7599999999999993E-2</v>
      </c>
      <c r="F28" s="29">
        <v>0.22</v>
      </c>
      <c r="G28" s="30">
        <v>0.10100000000000001</v>
      </c>
      <c r="H28" s="27" t="s">
        <v>86</v>
      </c>
      <c r="I28" s="31">
        <v>10.3</v>
      </c>
      <c r="J28" s="29">
        <v>5.13</v>
      </c>
      <c r="K28" s="29">
        <v>0.22</v>
      </c>
      <c r="M28" s="98">
        <f t="shared" si="23"/>
        <v>4.8220000000000001</v>
      </c>
      <c r="N28" s="98">
        <f t="shared" si="2"/>
        <v>3.8408799049960156</v>
      </c>
      <c r="O28" s="98">
        <f t="shared" si="3"/>
        <v>0.68820000000000003</v>
      </c>
      <c r="P28" s="98">
        <f t="shared" si="4"/>
        <v>11.340382189469967</v>
      </c>
      <c r="Q28" s="98"/>
      <c r="R28" s="60">
        <f t="shared" si="19"/>
        <v>2.8260000000000014</v>
      </c>
      <c r="S28" s="60">
        <f t="shared" si="5"/>
        <v>7.8521657949784069</v>
      </c>
      <c r="T28" s="60">
        <f t="shared" si="6"/>
        <v>-1.2999999999999999E-2</v>
      </c>
      <c r="U28" s="60">
        <f t="shared" si="20"/>
        <v>7.7468335175651957</v>
      </c>
      <c r="V28" s="96">
        <f t="shared" si="7"/>
        <v>5.13</v>
      </c>
      <c r="W28" s="96">
        <f t="shared" si="8"/>
        <v>0.22</v>
      </c>
      <c r="X28" s="60">
        <f t="shared" si="9"/>
        <v>6.4472608211874141</v>
      </c>
      <c r="Y28" s="96">
        <f t="shared" si="10"/>
        <v>8.26</v>
      </c>
      <c r="Z28" s="96">
        <f t="shared" si="11"/>
        <v>0.31900000000000001</v>
      </c>
      <c r="AA28" s="60">
        <f t="shared" si="12"/>
        <v>11.505459435177105</v>
      </c>
      <c r="AB28" s="96">
        <f t="shared" si="0"/>
        <v>2.9</v>
      </c>
      <c r="AC28" s="96">
        <f t="shared" si="1"/>
        <v>0.4</v>
      </c>
      <c r="AD28" s="60">
        <f t="shared" si="13"/>
        <v>4.3940688841132829</v>
      </c>
      <c r="AE28" s="96">
        <f t="shared" si="14"/>
        <v>6.5</v>
      </c>
      <c r="AF28" s="96">
        <f t="shared" si="15"/>
        <v>0.628</v>
      </c>
      <c r="AG28" s="60">
        <f t="shared" si="16"/>
        <v>12.481002539659375</v>
      </c>
      <c r="AH28" s="96">
        <f t="shared" si="21"/>
        <v>7.4</v>
      </c>
      <c r="AI28" s="96">
        <f t="shared" si="22"/>
        <v>0.25</v>
      </c>
      <c r="AJ28" s="60">
        <f t="shared" si="17"/>
        <v>9.5945532846241601</v>
      </c>
    </row>
    <row r="29" spans="2:36">
      <c r="M29" s="98">
        <f t="shared" si="23"/>
        <v>5.0720000000000001</v>
      </c>
      <c r="N29" s="98">
        <f t="shared" si="2"/>
        <v>3.8408799049960156</v>
      </c>
      <c r="O29" s="98">
        <f t="shared" si="3"/>
        <v>0.68820000000000003</v>
      </c>
      <c r="P29" s="98">
        <f t="shared" si="4"/>
        <v>11.741810967849634</v>
      </c>
      <c r="Q29" s="98"/>
      <c r="R29" s="60">
        <f t="shared" si="19"/>
        <v>2.9730000000000016</v>
      </c>
      <c r="S29" s="60">
        <f t="shared" si="5"/>
        <v>7.8521657949784069</v>
      </c>
      <c r="T29" s="60">
        <f t="shared" si="6"/>
        <v>-1.2999999999999999E-2</v>
      </c>
      <c r="U29" s="60">
        <f t="shared" si="20"/>
        <v>7.7417283299614903</v>
      </c>
      <c r="V29" s="96">
        <f t="shared" si="7"/>
        <v>5.13</v>
      </c>
      <c r="W29" s="96">
        <f t="shared" si="8"/>
        <v>0.22</v>
      </c>
      <c r="X29" s="60">
        <f t="shared" si="9"/>
        <v>6.5195894024173873</v>
      </c>
      <c r="Y29" s="96">
        <f t="shared" si="10"/>
        <v>8.26</v>
      </c>
      <c r="Z29" s="96">
        <f t="shared" si="11"/>
        <v>0.31900000000000001</v>
      </c>
      <c r="AA29" s="60">
        <f t="shared" si="12"/>
        <v>11.693088141181613</v>
      </c>
      <c r="AB29" s="96">
        <f t="shared" si="0"/>
        <v>2.9</v>
      </c>
      <c r="AC29" s="96">
        <f t="shared" si="1"/>
        <v>0.4</v>
      </c>
      <c r="AD29" s="60">
        <f t="shared" si="13"/>
        <v>4.4841069419350692</v>
      </c>
      <c r="AE29" s="96">
        <f t="shared" si="14"/>
        <v>6.5</v>
      </c>
      <c r="AF29" s="96">
        <f t="shared" si="15"/>
        <v>0.628</v>
      </c>
      <c r="AG29" s="60">
        <f t="shared" si="16"/>
        <v>12.884861647272995</v>
      </c>
      <c r="AH29" s="96">
        <f t="shared" si="21"/>
        <v>7.4</v>
      </c>
      <c r="AI29" s="96">
        <f t="shared" si="22"/>
        <v>0.25</v>
      </c>
      <c r="AJ29" s="60">
        <f t="shared" si="17"/>
        <v>9.7169607177155495</v>
      </c>
    </row>
    <row r="30" spans="2:36">
      <c r="B30" s="436" t="s">
        <v>367</v>
      </c>
      <c r="C30" s="437"/>
      <c r="D30" s="437"/>
      <c r="E30" s="437"/>
      <c r="F30" s="437"/>
      <c r="G30" s="437"/>
      <c r="H30" s="437"/>
      <c r="I30" s="437"/>
      <c r="J30" s="437"/>
      <c r="K30" s="438"/>
      <c r="M30" s="98">
        <f t="shared" si="23"/>
        <v>5.3220000000000001</v>
      </c>
      <c r="N30" s="98">
        <f t="shared" si="2"/>
        <v>3.8408799049960156</v>
      </c>
      <c r="O30" s="98">
        <f t="shared" si="3"/>
        <v>0.68820000000000003</v>
      </c>
      <c r="P30" s="98">
        <f t="shared" si="4"/>
        <v>12.137114630927718</v>
      </c>
      <c r="Q30" s="98"/>
      <c r="R30" s="60">
        <f t="shared" si="19"/>
        <v>3.1200000000000019</v>
      </c>
      <c r="S30" s="60">
        <f t="shared" si="5"/>
        <v>7.8521657949784069</v>
      </c>
      <c r="T30" s="60">
        <f t="shared" si="6"/>
        <v>-1.2999999999999999E-2</v>
      </c>
      <c r="U30" s="60">
        <f t="shared" si="20"/>
        <v>7.7368727010922083</v>
      </c>
      <c r="V30" s="96">
        <f t="shared" si="7"/>
        <v>5.13</v>
      </c>
      <c r="W30" s="96">
        <f t="shared" si="8"/>
        <v>0.22</v>
      </c>
      <c r="X30" s="60">
        <f t="shared" si="9"/>
        <v>6.589180064357417</v>
      </c>
      <c r="Y30" s="96">
        <f t="shared" si="10"/>
        <v>8.26</v>
      </c>
      <c r="Z30" s="96">
        <f t="shared" si="11"/>
        <v>0.31900000000000001</v>
      </c>
      <c r="AA30" s="60">
        <f t="shared" si="12"/>
        <v>11.874500847160288</v>
      </c>
      <c r="AB30" s="96">
        <f t="shared" si="0"/>
        <v>2.9</v>
      </c>
      <c r="AC30" s="96">
        <f t="shared" si="1"/>
        <v>0.4</v>
      </c>
      <c r="AD30" s="60">
        <f t="shared" si="13"/>
        <v>4.5715116989344065</v>
      </c>
      <c r="AE30" s="96">
        <f t="shared" si="14"/>
        <v>6.5</v>
      </c>
      <c r="AF30" s="96">
        <f t="shared" si="15"/>
        <v>0.628</v>
      </c>
      <c r="AG30" s="60">
        <f t="shared" si="16"/>
        <v>13.281356727501089</v>
      </c>
      <c r="AH30" s="96">
        <f t="shared" si="21"/>
        <v>7.4</v>
      </c>
      <c r="AI30" s="96">
        <f t="shared" si="22"/>
        <v>0.25</v>
      </c>
      <c r="AJ30" s="60">
        <f t="shared" si="17"/>
        <v>9.8349095068547836</v>
      </c>
    </row>
    <row r="31" spans="2:36">
      <c r="B31" s="439"/>
      <c r="C31" s="439"/>
      <c r="D31" s="439"/>
      <c r="E31" s="25" t="s">
        <v>80</v>
      </c>
      <c r="F31" s="25" t="s">
        <v>81</v>
      </c>
      <c r="G31" s="439"/>
      <c r="H31" s="439"/>
      <c r="I31" s="439"/>
      <c r="J31" s="25" t="s">
        <v>80</v>
      </c>
      <c r="K31" s="25" t="s">
        <v>81</v>
      </c>
      <c r="M31" s="98">
        <f t="shared" si="23"/>
        <v>5.5720000000000001</v>
      </c>
      <c r="N31" s="98">
        <f t="shared" si="2"/>
        <v>3.8408799049960156</v>
      </c>
      <c r="O31" s="98">
        <f t="shared" si="3"/>
        <v>0.68820000000000003</v>
      </c>
      <c r="P31" s="98">
        <f t="shared" si="4"/>
        <v>12.526668147844054</v>
      </c>
      <c r="Q31" s="98"/>
      <c r="R31" s="60">
        <f t="shared" si="19"/>
        <v>3.2670000000000021</v>
      </c>
      <c r="S31" s="60">
        <f t="shared" si="5"/>
        <v>7.8521657949784069</v>
      </c>
      <c r="T31" s="60">
        <f t="shared" si="6"/>
        <v>-1.2999999999999999E-2</v>
      </c>
      <c r="U31" s="60">
        <f t="shared" si="20"/>
        <v>7.7322435009134436</v>
      </c>
      <c r="V31" s="96">
        <f t="shared" si="7"/>
        <v>5.13</v>
      </c>
      <c r="W31" s="96">
        <f t="shared" si="8"/>
        <v>0.22</v>
      </c>
      <c r="X31" s="60">
        <f t="shared" si="9"/>
        <v>6.6562584231512005</v>
      </c>
      <c r="Y31" s="96">
        <f t="shared" si="10"/>
        <v>8.26</v>
      </c>
      <c r="Z31" s="96">
        <f t="shared" si="11"/>
        <v>0.31900000000000001</v>
      </c>
      <c r="AA31" s="60">
        <f t="shared" si="12"/>
        <v>12.050182413095706</v>
      </c>
      <c r="AB31" s="96">
        <f t="shared" si="0"/>
        <v>2.9</v>
      </c>
      <c r="AC31" s="96">
        <f t="shared" si="1"/>
        <v>0.4</v>
      </c>
      <c r="AD31" s="60">
        <f t="shared" si="13"/>
        <v>4.6564790321090843</v>
      </c>
      <c r="AE31" s="96">
        <f t="shared" si="14"/>
        <v>6.5</v>
      </c>
      <c r="AF31" s="96">
        <f t="shared" si="15"/>
        <v>0.628</v>
      </c>
      <c r="AG31" s="60">
        <f t="shared" si="16"/>
        <v>13.670960015615663</v>
      </c>
      <c r="AH31" s="96">
        <f t="shared" si="21"/>
        <v>7.4</v>
      </c>
      <c r="AI31" s="96">
        <f t="shared" si="22"/>
        <v>0.25</v>
      </c>
      <c r="AJ31" s="60">
        <f t="shared" si="17"/>
        <v>9.9487611249664454</v>
      </c>
    </row>
    <row r="32" spans="2:36" ht="13.5" thickBot="1">
      <c r="B32" s="440" t="s">
        <v>82</v>
      </c>
      <c r="C32" s="440"/>
      <c r="D32" s="440"/>
      <c r="E32" s="440" t="s">
        <v>83</v>
      </c>
      <c r="F32" s="440"/>
      <c r="G32" s="441" t="s">
        <v>84</v>
      </c>
      <c r="H32" s="442"/>
      <c r="I32" s="443"/>
      <c r="J32" s="441" t="s">
        <v>85</v>
      </c>
      <c r="K32" s="443"/>
      <c r="M32" s="98">
        <v>5.93</v>
      </c>
      <c r="N32" s="98">
        <f t="shared" si="2"/>
        <v>17.20418640980624</v>
      </c>
      <c r="O32" s="98">
        <f t="shared" si="3"/>
        <v>-0.14810000000000001</v>
      </c>
      <c r="P32" s="98">
        <f t="shared" si="4"/>
        <v>13.217360622834429</v>
      </c>
      <c r="Q32" s="98"/>
      <c r="R32" s="60">
        <f t="shared" si="19"/>
        <v>3.4140000000000024</v>
      </c>
      <c r="S32" s="60">
        <f t="shared" si="5"/>
        <v>7.8521657949784069</v>
      </c>
      <c r="T32" s="60">
        <f t="shared" si="6"/>
        <v>-1.2999999999999999E-2</v>
      </c>
      <c r="U32" s="60">
        <f t="shared" si="20"/>
        <v>7.7278206673804695</v>
      </c>
      <c r="V32" s="96">
        <f t="shared" si="7"/>
        <v>5.13</v>
      </c>
      <c r="W32" s="96">
        <f t="shared" si="8"/>
        <v>0.22</v>
      </c>
      <c r="X32" s="60">
        <f t="shared" si="9"/>
        <v>6.7210223376619975</v>
      </c>
      <c r="Y32" s="96">
        <f t="shared" si="10"/>
        <v>8.26</v>
      </c>
      <c r="Z32" s="96">
        <f t="shared" si="11"/>
        <v>0.31900000000000001</v>
      </c>
      <c r="AA32" s="60">
        <f t="shared" si="12"/>
        <v>12.220560042775332</v>
      </c>
      <c r="AB32" s="96">
        <f t="shared" si="0"/>
        <v>2.9</v>
      </c>
      <c r="AC32" s="96">
        <f t="shared" si="1"/>
        <v>0.4</v>
      </c>
      <c r="AD32" s="60">
        <f t="shared" si="13"/>
        <v>4.7391821884610827</v>
      </c>
      <c r="AE32" s="96">
        <f t="shared" si="14"/>
        <v>6.5</v>
      </c>
      <c r="AF32" s="96">
        <f t="shared" si="15"/>
        <v>0.628</v>
      </c>
      <c r="AG32" s="60">
        <f t="shared" si="16"/>
        <v>14.05409371572029</v>
      </c>
      <c r="AH32" s="96">
        <f t="shared" si="21"/>
        <v>7.4</v>
      </c>
      <c r="AI32" s="96">
        <f t="shared" si="22"/>
        <v>0.25</v>
      </c>
      <c r="AJ32" s="60">
        <f t="shared" si="17"/>
        <v>10.058833023504658</v>
      </c>
    </row>
    <row r="33" spans="2:36" ht="13.5" thickTop="1">
      <c r="B33" s="26">
        <v>14</v>
      </c>
      <c r="C33" s="27" t="s">
        <v>86</v>
      </c>
      <c r="D33" s="28">
        <v>1500</v>
      </c>
      <c r="E33" s="334">
        <v>6.6500000000000004E-2</v>
      </c>
      <c r="F33" s="29">
        <v>0.31900000000000001</v>
      </c>
      <c r="G33" s="30">
        <v>0.10100000000000001</v>
      </c>
      <c r="H33" s="27" t="s">
        <v>86</v>
      </c>
      <c r="I33" s="31">
        <v>10.3</v>
      </c>
      <c r="J33" s="29">
        <v>8.26</v>
      </c>
      <c r="K33" s="29">
        <v>0.31900000000000001</v>
      </c>
      <c r="M33" s="98">
        <f t="shared" si="23"/>
        <v>6.18</v>
      </c>
      <c r="N33" s="98">
        <f t="shared" si="2"/>
        <v>17.20418640980624</v>
      </c>
      <c r="O33" s="98">
        <f t="shared" si="3"/>
        <v>-0.14810000000000001</v>
      </c>
      <c r="P33" s="98">
        <f t="shared" si="4"/>
        <v>13.136774539884957</v>
      </c>
      <c r="Q33" s="98"/>
      <c r="R33" s="60">
        <f t="shared" si="19"/>
        <v>3.5610000000000026</v>
      </c>
      <c r="S33" s="60">
        <f t="shared" si="5"/>
        <v>7.8521657949784069</v>
      </c>
      <c r="T33" s="60">
        <f t="shared" si="6"/>
        <v>-1.2999999999999999E-2</v>
      </c>
      <c r="U33" s="60">
        <f t="shared" si="20"/>
        <v>7.723586687220636</v>
      </c>
      <c r="V33" s="96">
        <f t="shared" si="7"/>
        <v>5.13</v>
      </c>
      <c r="W33" s="96">
        <f t="shared" si="8"/>
        <v>0.22</v>
      </c>
      <c r="X33" s="60">
        <f t="shared" si="9"/>
        <v>6.7836463568428407</v>
      </c>
      <c r="Y33" s="96">
        <f t="shared" si="10"/>
        <v>8.26</v>
      </c>
      <c r="Z33" s="96">
        <f t="shared" si="11"/>
        <v>0.31900000000000001</v>
      </c>
      <c r="AA33" s="60">
        <f t="shared" si="12"/>
        <v>12.38601229914714</v>
      </c>
      <c r="AB33" s="96">
        <f t="shared" si="0"/>
        <v>2.9</v>
      </c>
      <c r="AC33" s="96">
        <f t="shared" si="1"/>
        <v>0.4</v>
      </c>
      <c r="AD33" s="60">
        <f t="shared" si="13"/>
        <v>4.819775251764181</v>
      </c>
      <c r="AE33" s="96">
        <f t="shared" si="14"/>
        <v>6.5</v>
      </c>
      <c r="AF33" s="96">
        <f t="shared" si="15"/>
        <v>0.628</v>
      </c>
      <c r="AG33" s="60">
        <f t="shared" si="16"/>
        <v>14.431137215583565</v>
      </c>
      <c r="AH33" s="96">
        <f t="shared" si="21"/>
        <v>7.4</v>
      </c>
      <c r="AI33" s="96">
        <f t="shared" si="22"/>
        <v>0.25</v>
      </c>
      <c r="AJ33" s="60">
        <f t="shared" si="17"/>
        <v>10.165405634324063</v>
      </c>
    </row>
    <row r="34" spans="2:36" ht="13.5" thickBot="1">
      <c r="M34" s="98">
        <f t="shared" si="23"/>
        <v>6.43</v>
      </c>
      <c r="N34" s="98">
        <f t="shared" si="2"/>
        <v>17.20418640980624</v>
      </c>
      <c r="O34" s="98">
        <f t="shared" si="3"/>
        <v>-0.14810000000000001</v>
      </c>
      <c r="P34" s="98">
        <f t="shared" si="4"/>
        <v>13.059847161795481</v>
      </c>
      <c r="Q34" s="98"/>
      <c r="R34" s="60">
        <v>3.7919999999999998</v>
      </c>
      <c r="S34" s="60">
        <f t="shared" si="5"/>
        <v>7.8521657949784069</v>
      </c>
      <c r="T34" s="60">
        <f t="shared" si="6"/>
        <v>-1.2999999999999999E-2</v>
      </c>
      <c r="U34" s="60">
        <f t="shared" si="20"/>
        <v>7.7172784893185353</v>
      </c>
      <c r="V34" s="96">
        <f t="shared" si="7"/>
        <v>5.13</v>
      </c>
      <c r="W34" s="96">
        <f t="shared" si="8"/>
        <v>0.22</v>
      </c>
      <c r="X34" s="60">
        <f t="shared" si="9"/>
        <v>6.8780986019197048</v>
      </c>
      <c r="Y34" s="96">
        <f t="shared" si="10"/>
        <v>8.26</v>
      </c>
      <c r="Z34" s="96">
        <f t="shared" si="11"/>
        <v>0.31900000000000001</v>
      </c>
      <c r="AA34" s="60">
        <f t="shared" si="12"/>
        <v>12.636856219276774</v>
      </c>
      <c r="AB34" s="96">
        <f t="shared" si="0"/>
        <v>2.9</v>
      </c>
      <c r="AC34" s="96">
        <f t="shared" si="1"/>
        <v>0.4</v>
      </c>
      <c r="AD34" s="60">
        <f t="shared" si="13"/>
        <v>4.9424846520138512</v>
      </c>
      <c r="AE34" s="96">
        <f t="shared" si="14"/>
        <v>6.5</v>
      </c>
      <c r="AF34" s="96">
        <f t="shared" si="15"/>
        <v>0.628</v>
      </c>
      <c r="AG34" s="60">
        <f t="shared" si="16"/>
        <v>15.012142113684396</v>
      </c>
      <c r="AH34" s="96">
        <f t="shared" si="21"/>
        <v>7.4</v>
      </c>
      <c r="AI34" s="96">
        <f t="shared" si="22"/>
        <v>0.25</v>
      </c>
      <c r="AJ34" s="60">
        <f t="shared" si="17"/>
        <v>10.326396627737143</v>
      </c>
    </row>
    <row r="35" spans="2:36" ht="13.5" thickBot="1">
      <c r="B35" s="238" t="s">
        <v>407</v>
      </c>
      <c r="C35" s="239"/>
      <c r="D35" s="239"/>
      <c r="E35" s="239"/>
      <c r="F35" s="239"/>
      <c r="G35" s="240"/>
      <c r="M35" s="98">
        <f t="shared" si="23"/>
        <v>6.68</v>
      </c>
      <c r="N35" s="98">
        <f t="shared" si="2"/>
        <v>17.20418640980624</v>
      </c>
      <c r="O35" s="98">
        <f t="shared" si="3"/>
        <v>-0.14810000000000001</v>
      </c>
      <c r="P35" s="98">
        <f t="shared" si="4"/>
        <v>12.986279488740509</v>
      </c>
      <c r="Q35" s="98"/>
      <c r="R35" s="60">
        <f t="shared" si="19"/>
        <v>3.9390000000000001</v>
      </c>
      <c r="S35" s="60">
        <f t="shared" si="5"/>
        <v>3.9067683041390504</v>
      </c>
      <c r="T35" s="60">
        <f t="shared" si="6"/>
        <v>0.53539999999999999</v>
      </c>
      <c r="U35" s="60">
        <f t="shared" si="20"/>
        <v>8.1393047534918015</v>
      </c>
      <c r="V35" s="96">
        <f t="shared" si="7"/>
        <v>5.13</v>
      </c>
      <c r="W35" s="96">
        <f t="shared" si="8"/>
        <v>0.22</v>
      </c>
      <c r="X35" s="60">
        <f t="shared" si="9"/>
        <v>6.9358913427372242</v>
      </c>
      <c r="Y35" s="96">
        <f t="shared" si="10"/>
        <v>8.26</v>
      </c>
      <c r="Z35" s="96">
        <f t="shared" si="11"/>
        <v>0.31900000000000001</v>
      </c>
      <c r="AA35" s="60">
        <f t="shared" si="12"/>
        <v>12.791108275097109</v>
      </c>
      <c r="AB35" s="96">
        <f t="shared" si="0"/>
        <v>2.9</v>
      </c>
      <c r="AC35" s="96">
        <f t="shared" si="1"/>
        <v>0.4</v>
      </c>
      <c r="AD35" s="60">
        <f t="shared" si="13"/>
        <v>5.0182511202694222</v>
      </c>
      <c r="AE35" s="96">
        <f t="shared" si="14"/>
        <v>6.5</v>
      </c>
      <c r="AF35" s="96">
        <f t="shared" si="15"/>
        <v>0.628</v>
      </c>
      <c r="AG35" s="60">
        <f t="shared" si="16"/>
        <v>15.375022237708167</v>
      </c>
      <c r="AH35" s="96">
        <f t="shared" si="21"/>
        <v>7.4</v>
      </c>
      <c r="AI35" s="96">
        <f t="shared" si="22"/>
        <v>0.25</v>
      </c>
      <c r="AJ35" s="60">
        <f t="shared" si="17"/>
        <v>10.425051640599454</v>
      </c>
    </row>
    <row r="36" spans="2:36">
      <c r="B36" s="230" t="s">
        <v>549</v>
      </c>
      <c r="C36" s="43"/>
      <c r="D36" s="43"/>
      <c r="E36" s="43"/>
      <c r="F36" s="43"/>
      <c r="G36" s="231"/>
      <c r="M36" s="98">
        <f t="shared" si="23"/>
        <v>6.93</v>
      </c>
      <c r="N36" s="98">
        <f t="shared" si="2"/>
        <v>17.20418640980624</v>
      </c>
      <c r="O36" s="98">
        <f t="shared" si="3"/>
        <v>-0.14810000000000001</v>
      </c>
      <c r="P36" s="98">
        <f t="shared" si="4"/>
        <v>12.915807022080093</v>
      </c>
      <c r="Q36" s="98"/>
      <c r="R36" s="60">
        <f t="shared" si="19"/>
        <v>4.0860000000000003</v>
      </c>
      <c r="S36" s="60">
        <f t="shared" si="5"/>
        <v>3.9067683041390504</v>
      </c>
      <c r="T36" s="60">
        <f t="shared" si="6"/>
        <v>0.53539999999999999</v>
      </c>
      <c r="U36" s="60">
        <f t="shared" si="20"/>
        <v>8.3005486392322965</v>
      </c>
      <c r="V36" s="96">
        <f t="shared" si="7"/>
        <v>5.13</v>
      </c>
      <c r="W36" s="96">
        <f t="shared" si="8"/>
        <v>0.22</v>
      </c>
      <c r="X36" s="60">
        <f t="shared" si="9"/>
        <v>6.9920255211013549</v>
      </c>
      <c r="Y36" s="96">
        <f t="shared" si="10"/>
        <v>8.26</v>
      </c>
      <c r="Z36" s="96">
        <f t="shared" si="11"/>
        <v>0.31900000000000001</v>
      </c>
      <c r="AA36" s="60">
        <f t="shared" si="12"/>
        <v>12.94148832547007</v>
      </c>
      <c r="AB36" s="96">
        <f t="shared" si="0"/>
        <v>2.9</v>
      </c>
      <c r="AC36" s="96">
        <f t="shared" si="1"/>
        <v>0.4</v>
      </c>
      <c r="AD36" s="60">
        <f t="shared" si="13"/>
        <v>5.0923394178357002</v>
      </c>
      <c r="AE36" s="96">
        <f t="shared" si="14"/>
        <v>6.5</v>
      </c>
      <c r="AF36" s="96">
        <f t="shared" si="15"/>
        <v>0.628</v>
      </c>
      <c r="AG36" s="60">
        <f t="shared" si="16"/>
        <v>15.732898040730188</v>
      </c>
      <c r="AH36" s="96">
        <f t="shared" si="21"/>
        <v>7.4</v>
      </c>
      <c r="AI36" s="96">
        <f t="shared" si="22"/>
        <v>0.25</v>
      </c>
      <c r="AJ36" s="60">
        <f t="shared" si="17"/>
        <v>10.520982792737936</v>
      </c>
    </row>
    <row r="37" spans="2:36">
      <c r="B37" s="232" t="s">
        <v>439</v>
      </c>
      <c r="C37" s="43"/>
      <c r="D37" s="43"/>
      <c r="E37" s="43"/>
      <c r="F37" s="43"/>
      <c r="G37" s="231"/>
      <c r="M37" s="98">
        <f t="shared" si="23"/>
        <v>7.18</v>
      </c>
      <c r="N37" s="98">
        <f t="shared" si="2"/>
        <v>17.20418640980624</v>
      </c>
      <c r="O37" s="98">
        <f t="shared" si="3"/>
        <v>-0.14810000000000001</v>
      </c>
      <c r="P37" s="98">
        <f t="shared" si="4"/>
        <v>12.848194703751872</v>
      </c>
      <c r="Q37" s="98"/>
      <c r="R37" s="60">
        <f t="shared" si="19"/>
        <v>4.2330000000000005</v>
      </c>
      <c r="S37" s="60">
        <f t="shared" si="5"/>
        <v>3.9067683041390504</v>
      </c>
      <c r="T37" s="60">
        <f t="shared" si="6"/>
        <v>0.53539999999999999</v>
      </c>
      <c r="U37" s="60">
        <f t="shared" si="20"/>
        <v>8.4591190785716908</v>
      </c>
      <c r="V37" s="96">
        <f t="shared" si="7"/>
        <v>5.13</v>
      </c>
      <c r="W37" s="96">
        <f t="shared" si="8"/>
        <v>0.22</v>
      </c>
      <c r="X37" s="60">
        <f t="shared" si="9"/>
        <v>7.0466059172433386</v>
      </c>
      <c r="Y37" s="96">
        <f t="shared" si="10"/>
        <v>8.26</v>
      </c>
      <c r="Z37" s="96">
        <f t="shared" si="11"/>
        <v>0.31900000000000001</v>
      </c>
      <c r="AA37" s="60">
        <f t="shared" si="12"/>
        <v>13.088227790813562</v>
      </c>
      <c r="AB37" s="96">
        <f t="shared" si="0"/>
        <v>2.9</v>
      </c>
      <c r="AC37" s="96">
        <f t="shared" si="1"/>
        <v>0.4</v>
      </c>
      <c r="AD37" s="60">
        <f t="shared" si="13"/>
        <v>5.1648451506439796</v>
      </c>
      <c r="AE37" s="96">
        <f t="shared" si="14"/>
        <v>6.5</v>
      </c>
      <c r="AF37" s="96">
        <f t="shared" si="15"/>
        <v>0.628</v>
      </c>
      <c r="AG37" s="60">
        <f t="shared" si="16"/>
        <v>16.08601499643903</v>
      </c>
      <c r="AH37" s="96">
        <f t="shared" si="21"/>
        <v>7.4</v>
      </c>
      <c r="AI37" s="96">
        <f t="shared" si="22"/>
        <v>0.25</v>
      </c>
      <c r="AJ37" s="60">
        <f t="shared" si="17"/>
        <v>10.614359355674466</v>
      </c>
    </row>
    <row r="38" spans="2:36">
      <c r="B38" s="233" t="s">
        <v>274</v>
      </c>
      <c r="C38" s="43"/>
      <c r="D38" s="43"/>
      <c r="E38" s="43"/>
      <c r="F38" s="43"/>
      <c r="G38" s="231"/>
      <c r="M38" s="98">
        <f t="shared" si="23"/>
        <v>7.43</v>
      </c>
      <c r="N38" s="98">
        <f t="shared" si="2"/>
        <v>17.20418640980624</v>
      </c>
      <c r="O38" s="98">
        <f t="shared" si="3"/>
        <v>-0.14810000000000001</v>
      </c>
      <c r="P38" s="98">
        <f t="shared" si="4"/>
        <v>12.783232745506083</v>
      </c>
      <c r="Q38" s="98"/>
      <c r="R38" s="60">
        <f t="shared" si="19"/>
        <v>4.3800000000000008</v>
      </c>
      <c r="S38" s="60">
        <f t="shared" si="5"/>
        <v>3.9067683041390504</v>
      </c>
      <c r="T38" s="60">
        <f t="shared" si="6"/>
        <v>0.53539999999999999</v>
      </c>
      <c r="U38" s="60">
        <f t="shared" si="20"/>
        <v>8.6151510103659632</v>
      </c>
      <c r="V38" s="96">
        <f t="shared" si="7"/>
        <v>5.13</v>
      </c>
      <c r="W38" s="96">
        <f t="shared" si="8"/>
        <v>0.22</v>
      </c>
      <c r="X38" s="60">
        <f t="shared" si="9"/>
        <v>7.0997273261921308</v>
      </c>
      <c r="Y38" s="96">
        <f t="shared" si="10"/>
        <v>8.26</v>
      </c>
      <c r="Z38" s="96">
        <f t="shared" si="11"/>
        <v>0.31900000000000001</v>
      </c>
      <c r="AA38" s="60">
        <f t="shared" si="12"/>
        <v>13.231536786637625</v>
      </c>
      <c r="AB38" s="96">
        <f t="shared" si="0"/>
        <v>2.9</v>
      </c>
      <c r="AC38" s="96">
        <f t="shared" si="1"/>
        <v>0.4</v>
      </c>
      <c r="AD38" s="60">
        <f t="shared" si="13"/>
        <v>5.2358553768711609</v>
      </c>
      <c r="AE38" s="96">
        <f t="shared" si="14"/>
        <v>6.5</v>
      </c>
      <c r="AF38" s="96">
        <f t="shared" si="15"/>
        <v>0.628</v>
      </c>
      <c r="AG38" s="60">
        <f t="shared" si="16"/>
        <v>16.434598476510683</v>
      </c>
      <c r="AH38" s="96">
        <f t="shared" si="21"/>
        <v>7.4</v>
      </c>
      <c r="AI38" s="96">
        <f t="shared" si="22"/>
        <v>0.25</v>
      </c>
      <c r="AJ38" s="60">
        <f t="shared" si="17"/>
        <v>10.705334635668097</v>
      </c>
    </row>
    <row r="39" spans="2:36">
      <c r="B39" s="232" t="s">
        <v>404</v>
      </c>
      <c r="C39" s="43"/>
      <c r="D39" s="43"/>
      <c r="E39" s="43"/>
      <c r="F39" s="43"/>
      <c r="G39" s="231"/>
      <c r="M39" s="98">
        <f t="shared" si="23"/>
        <v>7.68</v>
      </c>
      <c r="N39" s="98">
        <f t="shared" si="2"/>
        <v>17.20418640980624</v>
      </c>
      <c r="O39" s="98">
        <f t="shared" si="3"/>
        <v>-0.14810000000000001</v>
      </c>
      <c r="P39" s="98">
        <f t="shared" si="4"/>
        <v>12.720733167280462</v>
      </c>
      <c r="Q39" s="98"/>
      <c r="R39" s="60">
        <f t="shared" si="19"/>
        <v>4.527000000000001</v>
      </c>
      <c r="S39" s="60">
        <f t="shared" si="5"/>
        <v>3.9067683041390504</v>
      </c>
      <c r="T39" s="60">
        <f t="shared" si="6"/>
        <v>0.53539999999999999</v>
      </c>
      <c r="U39" s="60">
        <f t="shared" si="20"/>
        <v>8.7687682925235677</v>
      </c>
      <c r="V39" s="96">
        <f t="shared" si="7"/>
        <v>5.13</v>
      </c>
      <c r="W39" s="96">
        <f t="shared" si="8"/>
        <v>0.22</v>
      </c>
      <c r="X39" s="60">
        <f t="shared" si="9"/>
        <v>7.1514758088742738</v>
      </c>
      <c r="Y39" s="96">
        <f t="shared" si="10"/>
        <v>8.26</v>
      </c>
      <c r="Z39" s="96">
        <f t="shared" si="11"/>
        <v>0.31900000000000001</v>
      </c>
      <c r="AA39" s="60">
        <f t="shared" si="12"/>
        <v>13.371606727397856</v>
      </c>
      <c r="AB39" s="96">
        <f t="shared" si="0"/>
        <v>2.9</v>
      </c>
      <c r="AC39" s="96">
        <f t="shared" si="1"/>
        <v>0.4</v>
      </c>
      <c r="AD39" s="60">
        <f t="shared" si="13"/>
        <v>5.3054496300473195</v>
      </c>
      <c r="AE39" s="96">
        <f t="shared" si="14"/>
        <v>6.5</v>
      </c>
      <c r="AF39" s="96">
        <f t="shared" si="15"/>
        <v>0.628</v>
      </c>
      <c r="AG39" s="60">
        <f t="shared" si="16"/>
        <v>16.778856013022484</v>
      </c>
      <c r="AH39" s="96">
        <f t="shared" si="21"/>
        <v>7.4</v>
      </c>
      <c r="AI39" s="96">
        <f t="shared" si="22"/>
        <v>0.25</v>
      </c>
      <c r="AJ39" s="60">
        <f t="shared" si="17"/>
        <v>10.794047959220769</v>
      </c>
    </row>
    <row r="40" spans="2:36">
      <c r="B40" s="230" t="s">
        <v>550</v>
      </c>
      <c r="C40" s="43"/>
      <c r="D40" s="43"/>
      <c r="E40" s="43"/>
      <c r="F40" s="43"/>
      <c r="G40" s="231"/>
      <c r="M40" s="98">
        <f t="shared" si="23"/>
        <v>7.93</v>
      </c>
      <c r="N40" s="98">
        <f t="shared" si="2"/>
        <v>17.20418640980624</v>
      </c>
      <c r="O40" s="98">
        <f t="shared" si="3"/>
        <v>-0.14810000000000001</v>
      </c>
      <c r="P40" s="98">
        <f t="shared" si="4"/>
        <v>12.660526905315331</v>
      </c>
      <c r="Q40" s="98"/>
      <c r="R40" s="60">
        <f t="shared" si="19"/>
        <v>4.6740000000000013</v>
      </c>
      <c r="S40" s="60">
        <f t="shared" si="5"/>
        <v>3.9067683041390504</v>
      </c>
      <c r="T40" s="60">
        <f t="shared" si="6"/>
        <v>0.53539999999999999</v>
      </c>
      <c r="U40" s="60">
        <f t="shared" si="20"/>
        <v>8.9200849400797466</v>
      </c>
      <c r="V40" s="96">
        <f t="shared" si="7"/>
        <v>5.13</v>
      </c>
      <c r="W40" s="96">
        <f t="shared" si="8"/>
        <v>0.22</v>
      </c>
      <c r="X40" s="60">
        <f t="shared" si="9"/>
        <v>7.2019297513263716</v>
      </c>
      <c r="Y40" s="96">
        <f t="shared" si="10"/>
        <v>8.26</v>
      </c>
      <c r="Z40" s="96">
        <f t="shared" si="11"/>
        <v>0.31900000000000001</v>
      </c>
      <c r="AA40" s="60">
        <f t="shared" si="12"/>
        <v>13.508612538615981</v>
      </c>
      <c r="AB40" s="96">
        <f t="shared" si="0"/>
        <v>2.9</v>
      </c>
      <c r="AC40" s="96">
        <f t="shared" si="1"/>
        <v>0.4</v>
      </c>
      <c r="AD40" s="60">
        <f t="shared" si="13"/>
        <v>5.3737007907047829</v>
      </c>
      <c r="AE40" s="96">
        <f t="shared" si="14"/>
        <v>6.5</v>
      </c>
      <c r="AF40" s="96">
        <f t="shared" si="15"/>
        <v>0.628</v>
      </c>
      <c r="AG40" s="60">
        <f t="shared" si="16"/>
        <v>17.118979241345706</v>
      </c>
      <c r="AH40" s="96">
        <f t="shared" si="21"/>
        <v>7.4</v>
      </c>
      <c r="AI40" s="96">
        <f t="shared" si="22"/>
        <v>0.25</v>
      </c>
      <c r="AJ40" s="60">
        <f t="shared" si="17"/>
        <v>10.880626355817851</v>
      </c>
    </row>
    <row r="41" spans="2:36">
      <c r="B41" s="232" t="s">
        <v>440</v>
      </c>
      <c r="C41" s="43"/>
      <c r="D41" s="43"/>
      <c r="E41" s="43"/>
      <c r="F41" s="43"/>
      <c r="G41" s="231"/>
      <c r="M41" s="98">
        <f t="shared" si="23"/>
        <v>8.18</v>
      </c>
      <c r="N41" s="98">
        <f t="shared" si="2"/>
        <v>17.20418640980624</v>
      </c>
      <c r="O41" s="98">
        <f t="shared" si="3"/>
        <v>-0.14810000000000001</v>
      </c>
      <c r="P41" s="98">
        <f t="shared" si="4"/>
        <v>12.602461381483874</v>
      </c>
      <c r="Q41" s="98"/>
      <c r="R41" s="60">
        <f t="shared" si="19"/>
        <v>4.8210000000000015</v>
      </c>
      <c r="S41" s="60">
        <f t="shared" si="5"/>
        <v>3.9067683041390504</v>
      </c>
      <c r="T41" s="60">
        <f t="shared" si="6"/>
        <v>0.53539999999999999</v>
      </c>
      <c r="U41" s="60">
        <f t="shared" si="20"/>
        <v>9.069206190561534</v>
      </c>
      <c r="V41" s="96">
        <f t="shared" si="7"/>
        <v>5.13</v>
      </c>
      <c r="W41" s="96">
        <f t="shared" si="8"/>
        <v>0.22</v>
      </c>
      <c r="X41" s="60">
        <f t="shared" si="9"/>
        <v>7.2511607665049107</v>
      </c>
      <c r="Y41" s="96">
        <f t="shared" si="10"/>
        <v>8.26</v>
      </c>
      <c r="Z41" s="96">
        <f t="shared" si="11"/>
        <v>0.31900000000000001</v>
      </c>
      <c r="AA41" s="60">
        <f t="shared" si="12"/>
        <v>13.642714546571433</v>
      </c>
      <c r="AB41" s="96">
        <f t="shared" ref="AB41:AB72" si="24">am_1</f>
        <v>2.9</v>
      </c>
      <c r="AC41" s="96">
        <f t="shared" ref="AC41:AC72" si="25">nm_1</f>
        <v>0.4</v>
      </c>
      <c r="AD41" s="60">
        <f t="shared" si="13"/>
        <v>5.4406758330164502</v>
      </c>
      <c r="AE41" s="96">
        <f t="shared" si="14"/>
        <v>6.5</v>
      </c>
      <c r="AF41" s="96">
        <f t="shared" si="15"/>
        <v>0.628</v>
      </c>
      <c r="AG41" s="60">
        <f t="shared" si="16"/>
        <v>17.455145577236557</v>
      </c>
      <c r="AH41" s="96">
        <f t="shared" si="21"/>
        <v>7.4</v>
      </c>
      <c r="AI41" s="96">
        <f t="shared" si="22"/>
        <v>0.25</v>
      </c>
      <c r="AJ41" s="60">
        <f t="shared" si="17"/>
        <v>10.965185992058132</v>
      </c>
    </row>
    <row r="42" spans="2:36">
      <c r="B42" s="234" t="s">
        <v>404</v>
      </c>
      <c r="C42" s="229"/>
      <c r="D42" s="229"/>
      <c r="E42" s="229"/>
      <c r="F42" s="229"/>
      <c r="G42" s="235"/>
      <c r="M42" s="98">
        <v>8.5</v>
      </c>
      <c r="N42" s="98">
        <f t="shared" si="2"/>
        <v>17.20418640980624</v>
      </c>
      <c r="O42" s="98">
        <f t="shared" si="3"/>
        <v>-0.14810000000000001</v>
      </c>
      <c r="P42" s="98">
        <f t="shared" si="4"/>
        <v>12.531042318830446</v>
      </c>
      <c r="Q42" s="98"/>
      <c r="R42" s="60">
        <f t="shared" si="19"/>
        <v>4.9680000000000017</v>
      </c>
      <c r="S42" s="60">
        <f t="shared" si="5"/>
        <v>3.9067683041390504</v>
      </c>
      <c r="T42" s="60">
        <f t="shared" si="6"/>
        <v>0.53539999999999999</v>
      </c>
      <c r="U42" s="60">
        <f t="shared" si="20"/>
        <v>9.2162294252424335</v>
      </c>
      <c r="V42" s="96">
        <f t="shared" si="7"/>
        <v>5.13</v>
      </c>
      <c r="W42" s="96">
        <f t="shared" si="8"/>
        <v>0.22</v>
      </c>
      <c r="X42" s="60">
        <f t="shared" si="9"/>
        <v>7.2992344661271771</v>
      </c>
      <c r="Y42" s="96">
        <f t="shared" si="10"/>
        <v>8.26</v>
      </c>
      <c r="Z42" s="96">
        <f t="shared" si="11"/>
        <v>0.31900000000000001</v>
      </c>
      <c r="AA42" s="60">
        <f t="shared" si="12"/>
        <v>13.774060100882698</v>
      </c>
      <c r="AB42" s="96">
        <f t="shared" si="24"/>
        <v>2.9</v>
      </c>
      <c r="AC42" s="96">
        <f t="shared" si="25"/>
        <v>0.4</v>
      </c>
      <c r="AD42" s="60">
        <f t="shared" si="13"/>
        <v>5.5064364675921631</v>
      </c>
      <c r="AE42" s="96">
        <f t="shared" si="14"/>
        <v>6.5</v>
      </c>
      <c r="AF42" s="96">
        <f t="shared" si="15"/>
        <v>0.628</v>
      </c>
      <c r="AG42" s="60">
        <f t="shared" si="16"/>
        <v>17.787519671456163</v>
      </c>
      <c r="AH42" s="96">
        <f t="shared" si="21"/>
        <v>7.4</v>
      </c>
      <c r="AI42" s="96">
        <f t="shared" si="22"/>
        <v>0.25</v>
      </c>
      <c r="AJ42" s="60">
        <f t="shared" si="17"/>
        <v>11.047833400298872</v>
      </c>
    </row>
    <row r="43" spans="2:36">
      <c r="B43" s="248" t="s">
        <v>405</v>
      </c>
      <c r="C43" s="43"/>
      <c r="D43" s="43"/>
      <c r="E43" s="43"/>
      <c r="F43" s="43"/>
      <c r="G43" s="231"/>
      <c r="M43" s="98">
        <f t="shared" si="23"/>
        <v>8.75</v>
      </c>
      <c r="N43" s="98">
        <f t="shared" si="2"/>
        <v>4.7752408634765926</v>
      </c>
      <c r="O43" s="98">
        <f t="shared" si="3"/>
        <v>0.44169999999999998</v>
      </c>
      <c r="P43" s="98">
        <f t="shared" si="4"/>
        <v>12.447445669176275</v>
      </c>
      <c r="Q43" s="98"/>
      <c r="R43" s="60">
        <f t="shared" si="19"/>
        <v>5.115000000000002</v>
      </c>
      <c r="S43" s="60">
        <f t="shared" si="5"/>
        <v>3.9067683041390504</v>
      </c>
      <c r="T43" s="60">
        <f t="shared" si="6"/>
        <v>0.53539999999999999</v>
      </c>
      <c r="U43" s="60">
        <f t="shared" si="20"/>
        <v>9.3612449694474318</v>
      </c>
      <c r="V43" s="96">
        <f t="shared" si="7"/>
        <v>5.13</v>
      </c>
      <c r="W43" s="96">
        <f t="shared" si="8"/>
        <v>0.22</v>
      </c>
      <c r="X43" s="60">
        <f t="shared" si="9"/>
        <v>7.3462111245320374</v>
      </c>
      <c r="Y43" s="96">
        <f t="shared" si="10"/>
        <v>8.26</v>
      </c>
      <c r="Z43" s="96">
        <f t="shared" si="11"/>
        <v>0.31900000000000001</v>
      </c>
      <c r="AA43" s="60">
        <f t="shared" si="12"/>
        <v>13.902784974461726</v>
      </c>
      <c r="AB43" s="96">
        <f t="shared" si="24"/>
        <v>2.9</v>
      </c>
      <c r="AC43" s="96">
        <f t="shared" si="25"/>
        <v>0.4</v>
      </c>
      <c r="AD43" s="60">
        <f t="shared" si="13"/>
        <v>5.5710396975007379</v>
      </c>
      <c r="AE43" s="96">
        <f t="shared" si="14"/>
        <v>6.5</v>
      </c>
      <c r="AF43" s="96">
        <f t="shared" si="15"/>
        <v>0.628</v>
      </c>
      <c r="AG43" s="60">
        <f t="shared" si="16"/>
        <v>18.116254677117375</v>
      </c>
      <c r="AH43" s="96">
        <f t="shared" ref="AH43:AH74" si="26">am_4</f>
        <v>7.4</v>
      </c>
      <c r="AI43" s="96">
        <f t="shared" ref="AI43:AI74" si="27">nm_4</f>
        <v>0.25</v>
      </c>
      <c r="AJ43" s="60">
        <f t="shared" si="17"/>
        <v>11.128666536416029</v>
      </c>
    </row>
    <row r="44" spans="2:36">
      <c r="B44" s="248" t="s">
        <v>406</v>
      </c>
      <c r="C44" s="43"/>
      <c r="D44" s="43"/>
      <c r="E44" s="43"/>
      <c r="F44" s="43"/>
      <c r="G44" s="231"/>
      <c r="M44" s="98">
        <f t="shared" si="23"/>
        <v>9</v>
      </c>
      <c r="N44" s="98">
        <f t="shared" si="2"/>
        <v>4.7752408634765926</v>
      </c>
      <c r="O44" s="98">
        <f t="shared" si="3"/>
        <v>0.44169999999999998</v>
      </c>
      <c r="P44" s="98">
        <f t="shared" si="4"/>
        <v>12.603297815275388</v>
      </c>
      <c r="Q44" s="98"/>
      <c r="R44" s="60">
        <f t="shared" si="19"/>
        <v>5.2620000000000022</v>
      </c>
      <c r="S44" s="60">
        <f t="shared" si="5"/>
        <v>3.9067683041390504</v>
      </c>
      <c r="T44" s="60">
        <f t="shared" si="6"/>
        <v>0.53539999999999999</v>
      </c>
      <c r="U44" s="60">
        <f t="shared" si="20"/>
        <v>9.5043367907911236</v>
      </c>
      <c r="V44" s="96">
        <f t="shared" si="7"/>
        <v>5.13</v>
      </c>
      <c r="W44" s="96">
        <f t="shared" si="8"/>
        <v>0.22</v>
      </c>
      <c r="X44" s="60">
        <f t="shared" si="9"/>
        <v>7.3921462523092965</v>
      </c>
      <c r="Y44" s="96">
        <f t="shared" si="10"/>
        <v>8.26</v>
      </c>
      <c r="Z44" s="96">
        <f t="shared" si="11"/>
        <v>0.31900000000000001</v>
      </c>
      <c r="AA44" s="60">
        <f t="shared" si="12"/>
        <v>14.029014576860025</v>
      </c>
      <c r="AB44" s="96">
        <f t="shared" si="24"/>
        <v>2.9</v>
      </c>
      <c r="AC44" s="96">
        <f t="shared" si="25"/>
        <v>0.4</v>
      </c>
      <c r="AD44" s="60">
        <f t="shared" si="13"/>
        <v>5.6345383013730448</v>
      </c>
      <c r="AE44" s="96">
        <f t="shared" si="14"/>
        <v>6.5</v>
      </c>
      <c r="AF44" s="96">
        <f t="shared" si="15"/>
        <v>0.628</v>
      </c>
      <c r="AG44" s="60">
        <f t="shared" si="16"/>
        <v>18.441493358539184</v>
      </c>
      <c r="AH44" s="96">
        <f t="shared" si="26"/>
        <v>7.4</v>
      </c>
      <c r="AI44" s="96">
        <f t="shared" si="27"/>
        <v>0.25</v>
      </c>
      <c r="AJ44" s="60">
        <f t="shared" si="17"/>
        <v>11.207775694634545</v>
      </c>
    </row>
    <row r="45" spans="2:36">
      <c r="B45" s="248" t="s">
        <v>465</v>
      </c>
      <c r="C45" s="43"/>
      <c r="D45" s="43"/>
      <c r="E45" s="43"/>
      <c r="F45" s="43"/>
      <c r="G45" s="231"/>
      <c r="M45" s="98">
        <f t="shared" si="23"/>
        <v>9.25</v>
      </c>
      <c r="N45" s="98">
        <f t="shared" si="2"/>
        <v>4.7752408634765926</v>
      </c>
      <c r="O45" s="98">
        <f t="shared" si="3"/>
        <v>0.44169999999999998</v>
      </c>
      <c r="P45" s="98">
        <f t="shared" si="4"/>
        <v>12.756751208083816</v>
      </c>
      <c r="Q45" s="98"/>
      <c r="R45" s="60">
        <f t="shared" si="19"/>
        <v>5.4090000000000025</v>
      </c>
      <c r="S45" s="60">
        <f t="shared" si="5"/>
        <v>3.9067683041390504</v>
      </c>
      <c r="T45" s="60">
        <f t="shared" si="6"/>
        <v>0.53539999999999999</v>
      </c>
      <c r="U45" s="60">
        <f t="shared" si="20"/>
        <v>9.6455831108406453</v>
      </c>
      <c r="V45" s="96">
        <f t="shared" si="7"/>
        <v>5.13</v>
      </c>
      <c r="W45" s="96">
        <f t="shared" si="8"/>
        <v>0.22</v>
      </c>
      <c r="X45" s="60">
        <f t="shared" si="9"/>
        <v>7.4370910941186619</v>
      </c>
      <c r="Y45" s="96">
        <f t="shared" si="10"/>
        <v>8.26</v>
      </c>
      <c r="Z45" s="96">
        <f t="shared" si="11"/>
        <v>0.31900000000000001</v>
      </c>
      <c r="AA45" s="60">
        <f t="shared" si="12"/>
        <v>14.15286501036107</v>
      </c>
      <c r="AB45" s="96">
        <f t="shared" si="24"/>
        <v>2.9</v>
      </c>
      <c r="AC45" s="96">
        <f t="shared" si="25"/>
        <v>0.4</v>
      </c>
      <c r="AD45" s="60">
        <f t="shared" si="13"/>
        <v>5.6969812549062393</v>
      </c>
      <c r="AE45" s="96">
        <f t="shared" si="14"/>
        <v>6.5</v>
      </c>
      <c r="AF45" s="96">
        <f t="shared" si="15"/>
        <v>0.628</v>
      </c>
      <c r="AG45" s="60">
        <f t="shared" si="16"/>
        <v>18.76336906528817</v>
      </c>
      <c r="AH45" s="96">
        <f t="shared" si="26"/>
        <v>7.4</v>
      </c>
      <c r="AI45" s="96">
        <f t="shared" si="27"/>
        <v>0.25</v>
      </c>
      <c r="AJ45" s="60">
        <f t="shared" si="17"/>
        <v>11.285244302163202</v>
      </c>
    </row>
    <row r="46" spans="2:36" ht="13.5" thickBot="1">
      <c r="B46" s="249" t="s">
        <v>551</v>
      </c>
      <c r="C46" s="236"/>
      <c r="D46" s="236"/>
      <c r="E46" s="236"/>
      <c r="F46" s="236"/>
      <c r="G46" s="237"/>
      <c r="M46" s="98">
        <f t="shared" si="23"/>
        <v>9.5</v>
      </c>
      <c r="N46" s="98">
        <f t="shared" si="2"/>
        <v>4.7752408634765926</v>
      </c>
      <c r="O46" s="98">
        <f t="shared" si="3"/>
        <v>0.44169999999999998</v>
      </c>
      <c r="P46" s="98">
        <f t="shared" si="4"/>
        <v>12.907906140183</v>
      </c>
      <c r="Q46" s="98"/>
      <c r="R46" s="60">
        <f t="shared" si="19"/>
        <v>5.5560000000000027</v>
      </c>
      <c r="S46" s="60">
        <f t="shared" si="5"/>
        <v>3.9067683041390504</v>
      </c>
      <c r="T46" s="60">
        <f t="shared" si="6"/>
        <v>0.53539999999999999</v>
      </c>
      <c r="U46" s="60">
        <f t="shared" si="20"/>
        <v>9.7850569429885326</v>
      </c>
      <c r="V46" s="96">
        <f t="shared" si="7"/>
        <v>5.13</v>
      </c>
      <c r="W46" s="96">
        <f t="shared" si="8"/>
        <v>0.22</v>
      </c>
      <c r="X46" s="60">
        <f t="shared" si="9"/>
        <v>7.4810930624882701</v>
      </c>
      <c r="Y46" s="96">
        <f t="shared" si="10"/>
        <v>8.26</v>
      </c>
      <c r="Z46" s="96">
        <f t="shared" si="11"/>
        <v>0.31900000000000001</v>
      </c>
      <c r="AA46" s="60">
        <f t="shared" si="12"/>
        <v>14.274443992889061</v>
      </c>
      <c r="AB46" s="96">
        <f t="shared" si="24"/>
        <v>2.9</v>
      </c>
      <c r="AC46" s="96">
        <f t="shared" si="25"/>
        <v>0.4</v>
      </c>
      <c r="AD46" s="60">
        <f t="shared" si="13"/>
        <v>5.7584141000737281</v>
      </c>
      <c r="AE46" s="96">
        <f t="shared" si="14"/>
        <v>6.5</v>
      </c>
      <c r="AF46" s="96">
        <f t="shared" si="15"/>
        <v>0.628</v>
      </c>
      <c r="AG46" s="60">
        <f t="shared" si="16"/>
        <v>19.082006591003598</v>
      </c>
      <c r="AH46" s="96">
        <f t="shared" si="26"/>
        <v>7.4</v>
      </c>
      <c r="AI46" s="96">
        <f t="shared" si="27"/>
        <v>0.25</v>
      </c>
      <c r="AJ46" s="60">
        <f t="shared" si="17"/>
        <v>11.361149612237483</v>
      </c>
    </row>
    <row r="47" spans="2:36">
      <c r="M47" s="98">
        <f t="shared" si="23"/>
        <v>9.75</v>
      </c>
      <c r="N47" s="98">
        <f t="shared" si="2"/>
        <v>4.7752408634765926</v>
      </c>
      <c r="O47" s="98">
        <f t="shared" si="3"/>
        <v>0.44169999999999998</v>
      </c>
      <c r="P47" s="98">
        <f t="shared" si="4"/>
        <v>13.056856199302223</v>
      </c>
      <c r="Q47" s="98"/>
      <c r="R47" s="60">
        <f t="shared" si="19"/>
        <v>5.703000000000003</v>
      </c>
      <c r="S47" s="60">
        <f t="shared" si="5"/>
        <v>3.9067683041390504</v>
      </c>
      <c r="T47" s="60">
        <f t="shared" si="6"/>
        <v>0.53539999999999999</v>
      </c>
      <c r="U47" s="60">
        <f t="shared" si="20"/>
        <v>9.9228265671455205</v>
      </c>
      <c r="V47" s="96">
        <f t="shared" si="7"/>
        <v>5.13</v>
      </c>
      <c r="W47" s="96">
        <f t="shared" si="8"/>
        <v>0.22</v>
      </c>
      <c r="X47" s="60">
        <f t="shared" si="9"/>
        <v>7.5241961172882137</v>
      </c>
      <c r="Y47" s="96">
        <f t="shared" si="10"/>
        <v>8.26</v>
      </c>
      <c r="Z47" s="96">
        <f t="shared" si="11"/>
        <v>0.31900000000000001</v>
      </c>
      <c r="AA47" s="60">
        <f t="shared" si="12"/>
        <v>14.393851667584638</v>
      </c>
      <c r="AB47" s="96">
        <f t="shared" si="24"/>
        <v>2.9</v>
      </c>
      <c r="AC47" s="96">
        <f t="shared" si="25"/>
        <v>0.4</v>
      </c>
      <c r="AD47" s="60">
        <f t="shared" si="13"/>
        <v>5.8188792697324221</v>
      </c>
      <c r="AE47" s="96">
        <f t="shared" si="14"/>
        <v>6.5</v>
      </c>
      <c r="AF47" s="96">
        <f t="shared" si="15"/>
        <v>0.628</v>
      </c>
      <c r="AG47" s="60">
        <f t="shared" si="16"/>
        <v>19.397522933312143</v>
      </c>
      <c r="AH47" s="96">
        <f t="shared" si="26"/>
        <v>7.4</v>
      </c>
      <c r="AI47" s="96">
        <f t="shared" si="27"/>
        <v>0.25</v>
      </c>
      <c r="AJ47" s="60">
        <f t="shared" si="17"/>
        <v>11.435563310882092</v>
      </c>
    </row>
    <row r="48" spans="2:36">
      <c r="B48" s="436" t="s">
        <v>477</v>
      </c>
      <c r="C48" s="437"/>
      <c r="D48" s="437"/>
      <c r="E48" s="437"/>
      <c r="F48" s="437"/>
      <c r="G48" s="437"/>
      <c r="H48" s="437"/>
      <c r="I48" s="437"/>
      <c r="J48" s="437"/>
      <c r="K48" s="438"/>
      <c r="M48" s="98">
        <f t="shared" si="23"/>
        <v>10</v>
      </c>
      <c r="N48" s="98">
        <f t="shared" si="2"/>
        <v>4.7752408634765926</v>
      </c>
      <c r="O48" s="98">
        <f t="shared" si="3"/>
        <v>0.44169999999999998</v>
      </c>
      <c r="P48" s="98">
        <f t="shared" si="4"/>
        <v>13.203688875937655</v>
      </c>
      <c r="Q48" s="98"/>
      <c r="R48" s="60">
        <f t="shared" si="19"/>
        <v>5.8500000000000032</v>
      </c>
      <c r="S48" s="60">
        <f t="shared" si="5"/>
        <v>3.9067683041390504</v>
      </c>
      <c r="T48" s="60">
        <f t="shared" si="6"/>
        <v>0.53539999999999999</v>
      </c>
      <c r="U48" s="60">
        <f t="shared" si="20"/>
        <v>10.05895595010481</v>
      </c>
      <c r="V48" s="96">
        <f t="shared" si="7"/>
        <v>5.13</v>
      </c>
      <c r="W48" s="96">
        <f t="shared" si="8"/>
        <v>0.22</v>
      </c>
      <c r="X48" s="60">
        <f t="shared" si="9"/>
        <v>7.566441098895984</v>
      </c>
      <c r="Y48" s="96">
        <f t="shared" si="10"/>
        <v>8.26</v>
      </c>
      <c r="Z48" s="96">
        <f t="shared" si="11"/>
        <v>0.31900000000000001</v>
      </c>
      <c r="AA48" s="60">
        <f t="shared" si="12"/>
        <v>14.511181315507365</v>
      </c>
      <c r="AB48" s="96">
        <f t="shared" si="24"/>
        <v>2.9</v>
      </c>
      <c r="AC48" s="96">
        <f t="shared" si="25"/>
        <v>0.4</v>
      </c>
      <c r="AD48" s="60">
        <f t="shared" si="13"/>
        <v>5.8784163740195217</v>
      </c>
      <c r="AE48" s="96">
        <f t="shared" si="14"/>
        <v>6.5</v>
      </c>
      <c r="AF48" s="96">
        <f t="shared" si="15"/>
        <v>0.628</v>
      </c>
      <c r="AG48" s="60">
        <f t="shared" si="16"/>
        <v>19.710027968471358</v>
      </c>
      <c r="AH48" s="96">
        <f t="shared" si="26"/>
        <v>7.4</v>
      </c>
      <c r="AI48" s="96">
        <f t="shared" si="27"/>
        <v>0.25</v>
      </c>
      <c r="AJ48" s="60">
        <f t="shared" si="17"/>
        <v>11.50855205006471</v>
      </c>
    </row>
    <row r="49" spans="1:36">
      <c r="B49" s="436"/>
      <c r="C49" s="437"/>
      <c r="D49" s="437"/>
      <c r="E49" s="437"/>
      <c r="F49" s="437"/>
      <c r="G49" s="437"/>
      <c r="H49" s="437"/>
      <c r="I49" s="437"/>
      <c r="J49" s="437"/>
      <c r="K49" s="438"/>
      <c r="M49" s="98">
        <f t="shared" si="23"/>
        <v>10.25</v>
      </c>
      <c r="N49" s="98">
        <f t="shared" si="2"/>
        <v>4.7752408634765926</v>
      </c>
      <c r="O49" s="98">
        <f t="shared" si="3"/>
        <v>0.44169999999999998</v>
      </c>
      <c r="P49" s="98">
        <f t="shared" si="4"/>
        <v>13.348486102178473</v>
      </c>
      <c r="Q49" s="98"/>
      <c r="R49" s="60">
        <f t="shared" si="19"/>
        <v>5.9970000000000034</v>
      </c>
      <c r="S49" s="60">
        <f t="shared" si="5"/>
        <v>3.9067683041390504</v>
      </c>
      <c r="T49" s="60">
        <f t="shared" si="6"/>
        <v>0.53539999999999999</v>
      </c>
      <c r="U49" s="60">
        <f t="shared" si="20"/>
        <v>10.193505118998692</v>
      </c>
      <c r="V49" s="96">
        <f t="shared" si="7"/>
        <v>5.13</v>
      </c>
      <c r="W49" s="96">
        <f t="shared" si="8"/>
        <v>0.22</v>
      </c>
      <c r="X49" s="60">
        <f t="shared" si="9"/>
        <v>7.6078660217174825</v>
      </c>
      <c r="Y49" s="96">
        <f t="shared" si="10"/>
        <v>8.26</v>
      </c>
      <c r="Z49" s="96">
        <f t="shared" si="11"/>
        <v>0.31900000000000001</v>
      </c>
      <c r="AA49" s="60">
        <f t="shared" si="12"/>
        <v>14.626519985183409</v>
      </c>
      <c r="AB49" s="96">
        <f t="shared" si="24"/>
        <v>2.9</v>
      </c>
      <c r="AC49" s="96">
        <f t="shared" si="25"/>
        <v>0.4</v>
      </c>
      <c r="AD49" s="60">
        <f t="shared" si="13"/>
        <v>5.9370624538782817</v>
      </c>
      <c r="AE49" s="96">
        <f t="shared" si="14"/>
        <v>6.5</v>
      </c>
      <c r="AF49" s="96">
        <f t="shared" si="15"/>
        <v>0.628</v>
      </c>
      <c r="AG49" s="60">
        <f t="shared" si="16"/>
        <v>20.019625052205637</v>
      </c>
      <c r="AH49" s="96">
        <f t="shared" si="26"/>
        <v>7.4</v>
      </c>
      <c r="AI49" s="96">
        <f t="shared" si="27"/>
        <v>0.25</v>
      </c>
      <c r="AJ49" s="60">
        <f t="shared" si="17"/>
        <v>11.580177917782205</v>
      </c>
    </row>
    <row r="50" spans="1:36">
      <c r="B50" s="447"/>
      <c r="C50" s="448"/>
      <c r="D50" s="449"/>
      <c r="E50" s="25" t="s">
        <v>80</v>
      </c>
      <c r="F50" s="25" t="s">
        <v>81</v>
      </c>
      <c r="G50" s="447"/>
      <c r="H50" s="448"/>
      <c r="I50" s="449"/>
      <c r="J50" s="25" t="s">
        <v>80</v>
      </c>
      <c r="K50" s="25" t="s">
        <v>81</v>
      </c>
      <c r="M50" s="98">
        <f t="shared" si="23"/>
        <v>10.5</v>
      </c>
      <c r="N50" s="98">
        <f t="shared" si="2"/>
        <v>4.7752408634765926</v>
      </c>
      <c r="O50" s="98">
        <f t="shared" si="3"/>
        <v>0.44169999999999998</v>
      </c>
      <c r="P50" s="98">
        <f t="shared" si="4"/>
        <v>13.491324731007724</v>
      </c>
      <c r="Q50" s="98"/>
      <c r="R50" s="60">
        <f t="shared" si="19"/>
        <v>6.1440000000000037</v>
      </c>
      <c r="S50" s="60">
        <f t="shared" si="5"/>
        <v>3.9067683041390504</v>
      </c>
      <c r="T50" s="60">
        <f t="shared" si="6"/>
        <v>0.53539999999999999</v>
      </c>
      <c r="U50" s="60">
        <f t="shared" si="20"/>
        <v>10.326530494098591</v>
      </c>
      <c r="V50" s="96">
        <f t="shared" si="7"/>
        <v>5.13</v>
      </c>
      <c r="W50" s="96">
        <f t="shared" si="8"/>
        <v>0.22</v>
      </c>
      <c r="X50" s="60">
        <f t="shared" si="9"/>
        <v>7.6485063336296886</v>
      </c>
      <c r="Y50" s="96">
        <f t="shared" si="10"/>
        <v>8.26</v>
      </c>
      <c r="Z50" s="96">
        <f t="shared" si="11"/>
        <v>0.31900000000000001</v>
      </c>
      <c r="AA50" s="60">
        <f t="shared" si="12"/>
        <v>14.739949050487544</v>
      </c>
      <c r="AB50" s="96">
        <f t="shared" si="24"/>
        <v>2.9</v>
      </c>
      <c r="AC50" s="96">
        <f t="shared" si="25"/>
        <v>0.4</v>
      </c>
      <c r="AD50" s="60">
        <f t="shared" si="13"/>
        <v>5.9948522061941407</v>
      </c>
      <c r="AE50" s="96">
        <f t="shared" si="14"/>
        <v>6.5</v>
      </c>
      <c r="AF50" s="96">
        <f t="shared" si="15"/>
        <v>0.628</v>
      </c>
      <c r="AG50" s="60">
        <f t="shared" si="16"/>
        <v>20.326411556414772</v>
      </c>
      <c r="AH50" s="96">
        <f t="shared" si="26"/>
        <v>7.4</v>
      </c>
      <c r="AI50" s="96">
        <f t="shared" si="27"/>
        <v>0.25</v>
      </c>
      <c r="AJ50" s="60">
        <f t="shared" si="17"/>
        <v>11.650498853891351</v>
      </c>
    </row>
    <row r="51" spans="1:36" ht="13.5" thickBot="1">
      <c r="B51" s="441" t="s">
        <v>82</v>
      </c>
      <c r="C51" s="442"/>
      <c r="D51" s="443"/>
      <c r="E51" s="441" t="s">
        <v>83</v>
      </c>
      <c r="F51" s="443"/>
      <c r="G51" s="441" t="s">
        <v>84</v>
      </c>
      <c r="H51" s="442"/>
      <c r="I51" s="443"/>
      <c r="J51" s="441" t="s">
        <v>85</v>
      </c>
      <c r="K51" s="443"/>
      <c r="M51" s="98">
        <f t="shared" si="23"/>
        <v>10.75</v>
      </c>
      <c r="N51" s="98">
        <f t="shared" si="2"/>
        <v>4.7752408634765926</v>
      </c>
      <c r="O51" s="98">
        <f t="shared" si="3"/>
        <v>0.44169999999999998</v>
      </c>
      <c r="P51" s="98">
        <f t="shared" si="4"/>
        <v>13.632276963907207</v>
      </c>
      <c r="Q51" s="98"/>
      <c r="R51" s="60">
        <f t="shared" si="19"/>
        <v>6.2910000000000039</v>
      </c>
      <c r="S51" s="60">
        <f t="shared" si="5"/>
        <v>3.9067683041390504</v>
      </c>
      <c r="T51" s="60">
        <f t="shared" si="6"/>
        <v>0.53539999999999999</v>
      </c>
      <c r="U51" s="60">
        <f t="shared" si="20"/>
        <v>10.458085186247397</v>
      </c>
      <c r="V51" s="96">
        <f t="shared" si="7"/>
        <v>5.13</v>
      </c>
      <c r="W51" s="96">
        <f t="shared" si="8"/>
        <v>0.22</v>
      </c>
      <c r="X51" s="60">
        <f t="shared" si="9"/>
        <v>7.6883951460161137</v>
      </c>
      <c r="Y51" s="96">
        <f t="shared" si="10"/>
        <v>8.26</v>
      </c>
      <c r="Z51" s="96">
        <f t="shared" si="11"/>
        <v>0.31900000000000001</v>
      </c>
      <c r="AA51" s="60">
        <f t="shared" si="12"/>
        <v>14.851544706526093</v>
      </c>
      <c r="AB51" s="96">
        <f t="shared" si="24"/>
        <v>2.9</v>
      </c>
      <c r="AC51" s="96">
        <f t="shared" si="25"/>
        <v>0.4</v>
      </c>
      <c r="AD51" s="60">
        <f t="shared" si="13"/>
        <v>6.0518181843196643</v>
      </c>
      <c r="AE51" s="96">
        <f t="shared" si="14"/>
        <v>6.5</v>
      </c>
      <c r="AF51" s="96">
        <f t="shared" si="15"/>
        <v>0.628</v>
      </c>
      <c r="AG51" s="60">
        <f t="shared" si="16"/>
        <v>20.630479349965263</v>
      </c>
      <c r="AH51" s="96">
        <f t="shared" si="26"/>
        <v>7.4</v>
      </c>
      <c r="AI51" s="96">
        <f t="shared" si="27"/>
        <v>0.25</v>
      </c>
      <c r="AJ51" s="60">
        <f t="shared" si="17"/>
        <v>11.719569019084915</v>
      </c>
    </row>
    <row r="52" spans="1:36" ht="13.5" thickTop="1">
      <c r="B52" s="322">
        <v>14</v>
      </c>
      <c r="C52" s="323" t="s">
        <v>86</v>
      </c>
      <c r="D52" s="324">
        <v>1500</v>
      </c>
      <c r="E52" s="333">
        <v>1.5599999999999999E-2</v>
      </c>
      <c r="F52" s="325">
        <v>0.4</v>
      </c>
      <c r="G52" s="326">
        <v>14</v>
      </c>
      <c r="H52" s="323" t="s">
        <v>86</v>
      </c>
      <c r="I52" s="327">
        <v>10.3</v>
      </c>
      <c r="J52" s="325">
        <v>2.9</v>
      </c>
      <c r="K52" s="325">
        <v>0.4</v>
      </c>
      <c r="M52" s="98">
        <f t="shared" si="23"/>
        <v>11</v>
      </c>
      <c r="N52" s="98">
        <f t="shared" si="2"/>
        <v>4.7752408634765926</v>
      </c>
      <c r="O52" s="98">
        <f t="shared" si="3"/>
        <v>0.44169999999999998</v>
      </c>
      <c r="P52" s="98">
        <f t="shared" si="4"/>
        <v>13.771410733408681</v>
      </c>
      <c r="Q52" s="98"/>
      <c r="R52" s="60">
        <f t="shared" si="19"/>
        <v>6.4380000000000042</v>
      </c>
      <c r="S52" s="60">
        <f t="shared" si="5"/>
        <v>3.9067683041390504</v>
      </c>
      <c r="T52" s="60">
        <f t="shared" si="6"/>
        <v>0.53539999999999999</v>
      </c>
      <c r="U52" s="60">
        <f t="shared" si="20"/>
        <v>10.58821926341796</v>
      </c>
      <c r="V52" s="96">
        <f t="shared" si="7"/>
        <v>5.13</v>
      </c>
      <c r="W52" s="96">
        <f t="shared" si="8"/>
        <v>0.22</v>
      </c>
      <c r="X52" s="60">
        <f t="shared" si="9"/>
        <v>7.7275634383324352</v>
      </c>
      <c r="Y52" s="96">
        <f t="shared" si="10"/>
        <v>8.26</v>
      </c>
      <c r="Z52" s="96">
        <f t="shared" si="11"/>
        <v>0.31900000000000001</v>
      </c>
      <c r="AA52" s="60">
        <f t="shared" si="12"/>
        <v>14.961378411689379</v>
      </c>
      <c r="AB52" s="96">
        <f t="shared" si="24"/>
        <v>2.9</v>
      </c>
      <c r="AC52" s="96">
        <f t="shared" si="25"/>
        <v>0.4</v>
      </c>
      <c r="AD52" s="60">
        <f t="shared" si="13"/>
        <v>6.1079909771877627</v>
      </c>
      <c r="AE52" s="96">
        <f t="shared" si="14"/>
        <v>6.5</v>
      </c>
      <c r="AF52" s="96">
        <f t="shared" si="15"/>
        <v>0.628</v>
      </c>
      <c r="AG52" s="60">
        <f t="shared" si="16"/>
        <v>20.931915230556509</v>
      </c>
      <c r="AH52" s="96">
        <f t="shared" si="26"/>
        <v>7.4</v>
      </c>
      <c r="AI52" s="96">
        <f t="shared" si="27"/>
        <v>0.25</v>
      </c>
      <c r="AJ52" s="60">
        <f t="shared" si="17"/>
        <v>11.78743912325632</v>
      </c>
    </row>
    <row r="53" spans="1:36">
      <c r="A53" s="43"/>
      <c r="B53" s="70"/>
      <c r="C53" s="41"/>
      <c r="D53" s="328"/>
      <c r="E53" s="329"/>
      <c r="F53" s="330"/>
      <c r="G53" s="331"/>
      <c r="H53" s="215"/>
      <c r="I53" s="332"/>
      <c r="J53" s="321"/>
      <c r="K53" s="321"/>
      <c r="L53" s="43"/>
      <c r="M53" s="98">
        <f t="shared" si="23"/>
        <v>11.25</v>
      </c>
      <c r="N53" s="98">
        <f t="shared" si="2"/>
        <v>4.7752408634765926</v>
      </c>
      <c r="O53" s="98">
        <f t="shared" si="3"/>
        <v>0.44169999999999998</v>
      </c>
      <c r="P53" s="98">
        <f t="shared" si="4"/>
        <v>13.908790046249266</v>
      </c>
      <c r="Q53" s="98"/>
      <c r="R53" s="60">
        <f t="shared" si="19"/>
        <v>6.5850000000000044</v>
      </c>
      <c r="S53" s="60">
        <f t="shared" si="5"/>
        <v>3.9067683041390504</v>
      </c>
      <c r="T53" s="60">
        <f t="shared" si="6"/>
        <v>0.53539999999999999</v>
      </c>
      <c r="U53" s="60">
        <f t="shared" si="20"/>
        <v>10.716979990231412</v>
      </c>
      <c r="V53" s="96">
        <f t="shared" si="7"/>
        <v>5.13</v>
      </c>
      <c r="W53" s="96">
        <f t="shared" si="8"/>
        <v>0.22</v>
      </c>
      <c r="X53" s="60">
        <f t="shared" si="9"/>
        <v>7.7660402405353262</v>
      </c>
      <c r="Y53" s="96">
        <f t="shared" si="10"/>
        <v>8.26</v>
      </c>
      <c r="Z53" s="96">
        <f t="shared" si="11"/>
        <v>0.31900000000000001</v>
      </c>
      <c r="AA53" s="60">
        <f t="shared" si="12"/>
        <v>15.069517282805291</v>
      </c>
      <c r="AB53" s="96">
        <f t="shared" si="24"/>
        <v>2.9</v>
      </c>
      <c r="AC53" s="96">
        <f t="shared" si="25"/>
        <v>0.4</v>
      </c>
      <c r="AD53" s="60">
        <f t="shared" si="13"/>
        <v>6.1633993697335185</v>
      </c>
      <c r="AE53" s="96">
        <f t="shared" si="14"/>
        <v>6.5</v>
      </c>
      <c r="AF53" s="96">
        <f t="shared" si="15"/>
        <v>0.628</v>
      </c>
      <c r="AG53" s="60">
        <f t="shared" si="16"/>
        <v>21.230801313640502</v>
      </c>
      <c r="AH53" s="96">
        <f t="shared" si="26"/>
        <v>7.4</v>
      </c>
      <c r="AI53" s="96">
        <f t="shared" si="27"/>
        <v>0.25</v>
      </c>
      <c r="AJ53" s="60">
        <f t="shared" si="17"/>
        <v>11.854156718541505</v>
      </c>
    </row>
    <row r="54" spans="1:36">
      <c r="A54" s="43"/>
      <c r="B54" s="436" t="s">
        <v>520</v>
      </c>
      <c r="C54" s="437"/>
      <c r="D54" s="437"/>
      <c r="E54" s="437"/>
      <c r="F54" s="437"/>
      <c r="G54" s="437"/>
      <c r="H54" s="437"/>
      <c r="I54" s="437"/>
      <c r="J54" s="437"/>
      <c r="K54" s="438"/>
      <c r="L54" s="43"/>
      <c r="M54" s="98">
        <f t="shared" si="23"/>
        <v>11.5</v>
      </c>
      <c r="N54" s="98">
        <f t="shared" si="2"/>
        <v>4.7752408634765926</v>
      </c>
      <c r="O54" s="98">
        <f t="shared" si="3"/>
        <v>0.44169999999999998</v>
      </c>
      <c r="P54" s="98">
        <f t="shared" si="4"/>
        <v>14.044475291969215</v>
      </c>
      <c r="Q54" s="98"/>
      <c r="R54" s="60">
        <f t="shared" si="19"/>
        <v>6.7320000000000046</v>
      </c>
      <c r="S54" s="60">
        <f t="shared" si="5"/>
        <v>3.9067683041390504</v>
      </c>
      <c r="T54" s="60">
        <f t="shared" si="6"/>
        <v>0.53539999999999999</v>
      </c>
      <c r="U54" s="60">
        <f t="shared" si="20"/>
        <v>10.84441204371837</v>
      </c>
      <c r="V54" s="96">
        <f t="shared" si="7"/>
        <v>5.13</v>
      </c>
      <c r="W54" s="96">
        <f t="shared" si="8"/>
        <v>0.22</v>
      </c>
      <c r="X54" s="60">
        <f t="shared" si="9"/>
        <v>7.8038527962071509</v>
      </c>
      <c r="Y54" s="96">
        <f t="shared" si="10"/>
        <v>8.26</v>
      </c>
      <c r="Z54" s="96">
        <f t="shared" si="11"/>
        <v>0.31900000000000001</v>
      </c>
      <c r="AA54" s="60">
        <f t="shared" si="12"/>
        <v>15.17602444929908</v>
      </c>
      <c r="AB54" s="96">
        <f t="shared" si="24"/>
        <v>2.9</v>
      </c>
      <c r="AC54" s="96">
        <f t="shared" si="25"/>
        <v>0.4</v>
      </c>
      <c r="AD54" s="60">
        <f t="shared" si="13"/>
        <v>6.2180704869466865</v>
      </c>
      <c r="AE54" s="96">
        <f t="shared" si="14"/>
        <v>6.5</v>
      </c>
      <c r="AF54" s="96">
        <f t="shared" si="15"/>
        <v>0.628</v>
      </c>
      <c r="AG54" s="60">
        <f t="shared" si="16"/>
        <v>21.527215383526293</v>
      </c>
      <c r="AH54" s="96">
        <f t="shared" si="26"/>
        <v>7.4</v>
      </c>
      <c r="AI54" s="96">
        <f t="shared" si="27"/>
        <v>0.25</v>
      </c>
      <c r="AJ54" s="60">
        <f t="shared" si="17"/>
        <v>11.919766461536112</v>
      </c>
    </row>
    <row r="55" spans="1:36">
      <c r="A55" s="43"/>
      <c r="B55" s="436"/>
      <c r="C55" s="437"/>
      <c r="D55" s="437"/>
      <c r="E55" s="437"/>
      <c r="F55" s="437"/>
      <c r="G55" s="437"/>
      <c r="H55" s="437"/>
      <c r="I55" s="437"/>
      <c r="J55" s="437"/>
      <c r="K55" s="438"/>
      <c r="L55" s="43"/>
      <c r="M55" s="98"/>
      <c r="N55" s="98"/>
      <c r="O55" s="98"/>
      <c r="P55" s="98"/>
      <c r="Q55" s="98"/>
      <c r="R55" s="60">
        <f t="shared" ref="R55:R71" si="28">R54+($M$5-0.103)</f>
        <v>6.8790000000000049</v>
      </c>
      <c r="S55" s="60">
        <f t="shared" si="5"/>
        <v>3.9067683041390504</v>
      </c>
      <c r="T55" s="60">
        <f t="shared" si="6"/>
        <v>0.53539999999999999</v>
      </c>
      <c r="U55" s="60">
        <f>S55*R55^T55</f>
        <v>10.970557708144641</v>
      </c>
      <c r="V55" s="96">
        <f t="shared" si="7"/>
        <v>5.13</v>
      </c>
      <c r="W55" s="96">
        <f t="shared" si="8"/>
        <v>0.22</v>
      </c>
      <c r="X55" s="60">
        <f t="shared" si="9"/>
        <v>7.8410267087931862</v>
      </c>
      <c r="Y55" s="96">
        <f t="shared" si="10"/>
        <v>8.26</v>
      </c>
      <c r="Z55" s="96">
        <f t="shared" si="11"/>
        <v>0.31900000000000001</v>
      </c>
      <c r="AA55" s="60">
        <f t="shared" si="12"/>
        <v>15.280959371408951</v>
      </c>
      <c r="AB55" s="96">
        <f t="shared" si="24"/>
        <v>2.9</v>
      </c>
      <c r="AC55" s="96">
        <f t="shared" si="25"/>
        <v>0.4</v>
      </c>
      <c r="AD55" s="60">
        <f t="shared" si="13"/>
        <v>6.2720299235442489</v>
      </c>
      <c r="AE55" s="96">
        <f t="shared" si="14"/>
        <v>6.5</v>
      </c>
      <c r="AF55" s="96">
        <f t="shared" si="15"/>
        <v>0.628</v>
      </c>
      <c r="AG55" s="60">
        <f t="shared" si="16"/>
        <v>21.821231211089057</v>
      </c>
      <c r="AH55" s="96">
        <f t="shared" si="26"/>
        <v>7.4</v>
      </c>
      <c r="AI55" s="96">
        <f t="shared" si="27"/>
        <v>0.25</v>
      </c>
      <c r="AJ55" s="60">
        <f t="shared" si="17"/>
        <v>11.984310348528084</v>
      </c>
    </row>
    <row r="56" spans="1:36">
      <c r="A56" s="43"/>
      <c r="B56" s="447"/>
      <c r="C56" s="448"/>
      <c r="D56" s="449"/>
      <c r="E56" s="25" t="s">
        <v>80</v>
      </c>
      <c r="F56" s="25" t="s">
        <v>81</v>
      </c>
      <c r="G56" s="447"/>
      <c r="H56" s="448"/>
      <c r="I56" s="449"/>
      <c r="J56" s="25" t="s">
        <v>80</v>
      </c>
      <c r="K56" s="25" t="s">
        <v>81</v>
      </c>
      <c r="L56" s="43"/>
      <c r="M56" s="98"/>
      <c r="N56" s="98"/>
      <c r="O56" s="98"/>
      <c r="P56" s="98"/>
      <c r="Q56" s="98"/>
      <c r="R56" s="60">
        <v>7.0330000000000004</v>
      </c>
      <c r="S56" s="60">
        <f t="shared" si="5"/>
        <v>9.6532036198768516</v>
      </c>
      <c r="T56" s="60">
        <f t="shared" si="6"/>
        <v>6.3799999999999996E-2</v>
      </c>
      <c r="U56" s="60">
        <f>S56*R56^T56</f>
        <v>10.932488733891011</v>
      </c>
      <c r="V56" s="96">
        <f t="shared" si="7"/>
        <v>5.13</v>
      </c>
      <c r="W56" s="96">
        <f t="shared" si="8"/>
        <v>0.22</v>
      </c>
      <c r="X56" s="60">
        <f t="shared" si="9"/>
        <v>7.8793120581569127</v>
      </c>
      <c r="Y56" s="96">
        <f t="shared" si="10"/>
        <v>8.26</v>
      </c>
      <c r="Z56" s="96">
        <f t="shared" si="11"/>
        <v>0.31900000000000001</v>
      </c>
      <c r="AA56" s="60">
        <f t="shared" si="12"/>
        <v>15.389265924804342</v>
      </c>
      <c r="AB56" s="96">
        <f t="shared" si="24"/>
        <v>2.9</v>
      </c>
      <c r="AC56" s="96">
        <f t="shared" si="25"/>
        <v>0.4</v>
      </c>
      <c r="AD56" s="60">
        <f t="shared" si="13"/>
        <v>6.3278218658739025</v>
      </c>
      <c r="AE56" s="96">
        <f t="shared" si="14"/>
        <v>6.5</v>
      </c>
      <c r="AF56" s="96">
        <f t="shared" si="15"/>
        <v>0.628</v>
      </c>
      <c r="AG56" s="60">
        <f t="shared" si="16"/>
        <v>22.126751803130642</v>
      </c>
      <c r="AH56" s="96">
        <f t="shared" si="26"/>
        <v>7.4</v>
      </c>
      <c r="AI56" s="96">
        <f t="shared" si="27"/>
        <v>0.25</v>
      </c>
      <c r="AJ56" s="60">
        <f t="shared" si="17"/>
        <v>12.050827617659314</v>
      </c>
    </row>
    <row r="57" spans="1:36" ht="13.5" thickBot="1">
      <c r="B57" s="441" t="s">
        <v>82</v>
      </c>
      <c r="C57" s="442"/>
      <c r="D57" s="443"/>
      <c r="E57" s="441" t="s">
        <v>83</v>
      </c>
      <c r="F57" s="443"/>
      <c r="G57" s="441" t="s">
        <v>84</v>
      </c>
      <c r="H57" s="442"/>
      <c r="I57" s="443"/>
      <c r="J57" s="441" t="s">
        <v>85</v>
      </c>
      <c r="K57" s="443"/>
      <c r="M57" s="60"/>
      <c r="N57" s="60"/>
      <c r="O57" s="60"/>
      <c r="P57" s="60"/>
      <c r="Q57" s="60"/>
      <c r="R57" s="60">
        <f t="shared" si="28"/>
        <v>7.1800000000000006</v>
      </c>
      <c r="S57" s="60">
        <f t="shared" si="5"/>
        <v>9.6532036198768516</v>
      </c>
      <c r="T57" s="60">
        <f t="shared" si="6"/>
        <v>6.3799999999999996E-2</v>
      </c>
      <c r="U57" s="60">
        <f t="shared" ref="U57:U71" si="29">S57*R57^T57</f>
        <v>10.946926612745623</v>
      </c>
      <c r="V57" s="96">
        <f t="shared" si="7"/>
        <v>5.13</v>
      </c>
      <c r="W57" s="96">
        <f t="shared" si="8"/>
        <v>0.22</v>
      </c>
      <c r="X57" s="60">
        <f t="shared" si="9"/>
        <v>7.9152519394326157</v>
      </c>
      <c r="Y57" s="96">
        <f t="shared" si="10"/>
        <v>8.26</v>
      </c>
      <c r="Z57" s="96">
        <f t="shared" si="11"/>
        <v>0.31900000000000001</v>
      </c>
      <c r="AA57" s="60">
        <f t="shared" si="12"/>
        <v>15.491153061205791</v>
      </c>
      <c r="AB57" s="96">
        <f t="shared" si="24"/>
        <v>2.9</v>
      </c>
      <c r="AC57" s="96">
        <f t="shared" si="25"/>
        <v>0.4</v>
      </c>
      <c r="AD57" s="60">
        <f t="shared" si="13"/>
        <v>6.3803980788639256</v>
      </c>
      <c r="AE57" s="96">
        <f t="shared" si="14"/>
        <v>6.5</v>
      </c>
      <c r="AF57" s="96">
        <f t="shared" si="15"/>
        <v>0.628</v>
      </c>
      <c r="AG57" s="60">
        <f t="shared" si="16"/>
        <v>22.41607172837162</v>
      </c>
      <c r="AH57" s="96">
        <f t="shared" si="26"/>
        <v>7.4</v>
      </c>
      <c r="AI57" s="96">
        <f t="shared" si="27"/>
        <v>0.25</v>
      </c>
      <c r="AJ57" s="60">
        <f t="shared" si="17"/>
        <v>12.113309974915285</v>
      </c>
    </row>
    <row r="58" spans="1:36" ht="13.5" thickTop="1">
      <c r="A58" s="43"/>
      <c r="B58" s="322">
        <v>14</v>
      </c>
      <c r="C58" s="323" t="s">
        <v>86</v>
      </c>
      <c r="D58" s="324">
        <v>1500</v>
      </c>
      <c r="E58" s="333">
        <v>1.12E-2</v>
      </c>
      <c r="F58" s="325">
        <v>0.628</v>
      </c>
      <c r="G58" s="326">
        <v>14</v>
      </c>
      <c r="H58" s="323" t="s">
        <v>86</v>
      </c>
      <c r="I58" s="327">
        <v>10.3</v>
      </c>
      <c r="J58" s="325">
        <v>6.5</v>
      </c>
      <c r="K58" s="325">
        <v>0.628</v>
      </c>
      <c r="L58" s="43"/>
      <c r="M58" s="315"/>
      <c r="N58" s="60"/>
      <c r="O58" s="60"/>
      <c r="P58" s="60"/>
      <c r="Q58" s="60"/>
      <c r="R58" s="60">
        <f t="shared" si="28"/>
        <v>7.3270000000000008</v>
      </c>
      <c r="S58" s="60">
        <f t="shared" si="5"/>
        <v>9.6532036198768516</v>
      </c>
      <c r="T58" s="60">
        <f t="shared" si="6"/>
        <v>6.3799999999999996E-2</v>
      </c>
      <c r="U58" s="60">
        <f t="shared" si="29"/>
        <v>10.961090363496956</v>
      </c>
      <c r="V58" s="96">
        <f t="shared" si="7"/>
        <v>5.13</v>
      </c>
      <c r="W58" s="96">
        <f t="shared" si="8"/>
        <v>0.22</v>
      </c>
      <c r="X58" s="60">
        <f t="shared" si="9"/>
        <v>7.9506223873730706</v>
      </c>
      <c r="Y58" s="96">
        <f t="shared" si="10"/>
        <v>8.26</v>
      </c>
      <c r="Z58" s="96">
        <f t="shared" si="11"/>
        <v>0.31900000000000001</v>
      </c>
      <c r="AA58" s="60">
        <f t="shared" si="12"/>
        <v>15.591629364312524</v>
      </c>
      <c r="AB58" s="96">
        <f t="shared" si="24"/>
        <v>2.9</v>
      </c>
      <c r="AC58" s="96">
        <f t="shared" si="25"/>
        <v>0.4</v>
      </c>
      <c r="AD58" s="60">
        <f t="shared" si="13"/>
        <v>6.4323323319313559</v>
      </c>
      <c r="AE58" s="96">
        <f t="shared" si="14"/>
        <v>6.5</v>
      </c>
      <c r="AF58" s="96">
        <f t="shared" si="15"/>
        <v>0.628</v>
      </c>
      <c r="AG58" s="60">
        <f t="shared" si="16"/>
        <v>22.703196336569555</v>
      </c>
      <c r="AH58" s="96">
        <f t="shared" si="26"/>
        <v>7.4</v>
      </c>
      <c r="AI58" s="96">
        <f t="shared" si="27"/>
        <v>0.25</v>
      </c>
      <c r="AJ58" s="60">
        <f t="shared" si="17"/>
        <v>12.174840143736873</v>
      </c>
    </row>
    <row r="59" spans="1:36">
      <c r="A59" s="43"/>
      <c r="B59" s="316"/>
      <c r="C59" s="317"/>
      <c r="D59" s="316"/>
      <c r="E59" s="318"/>
      <c r="F59" s="319"/>
      <c r="G59" s="316"/>
      <c r="H59" s="317"/>
      <c r="I59" s="316"/>
      <c r="J59" s="318"/>
      <c r="K59" s="319"/>
      <c r="L59" s="320"/>
      <c r="M59" s="315"/>
      <c r="N59" s="60"/>
      <c r="O59" s="60"/>
      <c r="P59" s="60"/>
      <c r="Q59" s="60"/>
      <c r="R59" s="60">
        <f t="shared" si="28"/>
        <v>7.4740000000000011</v>
      </c>
      <c r="S59" s="60">
        <f t="shared" si="5"/>
        <v>9.6532036198768516</v>
      </c>
      <c r="T59" s="60">
        <f t="shared" si="6"/>
        <v>6.3799999999999996E-2</v>
      </c>
      <c r="U59" s="60">
        <f t="shared" si="29"/>
        <v>10.97499053683531</v>
      </c>
      <c r="V59" s="96">
        <f t="shared" si="7"/>
        <v>5.13</v>
      </c>
      <c r="W59" s="96">
        <f t="shared" si="8"/>
        <v>0.22</v>
      </c>
      <c r="X59" s="60">
        <f t="shared" si="9"/>
        <v>7.9854435818622189</v>
      </c>
      <c r="Y59" s="96">
        <f t="shared" si="10"/>
        <v>8.26</v>
      </c>
      <c r="Z59" s="96">
        <f t="shared" si="11"/>
        <v>0.31900000000000001</v>
      </c>
      <c r="AA59" s="60">
        <f t="shared" si="12"/>
        <v>15.6907420980202</v>
      </c>
      <c r="AB59" s="96">
        <f t="shared" si="24"/>
        <v>2.9</v>
      </c>
      <c r="AC59" s="96">
        <f t="shared" si="25"/>
        <v>0.4</v>
      </c>
      <c r="AD59" s="60">
        <f t="shared" si="13"/>
        <v>6.4836451115017439</v>
      </c>
      <c r="AE59" s="96">
        <f t="shared" si="14"/>
        <v>6.5</v>
      </c>
      <c r="AF59" s="96">
        <f t="shared" si="15"/>
        <v>0.628</v>
      </c>
      <c r="AG59" s="60">
        <f t="shared" si="16"/>
        <v>22.988185839509619</v>
      </c>
      <c r="AH59" s="96">
        <f t="shared" si="26"/>
        <v>7.4</v>
      </c>
      <c r="AI59" s="96">
        <f t="shared" si="27"/>
        <v>0.25</v>
      </c>
      <c r="AJ59" s="60">
        <f t="shared" si="17"/>
        <v>12.235451309528322</v>
      </c>
    </row>
    <row r="60" spans="1:36">
      <c r="A60" s="43"/>
      <c r="B60" s="436" t="s">
        <v>536</v>
      </c>
      <c r="C60" s="437"/>
      <c r="D60" s="437"/>
      <c r="E60" s="437"/>
      <c r="F60" s="437"/>
      <c r="G60" s="437"/>
      <c r="H60" s="437"/>
      <c r="I60" s="437"/>
      <c r="J60" s="437"/>
      <c r="K60" s="438"/>
      <c r="L60" s="320"/>
      <c r="M60" s="315"/>
      <c r="N60" s="60"/>
      <c r="O60" s="60"/>
      <c r="P60" s="60"/>
      <c r="Q60" s="60"/>
      <c r="R60" s="60">
        <f t="shared" si="28"/>
        <v>7.6210000000000013</v>
      </c>
      <c r="S60" s="60">
        <f t="shared" si="5"/>
        <v>9.6532036198768516</v>
      </c>
      <c r="T60" s="60">
        <f t="shared" si="6"/>
        <v>6.3799999999999996E-2</v>
      </c>
      <c r="U60" s="60">
        <f t="shared" si="29"/>
        <v>10.988637079627617</v>
      </c>
      <c r="V60" s="96">
        <f t="shared" si="7"/>
        <v>5.13</v>
      </c>
      <c r="W60" s="96">
        <f t="shared" si="8"/>
        <v>0.22</v>
      </c>
      <c r="X60" s="60">
        <f t="shared" si="9"/>
        <v>8.0197346076317295</v>
      </c>
      <c r="Y60" s="96">
        <f t="shared" si="10"/>
        <v>8.26</v>
      </c>
      <c r="Z60" s="96">
        <f t="shared" si="11"/>
        <v>0.31900000000000001</v>
      </c>
      <c r="AA60" s="60">
        <f t="shared" si="12"/>
        <v>15.788536050167133</v>
      </c>
      <c r="AB60" s="96">
        <f t="shared" si="24"/>
        <v>2.9</v>
      </c>
      <c r="AC60" s="96">
        <f t="shared" si="25"/>
        <v>0.4</v>
      </c>
      <c r="AD60" s="60">
        <f t="shared" si="13"/>
        <v>6.5343558623541309</v>
      </c>
      <c r="AE60" s="96">
        <f t="shared" si="14"/>
        <v>6.5</v>
      </c>
      <c r="AF60" s="96">
        <f t="shared" si="15"/>
        <v>0.628</v>
      </c>
      <c r="AG60" s="60">
        <f t="shared" si="16"/>
        <v>23.271097649655964</v>
      </c>
      <c r="AH60" s="96">
        <f t="shared" si="26"/>
        <v>7.4</v>
      </c>
      <c r="AI60" s="96">
        <f t="shared" si="27"/>
        <v>0.25</v>
      </c>
      <c r="AJ60" s="60">
        <f t="shared" si="17"/>
        <v>12.29517487564703</v>
      </c>
    </row>
    <row r="61" spans="1:36">
      <c r="A61" s="43"/>
      <c r="B61" s="436"/>
      <c r="C61" s="437"/>
      <c r="D61" s="437"/>
      <c r="E61" s="437"/>
      <c r="F61" s="437"/>
      <c r="G61" s="437"/>
      <c r="H61" s="437"/>
      <c r="I61" s="437"/>
      <c r="J61" s="437"/>
      <c r="K61" s="438"/>
      <c r="L61" s="320"/>
      <c r="M61" s="315"/>
      <c r="N61" s="60"/>
      <c r="O61" s="60"/>
      <c r="P61" s="60"/>
      <c r="Q61" s="60"/>
      <c r="R61" s="60">
        <f t="shared" si="28"/>
        <v>7.7680000000000016</v>
      </c>
      <c r="S61" s="60">
        <f t="shared" si="5"/>
        <v>9.6532036198768516</v>
      </c>
      <c r="T61" s="60">
        <f t="shared" si="6"/>
        <v>6.3799999999999996E-2</v>
      </c>
      <c r="U61" s="60">
        <f t="shared" si="29"/>
        <v>11.0020393803598</v>
      </c>
      <c r="V61" s="96">
        <f t="shared" si="7"/>
        <v>5.13</v>
      </c>
      <c r="W61" s="96">
        <f t="shared" si="8"/>
        <v>0.22</v>
      </c>
      <c r="X61" s="60">
        <f t="shared" si="9"/>
        <v>8.0535135335288697</v>
      </c>
      <c r="Y61" s="96">
        <f t="shared" si="10"/>
        <v>8.26</v>
      </c>
      <c r="Z61" s="96">
        <f t="shared" si="11"/>
        <v>0.31900000000000001</v>
      </c>
      <c r="AA61" s="60">
        <f t="shared" si="12"/>
        <v>15.885053707226641</v>
      </c>
      <c r="AB61" s="96">
        <f t="shared" si="24"/>
        <v>2.9</v>
      </c>
      <c r="AC61" s="96">
        <f t="shared" si="25"/>
        <v>0.4</v>
      </c>
      <c r="AD61" s="60">
        <f t="shared" si="13"/>
        <v>6.5844830595512249</v>
      </c>
      <c r="AE61" s="96">
        <f t="shared" si="14"/>
        <v>6.5</v>
      </c>
      <c r="AF61" s="96">
        <f t="shared" si="15"/>
        <v>0.628</v>
      </c>
      <c r="AG61" s="60">
        <f t="shared" si="16"/>
        <v>23.551986561614953</v>
      </c>
      <c r="AH61" s="96">
        <f t="shared" si="26"/>
        <v>7.4</v>
      </c>
      <c r="AI61" s="96">
        <f t="shared" si="27"/>
        <v>0.25</v>
      </c>
      <c r="AJ61" s="60">
        <f t="shared" si="17"/>
        <v>12.354040591402779</v>
      </c>
    </row>
    <row r="62" spans="1:36">
      <c r="A62" s="43"/>
      <c r="B62" s="447"/>
      <c r="C62" s="448"/>
      <c r="D62" s="449"/>
      <c r="E62" s="25" t="s">
        <v>80</v>
      </c>
      <c r="F62" s="25" t="s">
        <v>81</v>
      </c>
      <c r="G62" s="447"/>
      <c r="H62" s="448"/>
      <c r="I62" s="449"/>
      <c r="J62" s="25" t="s">
        <v>80</v>
      </c>
      <c r="K62" s="25" t="s">
        <v>81</v>
      </c>
      <c r="L62" s="320"/>
      <c r="M62" s="315"/>
      <c r="N62" s="60"/>
      <c r="O62" s="60"/>
      <c r="P62" s="60"/>
      <c r="Q62" s="60"/>
      <c r="R62" s="60">
        <f t="shared" si="28"/>
        <v>7.9150000000000018</v>
      </c>
      <c r="S62" s="60">
        <f t="shared" si="5"/>
        <v>9.6532036198768516</v>
      </c>
      <c r="T62" s="60">
        <f t="shared" si="6"/>
        <v>6.3799999999999996E-2</v>
      </c>
      <c r="U62" s="60">
        <f t="shared" si="29"/>
        <v>11.015206310370765</v>
      </c>
      <c r="V62" s="96">
        <f t="shared" si="7"/>
        <v>5.13</v>
      </c>
      <c r="W62" s="96">
        <f t="shared" si="8"/>
        <v>0.22</v>
      </c>
      <c r="X62" s="60">
        <f t="shared" si="9"/>
        <v>8.0867974846651229</v>
      </c>
      <c r="Y62" s="96">
        <f t="shared" si="10"/>
        <v>8.26</v>
      </c>
      <c r="Z62" s="96">
        <f t="shared" si="11"/>
        <v>0.31900000000000001</v>
      </c>
      <c r="AA62" s="60">
        <f t="shared" si="12"/>
        <v>15.980335413620324</v>
      </c>
      <c r="AB62" s="96">
        <f t="shared" si="24"/>
        <v>2.9</v>
      </c>
      <c r="AC62" s="96">
        <f t="shared" si="25"/>
        <v>0.4</v>
      </c>
      <c r="AD62" s="60">
        <f t="shared" si="13"/>
        <v>6.6340442741419654</v>
      </c>
      <c r="AE62" s="96">
        <f t="shared" si="14"/>
        <v>6.5</v>
      </c>
      <c r="AF62" s="96">
        <f t="shared" si="15"/>
        <v>0.628</v>
      </c>
      <c r="AG62" s="60">
        <f t="shared" si="16"/>
        <v>23.830904918633717</v>
      </c>
      <c r="AH62" s="96">
        <f t="shared" si="26"/>
        <v>7.4</v>
      </c>
      <c r="AI62" s="96">
        <f t="shared" si="27"/>
        <v>0.25</v>
      </c>
      <c r="AJ62" s="60">
        <f t="shared" si="17"/>
        <v>12.412076668629981</v>
      </c>
    </row>
    <row r="63" spans="1:36" ht="13.5" thickBot="1">
      <c r="A63" s="43"/>
      <c r="B63" s="441" t="s">
        <v>82</v>
      </c>
      <c r="C63" s="442"/>
      <c r="D63" s="443"/>
      <c r="E63" s="441" t="s">
        <v>83</v>
      </c>
      <c r="F63" s="443"/>
      <c r="G63" s="441" t="s">
        <v>84</v>
      </c>
      <c r="H63" s="442"/>
      <c r="I63" s="443"/>
      <c r="J63" s="441" t="s">
        <v>85</v>
      </c>
      <c r="K63" s="443"/>
      <c r="L63" s="320"/>
      <c r="M63" s="315"/>
      <c r="N63" s="60"/>
      <c r="O63" s="60"/>
      <c r="P63" s="60"/>
      <c r="Q63" s="60"/>
      <c r="R63" s="60">
        <f t="shared" si="28"/>
        <v>8.0620000000000012</v>
      </c>
      <c r="S63" s="60">
        <f t="shared" si="5"/>
        <v>9.6532036198768516</v>
      </c>
      <c r="T63" s="60">
        <f t="shared" si="6"/>
        <v>6.3799999999999996E-2</v>
      </c>
      <c r="U63" s="60">
        <f t="shared" si="29"/>
        <v>11.028146261338042</v>
      </c>
      <c r="V63" s="96">
        <f t="shared" si="7"/>
        <v>5.13</v>
      </c>
      <c r="W63" s="96">
        <f t="shared" si="8"/>
        <v>0.22</v>
      </c>
      <c r="X63" s="60">
        <f t="shared" si="9"/>
        <v>8.1196027082045017</v>
      </c>
      <c r="Y63" s="96">
        <f t="shared" si="10"/>
        <v>8.26</v>
      </c>
      <c r="Z63" s="96">
        <f t="shared" si="11"/>
        <v>0.31900000000000001</v>
      </c>
      <c r="AA63" s="60">
        <f t="shared" si="12"/>
        <v>16.074419517265053</v>
      </c>
      <c r="AB63" s="96">
        <f t="shared" si="24"/>
        <v>2.9</v>
      </c>
      <c r="AC63" s="96">
        <f t="shared" si="25"/>
        <v>0.4</v>
      </c>
      <c r="AD63" s="60">
        <f t="shared" si="13"/>
        <v>6.683056233280726</v>
      </c>
      <c r="AE63" s="96">
        <f t="shared" si="14"/>
        <v>6.5</v>
      </c>
      <c r="AF63" s="96">
        <f t="shared" si="15"/>
        <v>0.628</v>
      </c>
      <c r="AG63" s="60">
        <f t="shared" si="16"/>
        <v>24.107902765622388</v>
      </c>
      <c r="AH63" s="96">
        <f t="shared" si="26"/>
        <v>7.4</v>
      </c>
      <c r="AI63" s="96">
        <f t="shared" si="27"/>
        <v>0.25</v>
      </c>
      <c r="AJ63" s="60">
        <f t="shared" si="17"/>
        <v>12.46930988804499</v>
      </c>
    </row>
    <row r="64" spans="1:36" ht="13.5" thickTop="1">
      <c r="A64" s="43"/>
      <c r="B64" s="322">
        <v>14</v>
      </c>
      <c r="C64" s="323" t="s">
        <v>86</v>
      </c>
      <c r="D64" s="324">
        <v>1500</v>
      </c>
      <c r="E64" s="333">
        <v>8.3930000000000005E-2</v>
      </c>
      <c r="F64" s="325">
        <v>0.25</v>
      </c>
      <c r="G64" s="326">
        <v>14</v>
      </c>
      <c r="H64" s="323" t="s">
        <v>86</v>
      </c>
      <c r="I64" s="327">
        <v>10.3</v>
      </c>
      <c r="J64" s="325">
        <v>7.4</v>
      </c>
      <c r="K64" s="325">
        <v>0.25</v>
      </c>
      <c r="L64" s="43"/>
      <c r="M64" s="315"/>
      <c r="N64" s="60"/>
      <c r="O64" s="60"/>
      <c r="P64" s="60"/>
      <c r="Q64" s="60"/>
      <c r="R64" s="60">
        <f t="shared" si="28"/>
        <v>8.2090000000000014</v>
      </c>
      <c r="S64" s="60">
        <f t="shared" si="5"/>
        <v>9.6532036198768516</v>
      </c>
      <c r="T64" s="60">
        <f t="shared" si="6"/>
        <v>6.3799999999999996E-2</v>
      </c>
      <c r="U64" s="60">
        <f t="shared" si="29"/>
        <v>11.040867179417527</v>
      </c>
      <c r="V64" s="96">
        <f t="shared" si="7"/>
        <v>5.13</v>
      </c>
      <c r="W64" s="96">
        <f t="shared" si="8"/>
        <v>0.22</v>
      </c>
      <c r="X64" s="60">
        <f t="shared" si="9"/>
        <v>8.1519446334572692</v>
      </c>
      <c r="Y64" s="96">
        <f t="shared" si="10"/>
        <v>8.26</v>
      </c>
      <c r="Z64" s="96">
        <f t="shared" si="11"/>
        <v>0.31900000000000001</v>
      </c>
      <c r="AA64" s="60">
        <f t="shared" si="12"/>
        <v>16.167342502771259</v>
      </c>
      <c r="AB64" s="96">
        <f t="shared" si="24"/>
        <v>2.9</v>
      </c>
      <c r="AC64" s="96">
        <f t="shared" si="25"/>
        <v>0.4</v>
      </c>
      <c r="AD64" s="60">
        <f t="shared" si="13"/>
        <v>6.7315348753303219</v>
      </c>
      <c r="AE64" s="96">
        <f t="shared" si="14"/>
        <v>6.5</v>
      </c>
      <c r="AF64" s="96">
        <f t="shared" si="15"/>
        <v>0.628</v>
      </c>
      <c r="AG64" s="60">
        <f t="shared" si="16"/>
        <v>24.383027990015837</v>
      </c>
      <c r="AH64" s="96">
        <f t="shared" si="26"/>
        <v>7.4</v>
      </c>
      <c r="AI64" s="96">
        <f t="shared" si="27"/>
        <v>0.25</v>
      </c>
      <c r="AJ64" s="60">
        <f t="shared" si="17"/>
        <v>12.525765696452495</v>
      </c>
    </row>
    <row r="65" spans="1:36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315"/>
      <c r="N65" s="60"/>
      <c r="O65" s="60"/>
      <c r="P65" s="60"/>
      <c r="Q65" s="60"/>
      <c r="R65" s="60">
        <f t="shared" si="28"/>
        <v>8.3560000000000016</v>
      </c>
      <c r="S65" s="60">
        <f t="shared" si="5"/>
        <v>9.6532036198768516</v>
      </c>
      <c r="T65" s="60">
        <f t="shared" si="6"/>
        <v>6.3799999999999996E-2</v>
      </c>
      <c r="U65" s="60">
        <f t="shared" si="29"/>
        <v>11.053376596390002</v>
      </c>
      <c r="V65" s="96">
        <f t="shared" si="7"/>
        <v>5.13</v>
      </c>
      <c r="W65" s="96">
        <f t="shared" si="8"/>
        <v>0.22</v>
      </c>
      <c r="X65" s="60">
        <f t="shared" si="9"/>
        <v>8.18383792686455</v>
      </c>
      <c r="Y65" s="96">
        <f t="shared" si="10"/>
        <v>8.26</v>
      </c>
      <c r="Z65" s="96">
        <f t="shared" si="11"/>
        <v>0.31900000000000001</v>
      </c>
      <c r="AA65" s="60">
        <f t="shared" si="12"/>
        <v>16.259139113541448</v>
      </c>
      <c r="AB65" s="96">
        <f t="shared" si="24"/>
        <v>2.9</v>
      </c>
      <c r="AC65" s="96">
        <f t="shared" si="25"/>
        <v>0.4</v>
      </c>
      <c r="AD65" s="60">
        <f t="shared" si="13"/>
        <v>6.7794954004493073</v>
      </c>
      <c r="AE65" s="96">
        <f t="shared" si="14"/>
        <v>6.5</v>
      </c>
      <c r="AF65" s="96">
        <f t="shared" si="15"/>
        <v>0.628</v>
      </c>
      <c r="AG65" s="60">
        <f t="shared" si="16"/>
        <v>24.65632645164137</v>
      </c>
      <c r="AH65" s="96">
        <f t="shared" si="26"/>
        <v>7.4</v>
      </c>
      <c r="AI65" s="96">
        <f t="shared" si="27"/>
        <v>0.25</v>
      </c>
      <c r="AJ65" s="60">
        <f t="shared" si="17"/>
        <v>12.581468295737162</v>
      </c>
    </row>
    <row r="66" spans="1:36">
      <c r="A66" s="43"/>
      <c r="B66" s="43"/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315"/>
      <c r="N66" s="60"/>
      <c r="O66" s="60"/>
      <c r="P66" s="60"/>
      <c r="Q66" s="60"/>
      <c r="R66" s="60">
        <f t="shared" si="28"/>
        <v>8.5030000000000019</v>
      </c>
      <c r="S66" s="60">
        <f t="shared" si="5"/>
        <v>9.6532036198768516</v>
      </c>
      <c r="T66" s="60">
        <f t="shared" si="6"/>
        <v>6.3799999999999996E-2</v>
      </c>
      <c r="U66" s="60">
        <f t="shared" si="29"/>
        <v>11.065681658124634</v>
      </c>
      <c r="V66" s="96">
        <f t="shared" si="7"/>
        <v>5.13</v>
      </c>
      <c r="W66" s="96">
        <f t="shared" si="8"/>
        <v>0.22</v>
      </c>
      <c r="X66" s="60">
        <f t="shared" si="9"/>
        <v>8.2152965423899076</v>
      </c>
      <c r="Y66" s="96">
        <f t="shared" si="10"/>
        <v>8.26</v>
      </c>
      <c r="Z66" s="96">
        <f t="shared" si="11"/>
        <v>0.31900000000000001</v>
      </c>
      <c r="AA66" s="60">
        <f t="shared" si="12"/>
        <v>16.349842463871937</v>
      </c>
      <c r="AB66" s="96">
        <f t="shared" si="24"/>
        <v>2.9</v>
      </c>
      <c r="AC66" s="96">
        <f t="shared" si="25"/>
        <v>0.4</v>
      </c>
      <c r="AD66" s="60">
        <f t="shared" si="13"/>
        <v>6.8269523171061817</v>
      </c>
      <c r="AE66" s="96">
        <f t="shared" si="14"/>
        <v>6.5</v>
      </c>
      <c r="AF66" s="96">
        <f t="shared" si="15"/>
        <v>0.628</v>
      </c>
      <c r="AG66" s="60">
        <f t="shared" si="16"/>
        <v>24.927842102628137</v>
      </c>
      <c r="AH66" s="96">
        <f t="shared" si="26"/>
        <v>7.4</v>
      </c>
      <c r="AI66" s="96">
        <f t="shared" si="27"/>
        <v>0.25</v>
      </c>
      <c r="AJ66" s="60">
        <f t="shared" si="17"/>
        <v>12.636440724466194</v>
      </c>
    </row>
    <row r="67" spans="1:36">
      <c r="B67" s="98"/>
      <c r="C67" s="98"/>
      <c r="D67" s="98"/>
      <c r="E67" s="98"/>
      <c r="F67" s="99"/>
      <c r="G67" s="98"/>
      <c r="H67" s="98"/>
      <c r="I67" s="98"/>
      <c r="J67" s="60"/>
      <c r="M67" s="60"/>
      <c r="N67" s="60"/>
      <c r="O67" s="60"/>
      <c r="P67" s="60"/>
      <c r="Q67" s="60"/>
      <c r="R67" s="60">
        <f t="shared" si="28"/>
        <v>8.6500000000000021</v>
      </c>
      <c r="S67" s="60">
        <f t="shared" si="5"/>
        <v>9.6532036198768516</v>
      </c>
      <c r="T67" s="60">
        <f t="shared" si="6"/>
        <v>6.3799999999999996E-2</v>
      </c>
      <c r="U67" s="60">
        <f t="shared" si="29"/>
        <v>11.077789150632556</v>
      </c>
      <c r="V67" s="96">
        <f t="shared" si="7"/>
        <v>5.13</v>
      </c>
      <c r="W67" s="96">
        <f t="shared" si="8"/>
        <v>0.22</v>
      </c>
      <c r="X67" s="60">
        <f t="shared" si="9"/>
        <v>8.2463337677738693</v>
      </c>
      <c r="Y67" s="96">
        <f t="shared" si="10"/>
        <v>8.26</v>
      </c>
      <c r="Z67" s="96">
        <f t="shared" si="11"/>
        <v>0.31900000000000001</v>
      </c>
      <c r="AA67" s="60">
        <f t="shared" si="12"/>
        <v>16.439484142034068</v>
      </c>
      <c r="AB67" s="96">
        <f t="shared" si="24"/>
        <v>2.9</v>
      </c>
      <c r="AC67" s="96">
        <f t="shared" si="25"/>
        <v>0.4</v>
      </c>
      <c r="AD67" s="60">
        <f t="shared" si="13"/>
        <v>6.8739194849129204</v>
      </c>
      <c r="AE67" s="96">
        <f t="shared" si="14"/>
        <v>6.5</v>
      </c>
      <c r="AF67" s="96">
        <f t="shared" si="15"/>
        <v>0.628</v>
      </c>
      <c r="AG67" s="60">
        <f t="shared" si="16"/>
        <v>25.197617098280411</v>
      </c>
      <c r="AH67" s="96">
        <f t="shared" si="26"/>
        <v>7.4</v>
      </c>
      <c r="AI67" s="96">
        <f t="shared" si="27"/>
        <v>0.25</v>
      </c>
      <c r="AJ67" s="60">
        <f t="shared" si="17"/>
        <v>12.690704932832819</v>
      </c>
    </row>
    <row r="68" spans="1:36">
      <c r="B68" s="98"/>
      <c r="C68" s="98"/>
      <c r="D68" s="98"/>
      <c r="E68" s="98"/>
      <c r="F68" s="99"/>
      <c r="G68" s="98"/>
      <c r="H68" s="98"/>
      <c r="I68" s="98"/>
      <c r="J68" s="60"/>
      <c r="M68" s="60"/>
      <c r="N68" s="60"/>
      <c r="O68" s="60"/>
      <c r="P68" s="60"/>
      <c r="Q68" s="60"/>
      <c r="R68" s="60">
        <f t="shared" si="28"/>
        <v>8.7970000000000024</v>
      </c>
      <c r="S68" s="60">
        <f t="shared" si="5"/>
        <v>9.6532036198768516</v>
      </c>
      <c r="T68" s="60">
        <f t="shared" si="6"/>
        <v>6.3799999999999996E-2</v>
      </c>
      <c r="U68" s="60">
        <f t="shared" si="29"/>
        <v>11.089705523951828</v>
      </c>
      <c r="V68" s="96">
        <f t="shared" si="7"/>
        <v>5.13</v>
      </c>
      <c r="W68" s="96">
        <f t="shared" si="8"/>
        <v>0.22</v>
      </c>
      <c r="X68" s="60">
        <f t="shared" si="9"/>
        <v>8.2769622670551541</v>
      </c>
      <c r="Y68" s="96">
        <f t="shared" si="10"/>
        <v>8.26</v>
      </c>
      <c r="Z68" s="96">
        <f t="shared" si="11"/>
        <v>0.31900000000000001</v>
      </c>
      <c r="AA68" s="60">
        <f t="shared" si="12"/>
        <v>16.528094305200984</v>
      </c>
      <c r="AB68" s="96">
        <f t="shared" si="24"/>
        <v>2.9</v>
      </c>
      <c r="AC68" s="96">
        <f t="shared" si="25"/>
        <v>0.4</v>
      </c>
      <c r="AD68" s="60">
        <f t="shared" si="13"/>
        <v>6.9204101541263778</v>
      </c>
      <c r="AE68" s="96">
        <f t="shared" si="14"/>
        <v>6.5</v>
      </c>
      <c r="AF68" s="96">
        <f t="shared" si="15"/>
        <v>0.628</v>
      </c>
      <c r="AG68" s="60">
        <f t="shared" si="16"/>
        <v>25.465691899737347</v>
      </c>
      <c r="AH68" s="96">
        <f t="shared" si="26"/>
        <v>7.4</v>
      </c>
      <c r="AI68" s="96">
        <f t="shared" si="27"/>
        <v>0.25</v>
      </c>
      <c r="AJ68" s="60">
        <f t="shared" si="17"/>
        <v>12.744281851587347</v>
      </c>
    </row>
    <row r="69" spans="1:36">
      <c r="B69" s="98"/>
      <c r="C69" s="98"/>
      <c r="D69" s="98"/>
      <c r="E69" s="98"/>
      <c r="F69" s="99"/>
      <c r="G69" s="98"/>
      <c r="H69" s="98"/>
      <c r="I69" s="98"/>
      <c r="J69" s="60"/>
      <c r="M69" s="60"/>
      <c r="N69" s="60"/>
      <c r="O69" s="60"/>
      <c r="P69" s="60"/>
      <c r="Q69" s="60"/>
      <c r="R69" s="60">
        <f t="shared" si="28"/>
        <v>8.9440000000000026</v>
      </c>
      <c r="S69" s="60">
        <f t="shared" si="5"/>
        <v>9.6532036198768516</v>
      </c>
      <c r="T69" s="60">
        <f t="shared" si="6"/>
        <v>6.3799999999999996E-2</v>
      </c>
      <c r="U69" s="60">
        <f t="shared" si="29"/>
        <v>11.101436914077221</v>
      </c>
      <c r="V69" s="96">
        <f t="shared" si="7"/>
        <v>5.13</v>
      </c>
      <c r="W69" s="96">
        <f t="shared" si="8"/>
        <v>0.22</v>
      </c>
      <c r="X69" s="60">
        <f t="shared" si="9"/>
        <v>8.3071941197169767</v>
      </c>
      <c r="Y69" s="96">
        <f t="shared" si="10"/>
        <v>8.26</v>
      </c>
      <c r="Z69" s="96">
        <f t="shared" si="11"/>
        <v>0.31900000000000001</v>
      </c>
      <c r="AA69" s="60">
        <f t="shared" si="12"/>
        <v>16.615701766989869</v>
      </c>
      <c r="AB69" s="96">
        <f t="shared" si="24"/>
        <v>2.9</v>
      </c>
      <c r="AC69" s="96">
        <f t="shared" si="25"/>
        <v>0.4</v>
      </c>
      <c r="AD69" s="60">
        <f t="shared" si="13"/>
        <v>6.9664370021279289</v>
      </c>
      <c r="AE69" s="96">
        <f t="shared" si="14"/>
        <v>6.5</v>
      </c>
      <c r="AF69" s="96">
        <f t="shared" si="15"/>
        <v>0.628</v>
      </c>
      <c r="AG69" s="60">
        <f t="shared" si="16"/>
        <v>25.732105369154297</v>
      </c>
      <c r="AH69" s="96">
        <f t="shared" si="26"/>
        <v>7.4</v>
      </c>
      <c r="AI69" s="96">
        <f t="shared" si="27"/>
        <v>0.25</v>
      </c>
      <c r="AJ69" s="60">
        <f t="shared" si="17"/>
        <v>12.797191455530086</v>
      </c>
    </row>
    <row r="70" spans="1:36">
      <c r="B70" s="98"/>
      <c r="C70" s="98"/>
      <c r="D70" s="98"/>
      <c r="E70" s="98"/>
      <c r="F70" s="99"/>
      <c r="G70" s="98"/>
      <c r="H70" s="98"/>
      <c r="I70" s="98"/>
      <c r="J70" s="60"/>
      <c r="M70" s="60"/>
      <c r="N70" s="60"/>
      <c r="O70" s="60"/>
      <c r="P70" s="60"/>
      <c r="Q70" s="60"/>
      <c r="R70" s="60">
        <f t="shared" si="28"/>
        <v>9.0910000000000029</v>
      </c>
      <c r="S70" s="60">
        <f t="shared" si="5"/>
        <v>9.6532036198768516</v>
      </c>
      <c r="T70" s="60">
        <f t="shared" si="6"/>
        <v>6.3799999999999996E-2</v>
      </c>
      <c r="U70" s="60">
        <f t="shared" si="29"/>
        <v>11.112989163124192</v>
      </c>
      <c r="V70" s="96">
        <f t="shared" si="7"/>
        <v>5.13</v>
      </c>
      <c r="W70" s="96">
        <f t="shared" si="8"/>
        <v>0.22</v>
      </c>
      <c r="X70" s="60">
        <f t="shared" si="9"/>
        <v>8.3370408567769818</v>
      </c>
      <c r="Y70" s="96">
        <f t="shared" si="10"/>
        <v>8.26</v>
      </c>
      <c r="Z70" s="96">
        <f t="shared" si="11"/>
        <v>0.31900000000000001</v>
      </c>
      <c r="AA70" s="60">
        <f t="shared" si="12"/>
        <v>16.702334078305423</v>
      </c>
      <c r="AB70" s="96">
        <f t="shared" si="24"/>
        <v>2.9</v>
      </c>
      <c r="AC70" s="96">
        <f t="shared" si="25"/>
        <v>0.4</v>
      </c>
      <c r="AD70" s="60">
        <f t="shared" si="13"/>
        <v>7.0120121671581304</v>
      </c>
      <c r="AE70" s="96">
        <f t="shared" si="14"/>
        <v>6.5</v>
      </c>
      <c r="AF70" s="96">
        <f t="shared" si="15"/>
        <v>0.628</v>
      </c>
      <c r="AG70" s="60">
        <f t="shared" si="16"/>
        <v>25.996894858064262</v>
      </c>
      <c r="AH70" s="96">
        <f t="shared" si="26"/>
        <v>7.4</v>
      </c>
      <c r="AI70" s="96">
        <f t="shared" si="27"/>
        <v>0.25</v>
      </c>
      <c r="AJ70" s="60">
        <f t="shared" si="17"/>
        <v>12.849452822076939</v>
      </c>
    </row>
    <row r="71" spans="1:36">
      <c r="B71" s="98"/>
      <c r="C71" s="98"/>
      <c r="D71" s="98"/>
      <c r="E71" s="98"/>
      <c r="F71" s="99"/>
      <c r="G71" s="98"/>
      <c r="H71" s="98"/>
      <c r="I71" s="98"/>
      <c r="J71" s="60"/>
      <c r="M71" s="60"/>
      <c r="N71" s="60"/>
      <c r="O71" s="60"/>
      <c r="P71" s="60"/>
      <c r="Q71" s="60"/>
      <c r="R71" s="60">
        <f t="shared" si="28"/>
        <v>9.2380000000000031</v>
      </c>
      <c r="S71" s="60">
        <f t="shared" si="5"/>
        <v>9.6532036198768516</v>
      </c>
      <c r="T71" s="60">
        <f t="shared" si="6"/>
        <v>6.3799999999999996E-2</v>
      </c>
      <c r="U71" s="60">
        <f t="shared" si="29"/>
        <v>11.124367837895285</v>
      </c>
      <c r="V71" s="96">
        <f t="shared" si="7"/>
        <v>5.13</v>
      </c>
      <c r="W71" s="96">
        <f t="shared" si="8"/>
        <v>0.22</v>
      </c>
      <c r="X71" s="60">
        <f t="shared" si="9"/>
        <v>8.3665134941047885</v>
      </c>
      <c r="Y71" s="96">
        <f t="shared" si="10"/>
        <v>8.26</v>
      </c>
      <c r="Z71" s="96">
        <f t="shared" si="11"/>
        <v>0.31900000000000001</v>
      </c>
      <c r="AA71" s="60">
        <f t="shared" si="12"/>
        <v>16.788017602096723</v>
      </c>
      <c r="AB71" s="96">
        <f t="shared" si="24"/>
        <v>2.9</v>
      </c>
      <c r="AC71" s="96">
        <f t="shared" si="25"/>
        <v>0.4</v>
      </c>
      <c r="AD71" s="60">
        <f t="shared" si="13"/>
        <v>7.057147279553841</v>
      </c>
      <c r="AE71" s="96">
        <f t="shared" si="14"/>
        <v>6.5</v>
      </c>
      <c r="AF71" s="96">
        <f t="shared" si="15"/>
        <v>0.628</v>
      </c>
      <c r="AG71" s="60">
        <f t="shared" si="16"/>
        <v>26.260096289510134</v>
      </c>
      <c r="AH71" s="96">
        <f t="shared" si="26"/>
        <v>7.4</v>
      </c>
      <c r="AI71" s="96">
        <f t="shared" si="27"/>
        <v>0.25</v>
      </c>
      <c r="AJ71" s="60">
        <f t="shared" si="17"/>
        <v>12.901084185353186</v>
      </c>
    </row>
    <row r="72" spans="1:36">
      <c r="B72" s="98"/>
      <c r="C72" s="98"/>
      <c r="D72" s="98"/>
      <c r="E72" s="98"/>
      <c r="F72" s="99"/>
      <c r="G72" s="98"/>
      <c r="H72" s="98"/>
      <c r="I72" s="98"/>
      <c r="J72" s="60"/>
      <c r="M72" s="60"/>
      <c r="N72" s="60"/>
      <c r="O72" s="60"/>
      <c r="P72" s="60"/>
      <c r="Q72" s="60"/>
      <c r="R72" s="60">
        <f t="shared" ref="R72:R83" si="30">R71+($M$5-0.103)</f>
        <v>9.3850000000000033</v>
      </c>
      <c r="S72" s="60">
        <f t="shared" si="5"/>
        <v>9.6532036198768516</v>
      </c>
      <c r="T72" s="60">
        <f t="shared" si="6"/>
        <v>6.3799999999999996E-2</v>
      </c>
      <c r="U72" s="60">
        <f t="shared" ref="U72:U83" si="31">S72*R72^T72</f>
        <v>11.135578246998753</v>
      </c>
      <c r="V72" s="96">
        <f t="shared" si="7"/>
        <v>5.13</v>
      </c>
      <c r="W72" s="96">
        <f t="shared" si="8"/>
        <v>0.22</v>
      </c>
      <c r="X72" s="60">
        <f t="shared" si="9"/>
        <v>8.3956225632205825</v>
      </c>
      <c r="Y72" s="96">
        <f t="shared" si="10"/>
        <v>8.26</v>
      </c>
      <c r="Z72" s="96">
        <f t="shared" si="11"/>
        <v>0.31900000000000001</v>
      </c>
      <c r="AA72" s="60">
        <f t="shared" si="12"/>
        <v>16.87277758257477</v>
      </c>
      <c r="AB72" s="96">
        <f t="shared" si="24"/>
        <v>2.9</v>
      </c>
      <c r="AC72" s="96">
        <f t="shared" si="25"/>
        <v>0.4</v>
      </c>
      <c r="AD72" s="60">
        <f t="shared" si="13"/>
        <v>7.1018534907093276</v>
      </c>
      <c r="AE72" s="96">
        <f t="shared" si="14"/>
        <v>6.5</v>
      </c>
      <c r="AF72" s="96">
        <f t="shared" si="15"/>
        <v>0.628</v>
      </c>
      <c r="AG72" s="60">
        <f t="shared" si="16"/>
        <v>26.521744234478859</v>
      </c>
      <c r="AH72" s="96">
        <f t="shared" si="26"/>
        <v>7.4</v>
      </c>
      <c r="AI72" s="96">
        <f t="shared" si="27"/>
        <v>0.25</v>
      </c>
      <c r="AJ72" s="60">
        <f t="shared" si="17"/>
        <v>12.952102986222215</v>
      </c>
    </row>
    <row r="73" spans="1:36">
      <c r="B73" s="98"/>
      <c r="C73" s="98"/>
      <c r="D73" s="98"/>
      <c r="E73" s="98"/>
      <c r="F73" s="99"/>
      <c r="G73" s="98"/>
      <c r="H73" s="98"/>
      <c r="I73" s="98"/>
      <c r="J73" s="60"/>
      <c r="M73" s="60"/>
      <c r="N73" s="60"/>
      <c r="O73" s="60"/>
      <c r="P73" s="60"/>
      <c r="Q73" s="60"/>
      <c r="R73" s="60">
        <f t="shared" si="30"/>
        <v>9.5320000000000036</v>
      </c>
      <c r="S73" s="60">
        <f t="shared" si="5"/>
        <v>9.6532036198768516</v>
      </c>
      <c r="T73" s="60">
        <f t="shared" si="6"/>
        <v>6.3799999999999996E-2</v>
      </c>
      <c r="U73" s="60">
        <f t="shared" si="31"/>
        <v>11.146625456653096</v>
      </c>
      <c r="V73" s="96">
        <f t="shared" si="7"/>
        <v>5.13</v>
      </c>
      <c r="W73" s="96">
        <f t="shared" si="8"/>
        <v>0.22</v>
      </c>
      <c r="X73" s="60">
        <f t="shared" si="9"/>
        <v>8.4243781398014583</v>
      </c>
      <c r="Y73" s="96">
        <f t="shared" si="10"/>
        <v>8.26</v>
      </c>
      <c r="Z73" s="96">
        <f t="shared" si="11"/>
        <v>0.31900000000000001</v>
      </c>
      <c r="AA73" s="60">
        <f t="shared" si="12"/>
        <v>16.956638209381165</v>
      </c>
      <c r="AB73" s="96">
        <f t="shared" ref="AB73:AB83" si="32">am_1</f>
        <v>2.9</v>
      </c>
      <c r="AC73" s="96">
        <f t="shared" ref="AC73:AC83" si="33">nm_1</f>
        <v>0.4</v>
      </c>
      <c r="AD73" s="60">
        <f t="shared" si="13"/>
        <v>7.1461414999601116</v>
      </c>
      <c r="AE73" s="96">
        <f t="shared" si="14"/>
        <v>6.5</v>
      </c>
      <c r="AF73" s="96">
        <f t="shared" si="15"/>
        <v>0.628</v>
      </c>
      <c r="AG73" s="60">
        <f t="shared" si="16"/>
        <v>26.781871983115582</v>
      </c>
      <c r="AH73" s="96">
        <f t="shared" si="26"/>
        <v>7.4</v>
      </c>
      <c r="AI73" s="96">
        <f t="shared" si="27"/>
        <v>0.25</v>
      </c>
      <c r="AJ73" s="60">
        <f t="shared" si="17"/>
        <v>13.002525918613269</v>
      </c>
    </row>
    <row r="74" spans="1:36">
      <c r="B74" s="98"/>
      <c r="C74" s="98"/>
      <c r="D74" s="98"/>
      <c r="E74" s="98"/>
      <c r="F74" s="99"/>
      <c r="G74" s="98"/>
      <c r="H74" s="98"/>
      <c r="I74" s="98"/>
      <c r="J74" s="60"/>
      <c r="M74" s="60"/>
      <c r="N74" s="60"/>
      <c r="O74" s="60"/>
      <c r="P74" s="60"/>
      <c r="Q74" s="60"/>
      <c r="R74" s="60">
        <f t="shared" si="30"/>
        <v>9.6790000000000038</v>
      </c>
      <c r="S74" s="60">
        <f t="shared" ref="S74:S83" si="34">VLOOKUP($R74,knsobn_,4,TRUE)</f>
        <v>9.6532036198768516</v>
      </c>
      <c r="T74" s="60">
        <f t="shared" ref="T74:T83" si="35">VLOOKUP($R74,knsobn_,5,TRUE)</f>
        <v>6.3799999999999996E-2</v>
      </c>
      <c r="U74" s="60">
        <f t="shared" si="31"/>
        <v>11.157514305296953</v>
      </c>
      <c r="V74" s="96">
        <f t="shared" ref="V74:V83" si="36">$J$28</f>
        <v>5.13</v>
      </c>
      <c r="W74" s="96">
        <f t="shared" ref="W74:W83" si="37">$K$28</f>
        <v>0.22</v>
      </c>
      <c r="X74" s="60">
        <f t="shared" ref="X74:X83" si="38">V74*R74^W74</f>
        <v>8.4527898700986448</v>
      </c>
      <c r="Y74" s="96">
        <f t="shared" ref="Y74:Y83" si="39">$J$33</f>
        <v>8.26</v>
      </c>
      <c r="Z74" s="96">
        <f t="shared" ref="Z74:Z83" si="40">$K$33</f>
        <v>0.31900000000000001</v>
      </c>
      <c r="AA74" s="60">
        <f t="shared" ref="AA74:AA83" si="41">Y74*R74^Z74</f>
        <v>17.039622677148028</v>
      </c>
      <c r="AB74" s="96">
        <f t="shared" si="32"/>
        <v>2.9</v>
      </c>
      <c r="AC74" s="96">
        <f t="shared" si="33"/>
        <v>0.4</v>
      </c>
      <c r="AD74" s="60">
        <f t="shared" ref="AD74:AD83" si="42">AB74*R74^AC74</f>
        <v>7.1900215795681497</v>
      </c>
      <c r="AE74" s="96">
        <f t="shared" ref="AE74:AE83" si="43">$J$58</f>
        <v>6.5</v>
      </c>
      <c r="AF74" s="96">
        <f t="shared" ref="AF74:AF83" si="44">$K$58</f>
        <v>0.628</v>
      </c>
      <c r="AG74" s="60">
        <f t="shared" ref="AG74:AG83" si="45">AE74*R74^AF74</f>
        <v>27.040511611149185</v>
      </c>
      <c r="AH74" s="96">
        <f t="shared" si="26"/>
        <v>7.4</v>
      </c>
      <c r="AI74" s="96">
        <f t="shared" si="27"/>
        <v>0.25</v>
      </c>
      <c r="AJ74" s="60">
        <f t="shared" ref="AJ74:AJ83" si="46">AH74*R74^AI74</f>
        <v>13.052368972474545</v>
      </c>
    </row>
    <row r="75" spans="1:36">
      <c r="B75" s="98"/>
      <c r="C75" s="98"/>
      <c r="D75" s="98"/>
      <c r="E75" s="98"/>
      <c r="F75" s="99"/>
      <c r="G75" s="98"/>
      <c r="H75" s="98"/>
      <c r="I75" s="98"/>
      <c r="J75" s="60"/>
      <c r="M75" s="60"/>
      <c r="N75" s="60"/>
      <c r="O75" s="60"/>
      <c r="P75" s="60"/>
      <c r="Q75" s="60"/>
      <c r="R75" s="60">
        <f t="shared" si="30"/>
        <v>9.8260000000000041</v>
      </c>
      <c r="S75" s="60">
        <f t="shared" si="34"/>
        <v>9.6532036198768516</v>
      </c>
      <c r="T75" s="60">
        <f t="shared" si="35"/>
        <v>6.3799999999999996E-2</v>
      </c>
      <c r="U75" s="60">
        <f t="shared" si="31"/>
        <v>11.168249417111291</v>
      </c>
      <c r="V75" s="96">
        <f t="shared" si="36"/>
        <v>5.13</v>
      </c>
      <c r="W75" s="96">
        <f t="shared" si="37"/>
        <v>0.22</v>
      </c>
      <c r="X75" s="60">
        <f t="shared" si="38"/>
        <v>8.4808669954479772</v>
      </c>
      <c r="Y75" s="96">
        <f t="shared" si="39"/>
        <v>8.26</v>
      </c>
      <c r="Z75" s="96">
        <f t="shared" si="40"/>
        <v>0.31900000000000001</v>
      </c>
      <c r="AA75" s="60">
        <f t="shared" si="41"/>
        <v>17.121753240844736</v>
      </c>
      <c r="AB75" s="96">
        <f t="shared" si="32"/>
        <v>2.9</v>
      </c>
      <c r="AC75" s="96">
        <f t="shared" si="33"/>
        <v>0.4</v>
      </c>
      <c r="AD75" s="60">
        <f t="shared" si="42"/>
        <v>7.2335035979691371</v>
      </c>
      <c r="AE75" s="96">
        <f t="shared" si="43"/>
        <v>6.5</v>
      </c>
      <c r="AF75" s="96">
        <f t="shared" si="44"/>
        <v>0.628</v>
      </c>
      <c r="AG75" s="60">
        <f t="shared" si="45"/>
        <v>27.297694041918795</v>
      </c>
      <c r="AH75" s="96">
        <f t="shared" ref="AH75:AH83" si="47">am_4</f>
        <v>7.4</v>
      </c>
      <c r="AI75" s="96">
        <f t="shared" ref="AI75:AI83" si="48">nm_4</f>
        <v>0.25</v>
      </c>
      <c r="AJ75" s="60">
        <f t="shared" si="46"/>
        <v>13.101647473644753</v>
      </c>
    </row>
    <row r="76" spans="1:36">
      <c r="B76" s="98"/>
      <c r="C76" s="98"/>
      <c r="D76" s="98"/>
      <c r="E76" s="98"/>
      <c r="F76" s="99"/>
      <c r="G76" s="98"/>
      <c r="H76" s="98"/>
      <c r="I76" s="98"/>
      <c r="J76" s="60"/>
      <c r="M76" s="60"/>
      <c r="N76" s="60"/>
      <c r="O76" s="60"/>
      <c r="P76" s="60"/>
      <c r="Q76" s="60"/>
      <c r="R76" s="60">
        <f t="shared" si="30"/>
        <v>9.9730000000000043</v>
      </c>
      <c r="S76" s="60">
        <f t="shared" si="34"/>
        <v>9.6532036198768516</v>
      </c>
      <c r="T76" s="60">
        <f t="shared" si="35"/>
        <v>6.3799999999999996E-2</v>
      </c>
      <c r="U76" s="60">
        <f t="shared" si="31"/>
        <v>11.178835214549855</v>
      </c>
      <c r="V76" s="96">
        <f t="shared" si="36"/>
        <v>5.13</v>
      </c>
      <c r="W76" s="96">
        <f t="shared" si="37"/>
        <v>0.22</v>
      </c>
      <c r="X76" s="60">
        <f t="shared" si="38"/>
        <v>8.5086183750375515</v>
      </c>
      <c r="Y76" s="96">
        <f t="shared" si="39"/>
        <v>8.26</v>
      </c>
      <c r="Z76" s="96">
        <f t="shared" si="40"/>
        <v>0.31900000000000001</v>
      </c>
      <c r="AA76" s="60">
        <f t="shared" si="41"/>
        <v>17.203051267267902</v>
      </c>
      <c r="AB76" s="96">
        <f t="shared" si="32"/>
        <v>2.9</v>
      </c>
      <c r="AC76" s="96">
        <f t="shared" si="33"/>
        <v>0.4</v>
      </c>
      <c r="AD76" s="60">
        <f t="shared" si="42"/>
        <v>7.2765970414268999</v>
      </c>
      <c r="AE76" s="96">
        <f t="shared" si="43"/>
        <v>6.5</v>
      </c>
      <c r="AF76" s="96">
        <f t="shared" si="44"/>
        <v>0.628</v>
      </c>
      <c r="AG76" s="60">
        <f t="shared" si="45"/>
        <v>27.553449104354016</v>
      </c>
      <c r="AH76" s="96">
        <f t="shared" si="47"/>
        <v>7.4</v>
      </c>
      <c r="AI76" s="96">
        <f t="shared" si="48"/>
        <v>0.25</v>
      </c>
      <c r="AJ76" s="60">
        <f t="shared" si="46"/>
        <v>13.150376120906746</v>
      </c>
    </row>
    <row r="77" spans="1:36">
      <c r="B77" s="98"/>
      <c r="C77" s="98"/>
      <c r="D77" s="98"/>
      <c r="E77" s="98"/>
      <c r="F77" s="99"/>
      <c r="G77" s="98"/>
      <c r="H77" s="98"/>
      <c r="I77" s="98"/>
      <c r="J77" s="60"/>
      <c r="M77" s="60"/>
      <c r="N77" s="60"/>
      <c r="O77" s="60"/>
      <c r="P77" s="60"/>
      <c r="Q77" s="60"/>
      <c r="R77" s="60">
        <f t="shared" si="30"/>
        <v>10.120000000000005</v>
      </c>
      <c r="S77" s="60">
        <f t="shared" si="34"/>
        <v>9.6532036198768516</v>
      </c>
      <c r="T77" s="60">
        <f t="shared" si="35"/>
        <v>6.3799999999999996E-2</v>
      </c>
      <c r="U77" s="60">
        <f t="shared" si="31"/>
        <v>11.189275929964063</v>
      </c>
      <c r="V77" s="96">
        <f t="shared" si="36"/>
        <v>5.13</v>
      </c>
      <c r="W77" s="96">
        <f t="shared" si="37"/>
        <v>0.22</v>
      </c>
      <c r="X77" s="60">
        <f t="shared" si="38"/>
        <v>8.5360525070802016</v>
      </c>
      <c r="Y77" s="96">
        <f t="shared" si="39"/>
        <v>8.26</v>
      </c>
      <c r="Z77" s="96">
        <f t="shared" si="40"/>
        <v>0.31900000000000001</v>
      </c>
      <c r="AA77" s="60">
        <f t="shared" si="41"/>
        <v>17.28353728299594</v>
      </c>
      <c r="AB77" s="96">
        <f t="shared" si="32"/>
        <v>2.9</v>
      </c>
      <c r="AC77" s="96">
        <f t="shared" si="33"/>
        <v>0.4</v>
      </c>
      <c r="AD77" s="60">
        <f t="shared" si="42"/>
        <v>7.3193110342258034</v>
      </c>
      <c r="AE77" s="96">
        <f t="shared" si="43"/>
        <v>6.5</v>
      </c>
      <c r="AF77" s="96">
        <f t="shared" si="44"/>
        <v>0.628</v>
      </c>
      <c r="AG77" s="60">
        <f t="shared" si="45"/>
        <v>27.80780558722828</v>
      </c>
      <c r="AH77" s="96">
        <f t="shared" si="47"/>
        <v>7.4</v>
      </c>
      <c r="AI77" s="96">
        <f t="shared" si="48"/>
        <v>0.25</v>
      </c>
      <c r="AJ77" s="60">
        <f t="shared" si="46"/>
        <v>13.198569020460795</v>
      </c>
    </row>
    <row r="78" spans="1:36">
      <c r="B78" s="98"/>
      <c r="C78" s="98"/>
      <c r="D78" s="98"/>
      <c r="E78" s="98"/>
      <c r="F78" s="99"/>
      <c r="G78" s="98"/>
      <c r="H78" s="98"/>
      <c r="I78" s="98"/>
      <c r="J78" s="60"/>
      <c r="M78" s="60"/>
      <c r="N78" s="60"/>
      <c r="O78" s="60"/>
      <c r="P78" s="60"/>
      <c r="Q78" s="60"/>
      <c r="R78" s="60">
        <f t="shared" si="30"/>
        <v>10.267000000000005</v>
      </c>
      <c r="S78" s="60">
        <f t="shared" si="34"/>
        <v>9.6532036198768516</v>
      </c>
      <c r="T78" s="60">
        <f t="shared" si="35"/>
        <v>6.3799999999999996E-2</v>
      </c>
      <c r="U78" s="60">
        <f t="shared" si="31"/>
        <v>11.19957561639991</v>
      </c>
      <c r="V78" s="96">
        <f t="shared" si="36"/>
        <v>5.13</v>
      </c>
      <c r="W78" s="96">
        <f t="shared" si="37"/>
        <v>0.22</v>
      </c>
      <c r="X78" s="60">
        <f t="shared" si="38"/>
        <v>8.563177548524024</v>
      </c>
      <c r="Y78" s="96">
        <f t="shared" si="39"/>
        <v>8.26</v>
      </c>
      <c r="Z78" s="96">
        <f t="shared" si="40"/>
        <v>0.31900000000000001</v>
      </c>
      <c r="AA78" s="60">
        <f t="shared" si="41"/>
        <v>17.363231019098606</v>
      </c>
      <c r="AB78" s="96">
        <f t="shared" si="32"/>
        <v>2.9</v>
      </c>
      <c r="AC78" s="96">
        <f t="shared" si="33"/>
        <v>0.4</v>
      </c>
      <c r="AD78" s="60">
        <f t="shared" si="42"/>
        <v>7.3616543575196065</v>
      </c>
      <c r="AE78" s="96">
        <f t="shared" si="43"/>
        <v>6.5</v>
      </c>
      <c r="AF78" s="96">
        <f t="shared" si="44"/>
        <v>0.628</v>
      </c>
      <c r="AG78" s="60">
        <f t="shared" si="45"/>
        <v>28.060791289975612</v>
      </c>
      <c r="AH78" s="96">
        <f t="shared" si="47"/>
        <v>7.4</v>
      </c>
      <c r="AI78" s="96">
        <f t="shared" si="48"/>
        <v>0.25</v>
      </c>
      <c r="AJ78" s="60">
        <f t="shared" si="46"/>
        <v>13.246239718031903</v>
      </c>
    </row>
    <row r="79" spans="1:36">
      <c r="B79" s="98"/>
      <c r="C79" s="98"/>
      <c r="D79" s="98"/>
      <c r="E79" s="98"/>
      <c r="F79" s="99"/>
      <c r="G79" s="98"/>
      <c r="H79" s="98"/>
      <c r="I79" s="98"/>
      <c r="J79" s="60"/>
      <c r="M79" s="60"/>
      <c r="N79" s="60"/>
      <c r="O79" s="60"/>
      <c r="P79" s="60"/>
      <c r="Q79" s="60"/>
      <c r="R79" s="60">
        <f t="shared" si="30"/>
        <v>10.414000000000005</v>
      </c>
      <c r="S79" s="60">
        <f t="shared" si="34"/>
        <v>9.6532036198768516</v>
      </c>
      <c r="T79" s="60">
        <f t="shared" si="35"/>
        <v>6.3799999999999996E-2</v>
      </c>
      <c r="U79" s="60">
        <f t="shared" si="31"/>
        <v>11.209738157636787</v>
      </c>
      <c r="V79" s="96">
        <f t="shared" si="36"/>
        <v>5.13</v>
      </c>
      <c r="W79" s="96">
        <f t="shared" si="37"/>
        <v>0.22</v>
      </c>
      <c r="X79" s="60">
        <f t="shared" si="38"/>
        <v>8.5900013334212488</v>
      </c>
      <c r="Y79" s="96">
        <f t="shared" si="39"/>
        <v>8.26</v>
      </c>
      <c r="Z79" s="96">
        <f t="shared" si="40"/>
        <v>0.31900000000000001</v>
      </c>
      <c r="AA79" s="60">
        <f t="shared" si="41"/>
        <v>17.442151452864127</v>
      </c>
      <c r="AB79" s="96">
        <f t="shared" si="32"/>
        <v>2.9</v>
      </c>
      <c r="AC79" s="96">
        <f t="shared" si="33"/>
        <v>0.4</v>
      </c>
      <c r="AD79" s="60">
        <f t="shared" si="42"/>
        <v>7.4036354669440323</v>
      </c>
      <c r="AE79" s="96">
        <f t="shared" si="43"/>
        <v>6.5</v>
      </c>
      <c r="AF79" s="96">
        <f t="shared" si="44"/>
        <v>0.628</v>
      </c>
      <c r="AG79" s="60">
        <f t="shared" si="45"/>
        <v>28.312433070334297</v>
      </c>
      <c r="AH79" s="96">
        <f t="shared" si="47"/>
        <v>7.4</v>
      </c>
      <c r="AI79" s="96">
        <f t="shared" si="48"/>
        <v>0.25</v>
      </c>
      <c r="AJ79" s="60">
        <f t="shared" si="46"/>
        <v>13.293401228804905</v>
      </c>
    </row>
    <row r="80" spans="1:36">
      <c r="B80" s="98"/>
      <c r="C80" s="98"/>
      <c r="D80" s="98"/>
      <c r="E80" s="98"/>
      <c r="F80" s="99"/>
      <c r="G80" s="98"/>
      <c r="H80" s="98"/>
      <c r="I80" s="98"/>
      <c r="J80" s="60"/>
      <c r="M80" s="60"/>
      <c r="N80" s="60"/>
      <c r="O80" s="60"/>
      <c r="P80" s="60"/>
      <c r="Q80" s="60"/>
      <c r="R80" s="60">
        <f t="shared" si="30"/>
        <v>10.561000000000005</v>
      </c>
      <c r="S80" s="60">
        <f t="shared" si="34"/>
        <v>9.6532036198768516</v>
      </c>
      <c r="T80" s="60">
        <f t="shared" si="35"/>
        <v>6.3799999999999996E-2</v>
      </c>
      <c r="U80" s="60">
        <f t="shared" si="31"/>
        <v>11.219767277531348</v>
      </c>
      <c r="V80" s="96">
        <f t="shared" si="36"/>
        <v>5.13</v>
      </c>
      <c r="W80" s="96">
        <f t="shared" si="37"/>
        <v>0.22</v>
      </c>
      <c r="X80" s="60">
        <f t="shared" si="38"/>
        <v>8.6165313900643685</v>
      </c>
      <c r="Y80" s="96">
        <f t="shared" si="39"/>
        <v>8.26</v>
      </c>
      <c r="Z80" s="96">
        <f t="shared" si="40"/>
        <v>0.31900000000000001</v>
      </c>
      <c r="AA80" s="60">
        <f t="shared" si="41"/>
        <v>17.520316846782137</v>
      </c>
      <c r="AB80" s="96">
        <f t="shared" si="32"/>
        <v>2.9</v>
      </c>
      <c r="AC80" s="96">
        <f t="shared" si="33"/>
        <v>0.4</v>
      </c>
      <c r="AD80" s="60">
        <f t="shared" si="42"/>
        <v>7.4452625090904112</v>
      </c>
      <c r="AE80" s="96">
        <f t="shared" si="43"/>
        <v>6.5</v>
      </c>
      <c r="AF80" s="96">
        <f t="shared" si="44"/>
        <v>0.628</v>
      </c>
      <c r="AG80" s="60">
        <f t="shared" si="45"/>
        <v>28.562756889057564</v>
      </c>
      <c r="AH80" s="96">
        <f t="shared" si="47"/>
        <v>7.4</v>
      </c>
      <c r="AI80" s="96">
        <f t="shared" si="48"/>
        <v>0.25</v>
      </c>
      <c r="AJ80" s="60">
        <f t="shared" si="46"/>
        <v>13.340066065362763</v>
      </c>
    </row>
    <row r="81" spans="2:36">
      <c r="B81" s="98"/>
      <c r="C81" s="98"/>
      <c r="D81" s="98"/>
      <c r="E81" s="98"/>
      <c r="F81" s="99"/>
      <c r="G81" s="98"/>
      <c r="H81" s="98"/>
      <c r="I81" s="98"/>
      <c r="M81" s="60"/>
      <c r="N81" s="60"/>
      <c r="O81" s="60"/>
      <c r="P81" s="60"/>
      <c r="Q81" s="60"/>
      <c r="R81" s="60">
        <f t="shared" si="30"/>
        <v>10.708000000000006</v>
      </c>
      <c r="S81" s="60">
        <f t="shared" si="34"/>
        <v>9.6532036198768516</v>
      </c>
      <c r="T81" s="60">
        <f t="shared" si="35"/>
        <v>6.3799999999999996E-2</v>
      </c>
      <c r="U81" s="60">
        <f t="shared" si="31"/>
        <v>11.22966654872347</v>
      </c>
      <c r="V81" s="96">
        <f t="shared" si="36"/>
        <v>5.13</v>
      </c>
      <c r="W81" s="96">
        <f t="shared" si="37"/>
        <v>0.22</v>
      </c>
      <c r="X81" s="60">
        <f t="shared" si="38"/>
        <v>8.6427749569881502</v>
      </c>
      <c r="Y81" s="96">
        <f t="shared" si="39"/>
        <v>8.26</v>
      </c>
      <c r="Z81" s="96">
        <f t="shared" si="40"/>
        <v>0.31900000000000001</v>
      </c>
      <c r="AA81" s="60">
        <f t="shared" si="41"/>
        <v>17.597744784998241</v>
      </c>
      <c r="AB81" s="96">
        <f t="shared" si="32"/>
        <v>2.9</v>
      </c>
      <c r="AC81" s="96">
        <f t="shared" si="33"/>
        <v>0.4</v>
      </c>
      <c r="AD81" s="60">
        <f t="shared" si="42"/>
        <v>7.4865433369287784</v>
      </c>
      <c r="AE81" s="96">
        <f t="shared" si="43"/>
        <v>6.5</v>
      </c>
      <c r="AF81" s="96">
        <f t="shared" si="44"/>
        <v>0.628</v>
      </c>
      <c r="AG81" s="60">
        <f t="shared" si="45"/>
        <v>28.811787851910161</v>
      </c>
      <c r="AH81" s="96">
        <f t="shared" si="47"/>
        <v>7.4</v>
      </c>
      <c r="AI81" s="96">
        <f t="shared" si="48"/>
        <v>0.25</v>
      </c>
      <c r="AJ81" s="60">
        <f t="shared" si="46"/>
        <v>13.386246263787081</v>
      </c>
    </row>
    <row r="82" spans="2:36">
      <c r="B82" s="60"/>
      <c r="C82" s="60"/>
      <c r="D82" s="60"/>
      <c r="E82" s="60"/>
      <c r="G82" s="60"/>
      <c r="H82" s="60"/>
      <c r="I82" s="60"/>
      <c r="M82" s="60"/>
      <c r="N82" s="60"/>
      <c r="O82" s="60"/>
      <c r="P82" s="60"/>
      <c r="Q82" s="60"/>
      <c r="R82" s="60">
        <f t="shared" si="30"/>
        <v>10.855000000000006</v>
      </c>
      <c r="S82" s="60">
        <f t="shared" si="34"/>
        <v>9.6532036198768516</v>
      </c>
      <c r="T82" s="60">
        <f t="shared" si="35"/>
        <v>6.3799999999999996E-2</v>
      </c>
      <c r="U82" s="60">
        <f t="shared" si="31"/>
        <v>11.239439400755961</v>
      </c>
      <c r="V82" s="96">
        <f t="shared" si="36"/>
        <v>5.13</v>
      </c>
      <c r="W82" s="96">
        <f t="shared" si="37"/>
        <v>0.22</v>
      </c>
      <c r="X82" s="60">
        <f t="shared" si="38"/>
        <v>8.6687389979270772</v>
      </c>
      <c r="Y82" s="96">
        <f t="shared" si="39"/>
        <v>8.26</v>
      </c>
      <c r="Z82" s="96">
        <f t="shared" si="40"/>
        <v>0.31900000000000001</v>
      </c>
      <c r="AA82" s="60">
        <f t="shared" si="41"/>
        <v>17.674452207436644</v>
      </c>
      <c r="AB82" s="96">
        <f t="shared" si="32"/>
        <v>2.9</v>
      </c>
      <c r="AC82" s="96">
        <f t="shared" si="33"/>
        <v>0.4</v>
      </c>
      <c r="AD82" s="60">
        <f t="shared" si="42"/>
        <v>7.5274855242609071</v>
      </c>
      <c r="AE82" s="96">
        <f t="shared" si="43"/>
        <v>6.5</v>
      </c>
      <c r="AF82" s="96">
        <f t="shared" si="44"/>
        <v>0.628</v>
      </c>
      <c r="AG82" s="60">
        <f t="shared" si="45"/>
        <v>29.059550249150206</v>
      </c>
      <c r="AH82" s="96">
        <f t="shared" si="47"/>
        <v>7.4</v>
      </c>
      <c r="AI82" s="96">
        <f t="shared" si="48"/>
        <v>0.25</v>
      </c>
      <c r="AJ82" s="60">
        <f t="shared" si="46"/>
        <v>13.431953408065175</v>
      </c>
    </row>
    <row r="83" spans="2:36">
      <c r="I83" s="60"/>
      <c r="M83" s="60"/>
      <c r="N83" s="60"/>
      <c r="O83" s="60"/>
      <c r="P83" s="60"/>
      <c r="Q83" s="60"/>
      <c r="R83" s="60">
        <f t="shared" si="30"/>
        <v>11.002000000000006</v>
      </c>
      <c r="S83" s="60">
        <f t="shared" si="34"/>
        <v>9.6532036198768516</v>
      </c>
      <c r="T83" s="60">
        <f t="shared" si="35"/>
        <v>6.3799999999999996E-2</v>
      </c>
      <c r="U83" s="60">
        <f t="shared" si="31"/>
        <v>11.249089127654859</v>
      </c>
      <c r="V83" s="96">
        <f t="shared" si="36"/>
        <v>5.13</v>
      </c>
      <c r="W83" s="96">
        <f t="shared" si="37"/>
        <v>0.22</v>
      </c>
      <c r="X83" s="60">
        <f t="shared" si="38"/>
        <v>8.6944302158095503</v>
      </c>
      <c r="Y83" s="96">
        <f t="shared" si="39"/>
        <v>8.26</v>
      </c>
      <c r="Z83" s="96">
        <f t="shared" si="40"/>
        <v>0.31900000000000001</v>
      </c>
      <c r="AA83" s="60">
        <f t="shared" si="41"/>
        <v>17.750455441769379</v>
      </c>
      <c r="AB83" s="96">
        <f t="shared" si="32"/>
        <v>2.9</v>
      </c>
      <c r="AC83" s="96">
        <f t="shared" si="33"/>
        <v>0.4</v>
      </c>
      <c r="AD83" s="60">
        <f t="shared" si="42"/>
        <v>7.5680963792765219</v>
      </c>
      <c r="AE83" s="96">
        <f t="shared" si="43"/>
        <v>6.5</v>
      </c>
      <c r="AF83" s="96">
        <f t="shared" si="44"/>
        <v>0.628</v>
      </c>
      <c r="AG83" s="60">
        <f t="shared" si="45"/>
        <v>29.306067592679206</v>
      </c>
      <c r="AH83" s="96">
        <f t="shared" si="47"/>
        <v>7.4</v>
      </c>
      <c r="AI83" s="96">
        <f t="shared" si="48"/>
        <v>0.25</v>
      </c>
      <c r="AJ83" s="60">
        <f t="shared" si="46"/>
        <v>13.477198652934886</v>
      </c>
    </row>
    <row r="84" spans="2:36">
      <c r="M84" s="60"/>
      <c r="N84" s="60"/>
      <c r="O84" s="60"/>
      <c r="P84" s="60"/>
      <c r="Q84" s="60"/>
      <c r="R84" s="60"/>
      <c r="S84" s="60"/>
      <c r="T84" s="60"/>
      <c r="U84" s="60"/>
      <c r="V84" s="60"/>
      <c r="W84" s="60"/>
      <c r="X84" s="60"/>
      <c r="Y84" s="60"/>
      <c r="Z84" s="60"/>
    </row>
    <row r="85" spans="2:36">
      <c r="M85" s="60"/>
      <c r="N85" s="60"/>
      <c r="O85" s="60"/>
      <c r="P85" s="60"/>
      <c r="Q85" s="60"/>
      <c r="R85" s="60"/>
      <c r="S85" s="60"/>
      <c r="T85" s="60"/>
      <c r="U85" s="60"/>
      <c r="V85" s="60"/>
      <c r="W85" s="60"/>
      <c r="X85" s="60"/>
      <c r="Y85" s="60"/>
      <c r="Z85" s="60"/>
    </row>
    <row r="86" spans="2:36">
      <c r="M86" s="60"/>
      <c r="N86" s="60"/>
      <c r="O86" s="60"/>
      <c r="P86" s="60"/>
      <c r="Q86" s="60"/>
      <c r="R86" s="60"/>
      <c r="S86" s="60"/>
      <c r="T86" s="60"/>
      <c r="U86" s="60"/>
      <c r="V86" s="60"/>
      <c r="W86" s="60"/>
      <c r="X86" s="60"/>
      <c r="Y86" s="60"/>
      <c r="Z86" s="60"/>
    </row>
    <row r="87" spans="2:36">
      <c r="M87" s="60"/>
      <c r="N87" s="60"/>
      <c r="O87" s="60"/>
      <c r="P87" s="60"/>
      <c r="Q87" s="60"/>
      <c r="R87" s="60"/>
      <c r="S87" s="60"/>
      <c r="T87" s="60"/>
      <c r="U87" s="60"/>
      <c r="V87" s="60"/>
      <c r="W87" s="60"/>
      <c r="X87" s="60"/>
      <c r="Y87" s="60"/>
      <c r="Z87" s="60"/>
    </row>
    <row r="88" spans="2:36">
      <c r="M88" s="60"/>
      <c r="N88" s="60"/>
      <c r="O88" s="60"/>
      <c r="P88" s="60"/>
      <c r="Q88" s="60"/>
      <c r="R88" s="60"/>
      <c r="S88" s="60"/>
      <c r="T88" s="60"/>
      <c r="U88" s="60"/>
      <c r="V88" s="60"/>
      <c r="W88" s="60"/>
      <c r="X88" s="60"/>
      <c r="Y88" s="60"/>
      <c r="Z88" s="60"/>
    </row>
    <row r="89" spans="2:36">
      <c r="M89" s="60"/>
      <c r="N89" s="60"/>
      <c r="O89" s="60"/>
      <c r="P89" s="60"/>
      <c r="Q89" s="60"/>
      <c r="R89" s="60"/>
      <c r="S89" s="60"/>
      <c r="T89" s="60"/>
      <c r="U89" s="60"/>
      <c r="V89" s="60"/>
      <c r="W89" s="60"/>
      <c r="X89" s="60"/>
      <c r="Y89" s="60"/>
      <c r="Z89" s="60"/>
    </row>
    <row r="90" spans="2:36">
      <c r="M90" s="60"/>
      <c r="N90" s="60"/>
      <c r="O90" s="60"/>
      <c r="P90" s="60"/>
      <c r="Q90" s="60"/>
      <c r="R90" s="60"/>
      <c r="S90" s="60"/>
      <c r="T90" s="60"/>
      <c r="U90" s="60"/>
      <c r="V90" s="60"/>
      <c r="W90" s="60"/>
      <c r="X90" s="60"/>
      <c r="Y90" s="60"/>
      <c r="Z90" s="60"/>
    </row>
    <row r="91" spans="2:36">
      <c r="M91" s="60"/>
      <c r="N91" s="60"/>
      <c r="O91" s="60"/>
      <c r="P91" s="60"/>
      <c r="Q91" s="60"/>
      <c r="R91" s="60"/>
      <c r="S91" s="60"/>
      <c r="T91" s="60"/>
      <c r="U91" s="60"/>
      <c r="V91" s="60"/>
      <c r="W91" s="60"/>
      <c r="X91" s="60"/>
      <c r="Y91" s="60"/>
      <c r="Z91" s="60"/>
    </row>
    <row r="92" spans="2:36">
      <c r="M92" s="60"/>
      <c r="N92" s="60"/>
      <c r="O92" s="60"/>
      <c r="P92" s="60"/>
      <c r="Q92" s="60"/>
      <c r="R92" s="60"/>
      <c r="S92" s="60"/>
      <c r="T92" s="60"/>
      <c r="U92" s="60"/>
      <c r="V92" s="60"/>
      <c r="W92" s="60"/>
      <c r="X92" s="60"/>
      <c r="Y92" s="60"/>
      <c r="Z92" s="60"/>
    </row>
    <row r="93" spans="2:36">
      <c r="M93" s="60"/>
      <c r="N93" s="60"/>
      <c r="O93" s="60"/>
      <c r="P93" s="60"/>
      <c r="Q93" s="60"/>
      <c r="R93" s="60"/>
      <c r="S93" s="60"/>
      <c r="T93" s="60"/>
      <c r="U93" s="60"/>
      <c r="V93" s="60"/>
      <c r="W93" s="60"/>
      <c r="X93" s="60"/>
      <c r="Y93" s="60"/>
      <c r="Z93" s="60"/>
    </row>
    <row r="94" spans="2:36">
      <c r="M94" s="60"/>
      <c r="N94" s="60"/>
      <c r="O94" s="60"/>
      <c r="P94" s="60"/>
      <c r="Q94" s="60"/>
      <c r="R94" s="60"/>
      <c r="S94" s="60"/>
      <c r="T94" s="60"/>
      <c r="U94" s="60"/>
      <c r="V94" s="60"/>
      <c r="W94" s="60"/>
      <c r="X94" s="60"/>
      <c r="Y94" s="60"/>
      <c r="Z94" s="60"/>
    </row>
    <row r="95" spans="2:36">
      <c r="B95" s="228"/>
      <c r="M95" s="60"/>
      <c r="N95" s="60"/>
      <c r="O95" s="60"/>
      <c r="P95" s="60"/>
      <c r="Q95" s="60"/>
      <c r="R95" s="60"/>
      <c r="S95" s="60"/>
      <c r="T95" s="60"/>
      <c r="U95" s="60"/>
      <c r="V95" s="60"/>
      <c r="W95" s="60"/>
      <c r="X95" s="60"/>
      <c r="Y95" s="60"/>
      <c r="Z95" s="60"/>
    </row>
    <row r="96" spans="2:36">
      <c r="M96" s="60"/>
      <c r="N96" s="60"/>
      <c r="O96" s="60"/>
      <c r="P96" s="60"/>
      <c r="Q96" s="60"/>
      <c r="R96" s="60"/>
      <c r="S96" s="60"/>
      <c r="T96" s="60"/>
      <c r="U96" s="60"/>
      <c r="V96" s="60"/>
      <c r="W96" s="60"/>
      <c r="X96" s="60"/>
      <c r="Y96" s="60"/>
      <c r="Z96" s="60"/>
    </row>
    <row r="97" spans="13:26">
      <c r="M97" s="60"/>
      <c r="N97" s="60"/>
      <c r="O97" s="60"/>
      <c r="P97" s="60"/>
      <c r="Q97" s="60"/>
      <c r="R97" s="60"/>
      <c r="S97" s="60"/>
      <c r="T97" s="60"/>
      <c r="U97" s="60"/>
      <c r="V97" s="60"/>
      <c r="W97" s="60"/>
      <c r="X97" s="60"/>
      <c r="Y97" s="60"/>
      <c r="Z97" s="60"/>
    </row>
    <row r="98" spans="13:26">
      <c r="V98" s="60"/>
      <c r="W98" s="60"/>
      <c r="X98" s="60"/>
      <c r="Y98" s="60"/>
      <c r="Z98" s="60"/>
    </row>
    <row r="99" spans="13:26">
      <c r="V99" s="60"/>
      <c r="W99" s="60"/>
      <c r="X99" s="60"/>
      <c r="Y99" s="60"/>
      <c r="Z99" s="60"/>
    </row>
    <row r="100" spans="13:26">
      <c r="V100" s="60"/>
      <c r="W100" s="60"/>
      <c r="X100" s="60"/>
      <c r="Y100" s="60"/>
      <c r="Z100" s="60"/>
    </row>
    <row r="101" spans="13:26">
      <c r="V101" s="60"/>
      <c r="W101" s="60"/>
      <c r="X101" s="60"/>
      <c r="Y101" s="60"/>
      <c r="Z101" s="60"/>
    </row>
    <row r="102" spans="13:26">
      <c r="V102" s="60"/>
      <c r="W102" s="60"/>
      <c r="X102" s="60"/>
      <c r="Y102" s="60"/>
      <c r="Z102" s="60"/>
    </row>
    <row r="103" spans="13:26">
      <c r="V103" s="60"/>
      <c r="W103" s="60"/>
      <c r="X103" s="60"/>
      <c r="Y103" s="60"/>
      <c r="Z103" s="60"/>
    </row>
    <row r="104" spans="13:26">
      <c r="V104" s="60"/>
      <c r="W104" s="60"/>
      <c r="X104" s="60"/>
      <c r="Y104" s="60"/>
      <c r="Z104" s="60"/>
    </row>
    <row r="105" spans="13:26">
      <c r="V105" s="60"/>
      <c r="W105" s="60"/>
      <c r="X105" s="60"/>
      <c r="Y105" s="60"/>
      <c r="Z105" s="60"/>
    </row>
    <row r="106" spans="13:26">
      <c r="V106" s="60"/>
      <c r="W106" s="60"/>
      <c r="X106" s="60"/>
      <c r="Y106" s="60"/>
      <c r="Z106" s="60"/>
    </row>
    <row r="107" spans="13:26">
      <c r="V107" s="60"/>
      <c r="W107" s="60"/>
      <c r="X107" s="60"/>
      <c r="Y107" s="60"/>
      <c r="Z107" s="60"/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horizontalDpi="0" verticalDpi="0" r:id="rId1"/>
      <headerFooter alignWithMargins="0"/>
    </customSheetView>
  </customSheetViews>
  <mergeCells count="52">
    <mergeCell ref="B60:K60"/>
    <mergeCell ref="B61:K61"/>
    <mergeCell ref="B62:D62"/>
    <mergeCell ref="G62:I62"/>
    <mergeCell ref="B63:D63"/>
    <mergeCell ref="E63:F63"/>
    <mergeCell ref="G63:I63"/>
    <mergeCell ref="J63:K63"/>
    <mergeCell ref="B54:K54"/>
    <mergeCell ref="B55:K55"/>
    <mergeCell ref="B56:D56"/>
    <mergeCell ref="G56:I56"/>
    <mergeCell ref="B57:D57"/>
    <mergeCell ref="E57:F57"/>
    <mergeCell ref="G57:I57"/>
    <mergeCell ref="J57:K57"/>
    <mergeCell ref="B48:K48"/>
    <mergeCell ref="B49:K49"/>
    <mergeCell ref="B50:D50"/>
    <mergeCell ref="G50:I50"/>
    <mergeCell ref="B51:D51"/>
    <mergeCell ref="E51:F51"/>
    <mergeCell ref="G51:I51"/>
    <mergeCell ref="J51:K51"/>
    <mergeCell ref="B5:K5"/>
    <mergeCell ref="B6:D6"/>
    <mergeCell ref="G6:I6"/>
    <mergeCell ref="B7:D7"/>
    <mergeCell ref="E7:F7"/>
    <mergeCell ref="G7:I7"/>
    <mergeCell ref="J7:K7"/>
    <mergeCell ref="B16:K16"/>
    <mergeCell ref="B17:D17"/>
    <mergeCell ref="G17:I17"/>
    <mergeCell ref="B18:D18"/>
    <mergeCell ref="E18:F18"/>
    <mergeCell ref="G18:I18"/>
    <mergeCell ref="J18:K18"/>
    <mergeCell ref="B25:K25"/>
    <mergeCell ref="B26:D26"/>
    <mergeCell ref="G26:I26"/>
    <mergeCell ref="B27:D27"/>
    <mergeCell ref="E27:F27"/>
    <mergeCell ref="G27:I27"/>
    <mergeCell ref="J27:K27"/>
    <mergeCell ref="B30:K30"/>
    <mergeCell ref="B31:D31"/>
    <mergeCell ref="G31:I31"/>
    <mergeCell ref="B32:D32"/>
    <mergeCell ref="E32:F32"/>
    <mergeCell ref="G32:I32"/>
    <mergeCell ref="J32:K32"/>
  </mergeCells>
  <phoneticPr fontId="0" type="noConversion"/>
  <pageMargins left="0.75" right="0.75" top="1" bottom="1" header="0.5" footer="0.5"/>
  <pageSetup orientation="portrait" horizontalDpi="0" verticalDpi="0" r:id="rId2"/>
  <headerFooter alignWithMargins="0"/>
  <drawing r:id="rId3"/>
  <legacyDrawing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92D050"/>
  </sheetPr>
  <dimension ref="A1:M29"/>
  <sheetViews>
    <sheetView showGridLines="0" topLeftCell="C1" workbookViewId="0">
      <selection activeCell="C1" sqref="C1"/>
    </sheetView>
  </sheetViews>
  <sheetFormatPr defaultRowHeight="12.75"/>
  <cols>
    <col min="1" max="1" width="8.85546875" hidden="1" customWidth="1"/>
    <col min="2" max="2" width="0" hidden="1" customWidth="1"/>
  </cols>
  <sheetData>
    <row r="1" spans="1:13"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</row>
    <row r="2" spans="1:13" ht="13.5" thickBot="1">
      <c r="B2" s="74"/>
      <c r="C2" s="74"/>
      <c r="D2" s="74"/>
      <c r="E2" s="74"/>
      <c r="F2" s="74"/>
      <c r="G2" s="74"/>
      <c r="H2" s="74"/>
      <c r="I2" s="74"/>
      <c r="J2" s="74"/>
      <c r="K2" s="74"/>
      <c r="L2" s="74"/>
      <c r="M2" s="74"/>
    </row>
    <row r="3" spans="1:13" ht="14.25">
      <c r="B3" s="74"/>
      <c r="C3" s="450" t="s">
        <v>59</v>
      </c>
      <c r="D3" s="451"/>
      <c r="E3" s="451"/>
      <c r="F3" s="452"/>
      <c r="G3" s="74"/>
      <c r="H3" s="74"/>
      <c r="I3" s="74"/>
      <c r="J3" s="74"/>
      <c r="K3" s="74"/>
      <c r="L3" s="74"/>
      <c r="M3" s="74"/>
    </row>
    <row r="4" spans="1:13" ht="14.25">
      <c r="B4" s="74"/>
      <c r="C4" s="400" t="s">
        <v>60</v>
      </c>
      <c r="D4" s="453" t="s">
        <v>61</v>
      </c>
      <c r="E4" s="454"/>
      <c r="F4" s="455"/>
      <c r="G4" s="74"/>
      <c r="H4" s="74"/>
      <c r="I4" s="74"/>
      <c r="J4" s="74"/>
      <c r="K4" s="74"/>
      <c r="L4" s="74"/>
      <c r="M4" s="74"/>
    </row>
    <row r="5" spans="1:13" ht="14.25">
      <c r="B5" s="74"/>
      <c r="C5" s="401"/>
      <c r="D5" s="456" t="s">
        <v>62</v>
      </c>
      <c r="E5" s="457"/>
      <c r="F5" s="458"/>
      <c r="G5" s="74"/>
      <c r="H5" s="74"/>
      <c r="I5" s="74"/>
      <c r="J5" s="74"/>
      <c r="K5" s="74"/>
      <c r="L5" s="74"/>
      <c r="M5" s="74"/>
    </row>
    <row r="6" spans="1:13" ht="14.25">
      <c r="A6" s="24">
        <v>1.26</v>
      </c>
      <c r="B6" s="402">
        <f>D6</f>
        <v>1.26</v>
      </c>
      <c r="C6" s="403" t="s">
        <v>63</v>
      </c>
      <c r="D6" s="404">
        <v>1.26</v>
      </c>
      <c r="E6" s="405" t="s">
        <v>64</v>
      </c>
      <c r="F6" s="406">
        <v>2.5</v>
      </c>
      <c r="G6" s="74"/>
      <c r="H6" s="74"/>
      <c r="I6" s="74"/>
      <c r="J6" s="74"/>
      <c r="K6" s="74"/>
      <c r="L6" s="74"/>
      <c r="M6" s="74"/>
    </row>
    <row r="7" spans="1:13" ht="14.25">
      <c r="A7" s="24">
        <v>2.5</v>
      </c>
      <c r="B7" s="402">
        <f t="shared" ref="B7:B27" si="0">D7</f>
        <v>2.5</v>
      </c>
      <c r="C7" s="403" t="s">
        <v>65</v>
      </c>
      <c r="D7" s="404">
        <v>2.5</v>
      </c>
      <c r="E7" s="405" t="s">
        <v>64</v>
      </c>
      <c r="F7" s="406">
        <v>5</v>
      </c>
      <c r="G7" s="74"/>
      <c r="H7" s="74"/>
      <c r="I7" s="74"/>
      <c r="J7" s="74"/>
      <c r="K7" s="74"/>
      <c r="L7" s="74"/>
      <c r="M7" s="74"/>
    </row>
    <row r="8" spans="1:13" ht="14.25">
      <c r="A8" s="24">
        <v>5</v>
      </c>
      <c r="B8" s="402">
        <f t="shared" si="0"/>
        <v>5</v>
      </c>
      <c r="C8" s="403" t="s">
        <v>66</v>
      </c>
      <c r="D8" s="404">
        <v>5</v>
      </c>
      <c r="E8" s="405" t="s">
        <v>64</v>
      </c>
      <c r="F8" s="406">
        <v>10</v>
      </c>
      <c r="G8" s="74"/>
      <c r="H8" s="74"/>
      <c r="I8" s="74"/>
      <c r="J8" s="74"/>
      <c r="K8" s="74"/>
      <c r="L8" s="74"/>
      <c r="M8" s="74"/>
    </row>
    <row r="9" spans="1:13" ht="14.25">
      <c r="A9" s="24">
        <v>10</v>
      </c>
      <c r="B9" s="402">
        <f t="shared" si="0"/>
        <v>10</v>
      </c>
      <c r="C9" s="403" t="s">
        <v>53</v>
      </c>
      <c r="D9" s="404">
        <v>10</v>
      </c>
      <c r="E9" s="405" t="s">
        <v>64</v>
      </c>
      <c r="F9" s="406">
        <v>20</v>
      </c>
      <c r="G9" s="74"/>
      <c r="H9" s="74"/>
      <c r="I9" s="74"/>
      <c r="J9" s="74"/>
      <c r="K9" s="74"/>
      <c r="L9" s="74"/>
      <c r="M9" s="74"/>
    </row>
    <row r="10" spans="1:13" ht="14.25">
      <c r="A10" s="24">
        <v>20</v>
      </c>
      <c r="B10" s="402">
        <f t="shared" si="0"/>
        <v>20</v>
      </c>
      <c r="C10" s="403" t="s">
        <v>67</v>
      </c>
      <c r="D10" s="404">
        <v>20</v>
      </c>
      <c r="E10" s="405" t="s">
        <v>64</v>
      </c>
      <c r="F10" s="406">
        <v>40</v>
      </c>
      <c r="G10" s="74"/>
      <c r="H10" s="74"/>
      <c r="I10" s="74"/>
      <c r="J10" s="74"/>
      <c r="K10" s="74"/>
      <c r="L10" s="74"/>
      <c r="M10" s="74"/>
    </row>
    <row r="11" spans="1:13" ht="14.25">
      <c r="A11" s="24">
        <v>40</v>
      </c>
      <c r="B11" s="402">
        <f t="shared" si="0"/>
        <v>40</v>
      </c>
      <c r="C11" s="403" t="s">
        <v>68</v>
      </c>
      <c r="D11" s="404">
        <v>40</v>
      </c>
      <c r="E11" s="405" t="s">
        <v>64</v>
      </c>
      <c r="F11" s="406">
        <v>80</v>
      </c>
      <c r="G11" s="74"/>
      <c r="H11" s="74"/>
      <c r="I11" s="74"/>
      <c r="J11" s="74"/>
      <c r="K11" s="74"/>
      <c r="L11" s="74"/>
      <c r="M11" s="74"/>
    </row>
    <row r="12" spans="1:13" ht="14.25">
      <c r="A12" s="24">
        <v>80</v>
      </c>
      <c r="B12" s="402">
        <f t="shared" si="0"/>
        <v>80</v>
      </c>
      <c r="C12" s="403" t="s">
        <v>69</v>
      </c>
      <c r="D12" s="404">
        <v>80</v>
      </c>
      <c r="E12" s="405" t="s">
        <v>64</v>
      </c>
      <c r="F12" s="406">
        <v>160</v>
      </c>
      <c r="G12" s="74"/>
      <c r="H12" s="74"/>
      <c r="I12" s="74"/>
      <c r="J12" s="74"/>
      <c r="K12" s="74"/>
      <c r="L12" s="74"/>
      <c r="M12" s="74"/>
    </row>
    <row r="13" spans="1:13" ht="14.25">
      <c r="A13" s="24">
        <v>160</v>
      </c>
      <c r="B13" s="402">
        <f t="shared" si="0"/>
        <v>160</v>
      </c>
      <c r="C13" s="403" t="s">
        <v>70</v>
      </c>
      <c r="D13" s="404">
        <v>160</v>
      </c>
      <c r="E13" s="405" t="s">
        <v>64</v>
      </c>
      <c r="F13" s="406">
        <v>320</v>
      </c>
      <c r="G13" s="74"/>
      <c r="H13" s="74"/>
      <c r="I13" s="74"/>
      <c r="J13" s="74"/>
      <c r="K13" s="74"/>
      <c r="L13" s="74"/>
      <c r="M13" s="74"/>
    </row>
    <row r="14" spans="1:13" ht="14.25">
      <c r="A14" s="24">
        <v>320</v>
      </c>
      <c r="B14" s="402">
        <f t="shared" si="0"/>
        <v>320</v>
      </c>
      <c r="C14" s="403" t="s">
        <v>71</v>
      </c>
      <c r="D14" s="404">
        <v>320</v>
      </c>
      <c r="E14" s="405" t="s">
        <v>64</v>
      </c>
      <c r="F14" s="406">
        <v>640</v>
      </c>
      <c r="G14" s="74"/>
      <c r="H14" s="74"/>
      <c r="I14" s="74"/>
      <c r="J14" s="74"/>
      <c r="K14" s="74"/>
      <c r="L14" s="74"/>
      <c r="M14" s="74"/>
    </row>
    <row r="15" spans="1:13" ht="14.25">
      <c r="A15" s="24">
        <v>640</v>
      </c>
      <c r="B15" s="402">
        <f t="shared" si="0"/>
        <v>640</v>
      </c>
      <c r="C15" s="403" t="s">
        <v>72</v>
      </c>
      <c r="D15" s="404">
        <v>640</v>
      </c>
      <c r="E15" s="405" t="s">
        <v>64</v>
      </c>
      <c r="F15" s="406">
        <v>1280</v>
      </c>
      <c r="G15" s="74"/>
      <c r="H15" s="74"/>
      <c r="I15" s="74"/>
      <c r="J15" s="74"/>
      <c r="K15" s="74"/>
      <c r="L15" s="74"/>
      <c r="M15" s="74"/>
    </row>
    <row r="16" spans="1:13" ht="14.25">
      <c r="A16" s="24">
        <v>1280</v>
      </c>
      <c r="B16" s="402">
        <f t="shared" si="0"/>
        <v>1280</v>
      </c>
      <c r="C16" s="403" t="s">
        <v>73</v>
      </c>
      <c r="D16" s="404">
        <v>1280</v>
      </c>
      <c r="E16" s="405" t="s">
        <v>64</v>
      </c>
      <c r="F16" s="406">
        <v>2560</v>
      </c>
      <c r="G16" s="74"/>
      <c r="H16" s="407"/>
      <c r="I16" s="74"/>
      <c r="J16" s="74"/>
      <c r="K16" s="74"/>
      <c r="L16" s="74"/>
      <c r="M16" s="74"/>
    </row>
    <row r="17" spans="1:13" ht="14.25">
      <c r="A17" s="24">
        <v>2560</v>
      </c>
      <c r="B17" s="402">
        <f t="shared" si="0"/>
        <v>2560</v>
      </c>
      <c r="C17" s="403" t="s">
        <v>46</v>
      </c>
      <c r="D17" s="404">
        <v>2560</v>
      </c>
      <c r="E17" s="405" t="s">
        <v>64</v>
      </c>
      <c r="F17" s="406">
        <v>5120</v>
      </c>
      <c r="G17" s="74"/>
      <c r="H17" s="74"/>
      <c r="I17" s="74"/>
      <c r="J17" s="74"/>
      <c r="K17" s="74"/>
      <c r="L17" s="74"/>
      <c r="M17" s="74"/>
    </row>
    <row r="18" spans="1:13" ht="14.25">
      <c r="A18" s="24">
        <v>5120</v>
      </c>
      <c r="B18" s="402">
        <f t="shared" si="0"/>
        <v>5120</v>
      </c>
      <c r="C18" s="403" t="s">
        <v>74</v>
      </c>
      <c r="D18" s="404">
        <v>5120</v>
      </c>
      <c r="E18" s="405" t="s">
        <v>64</v>
      </c>
      <c r="F18" s="406">
        <v>10240</v>
      </c>
      <c r="G18" s="74"/>
      <c r="H18" s="74"/>
      <c r="I18" s="74"/>
      <c r="J18" s="74"/>
      <c r="K18" s="74"/>
      <c r="L18" s="74"/>
      <c r="M18" s="74"/>
    </row>
    <row r="19" spans="1:13" ht="14.25">
      <c r="A19" s="24">
        <v>10240</v>
      </c>
      <c r="B19" s="402">
        <f t="shared" si="0"/>
        <v>10240</v>
      </c>
      <c r="C19" s="403" t="s">
        <v>11</v>
      </c>
      <c r="D19" s="404">
        <v>10240</v>
      </c>
      <c r="E19" s="405" t="s">
        <v>64</v>
      </c>
      <c r="F19" s="406">
        <v>20480</v>
      </c>
      <c r="G19" s="74"/>
      <c r="H19" s="74"/>
      <c r="I19" s="74"/>
      <c r="J19" s="74"/>
      <c r="K19" s="74"/>
      <c r="L19" s="74"/>
      <c r="M19" s="74"/>
    </row>
    <row r="20" spans="1:13" ht="14.25">
      <c r="A20" s="24">
        <v>20480</v>
      </c>
      <c r="B20" s="402">
        <f t="shared" si="0"/>
        <v>20480</v>
      </c>
      <c r="C20" s="403" t="s">
        <v>75</v>
      </c>
      <c r="D20" s="404">
        <v>20480</v>
      </c>
      <c r="E20" s="405" t="s">
        <v>64</v>
      </c>
      <c r="F20" s="406">
        <v>40960</v>
      </c>
      <c r="G20" s="74"/>
      <c r="H20" s="74"/>
      <c r="I20" s="74"/>
      <c r="J20" s="74"/>
      <c r="K20" s="74"/>
      <c r="L20" s="74"/>
      <c r="M20" s="74"/>
    </row>
    <row r="21" spans="1:13" ht="14.25">
      <c r="A21" s="24">
        <v>40960</v>
      </c>
      <c r="B21" s="402">
        <f t="shared" si="0"/>
        <v>40960</v>
      </c>
      <c r="C21" s="403" t="s">
        <v>76</v>
      </c>
      <c r="D21" s="404">
        <v>40960</v>
      </c>
      <c r="E21" s="405" t="s">
        <v>64</v>
      </c>
      <c r="F21" s="406">
        <v>81920</v>
      </c>
      <c r="G21" s="74"/>
      <c r="H21" s="74"/>
      <c r="I21" s="74"/>
      <c r="J21" s="74"/>
      <c r="K21" s="74"/>
      <c r="L21" s="74"/>
      <c r="M21" s="74"/>
    </row>
    <row r="22" spans="1:13" ht="14.25">
      <c r="A22" s="24">
        <v>81920</v>
      </c>
      <c r="B22" s="402">
        <f t="shared" si="0"/>
        <v>81920</v>
      </c>
      <c r="C22" s="403" t="s">
        <v>77</v>
      </c>
      <c r="D22" s="404">
        <f t="shared" ref="D22:D27" si="1">F21</f>
        <v>81920</v>
      </c>
      <c r="E22" s="405" t="s">
        <v>64</v>
      </c>
      <c r="F22" s="406">
        <f t="shared" ref="F22:F27" si="2">2*F21</f>
        <v>163840</v>
      </c>
      <c r="G22" s="74"/>
      <c r="H22" s="74"/>
      <c r="I22" s="74"/>
      <c r="J22" s="74"/>
      <c r="K22" s="74"/>
      <c r="L22" s="74"/>
      <c r="M22" s="74"/>
    </row>
    <row r="23" spans="1:13" ht="14.25">
      <c r="B23" s="402">
        <f t="shared" si="0"/>
        <v>163840</v>
      </c>
      <c r="C23" s="403" t="s">
        <v>360</v>
      </c>
      <c r="D23" s="404">
        <f t="shared" si="1"/>
        <v>163840</v>
      </c>
      <c r="E23" s="405" t="s">
        <v>64</v>
      </c>
      <c r="F23" s="406">
        <f t="shared" si="2"/>
        <v>327680</v>
      </c>
      <c r="G23" s="74"/>
      <c r="H23" s="74"/>
      <c r="I23" s="74"/>
      <c r="J23" s="74"/>
      <c r="K23" s="74"/>
      <c r="L23" s="74"/>
      <c r="M23" s="74"/>
    </row>
    <row r="24" spans="1:13" ht="14.25">
      <c r="B24" s="402">
        <f t="shared" si="0"/>
        <v>327680</v>
      </c>
      <c r="C24" s="403" t="s">
        <v>361</v>
      </c>
      <c r="D24" s="404">
        <f t="shared" si="1"/>
        <v>327680</v>
      </c>
      <c r="E24" s="405" t="s">
        <v>64</v>
      </c>
      <c r="F24" s="406">
        <f t="shared" si="2"/>
        <v>655360</v>
      </c>
      <c r="G24" s="74"/>
      <c r="H24" s="74"/>
      <c r="I24" s="74"/>
      <c r="J24" s="74"/>
      <c r="K24" s="74"/>
      <c r="L24" s="74"/>
      <c r="M24" s="74"/>
    </row>
    <row r="25" spans="1:13" ht="14.25">
      <c r="B25" s="402">
        <f t="shared" si="0"/>
        <v>655360</v>
      </c>
      <c r="C25" s="403" t="s">
        <v>362</v>
      </c>
      <c r="D25" s="404">
        <f t="shared" si="1"/>
        <v>655360</v>
      </c>
      <c r="E25" s="405" t="s">
        <v>64</v>
      </c>
      <c r="F25" s="406">
        <f t="shared" si="2"/>
        <v>1310720</v>
      </c>
      <c r="G25" s="74"/>
      <c r="H25" s="74"/>
      <c r="I25" s="74"/>
      <c r="J25" s="74"/>
      <c r="K25" s="74"/>
      <c r="L25" s="74"/>
      <c r="M25" s="74"/>
    </row>
    <row r="26" spans="1:13" ht="14.25">
      <c r="B26" s="402">
        <f t="shared" si="0"/>
        <v>1310720</v>
      </c>
      <c r="C26" s="403" t="s">
        <v>363</v>
      </c>
      <c r="D26" s="404">
        <f t="shared" si="1"/>
        <v>1310720</v>
      </c>
      <c r="E26" s="405" t="s">
        <v>64</v>
      </c>
      <c r="F26" s="406">
        <f t="shared" si="2"/>
        <v>2621440</v>
      </c>
      <c r="G26" s="74"/>
      <c r="H26" s="74"/>
      <c r="I26" s="74"/>
      <c r="J26" s="74"/>
      <c r="K26" s="74"/>
      <c r="L26" s="74"/>
      <c r="M26" s="74"/>
    </row>
    <row r="27" spans="1:13" ht="15" thickBot="1">
      <c r="B27" s="402">
        <f t="shared" si="0"/>
        <v>2621440</v>
      </c>
      <c r="C27" s="408" t="s">
        <v>364</v>
      </c>
      <c r="D27" s="409">
        <f t="shared" si="1"/>
        <v>2621440</v>
      </c>
      <c r="E27" s="410" t="s">
        <v>64</v>
      </c>
      <c r="F27" s="411">
        <f t="shared" si="2"/>
        <v>5242880</v>
      </c>
      <c r="G27" s="74"/>
      <c r="H27" s="74"/>
      <c r="I27" s="74"/>
      <c r="J27" s="74"/>
      <c r="K27" s="74"/>
      <c r="L27" s="74"/>
      <c r="M27" s="74"/>
    </row>
    <row r="28" spans="1:13">
      <c r="B28" s="74"/>
      <c r="C28" s="74"/>
      <c r="D28" s="74"/>
      <c r="E28" s="74"/>
      <c r="F28" s="74"/>
      <c r="G28" s="74"/>
      <c r="H28" s="74"/>
      <c r="I28" s="74"/>
      <c r="J28" s="74"/>
      <c r="K28" s="74"/>
      <c r="L28" s="74"/>
      <c r="M28" s="74"/>
    </row>
    <row r="29" spans="1:13">
      <c r="B29" s="74"/>
      <c r="C29" s="74"/>
      <c r="D29" s="74"/>
      <c r="E29" s="74"/>
      <c r="F29" s="74"/>
      <c r="G29" s="74"/>
      <c r="H29" s="74"/>
      <c r="I29" s="74"/>
      <c r="J29" s="74"/>
      <c r="K29" s="74"/>
      <c r="L29" s="74"/>
      <c r="M29" s="74"/>
    </row>
  </sheetData>
  <sheetProtection password="C7BC" sheet="1"/>
  <customSheetViews>
    <customSheetView guid="{136183A0-5E83-4B15-A2A6-F3C23DCC406A}" showGridLines="0" hiddenColumns="1" topLeftCell="B1">
      <selection activeCell="G53" sqref="G53"/>
      <pageMargins left="0.75" right="0.75" top="1" bottom="1" header="0.5" footer="0.5"/>
      <pageSetup orientation="portrait" r:id="rId1"/>
      <headerFooter alignWithMargins="0"/>
    </customSheetView>
  </customSheetViews>
  <mergeCells count="3">
    <mergeCell ref="C3:F3"/>
    <mergeCell ref="D4:F4"/>
    <mergeCell ref="D5:F5"/>
  </mergeCells>
  <phoneticPr fontId="0" type="noConversion"/>
  <pageMargins left="0.75" right="0.75" top="1" bottom="1" header="0.5" footer="0.5"/>
  <pageSetup orientation="portrait" r:id="rId2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92D050"/>
  </sheetPr>
  <dimension ref="B3:L16"/>
  <sheetViews>
    <sheetView showGridLines="0" workbookViewId="0">
      <selection activeCell="C7" sqref="C7"/>
    </sheetView>
  </sheetViews>
  <sheetFormatPr defaultRowHeight="12.75"/>
  <cols>
    <col min="1" max="1" width="2.85546875" customWidth="1"/>
    <col min="2" max="2" width="15" customWidth="1"/>
    <col min="7" max="7" width="2.7109375" customWidth="1"/>
    <col min="8" max="8" width="15.42578125" customWidth="1"/>
  </cols>
  <sheetData>
    <row r="3" spans="2:12">
      <c r="B3" s="125"/>
      <c r="C3" s="287"/>
      <c r="D3" s="287"/>
      <c r="E3" s="287"/>
      <c r="F3" s="287"/>
      <c r="G3" s="287"/>
      <c r="H3" s="287"/>
      <c r="I3" s="287"/>
      <c r="J3" s="287"/>
      <c r="K3" s="287"/>
      <c r="L3" s="288"/>
    </row>
    <row r="4" spans="2:12">
      <c r="B4" s="127"/>
      <c r="C4" s="43"/>
      <c r="D4" s="43"/>
      <c r="E4" s="43"/>
      <c r="F4" s="43"/>
      <c r="G4" s="43"/>
      <c r="H4" s="43"/>
      <c r="I4" s="43"/>
      <c r="J4" s="43"/>
      <c r="K4" s="43"/>
      <c r="L4" s="289"/>
    </row>
    <row r="5" spans="2:12">
      <c r="B5" s="459" t="s">
        <v>231</v>
      </c>
      <c r="C5" s="460"/>
      <c r="D5" s="460"/>
      <c r="E5" s="460"/>
      <c r="F5" s="460"/>
      <c r="G5" s="43"/>
      <c r="H5" s="460" t="s">
        <v>232</v>
      </c>
      <c r="I5" s="460"/>
      <c r="J5" s="460"/>
      <c r="K5" s="460"/>
      <c r="L5" s="461"/>
    </row>
    <row r="6" spans="2:12">
      <c r="B6" s="127"/>
      <c r="C6" s="43"/>
      <c r="D6" s="43"/>
      <c r="E6" s="43"/>
      <c r="F6" s="43"/>
      <c r="G6" s="43"/>
      <c r="H6" s="43"/>
      <c r="I6" s="43"/>
      <c r="J6" s="43"/>
      <c r="K6" s="43"/>
      <c r="L6" s="289"/>
    </row>
    <row r="7" spans="2:12" ht="15" customHeight="1">
      <c r="B7" s="421" t="s">
        <v>213</v>
      </c>
      <c r="C7" s="92">
        <v>2</v>
      </c>
      <c r="D7" s="43" t="s">
        <v>207</v>
      </c>
      <c r="E7" s="70">
        <f>C7*25.4</f>
        <v>50.8</v>
      </c>
      <c r="F7" s="43" t="s">
        <v>208</v>
      </c>
      <c r="G7" s="43"/>
      <c r="H7" s="111" t="s">
        <v>213</v>
      </c>
      <c r="I7" s="92">
        <v>25</v>
      </c>
      <c r="J7" s="43" t="s">
        <v>243</v>
      </c>
      <c r="K7" s="112">
        <f>I7/25.4</f>
        <v>0.98425196850393704</v>
      </c>
      <c r="L7" s="289" t="s">
        <v>233</v>
      </c>
    </row>
    <row r="8" spans="2:12" ht="15" customHeight="1">
      <c r="B8" s="421" t="s">
        <v>213</v>
      </c>
      <c r="C8" s="92">
        <v>2</v>
      </c>
      <c r="D8" s="43" t="s">
        <v>207</v>
      </c>
      <c r="E8" s="70">
        <f>C8*2.54</f>
        <v>5.08</v>
      </c>
      <c r="F8" s="43" t="s">
        <v>209</v>
      </c>
      <c r="G8" s="43"/>
      <c r="H8" s="111" t="s">
        <v>213</v>
      </c>
      <c r="I8" s="92">
        <v>10</v>
      </c>
      <c r="J8" s="43" t="s">
        <v>244</v>
      </c>
      <c r="K8" s="112">
        <f>I8/2.54</f>
        <v>3.9370078740157481</v>
      </c>
      <c r="L8" s="289" t="s">
        <v>234</v>
      </c>
    </row>
    <row r="9" spans="2:12" ht="15" customHeight="1">
      <c r="B9" s="421" t="s">
        <v>214</v>
      </c>
      <c r="C9" s="92">
        <v>1</v>
      </c>
      <c r="D9" s="43" t="s">
        <v>210</v>
      </c>
      <c r="E9" s="70">
        <f>C9*0.4536</f>
        <v>0.4536</v>
      </c>
      <c r="F9" s="43" t="s">
        <v>28</v>
      </c>
      <c r="G9" s="43"/>
      <c r="H9" s="111" t="s">
        <v>214</v>
      </c>
      <c r="I9" s="92">
        <v>1</v>
      </c>
      <c r="J9" s="43" t="s">
        <v>245</v>
      </c>
      <c r="K9" s="112">
        <f>I9/0.4536</f>
        <v>2.204585537918871</v>
      </c>
      <c r="L9" s="289" t="s">
        <v>235</v>
      </c>
    </row>
    <row r="10" spans="2:12" ht="15" customHeight="1">
      <c r="B10" s="421" t="s">
        <v>215</v>
      </c>
      <c r="C10" s="92">
        <v>1</v>
      </c>
      <c r="D10" s="43" t="s">
        <v>211</v>
      </c>
      <c r="E10" s="70">
        <f>C10*4.448</f>
        <v>4.4480000000000004</v>
      </c>
      <c r="F10" s="43" t="s">
        <v>168</v>
      </c>
      <c r="G10" s="43"/>
      <c r="H10" s="111" t="s">
        <v>215</v>
      </c>
      <c r="I10" s="92">
        <v>100</v>
      </c>
      <c r="J10" s="43" t="s">
        <v>246</v>
      </c>
      <c r="K10" s="112">
        <f>I10/4.448</f>
        <v>22.482014388489208</v>
      </c>
      <c r="L10" s="289" t="s">
        <v>236</v>
      </c>
    </row>
    <row r="11" spans="2:12" ht="15" customHeight="1">
      <c r="B11" s="421" t="s">
        <v>216</v>
      </c>
      <c r="C11" s="92">
        <v>5.7360000000000001E-2</v>
      </c>
      <c r="D11" s="43" t="s">
        <v>212</v>
      </c>
      <c r="E11" s="112">
        <f>C11*453.6/2.54^3</f>
        <v>1.5877460416338158</v>
      </c>
      <c r="F11" s="43" t="s">
        <v>251</v>
      </c>
      <c r="G11" s="43"/>
      <c r="H11" s="111" t="s">
        <v>216</v>
      </c>
      <c r="I11" s="92">
        <v>1.8</v>
      </c>
      <c r="J11" s="43" t="s">
        <v>222</v>
      </c>
      <c r="K11" s="113">
        <f>I11/453.6*2.54^3</f>
        <v>6.5028031746031736E-2</v>
      </c>
      <c r="L11" s="289" t="s">
        <v>237</v>
      </c>
    </row>
    <row r="12" spans="2:12" ht="15" customHeight="1">
      <c r="B12" s="421" t="s">
        <v>217</v>
      </c>
      <c r="C12" s="92">
        <v>1000</v>
      </c>
      <c r="D12" s="43" t="s">
        <v>218</v>
      </c>
      <c r="E12" s="70">
        <f>C12*6895/1000000</f>
        <v>6.8949999999999996</v>
      </c>
      <c r="F12" s="43" t="s">
        <v>206</v>
      </c>
      <c r="G12" s="43"/>
      <c r="H12" s="111" t="s">
        <v>217</v>
      </c>
      <c r="I12" s="92">
        <v>5.5149999999999997</v>
      </c>
      <c r="J12" s="43" t="s">
        <v>247</v>
      </c>
      <c r="K12" s="114">
        <f>I12/6895*1000000</f>
        <v>799.85496736765765</v>
      </c>
      <c r="L12" s="289" t="s">
        <v>238</v>
      </c>
    </row>
    <row r="13" spans="2:12" ht="15" customHeight="1">
      <c r="B13" s="421" t="s">
        <v>219</v>
      </c>
      <c r="C13" s="92">
        <v>0.2</v>
      </c>
      <c r="D13" s="43" t="s">
        <v>220</v>
      </c>
      <c r="E13" s="114">
        <f>C13*25.4^2</f>
        <v>129.03200000000001</v>
      </c>
      <c r="F13" s="43" t="s">
        <v>252</v>
      </c>
      <c r="G13" s="43"/>
      <c r="H13" s="111" t="s">
        <v>219</v>
      </c>
      <c r="I13" s="92">
        <v>80</v>
      </c>
      <c r="J13" s="43" t="s">
        <v>221</v>
      </c>
      <c r="K13" s="112">
        <f>I13/25.4^2</f>
        <v>0.12400024800049601</v>
      </c>
      <c r="L13" s="289" t="s">
        <v>239</v>
      </c>
    </row>
    <row r="14" spans="2:12" ht="15" customHeight="1">
      <c r="B14" s="421" t="s">
        <v>223</v>
      </c>
      <c r="C14" s="92">
        <v>120</v>
      </c>
      <c r="D14" s="43" t="s">
        <v>224</v>
      </c>
      <c r="E14" s="70">
        <f>C14*4.448</f>
        <v>533.76</v>
      </c>
      <c r="F14" s="43" t="s">
        <v>174</v>
      </c>
      <c r="G14" s="43"/>
      <c r="H14" s="111" t="s">
        <v>223</v>
      </c>
      <c r="I14" s="92">
        <v>450</v>
      </c>
      <c r="J14" s="43" t="s">
        <v>248</v>
      </c>
      <c r="K14" s="112">
        <f>I14/4.448</f>
        <v>101.16906474820144</v>
      </c>
      <c r="L14" s="289" t="s">
        <v>240</v>
      </c>
    </row>
    <row r="15" spans="2:12" ht="15" customHeight="1">
      <c r="B15" s="421" t="s">
        <v>225</v>
      </c>
      <c r="C15" s="92">
        <v>80</v>
      </c>
      <c r="D15" s="43" t="s">
        <v>229</v>
      </c>
      <c r="E15" s="115">
        <f>(C15-32)/9*5</f>
        <v>26.666666666666664</v>
      </c>
      <c r="F15" s="43" t="s">
        <v>230</v>
      </c>
      <c r="G15" s="43"/>
      <c r="H15" s="111" t="s">
        <v>225</v>
      </c>
      <c r="I15" s="92">
        <v>100</v>
      </c>
      <c r="J15" s="43" t="s">
        <v>249</v>
      </c>
      <c r="K15" s="114">
        <f>I15/5*9+32</f>
        <v>212</v>
      </c>
      <c r="L15" s="289" t="s">
        <v>241</v>
      </c>
    </row>
    <row r="16" spans="2:12" ht="15" customHeight="1">
      <c r="B16" s="422" t="s">
        <v>228</v>
      </c>
      <c r="C16" s="423">
        <v>2700</v>
      </c>
      <c r="D16" s="110" t="s">
        <v>226</v>
      </c>
      <c r="E16" s="424">
        <f>5/9*C16</f>
        <v>1500</v>
      </c>
      <c r="F16" s="110" t="s">
        <v>227</v>
      </c>
      <c r="G16" s="110"/>
      <c r="H16" s="425" t="s">
        <v>228</v>
      </c>
      <c r="I16" s="423">
        <v>1600</v>
      </c>
      <c r="J16" s="110" t="s">
        <v>250</v>
      </c>
      <c r="K16" s="424">
        <f>9/5*I16</f>
        <v>2880</v>
      </c>
      <c r="L16" s="28" t="s">
        <v>242</v>
      </c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r:id="rId1"/>
      <headerFooter alignWithMargins="0"/>
    </customSheetView>
  </customSheetViews>
  <mergeCells count="2">
    <mergeCell ref="B5:F5"/>
    <mergeCell ref="H5:L5"/>
  </mergeCells>
  <phoneticPr fontId="0" type="noConversion"/>
  <pageMargins left="0.75" right="0.75" top="1" bottom="1" header="0.5" footer="0.5"/>
  <pageSetup orientation="portrait" r:id="rId2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92D050"/>
  </sheetPr>
  <dimension ref="B2:M33"/>
  <sheetViews>
    <sheetView showGridLines="0" showRowColHeaders="0" showOutlineSymbols="0" workbookViewId="0"/>
  </sheetViews>
  <sheetFormatPr defaultRowHeight="12.75"/>
  <cols>
    <col min="1" max="1" width="5.140625" customWidth="1"/>
    <col min="4" max="4" width="16.7109375" customWidth="1"/>
    <col min="5" max="5" width="70.5703125" customWidth="1"/>
  </cols>
  <sheetData>
    <row r="2" spans="2:13">
      <c r="B2" s="82" t="s">
        <v>299</v>
      </c>
    </row>
    <row r="4" spans="2:13">
      <c r="B4" s="128" t="s">
        <v>295</v>
      </c>
      <c r="C4" s="129" t="s">
        <v>296</v>
      </c>
      <c r="D4" s="130" t="s">
        <v>297</v>
      </c>
      <c r="E4" s="131" t="s">
        <v>298</v>
      </c>
      <c r="F4" s="2"/>
    </row>
    <row r="5" spans="2:13">
      <c r="B5" s="32" t="s">
        <v>300</v>
      </c>
      <c r="C5" s="135" t="s">
        <v>301</v>
      </c>
      <c r="D5" s="33" t="s">
        <v>306</v>
      </c>
      <c r="E5" s="136" t="s">
        <v>305</v>
      </c>
      <c r="F5" s="43"/>
      <c r="G5" s="43"/>
      <c r="H5" s="43"/>
      <c r="I5" s="43"/>
      <c r="J5" s="43"/>
      <c r="K5" s="43"/>
      <c r="L5" s="43"/>
      <c r="M5" s="43"/>
    </row>
    <row r="6" spans="2:13">
      <c r="B6" s="125" t="s">
        <v>302</v>
      </c>
      <c r="C6" s="126" t="s">
        <v>303</v>
      </c>
      <c r="D6" s="46" t="s">
        <v>307</v>
      </c>
      <c r="E6" s="132" t="s">
        <v>304</v>
      </c>
      <c r="F6" s="43"/>
      <c r="G6" s="43"/>
      <c r="H6" s="43"/>
      <c r="I6" s="43"/>
      <c r="J6" s="43"/>
      <c r="K6" s="43"/>
      <c r="L6" s="43"/>
      <c r="M6" s="43"/>
    </row>
    <row r="7" spans="2:13">
      <c r="B7" s="127"/>
      <c r="C7" s="43"/>
      <c r="D7" s="41"/>
      <c r="E7" s="133" t="s">
        <v>308</v>
      </c>
      <c r="F7" s="43"/>
      <c r="G7" s="43"/>
      <c r="H7" s="43"/>
      <c r="I7" s="43"/>
      <c r="J7" s="43"/>
      <c r="K7" s="43"/>
      <c r="L7" s="43"/>
      <c r="M7" s="43"/>
    </row>
    <row r="8" spans="2:13">
      <c r="B8" s="127"/>
      <c r="C8" s="43"/>
      <c r="D8" s="41"/>
      <c r="E8" s="133" t="s">
        <v>309</v>
      </c>
      <c r="F8" s="43"/>
      <c r="G8" s="43"/>
      <c r="H8" s="43"/>
      <c r="I8" s="43"/>
      <c r="J8" s="43"/>
      <c r="K8" s="43"/>
      <c r="L8" s="43"/>
      <c r="M8" s="43"/>
    </row>
    <row r="9" spans="2:13">
      <c r="B9" s="26"/>
      <c r="C9" s="110"/>
      <c r="D9" s="27" t="s">
        <v>310</v>
      </c>
      <c r="E9" s="134" t="s">
        <v>311</v>
      </c>
      <c r="F9" s="43"/>
      <c r="G9" s="43"/>
      <c r="H9" s="43"/>
      <c r="I9" s="43"/>
      <c r="J9" s="43"/>
      <c r="K9" s="43"/>
      <c r="L9" s="43"/>
      <c r="M9" s="43"/>
    </row>
    <row r="10" spans="2:13">
      <c r="B10" s="163" t="s">
        <v>312</v>
      </c>
      <c r="C10" s="164" t="s">
        <v>359</v>
      </c>
      <c r="D10" s="46" t="s">
        <v>320</v>
      </c>
      <c r="E10" s="165" t="s">
        <v>327</v>
      </c>
      <c r="F10" s="43"/>
      <c r="G10" s="43"/>
      <c r="H10" s="43"/>
      <c r="I10" s="43"/>
      <c r="J10" s="43"/>
      <c r="K10" s="43"/>
      <c r="L10" s="43"/>
      <c r="M10" s="43"/>
    </row>
    <row r="11" spans="2:13">
      <c r="B11" s="127"/>
      <c r="C11" s="43"/>
      <c r="D11" s="43"/>
      <c r="E11" s="137" t="s">
        <v>326</v>
      </c>
      <c r="F11" s="43"/>
      <c r="G11" s="43"/>
      <c r="H11" s="43"/>
      <c r="I11" s="43"/>
      <c r="J11" s="43"/>
      <c r="K11" s="43"/>
      <c r="L11" s="43"/>
      <c r="M11" s="43"/>
    </row>
    <row r="12" spans="2:13">
      <c r="B12" s="127"/>
      <c r="C12" s="43"/>
      <c r="D12" s="41" t="s">
        <v>310</v>
      </c>
      <c r="E12" s="137" t="s">
        <v>313</v>
      </c>
      <c r="F12" s="43"/>
      <c r="G12" s="43"/>
      <c r="H12" s="43"/>
      <c r="I12" s="43"/>
      <c r="J12" s="43"/>
      <c r="K12" s="43"/>
      <c r="L12" s="43"/>
      <c r="M12" s="43"/>
    </row>
    <row r="13" spans="2:13">
      <c r="B13" s="127"/>
      <c r="C13" s="43"/>
      <c r="D13" s="43"/>
      <c r="E13" s="137" t="s">
        <v>325</v>
      </c>
    </row>
    <row r="14" spans="2:13">
      <c r="B14" s="127"/>
      <c r="C14" s="43"/>
      <c r="D14" s="43"/>
      <c r="E14" s="137" t="s">
        <v>358</v>
      </c>
    </row>
    <row r="15" spans="2:13">
      <c r="B15" s="127"/>
      <c r="C15" s="43"/>
      <c r="D15" s="41" t="s">
        <v>217</v>
      </c>
      <c r="E15" s="137" t="s">
        <v>331</v>
      </c>
    </row>
    <row r="16" spans="2:13">
      <c r="B16" s="127"/>
      <c r="C16" s="43"/>
      <c r="D16" s="41"/>
      <c r="E16" s="137" t="s">
        <v>358</v>
      </c>
    </row>
    <row r="17" spans="2:5">
      <c r="B17" s="127"/>
      <c r="C17" s="43"/>
      <c r="D17" s="41" t="s">
        <v>307</v>
      </c>
      <c r="E17" s="137" t="s">
        <v>332</v>
      </c>
    </row>
    <row r="18" spans="2:5">
      <c r="B18" s="127"/>
      <c r="C18" s="43"/>
      <c r="D18" s="41" t="s">
        <v>323</v>
      </c>
      <c r="E18" s="137" t="s">
        <v>324</v>
      </c>
    </row>
    <row r="19" spans="2:5">
      <c r="B19" s="127"/>
      <c r="C19" s="43"/>
      <c r="D19" s="41"/>
      <c r="E19" s="137" t="s">
        <v>357</v>
      </c>
    </row>
    <row r="20" spans="2:5">
      <c r="B20" s="127"/>
      <c r="C20" s="43"/>
      <c r="D20" s="215" t="s">
        <v>354</v>
      </c>
      <c r="E20" s="137" t="s">
        <v>355</v>
      </c>
    </row>
    <row r="21" spans="2:5">
      <c r="B21" s="26"/>
      <c r="C21" s="110"/>
      <c r="D21" s="27" t="s">
        <v>321</v>
      </c>
      <c r="E21" s="166" t="s">
        <v>322</v>
      </c>
    </row>
    <row r="22" spans="2:5">
      <c r="B22" s="339">
        <v>2014</v>
      </c>
      <c r="C22" s="340" t="s">
        <v>466</v>
      </c>
      <c r="D22" s="287"/>
      <c r="E22" s="379" t="s">
        <v>517</v>
      </c>
    </row>
    <row r="23" spans="2:5">
      <c r="B23" s="349"/>
      <c r="C23" s="70"/>
      <c r="D23" s="43"/>
      <c r="E23" s="350" t="s">
        <v>441</v>
      </c>
    </row>
    <row r="24" spans="2:5">
      <c r="B24" s="26"/>
      <c r="C24" s="110"/>
      <c r="D24" s="27"/>
      <c r="E24" s="341" t="s">
        <v>500</v>
      </c>
    </row>
    <row r="25" spans="2:5" ht="25.5">
      <c r="B25" s="427">
        <v>2014.1</v>
      </c>
      <c r="C25" s="428" t="s">
        <v>523</v>
      </c>
      <c r="D25" s="429" t="s">
        <v>217</v>
      </c>
      <c r="E25" s="397" t="s">
        <v>519</v>
      </c>
    </row>
    <row r="26" spans="2:5">
      <c r="B26" s="339">
        <v>2023</v>
      </c>
      <c r="C26" s="426" t="s">
        <v>522</v>
      </c>
      <c r="D26" s="46" t="s">
        <v>323</v>
      </c>
      <c r="E26" s="165" t="s">
        <v>543</v>
      </c>
    </row>
    <row r="27" spans="2:5">
      <c r="B27" s="127"/>
      <c r="C27" s="43"/>
      <c r="D27" s="41" t="s">
        <v>310</v>
      </c>
      <c r="E27" s="137" t="s">
        <v>554</v>
      </c>
    </row>
    <row r="28" spans="2:5">
      <c r="B28" s="127"/>
      <c r="C28" s="43"/>
      <c r="D28" s="41" t="s">
        <v>217</v>
      </c>
      <c r="E28" s="137" t="s">
        <v>556</v>
      </c>
    </row>
    <row r="29" spans="2:5">
      <c r="B29" s="127"/>
      <c r="C29" s="43"/>
      <c r="D29" s="41" t="s">
        <v>307</v>
      </c>
      <c r="E29" s="137" t="s">
        <v>542</v>
      </c>
    </row>
    <row r="30" spans="2:5">
      <c r="B30" s="127"/>
      <c r="C30" s="43"/>
      <c r="D30" s="43"/>
      <c r="E30" s="137" t="s">
        <v>556</v>
      </c>
    </row>
    <row r="31" spans="2:5">
      <c r="B31" s="127"/>
      <c r="C31" s="43"/>
      <c r="D31" s="41" t="s">
        <v>320</v>
      </c>
      <c r="E31" s="133" t="s">
        <v>535</v>
      </c>
    </row>
    <row r="32" spans="2:5">
      <c r="B32" s="127"/>
      <c r="C32" s="43"/>
      <c r="D32" s="41" t="s">
        <v>552</v>
      </c>
      <c r="E32" s="137" t="s">
        <v>553</v>
      </c>
    </row>
    <row r="33" spans="2:5">
      <c r="B33" s="26"/>
      <c r="C33" s="110"/>
      <c r="D33" s="27" t="s">
        <v>60</v>
      </c>
      <c r="E33" s="166" t="s">
        <v>545</v>
      </c>
    </row>
  </sheetData>
  <sheetProtection password="C7BC" sheet="1"/>
  <customSheetViews>
    <customSheetView guid="{136183A0-5E83-4B15-A2A6-F3C23DCC406A}" showGridLines="0" showRowCol="0" outlineSymbols="0">
      <selection activeCell="G53" sqref="G53"/>
      <pageMargins left="0.75" right="0.75" top="1" bottom="1" header="0.5" footer="0.5"/>
      <pageSetup orientation="portrait" horizontalDpi="0" verticalDpi="0" r:id="rId1"/>
      <headerFooter alignWithMargins="0"/>
    </customSheetView>
  </customSheetViews>
  <phoneticPr fontId="0" type="noConversion"/>
  <pageMargins left="0.75" right="0.75" top="1" bottom="1" header="0.5" footer="0.5"/>
  <pageSetup orientation="portrait" horizontalDpi="90" verticalDpi="90" r:id="rId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127</vt:i4>
      </vt:variant>
    </vt:vector>
  </HeadingPairs>
  <TitlesOfParts>
    <vt:vector size="138" baseType="lpstr">
      <vt:lpstr>Intro</vt:lpstr>
      <vt:lpstr>Data and Kn</vt:lpstr>
      <vt:lpstr>Pressure</vt:lpstr>
      <vt:lpstr>Performance</vt:lpstr>
      <vt:lpstr>Nozzle Design</vt:lpstr>
      <vt:lpstr>Output</vt:lpstr>
      <vt:lpstr>Propellant data</vt:lpstr>
      <vt:lpstr>Burnrate</vt:lpstr>
      <vt:lpstr>Class</vt:lpstr>
      <vt:lpstr>UnitsConv</vt:lpstr>
      <vt:lpstr>Revisions</vt:lpstr>
      <vt:lpstr>abmax</vt:lpstr>
      <vt:lpstr>abo</vt:lpstr>
      <vt:lpstr>ae_1</vt:lpstr>
      <vt:lpstr>aexit</vt:lpstr>
      <vt:lpstr>alpha</vt:lpstr>
      <vt:lpstr>am_0</vt:lpstr>
      <vt:lpstr>am_1</vt:lpstr>
      <vt:lpstr>am_3</vt:lpstr>
      <vt:lpstr>am_4</vt:lpstr>
      <vt:lpstr>an_0</vt:lpstr>
      <vt:lpstr>an_4</vt:lpstr>
      <vt:lpstr>astarf</vt:lpstr>
      <vt:lpstr>at</vt:lpstr>
      <vt:lpstr>atfinal</vt:lpstr>
      <vt:lpstr>beta</vt:lpstr>
      <vt:lpstr>chpressures</vt:lpstr>
      <vt:lpstr>ci</vt:lpstr>
      <vt:lpstr>cstar</vt:lpstr>
      <vt:lpstr>dc</vt:lpstr>
      <vt:lpstr>dcplot</vt:lpstr>
      <vt:lpstr>deltap</vt:lpstr>
      <vt:lpstr>deltat</vt:lpstr>
      <vt:lpstr>deltax</vt:lpstr>
      <vt:lpstr>dio</vt:lpstr>
      <vt:lpstr>do</vt:lpstr>
      <vt:lpstr>dto</vt:lpstr>
      <vt:lpstr>ei</vt:lpstr>
      <vt:lpstr>erate</vt:lpstr>
      <vt:lpstr>etac</vt:lpstr>
      <vt:lpstr>etanoz</vt:lpstr>
      <vt:lpstr>exprat</vt:lpstr>
      <vt:lpstr>expratfinal</vt:lpstr>
      <vt:lpstr>fmax</vt:lpstr>
      <vt:lpstr>fueltype</vt:lpstr>
      <vt:lpstr>gstar</vt:lpstr>
      <vt:lpstr>itot</vt:lpstr>
      <vt:lpstr>itsum</vt:lpstr>
      <vt:lpstr>k</vt:lpstr>
      <vt:lpstr>k2ph</vt:lpstr>
      <vt:lpstr>kn</vt:lpstr>
      <vt:lpstr>kndxbn_</vt:lpstr>
      <vt:lpstr>knotherbn_</vt:lpstr>
      <vt:lpstr>knrange</vt:lpstr>
      <vt:lpstr>knsbcobn_</vt:lpstr>
      <vt:lpstr>knselecttab</vt:lpstr>
      <vt:lpstr>knsobn_</vt:lpstr>
      <vt:lpstr>knsubn_</vt:lpstr>
      <vt:lpstr>ks_dx</vt:lpstr>
      <vt:lpstr>ks_er</vt:lpstr>
      <vt:lpstr>ks_fr</vt:lpstr>
      <vt:lpstr>ks_mn</vt:lpstr>
      <vt:lpstr>ks_ot</vt:lpstr>
      <vt:lpstr>ks_so</vt:lpstr>
      <vt:lpstr>ks_su</vt:lpstr>
      <vt:lpstr>kv</vt:lpstr>
      <vt:lpstr>lc</vt:lpstr>
      <vt:lpstr>lgo</vt:lpstr>
      <vt:lpstr>lo</vt:lpstr>
      <vt:lpstr>m</vt:lpstr>
      <vt:lpstr>m_dx</vt:lpstr>
      <vt:lpstr>m_er</vt:lpstr>
      <vt:lpstr>m_fr</vt:lpstr>
      <vt:lpstr>m_mn</vt:lpstr>
      <vt:lpstr>m_ot</vt:lpstr>
      <vt:lpstr>m_so</vt:lpstr>
      <vt:lpstr>m_su</vt:lpstr>
      <vt:lpstr>me</vt:lpstr>
      <vt:lpstr>mef</vt:lpstr>
      <vt:lpstr>mgrain</vt:lpstr>
      <vt:lpstr>motorclass</vt:lpstr>
      <vt:lpstr>n</vt:lpstr>
      <vt:lpstr>ne_1</vt:lpstr>
      <vt:lpstr>nm_1</vt:lpstr>
      <vt:lpstr>nm_3</vt:lpstr>
      <vt:lpstr>nm_4</vt:lpstr>
      <vt:lpstr>note1</vt:lpstr>
      <vt:lpstr>osi</vt:lpstr>
      <vt:lpstr>otherbn_</vt:lpstr>
      <vt:lpstr>patm</vt:lpstr>
      <vt:lpstr>pbd</vt:lpstr>
      <vt:lpstr>pbout</vt:lpstr>
      <vt:lpstr>pfinal</vt:lpstr>
      <vt:lpstr>pmax</vt:lpstr>
      <vt:lpstr>pmaxperc</vt:lpstr>
      <vt:lpstr>pmselect</vt:lpstr>
      <vt:lpstr>pressures</vt:lpstr>
      <vt:lpstr>'Data and Kn'!Print_Area</vt:lpstr>
      <vt:lpstr>Output!Print_Area</vt:lpstr>
      <vt:lpstr>Performance!Print_Area</vt:lpstr>
      <vt:lpstr>Pressure!Print_Area</vt:lpstr>
      <vt:lpstr>propellants</vt:lpstr>
      <vt:lpstr>pselect</vt:lpstr>
      <vt:lpstr>rat</vt:lpstr>
      <vt:lpstr>ravg</vt:lpstr>
      <vt:lpstr>rhopdex</vt:lpstr>
      <vt:lpstr>rhoper</vt:lpstr>
      <vt:lpstr>rhopfr</vt:lpstr>
      <vt:lpstr>rhopgrain</vt:lpstr>
      <vt:lpstr>rhopgraini</vt:lpstr>
      <vt:lpstr>rhopmn</vt:lpstr>
      <vt:lpstr>rhopot</vt:lpstr>
      <vt:lpstr>rhopsorb</vt:lpstr>
      <vt:lpstr>rhopsu</vt:lpstr>
      <vt:lpstr>rhorat</vt:lpstr>
      <vt:lpstr>runiv</vt:lpstr>
      <vt:lpstr>surfacecondition</vt:lpstr>
      <vt:lpstr>tbinc</vt:lpstr>
      <vt:lpstr>tbout</vt:lpstr>
      <vt:lpstr>tincp</vt:lpstr>
      <vt:lpstr>to</vt:lpstr>
      <vt:lpstr>to_dx</vt:lpstr>
      <vt:lpstr>to_er</vt:lpstr>
      <vt:lpstr>to_fr</vt:lpstr>
      <vt:lpstr>to_mn</vt:lpstr>
      <vt:lpstr>to_ot</vt:lpstr>
      <vt:lpstr>to_so</vt:lpstr>
      <vt:lpstr>to_su</vt:lpstr>
      <vt:lpstr>tothe</vt:lpstr>
      <vt:lpstr>tthr</vt:lpstr>
      <vt:lpstr>twebfinal</vt:lpstr>
      <vt:lpstr>twebout</vt:lpstr>
      <vt:lpstr>two</vt:lpstr>
      <vt:lpstr>vc</vt:lpstr>
      <vt:lpstr>vg</vt:lpstr>
      <vt:lpstr>xfinal</vt:lpstr>
      <vt:lpstr>xinc</vt:lpstr>
      <vt:lpstr>xincp</vt:lpstr>
    </vt:vector>
  </TitlesOfParts>
  <Company>rockets unlimited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  Nakka</dc:creator>
  <cp:lastModifiedBy>kanamori</cp:lastModifiedBy>
  <cp:lastPrinted>2013-12-11T16:19:33Z</cp:lastPrinted>
  <dcterms:created xsi:type="dcterms:W3CDTF">1999-11-21T17:16:22Z</dcterms:created>
  <dcterms:modified xsi:type="dcterms:W3CDTF">2025-06-02T02:16:58Z</dcterms:modified>
</cp:coreProperties>
</file>