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53222"/>
  <mc:AlternateContent xmlns:mc="http://schemas.openxmlformats.org/markup-compatibility/2006">
    <mc:Choice Requires="x15">
      <x15ac:absPath xmlns:x15ac="http://schemas.microsoft.com/office/spreadsheetml/2010/11/ac" url="Z:\home\kanamori\PycharmProjects\BurnRate\data\"/>
    </mc:Choice>
  </mc:AlternateContent>
  <bookViews>
    <workbookView xWindow="0" yWindow="0" windowWidth="28680" windowHeight="11325"/>
  </bookViews>
  <sheets>
    <sheet name="empuxo_TESTE_30_05_25" sheetId="1" r:id="rId1"/>
  </sheets>
  <calcPr calcId="152511"/>
  <extLs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purl.oclc.org/ooxml/spreadsheetml/main">
  <c r="I6" i="1" l="1"/>
  <c r="D6" i="1"/>
  <c r="G6" i="1"/>
  <c r="H6" i="1" l="1"/>
  <c r="D8" i="1"/>
  <c r="G8" i="1"/>
  <c r="H8" i="1" s="1"/>
</calcChain>
</file>

<file path=xl/sharedStrings.xml><?xml version="1.0" encoding="utf-8"?>
<sst xmlns="http://purl.oclc.org/ooxml/spreadsheetml/main" count="20" uniqueCount="15">
  <si>
    <t>Tempo [s]</t>
  </si>
  <si>
    <t>Empuxo [N]</t>
  </si>
  <si>
    <t>Dt [m]</t>
  </si>
  <si>
    <t>At [m²]</t>
  </si>
  <si>
    <t>P1 abs[Pa]</t>
  </si>
  <si>
    <t>P1[Pa]</t>
  </si>
  <si>
    <t>P1[MPa]</t>
  </si>
  <si>
    <t>P2,P3</t>
  </si>
  <si>
    <t>k</t>
  </si>
  <si>
    <t>It [Ns]</t>
  </si>
  <si>
    <t>m prop [kg]</t>
  </si>
  <si>
    <t>g [m/s²]</t>
  </si>
  <si>
    <t>W prop [N]</t>
  </si>
  <si>
    <t>Isp [s]</t>
  </si>
  <si>
    <t>MEDIA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</si>
</sst>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mc:Ignorable="x14ac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Fon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O44"/>
  <sheetViews>
    <sheetView tabSelected="1" workbookViewId="0">
      <selection activeCell="D6" sqref="D6"/>
    </sheetView>
  </sheetViews>
  <sheetFormatPr defaultRowHeight="14.25"/>
  <cols>
    <col min="1" max="1" width="9.875" bestFit="1" customWidth="1"/>
    <col min="2" max="2" width="11.875" bestFit="1" customWidth="1"/>
    <col min="3" max="3" width="10.375" bestFit="1" customWidth="1"/>
    <col min="4" max="6" width="11.875" bestFit="1" customWidth="1"/>
    <col min="9" max="9" width="7.875" bestFit="1" customWidth="1"/>
    <col min="10" max="10" width="11.875" bestFit="1" customWidth="1"/>
    <col min="11" max="11" width="9.875" bestFit="1" customWidth="1"/>
    <col min="12" max="12" width="7.875" bestFit="1" customWidth="1"/>
    <col min="13" max="13" width="7.75" bestFit="1" customWidth="1"/>
    <col min="14" max="14" width="6.875" bestFit="1" customWidth="1"/>
    <col min="15" max="15" width="3.875" bestFit="1" customWidth="1"/>
  </cols>
  <sheetData>
    <row r="1" spans="1:15">
      <c r="A1" t="s">
        <v>0</v>
      </c>
      <c r="B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</row>
    <row r="2" spans="1:15">
      <c r="A2">
        <v>0</v>
      </c>
      <c r="B2">
        <v>0.74</v>
      </c>
      <c r="D2" s="2"/>
      <c r="E2" s="2"/>
      <c r="I2">
        <v>1.2540000000000001E-2</v>
      </c>
      <c r="J2">
        <v>1.2350499999999999E-4</v>
      </c>
      <c r="K2">
        <v>145325</v>
      </c>
      <c r="L2">
        <v>44000</v>
      </c>
      <c r="M2">
        <v>4.3999999999999997E-2</v>
      </c>
      <c r="N2">
        <v>101325</v>
      </c>
      <c r="O2">
        <v>1.4</v>
      </c>
    </row>
    <row r="3" spans="1:15">
      <c r="A3">
        <v>0.1</v>
      </c>
      <c r="B3">
        <v>0.73</v>
      </c>
      <c r="D3" s="2"/>
      <c r="E3" s="2"/>
      <c r="K3">
        <v>145325</v>
      </c>
      <c r="L3">
        <v>44000</v>
      </c>
      <c r="M3">
        <v>4.3999999999999997E-2</v>
      </c>
    </row>
    <row r="4" spans="1:15">
      <c r="A4">
        <v>0.2</v>
      </c>
      <c r="B4">
        <v>0.73</v>
      </c>
      <c r="D4" s="2"/>
      <c r="E4" s="2"/>
      <c r="K4">
        <v>167325</v>
      </c>
      <c r="L4">
        <v>66000</v>
      </c>
      <c r="M4">
        <v>6.6000000000000003E-2</v>
      </c>
    </row>
    <row r="5" spans="1:15">
      <c r="A5">
        <v>0.3</v>
      </c>
      <c r="B5">
        <v>0.76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  <c r="K5">
        <v>189325</v>
      </c>
      <c r="L5">
        <v>88000</v>
      </c>
      <c r="M5">
        <v>8.7999999999999995E-2</v>
      </c>
    </row>
    <row r="6" spans="1:15">
      <c r="A6">
        <v>0.4</v>
      </c>
      <c r="B6">
        <v>0.75</v>
      </c>
      <c r="D6">
        <f>SUMPRODUCT((A3:A45 - A2:A44), (B3:B45 + B2:B44)) / 2</f>
        <v>293.57099999999997</v>
      </c>
      <c r="E6">
        <v>0.34467826050420203</v>
      </c>
      <c r="F6" s="1">
        <v>9.8066499999999994</v>
      </c>
      <c r="G6">
        <f>E6*F6</f>
        <v>3.3801390633735324</v>
      </c>
      <c r="H6">
        <f>D6/G6</f>
        <v>86.851752101288625</v>
      </c>
      <c r="I6">
        <f>AVERAGE(B12:B31)</f>
        <v>144.74950000000004</v>
      </c>
      <c r="K6">
        <v>167325</v>
      </c>
      <c r="L6">
        <v>66000</v>
      </c>
      <c r="M6">
        <v>6.6000000000000003E-2</v>
      </c>
    </row>
    <row r="7" spans="1:15">
      <c r="A7">
        <v>0.5</v>
      </c>
      <c r="B7">
        <v>0.76</v>
      </c>
      <c r="D7" t="s">
        <v>9</v>
      </c>
      <c r="E7" t="s">
        <v>10</v>
      </c>
      <c r="F7" t="s">
        <v>11</v>
      </c>
      <c r="G7" t="s">
        <v>12</v>
      </c>
      <c r="H7" t="s">
        <v>13</v>
      </c>
      <c r="K7">
        <v>288325</v>
      </c>
      <c r="L7">
        <v>187000</v>
      </c>
      <c r="M7">
        <v>0.187</v>
      </c>
    </row>
    <row r="8" spans="1:15">
      <c r="A8">
        <v>0.6</v>
      </c>
      <c r="B8">
        <v>0.78</v>
      </c>
      <c r="D8">
        <f>SUM(E2:E28)</f>
        <v>0.68935652100840406</v>
      </c>
      <c r="E8">
        <v>0.34467826050420203</v>
      </c>
      <c r="F8">
        <v>9.8066499999999994</v>
      </c>
      <c r="G8">
        <f>E8*F8</f>
        <v>3.3801390633735324</v>
      </c>
      <c r="H8">
        <f>D8/G8</f>
        <v>0.20394324259558566</v>
      </c>
      <c r="K8">
        <v>288325</v>
      </c>
      <c r="L8">
        <v>187000</v>
      </c>
      <c r="M8">
        <v>0.187</v>
      </c>
    </row>
    <row r="9" spans="1:15">
      <c r="A9">
        <v>0.7</v>
      </c>
      <c r="B9">
        <v>2.09</v>
      </c>
      <c r="D9" s="2"/>
      <c r="E9" s="2"/>
      <c r="K9">
        <v>420325</v>
      </c>
      <c r="L9">
        <v>319000</v>
      </c>
      <c r="M9">
        <v>0.31900000000000001</v>
      </c>
    </row>
    <row r="10" spans="1:15">
      <c r="A10">
        <v>0.8</v>
      </c>
      <c r="B10">
        <v>12.1</v>
      </c>
      <c r="D10" s="2"/>
      <c r="E10" s="2"/>
      <c r="K10">
        <v>475325</v>
      </c>
      <c r="L10">
        <v>374000</v>
      </c>
      <c r="M10">
        <v>0.374</v>
      </c>
    </row>
    <row r="11" spans="1:15">
      <c r="A11">
        <v>0.9</v>
      </c>
      <c r="B11">
        <v>12.1</v>
      </c>
      <c r="D11" s="2"/>
      <c r="E11" s="2"/>
      <c r="K11">
        <v>475325</v>
      </c>
      <c r="L11">
        <v>374000</v>
      </c>
      <c r="M11">
        <v>0.374</v>
      </c>
    </row>
    <row r="12" spans="1:15">
      <c r="A12">
        <v>1</v>
      </c>
      <c r="B12">
        <v>24.87</v>
      </c>
      <c r="D12" s="2"/>
      <c r="E12" s="2"/>
      <c r="K12">
        <v>684325</v>
      </c>
      <c r="L12">
        <v>583000</v>
      </c>
      <c r="M12">
        <v>0.58299999999999996</v>
      </c>
    </row>
    <row r="13" spans="1:15">
      <c r="A13">
        <v>1.1000000000000001</v>
      </c>
      <c r="B13">
        <v>35.6</v>
      </c>
      <c r="D13" s="2"/>
      <c r="E13" s="2"/>
      <c r="K13">
        <v>684325</v>
      </c>
      <c r="L13">
        <v>583000</v>
      </c>
      <c r="M13">
        <v>0.58299999999999996</v>
      </c>
    </row>
    <row r="14" spans="1:15">
      <c r="A14">
        <v>1.2</v>
      </c>
      <c r="B14">
        <v>35.6</v>
      </c>
      <c r="D14" s="2"/>
      <c r="E14" s="2"/>
      <c r="K14">
        <v>1377325</v>
      </c>
      <c r="L14">
        <v>1276000</v>
      </c>
      <c r="M14">
        <v>1.276</v>
      </c>
    </row>
    <row r="15" spans="1:15">
      <c r="A15">
        <v>1.3</v>
      </c>
      <c r="B15">
        <v>71.59</v>
      </c>
      <c r="D15" s="2"/>
      <c r="E15" s="2"/>
      <c r="K15">
        <v>1553325</v>
      </c>
      <c r="L15">
        <v>1452000</v>
      </c>
      <c r="M15">
        <v>1.452</v>
      </c>
    </row>
    <row r="16" spans="1:15">
      <c r="A16">
        <v>1.4</v>
      </c>
      <c r="B16">
        <v>71.59</v>
      </c>
      <c r="D16" s="2"/>
      <c r="E16" s="2"/>
      <c r="K16">
        <v>1707325</v>
      </c>
      <c r="L16">
        <v>1606000</v>
      </c>
      <c r="M16">
        <v>1.6060000000000001</v>
      </c>
    </row>
    <row r="17" spans="1:13">
      <c r="A17">
        <v>1.5</v>
      </c>
      <c r="B17">
        <v>183.83</v>
      </c>
      <c r="D17" s="2"/>
      <c r="E17" s="2"/>
      <c r="K17">
        <v>1674325</v>
      </c>
      <c r="L17">
        <v>1573000</v>
      </c>
      <c r="M17">
        <v>1.573</v>
      </c>
    </row>
    <row r="18" spans="1:13">
      <c r="A18">
        <v>1.6</v>
      </c>
      <c r="B18">
        <v>200.54</v>
      </c>
      <c r="D18" s="2"/>
      <c r="E18" s="2"/>
      <c r="K18">
        <v>1696325</v>
      </c>
      <c r="L18">
        <v>1595000</v>
      </c>
      <c r="M18">
        <v>1.595</v>
      </c>
    </row>
    <row r="19" spans="1:13">
      <c r="A19">
        <v>1.7</v>
      </c>
      <c r="B19">
        <v>224.49</v>
      </c>
      <c r="D19" s="2"/>
      <c r="E19" s="2"/>
      <c r="K19">
        <v>1696325</v>
      </c>
      <c r="L19">
        <v>1595000</v>
      </c>
      <c r="M19">
        <v>1.595</v>
      </c>
    </row>
    <row r="20" spans="1:13">
      <c r="A20">
        <v>1.8</v>
      </c>
      <c r="B20">
        <v>230.57</v>
      </c>
      <c r="D20" s="2"/>
      <c r="E20" s="2"/>
      <c r="K20">
        <v>1696325</v>
      </c>
      <c r="L20">
        <v>1595000</v>
      </c>
      <c r="M20">
        <v>1.595</v>
      </c>
    </row>
    <row r="21" spans="1:13">
      <c r="A21">
        <v>1.9</v>
      </c>
      <c r="B21">
        <v>240.23</v>
      </c>
      <c r="D21" s="2"/>
      <c r="E21" s="2"/>
      <c r="K21">
        <v>1619325</v>
      </c>
      <c r="L21">
        <v>1518000</v>
      </c>
      <c r="M21">
        <v>1.518</v>
      </c>
    </row>
    <row r="22" spans="1:13">
      <c r="A22">
        <v>2</v>
      </c>
      <c r="B22">
        <v>237.18</v>
      </c>
      <c r="D22" s="2"/>
      <c r="E22" s="2"/>
      <c r="K22">
        <v>1564325</v>
      </c>
      <c r="L22">
        <v>1463000</v>
      </c>
      <c r="M22">
        <v>1.4630000000000001</v>
      </c>
    </row>
    <row r="23" spans="1:13">
      <c r="A23">
        <v>2.1</v>
      </c>
      <c r="B23">
        <v>237.18</v>
      </c>
      <c r="D23" s="2"/>
      <c r="E23" s="2"/>
      <c r="K23">
        <v>1564325</v>
      </c>
      <c r="L23">
        <v>1463000</v>
      </c>
      <c r="M23">
        <v>1.4630000000000001</v>
      </c>
    </row>
    <row r="24" spans="1:13">
      <c r="A24">
        <v>2.2000000000000002</v>
      </c>
      <c r="B24">
        <v>222.61</v>
      </c>
      <c r="D24" s="2"/>
      <c r="E24" s="2"/>
      <c r="K24">
        <v>1333325</v>
      </c>
      <c r="L24">
        <v>1232000</v>
      </c>
      <c r="M24">
        <v>1.232</v>
      </c>
    </row>
    <row r="25" spans="1:13">
      <c r="A25">
        <v>2.2999999999999998</v>
      </c>
      <c r="B25">
        <v>207.76</v>
      </c>
      <c r="D25" s="2"/>
      <c r="E25" s="2"/>
      <c r="K25">
        <v>1333325</v>
      </c>
      <c r="L25">
        <v>1232000</v>
      </c>
      <c r="M25">
        <v>1.232</v>
      </c>
    </row>
    <row r="26" spans="1:13">
      <c r="A26">
        <v>2.4</v>
      </c>
      <c r="B26">
        <v>207.76</v>
      </c>
      <c r="D26" s="2"/>
      <c r="E26" s="2"/>
      <c r="K26">
        <v>739325</v>
      </c>
      <c r="L26">
        <v>638000</v>
      </c>
      <c r="M26">
        <v>0.63800000000000001</v>
      </c>
    </row>
    <row r="27" spans="1:13">
      <c r="A27">
        <v>2.5</v>
      </c>
      <c r="B27">
        <v>176.59</v>
      </c>
      <c r="D27" s="2"/>
      <c r="E27" s="2"/>
      <c r="K27">
        <v>354325</v>
      </c>
      <c r="L27">
        <v>253000</v>
      </c>
      <c r="M27">
        <v>0.253</v>
      </c>
    </row>
    <row r="28" spans="1:13">
      <c r="A28">
        <v>2.6</v>
      </c>
      <c r="B28">
        <v>176.59</v>
      </c>
      <c r="D28" s="2"/>
      <c r="E28" s="2"/>
      <c r="K28">
        <v>354325</v>
      </c>
      <c r="L28">
        <v>253000</v>
      </c>
      <c r="M28">
        <v>0.253</v>
      </c>
    </row>
    <row r="29" spans="1:13">
      <c r="A29">
        <v>2.7</v>
      </c>
      <c r="B29">
        <v>71.09</v>
      </c>
    </row>
    <row r="30" spans="1:13">
      <c r="A30">
        <v>2.8</v>
      </c>
      <c r="B30">
        <v>19.66</v>
      </c>
    </row>
    <row r="31" spans="1:13">
      <c r="A31">
        <v>2.9</v>
      </c>
      <c r="B31">
        <v>19.66</v>
      </c>
    </row>
    <row r="32" spans="1:13">
      <c r="A32">
        <v>3</v>
      </c>
      <c r="B32">
        <v>4.63</v>
      </c>
    </row>
    <row r="33" spans="1:2">
      <c r="A33">
        <v>3.1</v>
      </c>
      <c r="B33">
        <v>3.08</v>
      </c>
    </row>
    <row r="34" spans="1:2">
      <c r="A34">
        <v>3.2</v>
      </c>
      <c r="B34">
        <v>3.08</v>
      </c>
    </row>
    <row r="35" spans="1:2">
      <c r="A35">
        <v>3.3</v>
      </c>
      <c r="B35">
        <v>2.61</v>
      </c>
    </row>
    <row r="36" spans="1:2">
      <c r="A36">
        <v>3.4</v>
      </c>
      <c r="B36">
        <v>2.61</v>
      </c>
    </row>
    <row r="37" spans="1:2">
      <c r="A37">
        <v>3.5</v>
      </c>
      <c r="B37">
        <v>2.58</v>
      </c>
    </row>
    <row r="38" spans="1:2">
      <c r="A38">
        <v>3.6</v>
      </c>
      <c r="B38">
        <v>2.46</v>
      </c>
    </row>
    <row r="39" spans="1:2">
      <c r="A39">
        <v>3.7</v>
      </c>
      <c r="B39">
        <v>1.56</v>
      </c>
    </row>
    <row r="40" spans="1:2">
      <c r="A40">
        <v>3.8</v>
      </c>
      <c r="B40">
        <v>1.1299999999999999</v>
      </c>
    </row>
    <row r="41" spans="1:2">
      <c r="A41">
        <v>3.9</v>
      </c>
      <c r="B41">
        <v>0.96</v>
      </c>
    </row>
    <row r="42" spans="1:2">
      <c r="A42">
        <v>4</v>
      </c>
      <c r="B42">
        <v>0.83</v>
      </c>
    </row>
    <row r="43" spans="1:2">
      <c r="A43">
        <v>4.0999999999999996</v>
      </c>
      <c r="B43">
        <v>0.83</v>
      </c>
    </row>
    <row r="44" spans="1:2">
      <c r="A44">
        <v>4.2</v>
      </c>
      <c r="B44">
        <v>0.82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empuxo_TESTE_30_05_25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kanamori</cp:lastModifiedBy>
  <dcterms:created xsi:type="dcterms:W3CDTF">2025-06-02T02:30:14Z</dcterms:created>
  <dcterms:modified xsi:type="dcterms:W3CDTF">2025-06-07T02:24:17Z</dcterms:modified>
</cp:coreProperties>
</file>